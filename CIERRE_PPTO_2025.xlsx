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paineo\Downloads\"/>
    </mc:Choice>
  </mc:AlternateContent>
  <bookViews>
    <workbookView xWindow="0" yWindow="0" windowWidth="28800" windowHeight="12015" firstSheet="2" activeTab="5"/>
  </bookViews>
  <sheets>
    <sheet name="Forma de pago PAGO" sheetId="2" state="hidden" r:id="rId1"/>
    <sheet name="RVC" sheetId="13" state="hidden" r:id="rId2"/>
    <sheet name="TGM 2025" sheetId="19" r:id="rId3"/>
    <sheet name="Mesas 2025" sheetId="20" r:id="rId4"/>
    <sheet name="Presupuesto AABB 2025" sheetId="18" r:id="rId5"/>
    <sheet name="bases" sheetId="21" r:id="rId6"/>
    <sheet name="BUSQUEDA" sheetId="24" r:id="rId7"/>
    <sheet name="FORMATO CIERRE 2025" sheetId="25" r:id="rId8"/>
    <sheet name="Hoja3" sheetId="6" state="hidden" r:id="rId9"/>
  </sheets>
  <definedNames>
    <definedName name="SegmentaciónDeDatos_mes">#N/A</definedName>
  </definedNames>
  <calcPr calcId="152511"/>
  <pivotCaches>
    <pivotCache cacheId="15" r:id="rId10"/>
    <pivotCache cacheId="16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5" l="1"/>
  <c r="D2" i="25"/>
  <c r="D4" i="25" s="1"/>
  <c r="G4" i="25" s="1"/>
  <c r="D35" i="20"/>
  <c r="E35" i="20"/>
  <c r="E36" i="20"/>
  <c r="B35" i="20"/>
  <c r="C35" i="20"/>
  <c r="C36" i="20"/>
  <c r="W35" i="20"/>
  <c r="V35" i="20"/>
  <c r="W36" i="20"/>
  <c r="U35" i="20"/>
  <c r="T35" i="20"/>
  <c r="U36" i="20"/>
  <c r="S35" i="20"/>
  <c r="R35" i="20"/>
  <c r="S36" i="20"/>
  <c r="Q35" i="20"/>
  <c r="P35" i="20"/>
  <c r="Q36" i="20"/>
  <c r="O35" i="20"/>
  <c r="N35" i="20"/>
  <c r="O36" i="20"/>
  <c r="M35" i="20"/>
  <c r="L35" i="20"/>
  <c r="M36" i="20"/>
  <c r="K35" i="20"/>
  <c r="J35" i="20"/>
  <c r="K36" i="20"/>
  <c r="I35" i="20"/>
  <c r="H35" i="20"/>
  <c r="I36" i="20"/>
  <c r="G35" i="20"/>
  <c r="F35" i="20"/>
  <c r="G36" i="20"/>
  <c r="Y28" i="20"/>
  <c r="X28" i="20"/>
  <c r="Y27" i="20"/>
  <c r="Y35" i="20"/>
  <c r="X27" i="20"/>
  <c r="X35" i="20"/>
  <c r="Y36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F35" i="19"/>
  <c r="AF37" i="19"/>
  <c r="Q35" i="19"/>
  <c r="Q37" i="19"/>
  <c r="N35" i="19"/>
  <c r="N37" i="19"/>
  <c r="H35" i="19"/>
  <c r="H37" i="19"/>
  <c r="R35" i="19"/>
  <c r="R36" i="19"/>
  <c r="R37" i="19"/>
  <c r="O35" i="19"/>
  <c r="O36" i="19"/>
  <c r="O37" i="19"/>
  <c r="K35" i="19"/>
  <c r="L35" i="19"/>
  <c r="L36" i="19"/>
  <c r="L37" i="19"/>
  <c r="AJ35" i="19"/>
  <c r="AI35" i="19"/>
  <c r="AJ36" i="19"/>
  <c r="AJ37" i="19"/>
  <c r="AG35" i="19"/>
  <c r="AG36" i="19"/>
  <c r="AG37" i="19"/>
  <c r="AD35" i="19"/>
  <c r="AC35" i="19"/>
  <c r="AC37" i="19"/>
  <c r="AA35" i="19"/>
  <c r="Z35" i="19"/>
  <c r="Z37" i="19"/>
  <c r="X35" i="19"/>
  <c r="W35" i="19"/>
  <c r="W37" i="19"/>
  <c r="U35" i="19"/>
  <c r="T35" i="19"/>
  <c r="U36" i="19"/>
  <c r="U37" i="19"/>
  <c r="K37" i="19"/>
  <c r="I35" i="19"/>
  <c r="I36" i="19"/>
  <c r="I37" i="19"/>
  <c r="F35" i="19"/>
  <c r="E35" i="19"/>
  <c r="F36" i="19"/>
  <c r="F37" i="19"/>
  <c r="C35" i="19"/>
  <c r="B35" i="19"/>
  <c r="C36" i="19"/>
  <c r="C37" i="19"/>
  <c r="AK34" i="19"/>
  <c r="AE34" i="19"/>
  <c r="Y34" i="19"/>
  <c r="V34" i="19"/>
  <c r="P34" i="19"/>
  <c r="J34" i="19"/>
  <c r="D34" i="19"/>
  <c r="AK33" i="19"/>
  <c r="AH33" i="19"/>
  <c r="AE33" i="19"/>
  <c r="AB33" i="19"/>
  <c r="Y33" i="19"/>
  <c r="V33" i="19"/>
  <c r="S33" i="19"/>
  <c r="P33" i="19"/>
  <c r="M33" i="19"/>
  <c r="J33" i="19"/>
  <c r="D33" i="19"/>
  <c r="AK32" i="19"/>
  <c r="AH32" i="19"/>
  <c r="AE32" i="19"/>
  <c r="AB32" i="19"/>
  <c r="Y32" i="19"/>
  <c r="V32" i="19"/>
  <c r="S32" i="19"/>
  <c r="P32" i="19"/>
  <c r="M32" i="19"/>
  <c r="J32" i="19"/>
  <c r="D32" i="19"/>
  <c r="AK31" i="19"/>
  <c r="AH31" i="19"/>
  <c r="AE31" i="19"/>
  <c r="AB31" i="19"/>
  <c r="Y31" i="19"/>
  <c r="V31" i="19"/>
  <c r="S31" i="19"/>
  <c r="P31" i="19"/>
  <c r="M31" i="19"/>
  <c r="J31" i="19"/>
  <c r="G31" i="19"/>
  <c r="D31" i="19"/>
  <c r="AK30" i="19"/>
  <c r="AH30" i="19"/>
  <c r="AE30" i="19"/>
  <c r="AB30" i="19"/>
  <c r="Y30" i="19"/>
  <c r="V30" i="19"/>
  <c r="S30" i="19"/>
  <c r="P30" i="19"/>
  <c r="M30" i="19"/>
  <c r="J30" i="19"/>
  <c r="G30" i="19"/>
  <c r="D30" i="19"/>
  <c r="AK29" i="19"/>
  <c r="AH29" i="19"/>
  <c r="AE29" i="19"/>
  <c r="AB29" i="19"/>
  <c r="Y29" i="19"/>
  <c r="V29" i="19"/>
  <c r="S29" i="19"/>
  <c r="P29" i="19"/>
  <c r="M29" i="19"/>
  <c r="J29" i="19"/>
  <c r="G29" i="19"/>
  <c r="D29" i="19"/>
  <c r="AK28" i="19"/>
  <c r="AH28" i="19"/>
  <c r="AE28" i="19"/>
  <c r="AB28" i="19"/>
  <c r="Y28" i="19"/>
  <c r="V28" i="19"/>
  <c r="S28" i="19"/>
  <c r="P28" i="19"/>
  <c r="M28" i="19"/>
  <c r="J28" i="19"/>
  <c r="G28" i="19"/>
  <c r="D28" i="19"/>
  <c r="AK27" i="19"/>
  <c r="AH27" i="19"/>
  <c r="AE27" i="19"/>
  <c r="AB27" i="19"/>
  <c r="Y27" i="19"/>
  <c r="V27" i="19"/>
  <c r="S27" i="19"/>
  <c r="P27" i="19"/>
  <c r="M27" i="19"/>
  <c r="J27" i="19"/>
  <c r="G27" i="19"/>
  <c r="D27" i="19"/>
  <c r="AK26" i="19"/>
  <c r="AH26" i="19"/>
  <c r="AE26" i="19"/>
  <c r="AB26" i="19"/>
  <c r="Y26" i="19"/>
  <c r="V26" i="19"/>
  <c r="S26" i="19"/>
  <c r="P26" i="19"/>
  <c r="M26" i="19"/>
  <c r="J26" i="19"/>
  <c r="G26" i="19"/>
  <c r="D26" i="19"/>
  <c r="AK25" i="19"/>
  <c r="AH25" i="19"/>
  <c r="AE25" i="19"/>
  <c r="AB25" i="19"/>
  <c r="Y25" i="19"/>
  <c r="V25" i="19"/>
  <c r="S25" i="19"/>
  <c r="P25" i="19"/>
  <c r="M25" i="19"/>
  <c r="J25" i="19"/>
  <c r="G25" i="19"/>
  <c r="D25" i="19"/>
  <c r="AK24" i="19"/>
  <c r="AH24" i="19"/>
  <c r="AE24" i="19"/>
  <c r="AB24" i="19"/>
  <c r="Y24" i="19"/>
  <c r="V24" i="19"/>
  <c r="S24" i="19"/>
  <c r="P24" i="19"/>
  <c r="M24" i="19"/>
  <c r="J24" i="19"/>
  <c r="G24" i="19"/>
  <c r="D24" i="19"/>
  <c r="AK23" i="19"/>
  <c r="AH23" i="19"/>
  <c r="AE23" i="19"/>
  <c r="AB23" i="19"/>
  <c r="Y23" i="19"/>
  <c r="V23" i="19"/>
  <c r="S23" i="19"/>
  <c r="P23" i="19"/>
  <c r="M23" i="19"/>
  <c r="J23" i="19"/>
  <c r="G23" i="19"/>
  <c r="D23" i="19"/>
  <c r="AK22" i="19"/>
  <c r="AH22" i="19"/>
  <c r="AE22" i="19"/>
  <c r="AB22" i="19"/>
  <c r="Y22" i="19"/>
  <c r="V22" i="19"/>
  <c r="S22" i="19"/>
  <c r="P22" i="19"/>
  <c r="M22" i="19"/>
  <c r="J22" i="19"/>
  <c r="G22" i="19"/>
  <c r="D22" i="19"/>
  <c r="AK21" i="19"/>
  <c r="AH21" i="19"/>
  <c r="AE21" i="19"/>
  <c r="AB21" i="19"/>
  <c r="Y21" i="19"/>
  <c r="V21" i="19"/>
  <c r="S21" i="19"/>
  <c r="P21" i="19"/>
  <c r="M21" i="19"/>
  <c r="J21" i="19"/>
  <c r="G21" i="19"/>
  <c r="D21" i="19"/>
  <c r="AK20" i="19"/>
  <c r="AH20" i="19"/>
  <c r="AE20" i="19"/>
  <c r="AB20" i="19"/>
  <c r="Y20" i="19"/>
  <c r="V20" i="19"/>
  <c r="S20" i="19"/>
  <c r="P20" i="19"/>
  <c r="M20" i="19"/>
  <c r="J20" i="19"/>
  <c r="G20" i="19"/>
  <c r="D20" i="19"/>
  <c r="AK19" i="19"/>
  <c r="AH19" i="19"/>
  <c r="AE19" i="19"/>
  <c r="AB19" i="19"/>
  <c r="Y19" i="19"/>
  <c r="V19" i="19"/>
  <c r="S19" i="19"/>
  <c r="P19" i="19"/>
  <c r="M19" i="19"/>
  <c r="J19" i="19"/>
  <c r="G19" i="19"/>
  <c r="D19" i="19"/>
  <c r="AK18" i="19"/>
  <c r="AH18" i="19"/>
  <c r="AE18" i="19"/>
  <c r="AB18" i="19"/>
  <c r="Y18" i="19"/>
  <c r="V18" i="19"/>
  <c r="S18" i="19"/>
  <c r="P18" i="19"/>
  <c r="M18" i="19"/>
  <c r="J18" i="19"/>
  <c r="G18" i="19"/>
  <c r="D18" i="19"/>
  <c r="AK17" i="19"/>
  <c r="AH17" i="19"/>
  <c r="AE17" i="19"/>
  <c r="AB17" i="19"/>
  <c r="Y17" i="19"/>
  <c r="V17" i="19"/>
  <c r="S17" i="19"/>
  <c r="P17" i="19"/>
  <c r="M17" i="19"/>
  <c r="J17" i="19"/>
  <c r="G17" i="19"/>
  <c r="D17" i="19"/>
  <c r="AK16" i="19"/>
  <c r="AH16" i="19"/>
  <c r="AE16" i="19"/>
  <c r="AB16" i="19"/>
  <c r="Y16" i="19"/>
  <c r="V16" i="19"/>
  <c r="S16" i="19"/>
  <c r="P16" i="19"/>
  <c r="M16" i="19"/>
  <c r="J16" i="19"/>
  <c r="G16" i="19"/>
  <c r="D16" i="19"/>
  <c r="AK15" i="19"/>
  <c r="AH15" i="19"/>
  <c r="AE15" i="19"/>
  <c r="AB15" i="19"/>
  <c r="Y15" i="19"/>
  <c r="V15" i="19"/>
  <c r="S15" i="19"/>
  <c r="P15" i="19"/>
  <c r="M15" i="19"/>
  <c r="J15" i="19"/>
  <c r="G15" i="19"/>
  <c r="D15" i="19"/>
  <c r="AK14" i="19"/>
  <c r="AH14" i="19"/>
  <c r="AE14" i="19"/>
  <c r="AB14" i="19"/>
  <c r="Y14" i="19"/>
  <c r="V14" i="19"/>
  <c r="S14" i="19"/>
  <c r="P14" i="19"/>
  <c r="M14" i="19"/>
  <c r="J14" i="19"/>
  <c r="G14" i="19"/>
  <c r="D14" i="19"/>
  <c r="AK13" i="19"/>
  <c r="AH13" i="19"/>
  <c r="AE13" i="19"/>
  <c r="AB13" i="19"/>
  <c r="Y13" i="19"/>
  <c r="V13" i="19"/>
  <c r="S13" i="19"/>
  <c r="P13" i="19"/>
  <c r="M13" i="19"/>
  <c r="J13" i="19"/>
  <c r="G13" i="19"/>
  <c r="D13" i="19"/>
  <c r="AK12" i="19"/>
  <c r="AH12" i="19"/>
  <c r="AE12" i="19"/>
  <c r="AB12" i="19"/>
  <c r="Y12" i="19"/>
  <c r="V12" i="19"/>
  <c r="S12" i="19"/>
  <c r="P12" i="19"/>
  <c r="M12" i="19"/>
  <c r="J12" i="19"/>
  <c r="G12" i="19"/>
  <c r="D12" i="19"/>
  <c r="AK11" i="19"/>
  <c r="AH11" i="19"/>
  <c r="AE11" i="19"/>
  <c r="AB11" i="19"/>
  <c r="Y11" i="19"/>
  <c r="V11" i="19"/>
  <c r="S11" i="19"/>
  <c r="P11" i="19"/>
  <c r="M11" i="19"/>
  <c r="J11" i="19"/>
  <c r="G11" i="19"/>
  <c r="D11" i="19"/>
  <c r="AK10" i="19"/>
  <c r="AH10" i="19"/>
  <c r="AE10" i="19"/>
  <c r="AB10" i="19"/>
  <c r="Y10" i="19"/>
  <c r="V10" i="19"/>
  <c r="S10" i="19"/>
  <c r="P10" i="19"/>
  <c r="M10" i="19"/>
  <c r="J10" i="19"/>
  <c r="G10" i="19"/>
  <c r="D10" i="19"/>
  <c r="AK9" i="19"/>
  <c r="AH9" i="19"/>
  <c r="AE9" i="19"/>
  <c r="AB9" i="19"/>
  <c r="Y9" i="19"/>
  <c r="V9" i="19"/>
  <c r="S9" i="19"/>
  <c r="P9" i="19"/>
  <c r="M9" i="19"/>
  <c r="J9" i="19"/>
  <c r="G9" i="19"/>
  <c r="D9" i="19"/>
  <c r="AK8" i="19"/>
  <c r="AH8" i="19"/>
  <c r="AE8" i="19"/>
  <c r="AB8" i="19"/>
  <c r="Y8" i="19"/>
  <c r="V8" i="19"/>
  <c r="S8" i="19"/>
  <c r="P8" i="19"/>
  <c r="M8" i="19"/>
  <c r="J8" i="19"/>
  <c r="G8" i="19"/>
  <c r="D8" i="19"/>
  <c r="AK7" i="19"/>
  <c r="AH7" i="19"/>
  <c r="AE7" i="19"/>
  <c r="AB7" i="19"/>
  <c r="Y7" i="19"/>
  <c r="V7" i="19"/>
  <c r="S7" i="19"/>
  <c r="P7" i="19"/>
  <c r="M7" i="19"/>
  <c r="J7" i="19"/>
  <c r="G7" i="19"/>
  <c r="D7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K6" i="19"/>
  <c r="AH6" i="19"/>
  <c r="AE6" i="19"/>
  <c r="AB6" i="19"/>
  <c r="Y6" i="19"/>
  <c r="V6" i="19"/>
  <c r="S6" i="19"/>
  <c r="P6" i="19"/>
  <c r="M6" i="19"/>
  <c r="J6" i="19"/>
  <c r="G6" i="19"/>
  <c r="D6" i="19"/>
  <c r="AK5" i="19"/>
  <c r="AH5" i="19"/>
  <c r="AE5" i="19"/>
  <c r="AB5" i="19"/>
  <c r="Y5" i="19"/>
  <c r="V5" i="19"/>
  <c r="S5" i="19"/>
  <c r="P5" i="19"/>
  <c r="M5" i="19"/>
  <c r="J5" i="19"/>
  <c r="G5" i="19"/>
  <c r="D5" i="19"/>
  <c r="AK4" i="19"/>
  <c r="AH4" i="19"/>
  <c r="AE4" i="19"/>
  <c r="AB4" i="19"/>
  <c r="Y4" i="19"/>
  <c r="V4" i="19"/>
  <c r="S4" i="19"/>
  <c r="P4" i="19"/>
  <c r="M4" i="19"/>
  <c r="J4" i="19"/>
  <c r="G4" i="19"/>
  <c r="D4" i="19"/>
  <c r="X36" i="19"/>
  <c r="X37" i="19"/>
  <c r="AA36" i="19"/>
  <c r="AA37" i="19"/>
  <c r="T37" i="19"/>
  <c r="AD36" i="19"/>
  <c r="AD37" i="19"/>
  <c r="B37" i="19"/>
  <c r="E37" i="19"/>
  <c r="M35" i="18"/>
  <c r="L35" i="18"/>
  <c r="K35" i="18"/>
  <c r="J35" i="18"/>
  <c r="I35" i="18"/>
  <c r="H35" i="18"/>
  <c r="G35" i="18"/>
  <c r="F35" i="18"/>
  <c r="E35" i="18"/>
  <c r="D35" i="18"/>
  <c r="C35" i="18"/>
  <c r="B35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D3" i="25" l="1"/>
  <c r="G3" i="25" s="1"/>
  <c r="D5" i="25"/>
  <c r="G5" i="25" s="1"/>
  <c r="D6" i="25"/>
  <c r="G6" i="25" s="1"/>
</calcChain>
</file>

<file path=xl/connections.xml><?xml version="1.0" encoding="utf-8"?>
<connections xmlns="http://schemas.openxmlformats.org/spreadsheetml/2006/main">
  <connection id="1" keepAlive="1" name="Consulta - AB_PIA_BASE_AABB" description="Conexión a la consulta 'AB_PIA_BASE_AABB' en el libro." type="5" refreshedVersion="8" background="1">
    <dbPr connection="Provider=Microsoft.Mashup.OleDb.1;Data Source=$Workbook$;Location=AB_PIA_BASE_AABB;Extended Properties=&quot;&quot;" command="SELECT * FROM [AB_PIA_BASE_AABB]"/>
  </connection>
  <connection id="2" keepAlive="1" name="Consulta - AB_venta_real" description="Conexión a la consulta 'AB_venta_real' en el libro." type="5" refreshedVersion="8" background="1">
    <dbPr connection="Provider=Microsoft.Mashup.OleDb.1;Data Source=$Workbook$;Location=AB_venta_real;Extended Properties=&quot;&quot;" command="SELECT * FROM [AB_venta_real]"/>
  </connection>
  <connection id="3" keepAlive="1" name="Consulta - REP_AABB" description="Conexión a la consulta 'REP_AABB' en el libro." type="5" refreshedVersion="8" background="1">
    <dbPr connection="Provider=Microsoft.Mashup.OleDb.1;Data Source=$Workbook$;Location=REP_AABB;Extended Properties=&quot;&quot;" command="SELECT * FROM [REP_AABB]"/>
  </connection>
  <connection id="4" keepAlive="1" name="Consulta - REP_PIA_AABB_DETALLE" description="Conexión a la consulta 'REP_PIA_AABB_DETALLE' en el libro." type="5" refreshedVersion="8" background="1">
    <dbPr connection="Provider=Microsoft.Mashup.OleDb.1;Data Source=$Workbook$;Location=REP_PIA_AABB_DETALLE;Extended Properties=&quot;&quot;" command="SELECT * FROM [REP_PIA_AABB_DETALLE]"/>
  </connection>
  <connection id="5" keepAlive="1" name="Consulta - REP_PIA_AABB_PAGO" description="Conexión a la consulta 'REP_PIA_AABB_PAGO' en el libro." type="5" refreshedVersion="8" background="1">
    <dbPr connection="Provider=Microsoft.Mashup.OleDb.1;Data Source=$Workbook$;Location=REP_PIA_AABB_PAGO;Extended Properties=&quot;&quot;" command="SELECT * FROM [REP_PIA_AABB_PAGO]"/>
  </connection>
</connections>
</file>

<file path=xl/sharedStrings.xml><?xml version="1.0" encoding="utf-8"?>
<sst xmlns="http://schemas.openxmlformats.org/spreadsheetml/2006/main" count="877" uniqueCount="68">
  <si>
    <t>año</t>
  </si>
  <si>
    <t>(Todas)</t>
  </si>
  <si>
    <t>empresa</t>
  </si>
  <si>
    <t>Total general</t>
  </si>
  <si>
    <t>Etiquetas de fila</t>
  </si>
  <si>
    <t>Suma de monto</t>
  </si>
  <si>
    <t>nombre_unidad</t>
  </si>
  <si>
    <t>nombre_rvc_micros</t>
  </si>
  <si>
    <t>pos</t>
  </si>
  <si>
    <t>(Varios elementos)</t>
  </si>
  <si>
    <t xml:space="preserve">JOKERS </t>
  </si>
  <si>
    <t>EVENTOS</t>
  </si>
  <si>
    <t>Los Angeles</t>
  </si>
  <si>
    <t>PPTO AABB</t>
  </si>
  <si>
    <t>día</t>
  </si>
  <si>
    <t>INGRESO</t>
  </si>
  <si>
    <t>TOTAL</t>
  </si>
  <si>
    <t>PPTO MESAS</t>
  </si>
  <si>
    <t>WIN</t>
  </si>
  <si>
    <t>DROP</t>
  </si>
  <si>
    <t xml:space="preserve"> </t>
  </si>
  <si>
    <t>PPTO TGM</t>
  </si>
  <si>
    <t>COIN IN</t>
  </si>
  <si>
    <t>Pay off</t>
  </si>
  <si>
    <t>dia</t>
  </si>
  <si>
    <t>TGM</t>
  </si>
  <si>
    <t>MDJ</t>
  </si>
  <si>
    <t>MES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</si>
  <si>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</si>
  <si>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</si>
  <si>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</si>
  <si>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</si>
  <si>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</si>
  <si>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</si>
  <si>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</si>
  <si>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</si>
  <si>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</si>
  <si>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</si>
  <si>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</si>
  <si>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</si>
  <si>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</si>
  <si>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DIA2</t>
  </si>
  <si>
    <t xml:space="preserve">TGM WIN </t>
  </si>
  <si>
    <t>TGM COIN IN</t>
  </si>
  <si>
    <t>MDJ WIN</t>
  </si>
  <si>
    <t>MDJ DROP</t>
  </si>
  <si>
    <t>Resultados</t>
  </si>
  <si>
    <t>Cumplimiento</t>
  </si>
  <si>
    <t>Win Ppto</t>
  </si>
  <si>
    <t>Resultado</t>
  </si>
  <si>
    <t>Drop Ppto</t>
  </si>
  <si>
    <t>CI Ppto</t>
  </si>
  <si>
    <t>Pagos totales</t>
  </si>
  <si>
    <t>13 x $4.093340</t>
  </si>
  <si>
    <t>Pagos sobre millón</t>
  </si>
  <si>
    <t>Novedades</t>
  </si>
  <si>
    <t>Sin novedades</t>
  </si>
  <si>
    <t>EC</t>
  </si>
  <si>
    <t>TO</t>
  </si>
  <si>
    <t>SEGURIDAD</t>
  </si>
  <si>
    <t>MANTENCION</t>
  </si>
  <si>
    <t>BAR/COCINA</t>
  </si>
  <si>
    <t>Se retira Karen Parra a las 23:30 siendo su horario de salida a las 05:30 autorizado por supervisor de bar.</t>
  </si>
  <si>
    <t>Ingresos</t>
  </si>
  <si>
    <t>VENTA</t>
  </si>
  <si>
    <t>CORTESIAS</t>
  </si>
  <si>
    <t>WIN TGM</t>
  </si>
  <si>
    <t>WIN 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</si>
</sst>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#,##0_ ;\-#,##0\ "/>
    <numFmt numFmtId="165" formatCode="#,##0.000"/>
    <numFmt numFmtId="166" formatCode="&quot;$&quot;#,##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2" fillId="0" borderId="0" xfId="0" applyFont="1"/>
    <xf numFmtId="0" fontId="0" fillId="2" borderId="0" xfId="0" applyFill="1"/>
    <xf numFmtId="17" fontId="0" fillId="2" borderId="0" xfId="0" applyNumberFormat="1" applyFill="1" applyAlignment="1">
      <alignment horizontal="center"/>
    </xf>
    <xf numFmtId="164" fontId="3" fillId="3" borderId="1" xfId="1" applyNumberFormat="1" applyFont="1" applyFill="1" applyBorder="1" applyAlignment="1">
      <alignment horizontal="left"/>
    </xf>
    <xf numFmtId="3" fontId="0" fillId="3" borderId="0" xfId="0" applyNumberFormat="1" applyFill="1"/>
    <xf numFmtId="164" fontId="3" fillId="3" borderId="0" xfId="1" applyNumberFormat="1" applyFont="1" applyFill="1" applyBorder="1" applyAlignment="1">
      <alignment horizontal="left"/>
    </xf>
    <xf numFmtId="3" fontId="0" fillId="2" borderId="0" xfId="0" applyNumberFormat="1" applyFill="1"/>
    <xf numFmtId="3" fontId="0" fillId="0" borderId="0" xfId="0" applyNumberFormat="1"/>
    <xf numFmtId="3" fontId="3" fillId="3" borderId="2" xfId="0" applyNumberFormat="1" applyFont="1" applyFill="1" applyBorder="1"/>
    <xf numFmtId="2" fontId="0" fillId="0" borderId="0" xfId="0" applyNumberFormat="1"/>
    <xf numFmtId="3" fontId="2" fillId="0" borderId="0" xfId="0" applyNumberFormat="1" applyFont="1"/>
    <xf numFmtId="41" fontId="3" fillId="3" borderId="0" xfId="0" applyNumberFormat="1" applyFont="1" applyFill="1"/>
    <xf numFmtId="165" fontId="3" fillId="3" borderId="0" xfId="0" applyNumberFormat="1" applyFont="1" applyFill="1"/>
    <xf numFmtId="41" fontId="4" fillId="3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164" fontId="4" fillId="3" borderId="0" xfId="1" applyNumberFormat="1" applyFont="1" applyFill="1" applyBorder="1" applyAlignment="1">
      <alignment horizontal="left"/>
    </xf>
    <xf numFmtId="3" fontId="4" fillId="3" borderId="0" xfId="0" applyNumberFormat="1" applyFont="1" applyFill="1"/>
    <xf numFmtId="4" fontId="3" fillId="3" borderId="0" xfId="0" applyNumberFormat="1" applyFont="1" applyFill="1"/>
    <xf numFmtId="0" fontId="0" fillId="4" borderId="3" xfId="0" applyFill="1" applyBorder="1"/>
    <xf numFmtId="0" fontId="0" fillId="5" borderId="3" xfId="0" applyFill="1" applyBorder="1"/>
    <xf numFmtId="14" fontId="0" fillId="0" borderId="0" xfId="0" applyNumberFormat="1"/>
    <xf numFmtId="42" fontId="0" fillId="0" borderId="0" xfId="2" applyFont="1"/>
    <xf numFmtId="1" fontId="0" fillId="0" borderId="0" xfId="0" applyNumberFormat="1"/>
    <xf numFmtId="1" fontId="0" fillId="4" borderId="3" xfId="0" applyNumberFormat="1" applyFill="1" applyBorder="1"/>
    <xf numFmtId="1" fontId="0" fillId="5" borderId="3" xfId="0" applyNumberFormat="1" applyFill="1" applyBorder="1"/>
    <xf numFmtId="1" fontId="0" fillId="0" borderId="0" xfId="0" applyNumberFormat="1" applyAlignment="1">
      <alignment horizontal="left"/>
    </xf>
    <xf numFmtId="166" fontId="0" fillId="0" borderId="0" xfId="0" applyNumberFormat="1"/>
    <xf numFmtId="0" fontId="5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left" vertical="top" wrapText="1"/>
    </xf>
    <xf numFmtId="42" fontId="6" fillId="6" borderId="8" xfId="2" applyFont="1" applyFill="1" applyBorder="1" applyAlignment="1">
      <alignment horizontal="right" wrapText="1"/>
    </xf>
    <xf numFmtId="0" fontId="6" fillId="6" borderId="8" xfId="0" applyFont="1" applyFill="1" applyBorder="1" applyAlignment="1">
      <alignment horizontal="left" vertical="center" wrapText="1"/>
    </xf>
    <xf numFmtId="6" fontId="6" fillId="7" borderId="9" xfId="2" applyNumberFormat="1" applyFont="1" applyFill="1" applyBorder="1" applyAlignment="1">
      <alignment horizontal="right" vertical="center" wrapText="1"/>
    </xf>
    <xf numFmtId="9" fontId="6" fillId="8" borderId="6" xfId="3" applyNumberFormat="1" applyFont="1" applyFill="1" applyBorder="1" applyAlignment="1">
      <alignment horizontal="right" vertical="center" wrapText="1"/>
    </xf>
    <xf numFmtId="6" fontId="6" fillId="6" borderId="9" xfId="2" applyNumberFormat="1" applyFont="1" applyFill="1" applyBorder="1" applyAlignment="1">
      <alignment horizontal="right" vertical="center" wrapText="1"/>
    </xf>
    <xf numFmtId="9" fontId="6" fillId="9" borderId="6" xfId="3" applyNumberFormat="1" applyFont="1" applyFill="1" applyBorder="1" applyAlignment="1">
      <alignment horizontal="right" vertical="center" wrapText="1"/>
    </xf>
    <xf numFmtId="42" fontId="7" fillId="6" borderId="9" xfId="2" applyFont="1" applyFill="1" applyBorder="1" applyAlignment="1">
      <alignment horizontal="right" vertical="center" wrapText="1"/>
    </xf>
    <xf numFmtId="0" fontId="6" fillId="6" borderId="10" xfId="0" applyFont="1" applyFill="1" applyBorder="1" applyAlignment="1">
      <alignment horizontal="left" vertical="center" wrapText="1"/>
    </xf>
    <xf numFmtId="42" fontId="8" fillId="6" borderId="0" xfId="2" applyFont="1" applyFill="1" applyBorder="1" applyAlignment="1">
      <alignment horizontal="right" vertical="center" wrapText="1"/>
    </xf>
    <xf numFmtId="0" fontId="5" fillId="6" borderId="14" xfId="0" applyFont="1" applyFill="1" applyBorder="1" applyAlignment="1">
      <alignment vertical="center" wrapText="1"/>
    </xf>
    <xf numFmtId="0" fontId="5" fillId="6" borderId="19" xfId="0" applyFont="1" applyFill="1" applyBorder="1" applyAlignment="1">
      <alignment vertical="center" wrapText="1"/>
    </xf>
    <xf numFmtId="14" fontId="9" fillId="9" borderId="5" xfId="0" applyNumberFormat="1" applyFont="1" applyFill="1" applyBorder="1" applyAlignment="1">
      <alignment vertical="center" wrapText="1"/>
    </xf>
    <xf numFmtId="14" fontId="10" fillId="9" borderId="6" xfId="0" applyNumberFormat="1" applyFont="1" applyFill="1" applyBorder="1" applyAlignment="1">
      <alignment vertical="center" wrapText="1"/>
    </xf>
    <xf numFmtId="14" fontId="0" fillId="4" borderId="3" xfId="0" applyNumberFormat="1" applyFill="1" applyBorder="1"/>
    <xf numFmtId="14" fontId="0" fillId="5" borderId="3" xfId="0" applyNumberFormat="1" applyFill="1" applyBorder="1"/>
    <xf numFmtId="17" fontId="0" fillId="2" borderId="0" xfId="0" applyNumberFormat="1" applyFill="1" applyAlignment="1">
      <alignment horizontal="center"/>
    </xf>
    <xf numFmtId="0" fontId="0" fillId="4" borderId="3" xfId="0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right" vertical="center" wrapText="1"/>
    </xf>
    <xf numFmtId="0" fontId="9" fillId="9" borderId="5" xfId="0" applyFont="1" applyFill="1" applyBorder="1" applyAlignment="1">
      <alignment horizontal="right" vertical="center" wrapText="1"/>
    </xf>
    <xf numFmtId="0" fontId="6" fillId="6" borderId="11" xfId="0" applyFont="1" applyFill="1" applyBorder="1" applyAlignment="1">
      <alignment horizontal="left" vertical="top" wrapText="1"/>
    </xf>
    <xf numFmtId="0" fontId="6" fillId="6" borderId="12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0" fontId="6" fillId="6" borderId="15" xfId="0" applyFont="1" applyFill="1" applyBorder="1" applyAlignment="1">
      <alignment horizontal="left" vertical="top" wrapText="1"/>
    </xf>
    <xf numFmtId="0" fontId="6" fillId="6" borderId="16" xfId="0" applyFont="1" applyFill="1" applyBorder="1" applyAlignment="1">
      <alignment horizontal="left" vertical="top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</cellXfs>
  <cellStyles count="4">
    <cellStyle name="Millares" xfId="1" builtinId="3"/>
    <cellStyle name="Moneda [0]" xfId="2" builtinId="7"/>
    <cellStyle name="Normal" xfId="0" builtinId="0"/>
    <cellStyle name="Porcentaje" xfId="3" builtinId="5"/>
  </cellStyles>
  <dxfs count="22"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39994506668294322"/>
      </font>
    </dxf>
    <dxf>
      <font>
        <color theme="9" tint="-0.499984740745262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&quot;$&quot;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866774</xdr:colOff>
      <xdr:row>0</xdr:row>
      <xdr:rowOff>47624</xdr:rowOff>
    </xdr:from>
    <xdr:to>
      <xdr:col>6</xdr:col>
      <xdr:colOff>9524</xdr:colOff>
      <xdr:row>7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">
              <a:extLst>
                <a:ext uri="{FF2B5EF4-FFF2-40B4-BE49-F238E27FC236}">
                  <a16:creationId xmlns:a16="http://schemas.microsoft.com/office/drawing/2014/main" xmlns="" id="{2FA51A6C-F140-93A6-C812-451C06F9E8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2774" y="47624"/>
              <a:ext cx="3267075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resita Jennifer Riveros Martinez" refreshedDate="45645.656920601854" backgroundQuery="1" createdVersion="8" refreshedVersion="8" minRefreshableVersion="3" recordCount="18487">
  <cacheSource type="external" connectionId="5"/>
  <cacheFields count="15">
    <cacheField name="empresa" numFmtId="0">
      <sharedItems containsSemiMixedTypes="0" containsString="0" containsNumber="1" containsInteger="1" minValue="35" maxValue="36" count="2">
        <n v="35"/>
        <n v="36" u="1"/>
      </sharedItems>
    </cacheField>
    <cacheField name="rvc_seq" numFmtId="0">
      <sharedItems containsSemiMixedTypes="0" containsString="0" containsNumber="1" containsInteger="1" minValue="29" maxValue="29" count="1">
        <n v="29"/>
      </sharedItems>
    </cacheField>
    <cacheField name="chk_seq" numFmtId="0">
      <sharedItems containsSemiMixedTypes="0" containsString="0" containsNumber="1" containsInteger="1" minValue="2236869703" maxValue="2239325441"/>
    </cacheField>
    <cacheField name="cod_fpago" numFmtId="0">
      <sharedItems containsSemiMixedTypes="0" containsString="0" containsNumber="1" containsInteger="1" minValue="0" maxValue="333" count="13">
        <n v="290"/>
        <n v="287"/>
        <n v="207"/>
        <n v="203"/>
        <n v="333"/>
        <n v="0"/>
        <n v="39"/>
        <n v="269"/>
        <n v="205"/>
        <n v="331"/>
        <n v="204"/>
        <n v="286"/>
        <n v="270"/>
      </sharedItems>
    </cacheField>
    <cacheField name="monto" numFmtId="0">
      <sharedItems containsSemiMixedTypes="0" containsString="0" containsNumber="1" containsInteger="1" minValue="-531252835" maxValue="531285835"/>
    </cacheField>
    <cacheField name="mes" numFmtId="0">
      <sharedItems containsSemiMixedTypes="0" containsString="0" containsNumber="1" containsInteger="1" minValue="1" maxValue="12" count="12">
        <n v="10"/>
        <n v="11"/>
        <n v="12"/>
        <n v="5" u="1"/>
        <n v="4" u="1"/>
        <n v="6" u="1"/>
        <n v="7" u="1"/>
        <n v="8" u="1"/>
        <n v="9" u="1"/>
        <n v="1" u="1"/>
        <n v="2" u="1"/>
        <n v="3" u="1"/>
      </sharedItems>
    </cacheField>
    <cacheField name="año" numFmtId="0">
      <sharedItems containsSemiMixedTypes="0" containsString="0" containsNumber="1" containsInteger="1" minValue="2019" maxValue="2024" count="6">
        <n v="2024"/>
        <n v="2019" u="1"/>
        <n v="2020" u="1"/>
        <n v="2021" u="1"/>
        <n v="2022" u="1"/>
        <n v="2023" u="1"/>
      </sharedItems>
    </cacheField>
    <cacheField name="business_date" numFmtId="0">
      <sharedItems containsSemiMixedTypes="0" containsNonDate="0" containsDate="1" containsString="0" minDate="2019-04-23T00:00:00" maxDate="2024-12-19T00:00:00" count="1592">
        <d v="2024-10-10T00:00:00"/>
        <d v="2024-10-16T00:00:00"/>
        <d v="2024-10-11T00:00:00"/>
        <d v="2024-10-15T00:00:00"/>
        <d v="2024-10-18T00:00:00"/>
        <d v="2024-10-19T00:00:00"/>
        <d v="2024-11-12T00:00:00"/>
        <d v="2024-11-21T00:00:00"/>
        <d v="2024-11-07T00:00:00"/>
        <d v="2024-11-08T00:00:00"/>
        <d v="2024-11-20T00:00:00"/>
        <d v="2024-11-27T00:00:00"/>
        <d v="2024-11-25T00:00:00"/>
        <d v="2024-11-28T00:00:00"/>
        <d v="2024-11-22T00:00:00"/>
        <d v="2024-11-23T00:00:00"/>
        <d v="2024-12-03T00:00:00"/>
        <d v="2024-12-18T00:00:00"/>
        <d v="2024-12-05T00:00:00"/>
        <d v="2024-12-06T00:00:00"/>
        <d v="2024-12-13T00:00:00"/>
        <d v="2024-12-16T00:00:00"/>
        <d v="2024-12-14T00:00:00"/>
        <d v="2024-12-15T00:00:00"/>
        <d v="2024-10-09T00:00:00"/>
        <d v="2024-10-12T00:00:00"/>
        <d v="2024-10-13T00:00:00"/>
        <d v="2024-10-14T00:00:00"/>
        <d v="2024-10-17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1-09T00:00:00"/>
        <d v="2024-11-10T00:00:00"/>
        <d v="2024-11-11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4T00:00:00"/>
        <d v="2024-11-26T00:00:00"/>
        <d v="2024-11-29T00:00:00"/>
        <d v="2024-11-30T00:00:00"/>
        <d v="2024-12-01T00:00:00"/>
        <d v="2024-12-02T00:00:00"/>
        <d v="2024-12-04T00:00:00"/>
        <d v="2024-12-07T00:00:00"/>
        <d v="2024-12-08T00:00:00"/>
        <d v="2024-12-09T00:00:00"/>
        <d v="2024-12-10T00:00:00"/>
        <d v="2024-12-11T00:00:00"/>
        <d v="2024-12-12T00:00:00"/>
        <d v="2024-12-17T00:00:00"/>
        <d v="2019-05-08T00:00:00" u="1"/>
        <d v="2019-04-23T00:00:00" u="1"/>
        <d v="2019-04-24T00:00:00" u="1"/>
        <d v="2019-04-25T00:00:00" u="1"/>
        <d v="2019-04-26T00:00:00" u="1"/>
        <d v="2019-05-09T00:00:00" u="1"/>
        <d v="2019-04-27T00:00:00" u="1"/>
        <d v="2019-04-30T00:00:00" u="1"/>
        <d v="2019-04-28T00:00:00" u="1"/>
        <d v="2019-04-29T00:00:00" u="1"/>
        <d v="2019-05-01T00:00:00" u="1"/>
        <d v="2019-05-02T00:00:00" u="1"/>
        <d v="2019-05-03T00:00:00" u="1"/>
        <d v="2019-05-04T00:00:00" u="1"/>
        <d v="2019-05-05T00:00:00" u="1"/>
        <d v="2019-05-06T00:00:00" u="1"/>
        <d v="2019-05-07T00:00:00" u="1"/>
        <d v="2019-05-10T00:00:00" u="1"/>
        <d v="2019-05-11T00:00:00" u="1"/>
        <d v="2019-05-12T00:00:00" u="1"/>
        <d v="2019-05-13T00:00:00" u="1"/>
        <d v="2019-05-14T00:00:00" u="1"/>
        <d v="2019-05-15T00:00:00" u="1"/>
        <d v="2019-05-16T00:00:00" u="1"/>
        <d v="2019-05-17T00:00:00" u="1"/>
        <d v="2019-05-18T00:00:00" u="1"/>
        <d v="2019-05-19T00:00:00" u="1"/>
        <d v="2019-05-20T00:00:00" u="1"/>
        <d v="2019-05-21T00:00:00" u="1"/>
        <d v="2019-05-22T00:00:00" u="1"/>
        <d v="2019-05-23T00:00:00" u="1"/>
        <d v="2019-05-24T00:00:00" u="1"/>
        <d v="2019-05-25T00:00:00" u="1"/>
        <d v="2019-05-26T00:00:00" u="1"/>
        <d v="2019-05-27T00:00:00" u="1"/>
        <d v="2019-05-28T00:00:00" u="1"/>
        <d v="2019-05-30T00:00:00" u="1"/>
        <d v="2019-05-31T00:00:00" u="1"/>
        <d v="2019-06-01T00:00:00" u="1"/>
        <d v="2019-06-02T00:00:00" u="1"/>
        <d v="2019-06-03T00:00:00" u="1"/>
        <d v="2019-06-04T00:00:00" u="1"/>
        <d v="2019-06-05T00:00:00" u="1"/>
        <d v="2019-06-06T00:00:00" u="1"/>
        <d v="2019-06-07T00:00:00" u="1"/>
        <d v="2019-06-08T00:00:00" u="1"/>
        <d v="2019-06-09T00:00:00" u="1"/>
        <d v="2019-06-10T00:00:00" u="1"/>
        <d v="2019-06-11T00:00:00" u="1"/>
        <d v="2019-06-12T00:00:00" u="1"/>
        <d v="2019-06-13T00:00:00" u="1"/>
        <d v="2019-06-14T00:00:00" u="1"/>
        <d v="2019-06-15T00:00:00" u="1"/>
        <d v="2019-06-16T00:00:00" u="1"/>
        <d v="2019-06-17T00:00:00" u="1"/>
        <d v="2019-06-18T00:00:00" u="1"/>
        <d v="2019-06-19T00:00:00" u="1"/>
        <d v="2019-06-20T00:00:00" u="1"/>
        <d v="2019-06-21T00:00:00" u="1"/>
        <d v="2019-06-22T00:00:00" u="1"/>
        <d v="2019-06-24T00:00:00" u="1"/>
        <d v="2019-06-25T00:00:00" u="1"/>
        <d v="2019-06-26T00:00:00" u="1"/>
        <d v="2019-06-23T00:00:00" u="1"/>
        <d v="2019-06-27T00:00:00" u="1"/>
        <d v="2019-06-28T00:00:00" u="1"/>
        <d v="2019-06-29T00:00:00" u="1"/>
        <d v="2019-06-30T00:00:00" u="1"/>
        <d v="2019-07-01T00:00:00" u="1"/>
        <d v="2019-07-03T00:00:00" u="1"/>
        <d v="2019-07-04T00:00:00" u="1"/>
        <d v="2019-07-05T00:00:00" u="1"/>
        <d v="2019-07-06T00:00:00" u="1"/>
        <d v="2019-07-07T00:00:00" u="1"/>
        <d v="2019-07-08T00:00:00" u="1"/>
        <d v="2019-07-09T00:00:00" u="1"/>
        <d v="2019-07-02T00:00:00" u="1"/>
        <d v="2019-07-10T00:00:00" u="1"/>
        <d v="2019-07-11T00:00:00" u="1"/>
        <d v="2019-07-12T00:00:00" u="1"/>
        <d v="2019-07-13T00:00:00" u="1"/>
        <d v="2019-07-14T00:00:00" u="1"/>
        <d v="2019-07-15T00:00:00" u="1"/>
        <d v="2019-07-16T00:00:00" u="1"/>
        <d v="2019-07-17T00:00:00" u="1"/>
        <d v="2019-07-18T00:00:00" u="1"/>
        <d v="2019-07-19T00:00:00" u="1"/>
        <d v="2019-07-20T00:00:00" u="1"/>
        <d v="2019-07-21T00:00:00" u="1"/>
        <d v="2019-07-22T00:00:00" u="1"/>
        <d v="2019-07-23T00:00:00" u="1"/>
        <d v="2019-07-24T00:00:00" u="1"/>
        <d v="2019-07-25T00:00:00" u="1"/>
        <d v="2019-07-26T00:00:00" u="1"/>
        <d v="2019-07-27T00:00:00" u="1"/>
        <d v="2019-07-28T00:00:00" u="1"/>
        <d v="2019-07-29T00:00:00" u="1"/>
        <d v="2019-07-30T00:00:00" u="1"/>
        <d v="2019-07-31T00:00:00" u="1"/>
        <d v="2019-08-01T00:00:00" u="1"/>
        <d v="2019-08-02T00:00:00" u="1"/>
        <d v="2019-08-03T00:00:00" u="1"/>
        <d v="2019-08-04T00:00:00" u="1"/>
        <d v="2019-08-05T00:00:00" u="1"/>
        <d v="2019-08-06T00:00:00" u="1"/>
        <d v="2019-08-07T00:00:00" u="1"/>
        <d v="2019-08-08T00:00:00" u="1"/>
        <d v="2019-08-09T00:00:00" u="1"/>
        <d v="2019-08-10T00:00:00" u="1"/>
        <d v="2019-08-11T00:00:00" u="1"/>
        <d v="2019-08-12T00:00:00" u="1"/>
        <d v="2019-08-13T00:00:00" u="1"/>
        <d v="2019-08-14T00:00:00" u="1"/>
        <d v="2019-08-15T00:00:00" u="1"/>
        <d v="2019-08-16T00:00:00" u="1"/>
        <d v="2019-08-17T00:00:00" u="1"/>
        <d v="2019-08-18T00:00:00" u="1"/>
        <d v="2019-08-19T00:00:00" u="1"/>
        <d v="2019-08-20T00:00:00" u="1"/>
        <d v="2019-08-21T00:00:00" u="1"/>
        <d v="2019-08-22T00:00:00" u="1"/>
        <d v="2019-08-23T00:00:00" u="1"/>
        <d v="2019-08-24T00:00:00" u="1"/>
        <d v="2019-08-25T00:00:00" u="1"/>
        <d v="2019-08-26T00:00:00" u="1"/>
        <d v="2019-08-27T00:00:00" u="1"/>
        <d v="2019-08-28T00:00:00" u="1"/>
        <d v="2019-08-29T00:00:00" u="1"/>
        <d v="2019-08-30T00:00:00" u="1"/>
        <d v="2019-08-31T00:00:00" u="1"/>
        <d v="2019-09-01T00:00:00" u="1"/>
        <d v="2019-09-02T00:00:00" u="1"/>
        <d v="2019-09-03T00:00:00" u="1"/>
        <d v="2019-09-04T00:00:00" u="1"/>
        <d v="2019-09-05T00:00:00" u="1"/>
        <d v="2019-09-06T00:00:00" u="1"/>
        <d v="2019-09-07T00:00:00" u="1"/>
        <d v="2019-09-08T00:00:00" u="1"/>
        <d v="2019-09-09T00:00:00" u="1"/>
        <d v="2019-09-10T00:00:00" u="1"/>
        <d v="2019-09-11T00:00:00" u="1"/>
        <d v="2019-09-12T00:00:00" u="1"/>
        <d v="2019-09-13T00:00:00" u="1"/>
        <d v="2019-09-14T00:00:00" u="1"/>
        <d v="2019-09-15T00:00:00" u="1"/>
        <d v="2019-09-16T00:00:00" u="1"/>
        <d v="2019-09-17T00:00:00" u="1"/>
        <d v="2019-09-18T00:00:00" u="1"/>
        <d v="2019-09-19T00:00:00" u="1"/>
        <d v="2019-09-20T00:00:00" u="1"/>
        <d v="2019-09-21T00:00:00" u="1"/>
        <d v="2019-09-22T00:00:00" u="1"/>
        <d v="2019-09-23T00:00:00" u="1"/>
        <d v="2019-09-24T00:00:00" u="1"/>
        <d v="2019-09-25T00:00:00" u="1"/>
        <d v="2019-09-26T00:00:00" u="1"/>
        <d v="2019-09-27T00:00:00" u="1"/>
        <d v="2019-09-28T00:00:00" u="1"/>
        <d v="2019-09-29T00:00:00" u="1"/>
        <d v="2019-09-30T00:00:00" u="1"/>
        <d v="2019-10-01T00:00:00" u="1"/>
        <d v="2019-10-02T00:00:00" u="1"/>
        <d v="2019-10-03T00:00:00" u="1"/>
        <d v="2019-10-04T00:00:00" u="1"/>
        <d v="2019-10-05T00:00:00" u="1"/>
        <d v="2019-10-06T00:00:00" u="1"/>
        <d v="2019-10-07T00:00:00" u="1"/>
        <d v="2019-10-08T00:00:00" u="1"/>
        <d v="2019-10-09T00:00:00" u="1"/>
        <d v="2019-10-10T00:00:00" u="1"/>
        <d v="2019-10-11T00:00:00" u="1"/>
        <d v="2019-10-12T00:00:00" u="1"/>
        <d v="2019-10-13T00:00:00" u="1"/>
        <d v="2019-10-14T00:00:00" u="1"/>
        <d v="2019-10-15T00:00:00" u="1"/>
        <d v="2019-10-16T00:00:00" u="1"/>
        <d v="2019-10-17T00:00:00" u="1"/>
        <d v="2019-10-18T00:00:00" u="1"/>
        <d v="2019-10-19T00:00:00" u="1"/>
        <d v="2019-10-20T00:00:00" u="1"/>
        <d v="2019-10-21T00:00:00" u="1"/>
        <d v="2019-10-22T00:00:00" u="1"/>
        <d v="2019-10-23T00:00:00" u="1"/>
        <d v="2019-10-24T00:00:00" u="1"/>
        <d v="2019-10-25T00:00:00" u="1"/>
        <d v="2019-10-26T00:00:00" u="1"/>
        <d v="2019-10-27T00:00:00" u="1"/>
        <d v="2019-10-28T00:00:00" u="1"/>
        <d v="2019-10-29T00:00:00" u="1"/>
        <d v="2019-10-30T00:00:00" u="1"/>
        <d v="2019-10-31T00:00:00" u="1"/>
        <d v="2019-11-01T00:00:00" u="1"/>
        <d v="2019-11-02T00:00:00" u="1"/>
        <d v="2019-11-03T00:00:00" u="1"/>
        <d v="2019-11-04T00:00:00" u="1"/>
        <d v="2019-11-05T00:00:00" u="1"/>
        <d v="2019-11-06T00:00:00" u="1"/>
        <d v="2019-11-07T00:00:00" u="1"/>
        <d v="2019-11-08T00:00:00" u="1"/>
        <d v="2019-11-09T00:00:00" u="1"/>
        <d v="2019-11-10T00:00:00" u="1"/>
        <d v="2019-11-11T00:00:00" u="1"/>
        <d v="2019-11-12T00:00:00" u="1"/>
        <d v="2019-11-13T00:00:00" u="1"/>
        <d v="2019-11-14T00:00:00" u="1"/>
        <d v="2019-11-15T00:00:00" u="1"/>
        <d v="2019-11-16T00:00:00" u="1"/>
        <d v="2019-11-17T00:00:00" u="1"/>
        <d v="2019-11-18T00:00:00" u="1"/>
        <d v="2019-11-19T00:00:00" u="1"/>
        <d v="2019-11-20T00:00:00" u="1"/>
        <d v="2019-11-21T00:00:00" u="1"/>
        <d v="2019-11-22T00:00:00" u="1"/>
        <d v="2019-11-23T00:00:00" u="1"/>
        <d v="2019-11-24T00:00:00" u="1"/>
        <d v="2019-11-27T00:00:00" u="1"/>
        <d v="2019-11-29T00:00:00" u="1"/>
        <d v="2019-11-30T00:00:00" u="1"/>
        <d v="2019-12-01T00:00:00" u="1"/>
        <d v="2019-12-02T00:00:00" u="1"/>
        <d v="2019-12-03T00:00:00" u="1"/>
        <d v="2019-12-04T00:00:00" u="1"/>
        <d v="2019-12-05T00:00:00" u="1"/>
        <d v="2019-12-06T00:00:00" u="1"/>
        <d v="2019-12-07T00:00:00" u="1"/>
        <d v="2019-12-08T00:00:00" u="1"/>
        <d v="2019-12-09T00:00:00" u="1"/>
        <d v="2019-12-10T00:00:00" u="1"/>
        <d v="2019-12-11T00:00:00" u="1"/>
        <d v="2019-12-12T00:00:00" u="1"/>
        <d v="2019-12-13T00:00:00" u="1"/>
        <d v="2019-12-14T00:00:00" u="1"/>
        <d v="2019-12-15T00:00:00" u="1"/>
        <d v="2019-12-16T00:00:00" u="1"/>
        <d v="2019-12-17T00:00:00" u="1"/>
        <d v="2019-12-18T00:00:00" u="1"/>
        <d v="2019-12-19T00:00:00" u="1"/>
        <d v="2019-12-20T00:00:00" u="1"/>
        <d v="2019-12-21T00:00:00" u="1"/>
        <d v="2019-12-22T00:00:00" u="1"/>
        <d v="2019-12-23T00:00:00" u="1"/>
        <d v="2019-12-24T00:00:00" u="1"/>
        <d v="2019-12-25T00:00:00" u="1"/>
        <d v="2019-12-26T00:00:00" u="1"/>
        <d v="2019-12-27T00:00:00" u="1"/>
        <d v="2019-12-28T00:00:00" u="1"/>
        <d v="2019-12-29T00:00:00" u="1"/>
        <d v="2019-12-30T00:00:00" u="1"/>
        <d v="2019-12-31T00:00:00" u="1"/>
        <d v="2020-01-01T00:00:00" u="1"/>
        <d v="2020-01-02T00:00:00" u="1"/>
        <d v="2020-01-03T00:00:00" u="1"/>
        <d v="2020-01-04T00:00:00" u="1"/>
        <d v="2020-01-05T00:00:00" u="1"/>
        <d v="2020-01-07T00:00:00" u="1"/>
        <d v="2020-01-08T00:00:00" u="1"/>
        <d v="2020-01-09T00:00:00" u="1"/>
        <d v="2020-01-10T00:00:00" u="1"/>
        <d v="2020-01-11T00:00:00" u="1"/>
        <d v="2020-01-13T00:00:00" u="1"/>
        <d v="2020-01-14T00:00:00" u="1"/>
        <d v="2020-01-15T00:00:00" u="1"/>
        <d v="2020-01-16T00:00:00" u="1"/>
        <d v="2020-01-17T00:00:00" u="1"/>
        <d v="2020-01-18T00:00:00" u="1"/>
        <d v="2020-01-20T00:00:00" u="1"/>
        <d v="2020-01-21T00:00:00" u="1"/>
        <d v="2020-01-22T00:00:00" u="1"/>
        <d v="2020-01-23T00:00:00" u="1"/>
        <d v="2020-01-24T00:00:00" u="1"/>
        <d v="2020-01-25T00:00:00" u="1"/>
        <d v="2020-01-26T00:00:00" u="1"/>
        <d v="2020-01-28T00:00:00" u="1"/>
        <d v="2020-01-29T00:00:00" u="1"/>
        <d v="2020-01-30T00:00:00" u="1"/>
        <d v="2020-01-31T00:00:00" u="1"/>
        <d v="2020-02-01T00:00:00" u="1"/>
        <d v="2020-02-02T00:00:00" u="1"/>
        <d v="2020-02-04T00:00:00" u="1"/>
        <d v="2020-02-05T00:00:00" u="1"/>
        <d v="2020-02-06T00:00:00" u="1"/>
        <d v="2020-02-07T00:00:00" u="1"/>
        <d v="2020-02-08T00:00:00" u="1"/>
        <d v="2020-02-09T00:00:00" u="1"/>
        <d v="2020-02-11T00:00:00" u="1"/>
        <d v="2020-02-12T00:00:00" u="1"/>
        <d v="2020-02-13T00:00:00" u="1"/>
        <d v="2020-02-14T00:00:00" u="1"/>
        <d v="2020-02-15T00:00:00" u="1"/>
        <d v="2020-02-16T00:00:00" u="1"/>
        <d v="2020-02-17T00:00:00" u="1"/>
        <d v="2020-02-18T00:00:00" u="1"/>
        <d v="2020-02-19T00:00:00" u="1"/>
        <d v="2020-02-20T00:00:00" u="1"/>
        <d v="2020-02-21T00:00:00" u="1"/>
        <d v="2020-02-22T00:00:00" u="1"/>
        <d v="2020-02-23T00:00:00" u="1"/>
        <d v="2020-02-24T00:00:00" u="1"/>
        <d v="2020-02-25T00:00:00" u="1"/>
        <d v="2020-02-26T00:00:00" u="1"/>
        <d v="2020-02-27T00:00:00" u="1"/>
        <d v="2020-02-29T00:00:00" u="1"/>
        <d v="2020-03-01T00:00:00" u="1"/>
        <d v="2020-03-03T00:00:00" u="1"/>
        <d v="2020-03-04T00:00:00" u="1"/>
        <d v="2020-03-05T00:00:00" u="1"/>
        <d v="2020-03-06T00:00:00" u="1"/>
        <d v="2020-03-07T00:00:00" u="1"/>
        <d v="2020-03-08T00:00:00" u="1"/>
        <d v="2020-03-09T00:00:00" u="1"/>
        <d v="2020-03-10T00:00:00" u="1"/>
        <d v="2020-03-11T00:00:00" u="1"/>
        <d v="2020-03-12T00:00:00" u="1"/>
        <d v="2020-03-13T00:00:00" u="1"/>
        <d v="2020-03-14T00:00:00" u="1"/>
        <d v="2020-03-15T00:00:00" u="1"/>
        <d v="2020-03-18T00:00:00" u="1"/>
        <d v="2020-03-17T00:00:00" u="1"/>
        <d v="2020-03-19T00:00:00" u="1"/>
        <d v="2021-02-17T00:00:00" u="1"/>
        <d v="2021-11-14T00:00:00" u="1"/>
        <d v="2021-12-23T00:00:00" u="1"/>
        <d v="2021-12-27T00:00:00" u="1"/>
        <d v="2021-12-28T00:00:00" u="1"/>
        <d v="2021-12-30T00:00:00" u="1"/>
        <d v="2021-12-31T00:00:00" u="1"/>
        <d v="2022-02-14T00:00:00" u="1"/>
        <d v="2021-02-03T00:00:00" u="1"/>
        <d v="2021-02-04T00:00:00" u="1"/>
        <d v="2021-02-05T00:00:00" u="1"/>
        <d v="2021-02-09T00:00:00" u="1"/>
        <d v="2021-02-10T00:00:00" u="1"/>
        <d v="2021-02-11T00:00:00" u="1"/>
        <d v="2021-02-12T00:00:00" u="1"/>
        <d v="2021-02-13T00:00:00" u="1"/>
        <d v="2021-02-14T00:00:00" u="1"/>
        <d v="2021-02-15T00:00:00" u="1"/>
        <d v="2021-02-16T00:00:00" u="1"/>
        <d v="2021-02-18T00:00:00" u="1"/>
        <d v="2021-02-19T00:00:00" u="1"/>
        <d v="2021-02-20T00:00:00" u="1"/>
        <d v="2021-02-21T00:00:00" u="1"/>
        <d v="2021-02-22T00:00:00" u="1"/>
        <d v="2021-02-23T00:00:00" u="1"/>
        <d v="2021-02-24T00:00:00" u="1"/>
        <d v="2021-02-25T00:00:00" u="1"/>
        <d v="2021-02-26T00:00:00" u="1"/>
        <d v="2021-07-28T00:00:00" u="1"/>
        <d v="2021-07-29T00:00:00" u="1"/>
        <d v="2021-07-30T00:00:00" u="1"/>
        <d v="2021-07-31T00:00:00" u="1"/>
        <d v="2021-08-01T00:00:00" u="1"/>
        <d v="2021-08-02T00:00:00" u="1"/>
        <d v="2021-08-03T00:00:00" u="1"/>
        <d v="2021-08-04T00:00:00" u="1"/>
        <d v="2021-08-05T00:00:00" u="1"/>
        <d v="2021-08-06T00:00:00" u="1"/>
        <d v="2021-08-07T00:00:00" u="1"/>
        <d v="2021-08-08T00:00:00" u="1"/>
        <d v="2021-08-09T00:00:00" u="1"/>
        <d v="2021-08-10T00:00:00" u="1"/>
        <d v="2021-08-11T00:00:00" u="1"/>
        <d v="2021-08-12T00:00:00" u="1"/>
        <d v="2021-08-13T00:00:00" u="1"/>
        <d v="2021-08-14T00:00:00" u="1"/>
        <d v="2021-08-15T00:00:00" u="1"/>
        <d v="2021-08-16T00:00:00" u="1"/>
        <d v="2021-08-17T00:00:00" u="1"/>
        <d v="2021-08-19T00:00:00" u="1"/>
        <d v="2021-08-20T00:00:00" u="1"/>
        <d v="2021-08-21T00:00:00" u="1"/>
        <d v="2021-08-22T00:00:00" u="1"/>
        <d v="2021-08-23T00:00:00" u="1"/>
        <d v="2021-08-24T00:00:00" u="1"/>
        <d v="2021-08-25T00:00:00" u="1"/>
        <d v="2021-08-26T00:00:00" u="1"/>
        <d v="2021-08-27T00:00:00" u="1"/>
        <d v="2021-08-28T00:00:00" u="1"/>
        <d v="2021-08-29T00:00:00" u="1"/>
        <d v="2021-08-30T00:00:00" u="1"/>
        <d v="2021-08-31T00:00:00" u="1"/>
        <d v="2021-09-01T00:00:00" u="1"/>
        <d v="2021-09-02T00:00:00" u="1"/>
        <d v="2021-09-03T00:00:00" u="1"/>
        <d v="2021-09-04T00:00:00" u="1"/>
        <d v="2021-09-05T00:00:00" u="1"/>
        <d v="2021-09-06T00:00:00" u="1"/>
        <d v="2021-09-07T00:00:00" u="1"/>
        <d v="2021-09-08T00:00:00" u="1"/>
        <d v="2021-09-09T00:00:00" u="1"/>
        <d v="2021-09-10T00:00:00" u="1"/>
        <d v="2021-09-11T00:00:00" u="1"/>
        <d v="2021-09-12T00:00:00" u="1"/>
        <d v="2021-09-13T00:00:00" u="1"/>
        <d v="2021-09-14T00:00:00" u="1"/>
        <d v="2021-09-15T00:00:00" u="1"/>
        <d v="2021-09-16T00:00:00" u="1"/>
        <d v="2021-09-17T00:00:00" u="1"/>
        <d v="2021-09-18T00:00:00" u="1"/>
        <d v="2021-09-19T00:00:00" u="1"/>
        <d v="2021-09-20T00:00:00" u="1"/>
        <d v="2021-09-21T00:00:00" u="1"/>
        <d v="2021-09-22T00:00:00" u="1"/>
        <d v="2021-09-23T00:00:00" u="1"/>
        <d v="2021-09-24T00:00:00" u="1"/>
        <d v="2021-09-25T00:00:00" u="1"/>
        <d v="2021-09-26T00:00:00" u="1"/>
        <d v="2021-09-27T00:00:00" u="1"/>
        <d v="2021-09-28T00:00:00" u="1"/>
        <d v="2021-09-29T00:00:00" u="1"/>
        <d v="2021-10-01T00:00:00" u="1"/>
        <d v="2021-10-02T00:00:00" u="1"/>
        <d v="2021-10-03T00:00:00" u="1"/>
        <d v="2021-10-04T00:00:00" u="1"/>
        <d v="2021-10-05T00:00:00" u="1"/>
        <d v="2021-10-06T00:00:00" u="1"/>
        <d v="2021-10-07T00:00:00" u="1"/>
        <d v="2021-10-08T00:00:00" u="1"/>
        <d v="2021-10-09T00:00:00" u="1"/>
        <d v="2021-10-10T00:00:00" u="1"/>
        <d v="2021-10-12T00:00:00" u="1"/>
        <d v="2021-10-13T00:00:00" u="1"/>
        <d v="2021-10-14T00:00:00" u="1"/>
        <d v="2021-10-15T00:00:00" u="1"/>
        <d v="2021-10-16T00:00:00" u="1"/>
        <d v="2021-10-17T00:00:00" u="1"/>
        <d v="2021-10-18T00:00:00" u="1"/>
        <d v="2021-10-19T00:00:00" u="1"/>
        <d v="2021-10-20T00:00:00" u="1"/>
        <d v="2021-10-21T00:00:00" u="1"/>
        <d v="2021-10-23T00:00:00" u="1"/>
        <d v="2021-10-24T00:00:00" u="1"/>
        <d v="2021-10-25T00:00:00" u="1"/>
        <d v="2021-10-26T00:00:00" u="1"/>
        <d v="2021-10-27T00:00:00" u="1"/>
        <d v="2021-10-28T00:00:00" u="1"/>
        <d v="2021-10-29T00:00:00" u="1"/>
        <d v="2021-10-30T00:00:00" u="1"/>
        <d v="2021-10-31T00:00:00" u="1"/>
        <d v="2021-11-01T00:00:00" u="1"/>
        <d v="2021-11-02T00:00:00" u="1"/>
        <d v="2021-11-03T00:00:00" u="1"/>
        <d v="2021-11-04T00:00:00" u="1"/>
        <d v="2021-11-06T00:00:00" u="1"/>
        <d v="2021-11-07T00:00:00" u="1"/>
        <d v="2021-11-08T00:00:00" u="1"/>
        <d v="2021-11-09T00:00:00" u="1"/>
        <d v="2021-11-10T00:00:00" u="1"/>
        <d v="2021-11-11T00:00:00" u="1"/>
        <d v="2021-11-12T00:00:00" u="1"/>
        <d v="2021-11-13T00:00:00" u="1"/>
        <d v="2021-11-15T00:00:00" u="1"/>
        <d v="2021-11-16T00:00:00" u="1"/>
        <d v="2021-11-17T00:00:00" u="1"/>
        <d v="2021-11-18T00:00:00" u="1"/>
        <d v="2021-11-19T00:00:00" u="1"/>
        <d v="2021-11-20T00:00:00" u="1"/>
        <d v="2021-11-21T00:00:00" u="1"/>
        <d v="2021-11-22T00:00:00" u="1"/>
        <d v="2021-11-23T00:00:00" u="1"/>
        <d v="2021-11-24T00:00:00" u="1"/>
        <d v="2021-11-25T00:00:00" u="1"/>
        <d v="2021-11-26T00:00:00" u="1"/>
        <d v="2021-11-27T00:00:00" u="1"/>
        <d v="2021-11-28T00:00:00" u="1"/>
        <d v="2021-11-29T00:00:00" u="1"/>
        <d v="2021-11-30T00:00:00" u="1"/>
        <d v="2021-12-01T00:00:00" u="1"/>
        <d v="2021-12-02T00:00:00" u="1"/>
        <d v="2021-12-03T00:00:00" u="1"/>
        <d v="2021-12-04T00:00:00" u="1"/>
        <d v="2021-12-05T00:00:00" u="1"/>
        <d v="2021-12-06T00:00:00" u="1"/>
        <d v="2021-12-07T00:00:00" u="1"/>
        <d v="2021-12-08T00:00:00" u="1"/>
        <d v="2021-12-09T00:00:00" u="1"/>
        <d v="2021-12-10T00:00:00" u="1"/>
        <d v="2021-12-11T00:00:00" u="1"/>
        <d v="2021-12-12T00:00:00" u="1"/>
        <d v="2021-12-13T00:00:00" u="1"/>
        <d v="2021-12-14T00:00:00" u="1"/>
        <d v="2021-12-15T00:00:00" u="1"/>
        <d v="2021-12-22T00:00:00" u="1"/>
        <d v="2021-12-24T00:00:00" u="1"/>
        <d v="2021-12-25T00:00:00" u="1"/>
        <d v="2021-12-26T00:00:00" u="1"/>
        <d v="2021-12-29T00:00:00" u="1"/>
        <d v="2022-01-01T00:00:00" u="1"/>
        <d v="2022-01-02T00:00:00" u="1"/>
        <d v="2022-01-03T00:00:00" u="1"/>
        <d v="2022-01-04T00:00:00" u="1"/>
        <d v="2022-01-05T00:00:00" u="1"/>
        <d v="2022-01-06T00:00:00" u="1"/>
        <d v="2022-01-07T00:00:00" u="1"/>
        <d v="2022-01-08T00:00:00" u="1"/>
        <d v="2022-01-09T00:00:00" u="1"/>
        <d v="2022-01-10T00:00:00" u="1"/>
        <d v="2022-01-11T00:00:00" u="1"/>
        <d v="2022-01-12T00:00:00" u="1"/>
        <d v="2022-01-13T00:00:00" u="1"/>
        <d v="2022-01-14T00:00:00" u="1"/>
        <d v="2022-01-15T00:00:00" u="1"/>
        <d v="2022-01-16T00:00:00" u="1"/>
        <d v="2022-01-17T00:00:00" u="1"/>
        <d v="2022-01-18T00:00:00" u="1"/>
        <d v="2022-01-19T00:00:00" u="1"/>
        <d v="2022-01-20T00:00:00" u="1"/>
        <d v="2022-01-23T00:00:00" u="1"/>
        <d v="2022-01-24T00:00:00" u="1"/>
        <d v="2022-01-25T00:00:00" u="1"/>
        <d v="2022-01-26T00:00:00" u="1"/>
        <d v="2022-01-27T00:00:00" u="1"/>
        <d v="2022-01-30T00:00:00" u="1"/>
        <d v="2022-01-31T00:00:00" u="1"/>
        <d v="2022-02-01T00:00:00" u="1"/>
        <d v="2022-02-02T00:00:00" u="1"/>
        <d v="2022-02-03T00:00:00" u="1"/>
        <d v="2022-02-04T00:00:00" u="1"/>
        <d v="2022-02-05T00:00:00" u="1"/>
        <d v="2022-02-06T00:00:00" u="1"/>
        <d v="2022-02-08T00:00:00" u="1"/>
        <d v="2022-02-09T00:00:00" u="1"/>
        <d v="2022-02-10T00:00:00" u="1"/>
        <d v="2022-02-11T00:00:00" u="1"/>
        <d v="2022-02-12T00:00:00" u="1"/>
        <d v="2022-02-13T00:00:00" u="1"/>
        <d v="2022-02-15T00:00:00" u="1"/>
        <d v="2022-02-16T00:00:00" u="1"/>
        <d v="2022-02-17T00:00:00" u="1"/>
        <d v="2022-02-18T00:00:00" u="1"/>
        <d v="2022-02-19T00:00:00" u="1"/>
        <d v="2022-02-20T00:00:00" u="1"/>
        <d v="2022-02-21T00:00:00" u="1"/>
        <d v="2022-02-22T00:00:00" u="1"/>
        <d v="2022-02-23T00:00:00" u="1"/>
        <d v="2022-02-24T00:00:00" u="1"/>
        <d v="2022-02-25T00:00:00" u="1"/>
        <d v="2022-02-26T00:00:00" u="1"/>
        <d v="2022-02-27T00:00:00" u="1"/>
        <d v="2022-02-28T00:00:00" u="1"/>
        <d v="2022-03-01T00:00:00" u="1"/>
        <d v="2022-03-02T00:00:00" u="1"/>
        <d v="2022-03-03T00:00:00" u="1"/>
        <d v="2022-03-04T00:00:00" u="1"/>
        <d v="2022-03-05T00:00:00" u="1"/>
        <d v="2022-03-06T00:00:00" u="1"/>
        <d v="2022-03-07T00:00:00" u="1"/>
        <d v="2022-03-08T00:00:00" u="1"/>
        <d v="2022-03-09T00:00:00" u="1"/>
        <d v="2022-03-10T00:00:00" u="1"/>
        <d v="2022-03-11T00:00:00" u="1"/>
        <d v="2022-03-12T00:00:00" u="1"/>
        <d v="2022-03-13T00:00:00" u="1"/>
        <d v="2022-03-14T00:00:00" u="1"/>
        <d v="2022-03-15T00:00:00" u="1"/>
        <d v="2022-03-16T00:00:00" u="1"/>
        <d v="2022-03-17T00:00:00" u="1"/>
        <d v="2022-03-18T00:00:00" u="1"/>
        <d v="2022-03-19T00:00:00" u="1"/>
        <d v="2022-03-20T00:00:00" u="1"/>
        <d v="2022-03-21T00:00:00" u="1"/>
        <d v="2022-03-22T00:00:00" u="1"/>
        <d v="2022-03-23T00:00:00" u="1"/>
        <d v="2022-03-24T00:00:00" u="1"/>
        <d v="2022-03-25T00:00:00" u="1"/>
        <d v="2022-03-26T00:00:00" u="1"/>
        <d v="2022-03-27T00:00:00" u="1"/>
        <d v="2022-03-28T00:00:00" u="1"/>
        <d v="2022-03-29T00:00:00" u="1"/>
        <d v="2022-03-30T00:00:00" u="1"/>
        <d v="2022-03-31T00:00:00" u="1"/>
        <d v="2022-04-01T00:00:00" u="1"/>
        <d v="2022-04-02T00:00:00" u="1"/>
        <d v="2022-04-03T00:00:00" u="1"/>
        <d v="2022-04-04T00:00:00" u="1"/>
        <d v="2022-04-05T00:00:00" u="1"/>
        <d v="2022-04-06T00:00:00" u="1"/>
        <d v="2022-04-07T00:00:00" u="1"/>
        <d v="2022-04-08T00:00:00" u="1"/>
        <d v="2022-04-09T00:00:00" u="1"/>
        <d v="2022-04-10T00:00:00" u="1"/>
        <d v="2022-04-11T00:00:00" u="1"/>
        <d v="2022-04-12T00:00:00" u="1"/>
        <d v="2022-04-13T00:00:00" u="1"/>
        <d v="2022-04-14T00:00:00" u="1"/>
        <d v="2022-04-15T00:00:00" u="1"/>
        <d v="2022-04-16T00:00:00" u="1"/>
        <d v="2022-04-18T00:00:00" u="1"/>
        <d v="2022-04-19T00:00:00" u="1"/>
        <d v="2022-04-20T00:00:00" u="1"/>
        <d v="2022-04-21T00:00:00" u="1"/>
        <d v="2022-04-22T00:00:00" u="1"/>
        <d v="2022-04-23T00:00:00" u="1"/>
        <d v="2022-04-24T00:00:00" u="1"/>
        <d v="2022-04-25T00:00:00" u="1"/>
        <d v="2022-04-26T00:00:00" u="1"/>
        <d v="2022-04-27T00:00:00" u="1"/>
        <d v="2022-04-28T00:00:00" u="1"/>
        <d v="2022-04-29T00:00:00" u="1"/>
        <d v="2022-04-30T00:00:00" u="1"/>
        <d v="2022-05-01T00:00:00" u="1"/>
        <d v="2022-05-02T00:00:00" u="1"/>
        <d v="2022-05-03T00:00:00" u="1"/>
        <d v="2022-05-04T00:00:00" u="1"/>
        <d v="2022-05-05T00:00:00" u="1"/>
        <d v="2022-05-06T00:00:00" u="1"/>
        <d v="2022-05-07T00:00:00" u="1"/>
        <d v="2022-05-08T00:00:00" u="1"/>
        <d v="2022-05-09T00:00:00" u="1"/>
        <d v="2022-05-10T00:00:00" u="1"/>
        <d v="2022-05-11T00:00:00" u="1"/>
        <d v="2022-05-12T00:00:00" u="1"/>
        <d v="2022-05-13T00:00:00" u="1"/>
        <d v="2022-05-14T00:00:00" u="1"/>
        <d v="2022-05-15T00:00:00" u="1"/>
        <d v="2022-05-16T00:00:00" u="1"/>
        <d v="2022-05-17T00:00:00" u="1"/>
        <d v="2022-05-18T00:00:00" u="1"/>
        <d v="2022-05-19T00:00:00" u="1"/>
        <d v="2022-05-20T00:00:00" u="1"/>
        <d v="2022-05-21T00:00:00" u="1"/>
        <d v="2022-05-22T00:00:00" u="1"/>
        <d v="2022-05-23T00:00:00" u="1"/>
        <d v="2022-05-24T00:00:00" u="1"/>
        <d v="2022-05-26T00:00:00" u="1"/>
        <d v="2022-05-27T00:00:00" u="1"/>
        <d v="2022-05-28T00:00:00" u="1"/>
        <d v="2022-05-29T00:00:00" u="1"/>
        <d v="2022-05-30T00:00:00" u="1"/>
        <d v="2022-05-31T00:00:00" u="1"/>
        <d v="2022-06-01T00:00:00" u="1"/>
        <d v="2022-06-02T00:00:00" u="1"/>
        <d v="2022-06-03T00:00:00" u="1"/>
        <d v="2022-06-04T00:00:00" u="1"/>
        <d v="2022-06-05T00:00:00" u="1"/>
        <d v="2022-06-06T00:00:00" u="1"/>
        <d v="2022-06-07T00:00:00" u="1"/>
        <d v="2022-06-08T00:00:00" u="1"/>
        <d v="2022-06-09T00:00:00" u="1"/>
        <d v="2022-06-10T00:00:00" u="1"/>
        <d v="2022-06-11T00:00:00" u="1"/>
        <d v="2022-06-12T00:00:00" u="1"/>
        <d v="2022-06-13T00:00:00" u="1"/>
        <d v="2022-06-14T00:00:00" u="1"/>
        <d v="2022-06-15T00:00:00" u="1"/>
        <d v="2022-06-16T00:00:00" u="1"/>
        <d v="2022-06-17T00:00:00" u="1"/>
        <d v="2022-06-18T00:00:00" u="1"/>
        <d v="2022-06-19T00:00:00" u="1"/>
        <d v="2022-06-20T00:00:00" u="1"/>
        <d v="2022-06-21T00:00:00" u="1"/>
        <d v="2022-06-22T00:00:00" u="1"/>
        <d v="2022-06-23T00:00:00" u="1"/>
        <d v="2022-06-24T00:00:00" u="1"/>
        <d v="2022-06-25T00:00:00" u="1"/>
        <d v="2022-06-26T00:00:00" u="1"/>
        <d v="2022-06-27T00:00:00" u="1"/>
        <d v="2022-06-29T00:00:00" u="1"/>
        <d v="2022-06-30T00:00:00" u="1"/>
        <d v="2022-07-01T00:00:00" u="1"/>
        <d v="2022-07-02T00:00:00" u="1"/>
        <d v="2022-07-04T00:00:00" u="1"/>
        <d v="2022-07-05T00:00:00" u="1"/>
        <d v="2022-07-06T00:00:00" u="1"/>
        <d v="2022-07-07T00:00:00" u="1"/>
        <d v="2022-07-08T00:00:00" u="1"/>
        <d v="2022-07-09T00:00:00" u="1"/>
        <d v="2022-07-10T00:00:00" u="1"/>
        <d v="2022-07-11T00:00:00" u="1"/>
        <d v="2022-07-12T00:00:00" u="1"/>
        <d v="2022-07-13T00:00:00" u="1"/>
        <d v="2022-07-14T00:00:00" u="1"/>
        <d v="2022-07-15T00:00:00" u="1"/>
        <d v="2022-07-16T00:00:00" u="1"/>
        <d v="2022-07-17T00:00:00" u="1"/>
        <d v="2022-07-18T00:00:00" u="1"/>
        <d v="2022-07-19T00:00:00" u="1"/>
        <d v="2022-07-20T00:00:00" u="1"/>
        <d v="2022-07-21T00:00:00" u="1"/>
        <d v="2022-07-22T00:00:00" u="1"/>
        <d v="2022-07-23T00:00:00" u="1"/>
        <d v="2022-07-24T00:00:00" u="1"/>
        <d v="2022-07-25T00:00:00" u="1"/>
        <d v="2022-07-26T00:00:00" u="1"/>
        <d v="2022-07-27T00:00:00" u="1"/>
        <d v="2022-07-28T00:00:00" u="1"/>
        <d v="2022-07-29T00:00:00" u="1"/>
        <d v="2022-07-30T00:00:00" u="1"/>
        <d v="2022-07-31T00:00:00" u="1"/>
        <d v="2022-08-02T00:00:00" u="1"/>
        <d v="2022-08-03T00:00:00" u="1"/>
        <d v="2022-08-04T00:00:00" u="1"/>
        <d v="2022-08-05T00:00:00" u="1"/>
        <d v="2022-08-06T00:00:00" u="1"/>
        <d v="2022-08-07T00:00:00" u="1"/>
        <d v="2022-08-08T00:00:00" u="1"/>
        <d v="2022-08-09T00:00:00" u="1"/>
        <d v="2022-08-10T00:00:00" u="1"/>
        <d v="2022-08-11T00:00:00" u="1"/>
        <d v="2022-08-12T00:00:00" u="1"/>
        <d v="2022-08-13T00:00:00" u="1"/>
        <d v="2022-08-14T00:00:00" u="1"/>
        <d v="2022-08-15T00:00:00" u="1"/>
        <d v="2022-08-16T00:00:00" u="1"/>
        <d v="2022-08-17T00:00:00" u="1"/>
        <d v="2022-08-18T00:00:00" u="1"/>
        <d v="2022-08-19T00:00:00" u="1"/>
        <d v="2022-08-20T00:00:00" u="1"/>
        <d v="2022-08-21T00:00:00" u="1"/>
        <d v="2022-08-22T00:00:00" u="1"/>
        <d v="2022-08-23T00:00:00" u="1"/>
        <d v="2022-08-24T00:00:00" u="1"/>
        <d v="2022-08-25T00:00:00" u="1"/>
        <d v="2022-08-26T00:00:00" u="1"/>
        <d v="2022-08-27T00:00:00" u="1"/>
        <d v="2022-08-28T00:00:00" u="1"/>
        <d v="2022-08-29T00:00:00" u="1"/>
        <d v="2022-08-30T00:00:00" u="1"/>
        <d v="2022-08-31T00:00:00" u="1"/>
        <d v="2022-09-01T00:00:00" u="1"/>
        <d v="2022-09-02T00:00:00" u="1"/>
        <d v="2022-09-03T00:00:00" u="1"/>
        <d v="2022-09-04T00:00:00" u="1"/>
        <d v="2022-09-05T00:00:00" u="1"/>
        <d v="2022-09-06T00:00:00" u="1"/>
        <d v="2022-09-07T00:00:00" u="1"/>
        <d v="2022-09-08T00:00:00" u="1"/>
        <d v="2022-09-09T00:00:00" u="1"/>
        <d v="2022-09-10T00:00:00" u="1"/>
        <d v="2022-09-11T00:00:00" u="1"/>
        <d v="2022-09-12T00:00:00" u="1"/>
        <d v="2022-09-13T00:00:00" u="1"/>
        <d v="2022-09-14T00:00:00" u="1"/>
        <d v="2022-09-15T00:00:00" u="1"/>
        <d v="2022-09-16T00:00:00" u="1"/>
        <d v="2022-09-17T00:00:00" u="1"/>
        <d v="2022-09-23T00:00:00" u="1"/>
        <d v="2022-09-24T00:00:00" u="1"/>
        <d v="2022-09-25T00:00:00" u="1"/>
        <d v="2022-09-27T00:00:00" u="1"/>
        <d v="2022-09-28T00:00:00" u="1"/>
        <d v="2022-09-29T00:00:00" u="1"/>
        <d v="2022-09-30T00:00:00" u="1"/>
        <d v="2022-10-01T00:00:00" u="1"/>
        <d v="2022-10-02T00:00:00" u="1"/>
        <d v="2022-10-03T00:00:00" u="1"/>
        <d v="2022-09-18T00:00:00" u="1"/>
        <d v="2022-09-19T00:00:00" u="1"/>
        <d v="2022-09-20T00:00:00" u="1"/>
        <d v="2022-09-21T00:00:00" u="1"/>
        <d v="2022-09-22T00:00:00" u="1"/>
        <d v="2022-10-04T00:00:00" u="1"/>
        <d v="2022-10-05T00:00:00" u="1"/>
        <d v="2022-10-06T00:00:00" u="1"/>
        <d v="2022-10-07T00:00:00" u="1"/>
        <d v="2022-10-08T00:00:00" u="1"/>
        <d v="2022-10-09T00:00:00" u="1"/>
        <d v="2022-10-10T00:00:00" u="1"/>
        <d v="2022-10-11T00:00:00" u="1"/>
        <d v="2022-10-12T00:00:00" u="1"/>
        <d v="2022-10-13T00:00:00" u="1"/>
        <d v="2022-10-14T00:00:00" u="1"/>
        <d v="2022-10-15T00:00:00" u="1"/>
        <d v="2022-10-16T00:00:00" u="1"/>
        <d v="2022-10-17T00:00:00" u="1"/>
        <d v="2022-10-18T00:00:00" u="1"/>
        <d v="2022-10-19T00:00:00" u="1"/>
        <d v="2022-10-20T00:00:00" u="1"/>
        <d v="2022-10-21T00:00:00" u="1"/>
        <d v="2022-10-22T00:00:00" u="1"/>
        <d v="2022-10-23T00:00:00" u="1"/>
        <d v="2022-10-24T00:00:00" u="1"/>
        <d v="2022-10-25T00:00:00" u="1"/>
        <d v="2022-10-26T00:00:00" u="1"/>
        <d v="2022-10-27T00:00:00" u="1"/>
        <d v="2022-10-28T00:00:00" u="1"/>
        <d v="2022-10-29T00:00:00" u="1"/>
        <d v="2022-10-30T00:00:00" u="1"/>
        <d v="2022-10-31T00:00:00" u="1"/>
        <d v="2022-11-01T00:00:00" u="1"/>
        <d v="2022-11-02T00:00:00" u="1"/>
        <d v="2022-11-03T00:00:00" u="1"/>
        <d v="2022-11-04T00:00:00" u="1"/>
        <d v="2022-11-05T00:00:00" u="1"/>
        <d v="2022-11-06T00:00:00" u="1"/>
        <d v="2022-11-07T00:00:00" u="1"/>
        <d v="2022-11-08T00:00:00" u="1"/>
        <d v="2022-11-09T00:00:00" u="1"/>
        <d v="2022-11-10T00:00:00" u="1"/>
        <d v="2022-11-11T00:00:00" u="1"/>
        <d v="2022-11-12T00:00:00" u="1"/>
        <d v="2022-11-13T00:00:00" u="1"/>
        <d v="2022-11-14T00:00:00" u="1"/>
        <d v="2022-11-15T00:00:00" u="1"/>
        <d v="2022-11-17T00:00:00" u="1"/>
        <d v="2022-11-18T00:00:00" u="1"/>
        <d v="2022-11-16T00:00:00" u="1"/>
        <d v="2022-11-19T00:00:00" u="1"/>
        <d v="2022-11-20T00:00:00" u="1"/>
        <d v="2022-11-21T00:00:00" u="1"/>
        <d v="2022-11-22T00:00:00" u="1"/>
        <d v="2022-11-23T00:00:00" u="1"/>
        <d v="2022-11-24T00:00:00" u="1"/>
        <d v="2022-11-25T00:00:00" u="1"/>
        <d v="2022-11-26T00:00:00" u="1"/>
        <d v="2022-11-27T00:00:00" u="1"/>
        <d v="2022-11-28T00:00:00" u="1"/>
        <d v="2022-11-29T00:00:00" u="1"/>
        <d v="2022-11-30T00:00:00" u="1"/>
        <d v="2022-12-02T00:00:00" u="1"/>
        <d v="2022-12-03T00:00:00" u="1"/>
        <d v="2022-12-04T00:00:00" u="1"/>
        <d v="2022-12-05T00:00:00" u="1"/>
        <d v="2022-12-06T00:00:00" u="1"/>
        <d v="2022-12-07T00:00:00" u="1"/>
        <d v="2022-12-08T00:00:00" u="1"/>
        <d v="2022-12-09T00:00:00" u="1"/>
        <d v="2022-12-10T00:00:00" u="1"/>
        <d v="2022-12-11T00:00:00" u="1"/>
        <d v="2022-12-12T00:00:00" u="1"/>
        <d v="2022-12-13T00:00:00" u="1"/>
        <d v="2022-12-14T00:00:00" u="1"/>
        <d v="2022-12-15T00:00:00" u="1"/>
        <d v="2022-12-16T00:00:00" u="1"/>
        <d v="2022-12-17T00:00:00" u="1"/>
        <d v="2022-12-18T00:00:00" u="1"/>
        <d v="2022-12-19T00:00:00" u="1"/>
        <d v="2022-12-20T00:00:00" u="1"/>
        <d v="2022-12-21T00:00:00" u="1"/>
        <d v="2022-12-22T00:00:00" u="1"/>
        <d v="2022-12-23T00:00:00" u="1"/>
        <d v="2022-12-24T00:00:00" u="1"/>
        <d v="2022-12-26T00:00:00" u="1"/>
        <d v="2022-12-27T00:00:00" u="1"/>
        <d v="2022-12-28T00:00:00" u="1"/>
        <d v="2022-12-29T00:00:00" u="1"/>
        <d v="2022-12-30T00:00:00" u="1"/>
        <d v="2022-12-31T00:00:00" u="1"/>
        <d v="2023-01-01T00:00:00" u="1"/>
        <d v="2023-01-02T00:00:00" u="1"/>
        <d v="2023-01-03T00:00:00" u="1"/>
        <d v="2023-01-04T00:00:00" u="1"/>
        <d v="2023-01-05T00:00:00" u="1"/>
        <d v="2023-01-06T00:00:00" u="1"/>
        <d v="2023-01-07T00:00:00" u="1"/>
        <d v="2023-01-08T00:00:00" u="1"/>
        <d v="2023-01-09T00:00:00" u="1"/>
        <d v="2023-01-10T00:00:00" u="1"/>
        <d v="2023-01-11T00:00:00" u="1"/>
        <d v="2023-01-12T00:00:00" u="1"/>
        <d v="2023-01-13T00:00:00" u="1"/>
        <d v="2023-01-14T00:00:00" u="1"/>
        <d v="2023-01-15T00:00:00" u="1"/>
        <d v="2023-01-16T00:00:00" u="1"/>
        <d v="2023-01-17T00:00:00" u="1"/>
        <d v="2023-01-18T00:00:00" u="1"/>
        <d v="2023-01-19T00:00:00" u="1"/>
        <d v="2023-01-20T00:00:00" u="1"/>
        <d v="2023-01-21T00:00:00" u="1"/>
        <d v="2023-01-22T00:00:00" u="1"/>
        <d v="2023-01-23T00:00:00" u="1"/>
        <d v="2023-01-24T00:00:00" u="1"/>
        <d v="2023-01-25T00:00:00" u="1"/>
        <d v="2023-01-27T00:00:00" u="1"/>
        <d v="2023-01-28T00:00:00" u="1"/>
        <d v="2023-01-30T00:00:00" u="1"/>
        <d v="2023-01-29T00:00:00" u="1"/>
        <d v="2023-02-01T00:00:00" u="1"/>
        <d v="2023-01-31T00:00:00" u="1"/>
        <d v="2023-02-02T00:00:00" u="1"/>
        <d v="2023-02-07T00:00:00" u="1"/>
        <d v="2023-02-03T00:00:00" u="1"/>
        <d v="2023-02-05T00:00:00" u="1"/>
        <d v="2023-02-06T00:00:00" u="1"/>
        <d v="2023-02-08T00:00:00" u="1"/>
        <d v="2023-02-09T00:00:00" u="1"/>
        <d v="2023-02-10T00:00:00" u="1"/>
        <d v="2023-02-11T00:00:00" u="1"/>
        <d v="2023-02-12T00:00:00" u="1"/>
        <d v="2023-02-13T00:00:00" u="1"/>
        <d v="2023-02-14T00:00:00" u="1"/>
        <d v="2023-02-25T00:00:00" u="1"/>
        <d v="2023-02-16T00:00:00" u="1"/>
        <d v="2023-02-19T00:00:00" u="1"/>
        <d v="2023-02-17T00:00:00" u="1"/>
        <d v="2023-02-18T00:00:00" u="1"/>
        <d v="2023-02-20T00:00:00" u="1"/>
        <d v="2023-02-21T00:00:00" u="1"/>
        <d v="2023-02-22T00:00:00" u="1"/>
        <d v="2023-02-23T00:00:00" u="1"/>
        <d v="2023-02-24T00:00:00" u="1"/>
        <d v="2023-02-26T00:00:00" u="1"/>
        <d v="2023-02-27T00:00:00" u="1"/>
        <d v="2023-02-28T00:00:00" u="1"/>
        <d v="2023-03-02T00:00:00" u="1"/>
        <d v="2023-03-03T00:00:00" u="1"/>
        <d v="2023-03-05T00:00:00" u="1"/>
        <d v="2023-03-07T00:00:00" u="1"/>
        <d v="2023-03-06T00:00:00" u="1"/>
        <d v="2023-03-09T00:00:00" u="1"/>
        <d v="2023-03-10T00:00:00" u="1"/>
        <d v="2023-03-11T00:00:00" u="1"/>
        <d v="2023-03-12T00:00:00" u="1"/>
        <d v="2023-03-13T00:00:00" u="1"/>
        <d v="2023-03-15T00:00:00" u="1"/>
        <d v="2023-03-14T00:00:00" u="1"/>
        <d v="2023-03-16T00:00:00" u="1"/>
        <d v="2023-03-17T00:00:00" u="1"/>
        <d v="2023-03-18T00:00:00" u="1"/>
        <d v="2023-03-20T00:00:00" u="1"/>
        <d v="2023-03-21T00:00:00" u="1"/>
        <d v="2023-03-22T00:00:00" u="1"/>
        <d v="2023-03-23T00:00:00" u="1"/>
        <d v="2023-03-24T00:00:00" u="1"/>
        <d v="2023-03-25T00:00:00" u="1"/>
        <d v="2023-03-26T00:00:00" u="1"/>
        <d v="2023-03-28T00:00:00" u="1"/>
        <d v="2023-03-29T00:00:00" u="1"/>
        <d v="2023-03-31T00:00:00" u="1"/>
        <d v="2023-04-02T00:00:00" u="1"/>
        <d v="2023-04-01T00:00:00" u="1"/>
        <d v="2023-04-07T00:00:00" u="1"/>
        <d v="2023-04-03T00:00:00" u="1"/>
        <d v="2023-04-04T00:00:00" u="1"/>
        <d v="2023-04-05T00:00:00" u="1"/>
        <d v="2023-04-08T00:00:00" u="1"/>
        <d v="2023-04-06T00:00:00" u="1"/>
        <d v="2023-04-09T00:00:00" u="1"/>
        <d v="2023-04-10T00:00:00" u="1"/>
        <d v="2023-04-22T00:00:00" u="1"/>
        <d v="2023-04-12T00:00:00" u="1"/>
        <d v="2023-04-13T00:00:00" u="1"/>
        <d v="2023-04-14T00:00:00" u="1"/>
        <d v="2023-04-15T00:00:00" u="1"/>
        <d v="2023-04-16T00:00:00" u="1"/>
        <d v="2023-04-17T00:00:00" u="1"/>
        <d v="2023-04-18T00:00:00" u="1"/>
        <d v="2023-04-19T00:00:00" u="1"/>
        <d v="2023-04-20T00:00:00" u="1"/>
        <d v="2023-04-21T00:00:00" u="1"/>
        <d v="2023-04-23T00:00:00" u="1"/>
        <d v="2023-04-25T00:00:00" u="1"/>
        <d v="2023-04-27T00:00:00" u="1"/>
        <d v="2023-04-28T00:00:00" u="1"/>
        <d v="2023-04-29T00:00:00" u="1"/>
        <d v="2023-04-30T00:00:00" u="1"/>
        <d v="2023-05-02T00:00:00" u="1"/>
        <d v="2023-05-03T00:00:00" u="1"/>
        <d v="2023-05-04T00:00:00" u="1"/>
        <d v="2023-05-05T00:00:00" u="1"/>
        <d v="2023-05-06T00:00:00" u="1"/>
        <d v="2023-05-08T00:00:00" u="1"/>
        <d v="2023-05-09T00:00:00" u="1"/>
        <d v="2023-05-10T00:00:00" u="1"/>
        <d v="2023-05-12T00:00:00" u="1"/>
        <d v="2023-05-13T00:00:00" u="1"/>
        <d v="2023-05-14T00:00:00" u="1"/>
        <d v="2023-05-18T00:00:00" u="1"/>
        <d v="2023-05-15T00:00:00" u="1"/>
        <d v="2023-05-16T00:00:00" u="1"/>
        <d v="2023-05-17T00:00:00" u="1"/>
        <d v="2023-05-26T00:00:00" u="1"/>
        <d v="2023-05-19T00:00:00" u="1"/>
        <d v="2023-05-20T00:00:00" u="1"/>
        <d v="2023-05-21T00:00:00" u="1"/>
        <d v="2023-05-22T00:00:00" u="1"/>
        <d v="2023-05-23T00:00:00" u="1"/>
        <d v="2023-05-25T00:00:00" u="1"/>
        <d v="2023-05-31T00:00:00" u="1"/>
        <d v="2023-05-27T00:00:00" u="1"/>
        <d v="2023-05-28T00:00:00" u="1"/>
        <d v="2023-05-30T00:00:00" u="1"/>
        <d v="2020-01-06T00:00:00" u="1"/>
        <d v="2020-01-12T00:00:00" u="1"/>
        <d v="2020-01-19T00:00:00" u="1"/>
        <d v="2020-01-27T00:00:00" u="1"/>
        <d v="2020-02-03T00:00:00" u="1"/>
        <d v="2020-02-10T00:00:00" u="1"/>
        <d v="2020-03-02T00:00:00" u="1"/>
        <d v="2020-03-16T00:00:00" u="1"/>
        <d v="2020-12-18T00:00:00" u="1"/>
        <d v="2020-12-19T00:00:00" u="1"/>
        <d v="2020-12-20T00:00:00" u="1"/>
        <d v="2020-12-21T00:00:00" u="1"/>
        <d v="2020-12-22T00:00:00" u="1"/>
        <d v="2020-12-23T00:00:00" u="1"/>
        <d v="2020-12-24T00:00:00" u="1"/>
        <d v="2020-12-29T00:00:00" u="1"/>
        <d v="2020-12-30T00:00:00" u="1"/>
        <d v="2020-12-31T00:00:00" u="1"/>
        <d v="2021-01-01T00:00:00" u="1"/>
        <d v="2021-01-02T00:00:00" u="1"/>
        <d v="2021-01-03T00:00:00" u="1"/>
        <d v="2021-01-04T00:00:00" u="1"/>
        <d v="2021-01-05T00:00:00" u="1"/>
        <d v="2021-01-28T00:00:00" u="1"/>
        <d v="2021-02-28T00:00:00" u="1"/>
        <d v="2021-07-19T00:00:00" u="1"/>
        <d v="2021-07-21T00:00:00" u="1"/>
        <d v="2021-07-23T00:00:00" u="1"/>
        <d v="2021-07-22T00:00:00" u="1"/>
        <d v="2021-07-26T00:00:00" u="1"/>
        <d v="2021-07-27T00:00:00" u="1"/>
        <d v="2021-08-18T00:00:00" u="1"/>
        <d v="2021-10-11T00:00:00" u="1"/>
        <d v="2021-11-05T00:00:00" u="1"/>
        <d v="2022-05-25T00:00:00" u="1"/>
        <d v="2022-07-03T00:00:00" u="1"/>
        <d v="2022-09-26T00:00:00" u="1"/>
        <d v="2022-12-25T00:00:00" u="1"/>
        <d v="2023-01-26T00:00:00" u="1"/>
        <d v="2023-02-15T00:00:00" u="1"/>
        <d v="2023-03-01T00:00:00" u="1"/>
        <d v="2023-03-04T00:00:00" u="1"/>
        <d v="2023-03-08T00:00:00" u="1"/>
        <d v="2023-03-19T00:00:00" u="1"/>
        <d v="2023-03-27T00:00:00" u="1"/>
        <d v="2023-03-30T00:00:00" u="1"/>
        <d v="2023-04-24T00:00:00" u="1"/>
        <d v="2023-04-11T00:00:00" u="1"/>
        <d v="2023-04-26T00:00:00" u="1"/>
        <d v="2023-05-01T00:00:00" u="1"/>
        <d v="2023-05-11T00:00:00" u="1"/>
        <d v="2023-05-07T00:00:00" u="1"/>
        <d v="2023-05-24T00:00:00" u="1"/>
        <d v="2023-05-29T00:00:00" u="1"/>
        <d v="2023-06-09T00:00:00" u="1"/>
        <d v="2023-06-13T00:00:00" u="1"/>
        <d v="2023-06-01T00:00:00" u="1"/>
        <d v="2023-06-03T00:00:00" u="1"/>
        <d v="2023-06-02T00:00:00" u="1"/>
        <d v="2023-06-07T00:00:00" u="1"/>
        <d v="2023-06-10T00:00:00" u="1"/>
        <d v="2023-06-11T00:00:00" u="1"/>
        <d v="2023-06-04T00:00:00" u="1"/>
        <d v="2023-06-05T00:00:00" u="1"/>
        <d v="2023-06-12T00:00:00" u="1"/>
        <d v="2023-06-08T00:00:00" u="1"/>
        <d v="2023-06-06T00:00:00" u="1"/>
        <d v="2023-06-15T00:00:00" u="1"/>
        <d v="2023-06-14T00:00:00" u="1"/>
        <d v="2023-06-24T00:00:00" u="1"/>
        <d v="2023-06-23T00:00:00" u="1"/>
        <d v="2023-06-29T00:00:00" u="1"/>
        <d v="2023-06-18T00:00:00" u="1"/>
        <d v="2023-06-16T00:00:00" u="1"/>
        <d v="2023-06-20T00:00:00" u="1"/>
        <d v="2023-06-30T00:00:00" u="1"/>
        <d v="2023-06-19T00:00:00" u="1"/>
        <d v="2023-06-17T00:00:00" u="1"/>
        <d v="2023-07-04T00:00:00" u="1"/>
        <d v="2023-06-21T00:00:00" u="1"/>
        <d v="2023-06-22T00:00:00" u="1"/>
        <d v="2023-06-25T00:00:00" u="1"/>
        <d v="2023-06-26T00:00:00" u="1"/>
        <d v="2023-06-27T00:00:00" u="1"/>
        <d v="2023-06-28T00:00:00" u="1"/>
        <d v="2023-07-06T00:00:00" u="1"/>
        <d v="2023-07-03T00:00:00" u="1"/>
        <d v="2023-07-02T00:00:00" u="1"/>
        <d v="2023-07-01T00:00:00" u="1"/>
        <d v="2023-07-08T00:00:00" u="1"/>
        <d v="2023-07-10T00:00:00" u="1"/>
        <d v="2023-07-07T00:00:00" u="1"/>
        <d v="2023-07-05T00:00:00" u="1"/>
        <d v="2023-07-15T00:00:00" u="1"/>
        <d v="2023-07-31T00:00:00" u="1"/>
        <d v="2023-07-11T00:00:00" u="1"/>
        <d v="2023-07-12T00:00:00" u="1"/>
        <d v="2023-07-09T00:00:00" u="1"/>
        <d v="2023-07-14T00:00:00" u="1"/>
        <d v="2023-07-21T00:00:00" u="1"/>
        <d v="2023-07-27T00:00:00" u="1"/>
        <d v="2023-07-24T00:00:00" u="1"/>
        <d v="2023-07-13T00:00:00" u="1"/>
        <d v="2023-07-17T00:00:00" u="1"/>
        <d v="2023-07-20T00:00:00" u="1"/>
        <d v="2023-07-16T00:00:00" u="1"/>
        <d v="2023-07-22T00:00:00" u="1"/>
        <d v="2023-07-28T00:00:00" u="1"/>
        <d v="2023-07-19T00:00:00" u="1"/>
        <d v="2023-07-23T00:00:00" u="1"/>
        <d v="2023-07-18T00:00:00" u="1"/>
        <d v="2023-07-30T00:00:00" u="1"/>
        <d v="2023-07-25T00:00:00" u="1"/>
        <d v="2023-08-01T00:00:00" u="1"/>
        <d v="2023-07-29T00:00:00" u="1"/>
        <d v="2023-07-26T00:00:00" u="1"/>
        <d v="2023-08-02T00:00:00" u="1"/>
        <d v="2023-08-04T00:00:00" u="1"/>
        <d v="2023-08-03T00:00:00" u="1"/>
        <d v="2023-08-07T00:00:00" u="1"/>
        <d v="2023-08-05T00:00:00" u="1"/>
        <d v="2023-08-06T00:00:00" u="1"/>
        <d v="2023-08-10T00:00:00" u="1"/>
        <d v="2023-08-11T00:00:00" u="1"/>
        <d v="2023-08-09T00:00:00" u="1"/>
        <d v="2023-08-23T00:00:00" u="1"/>
        <d v="2023-09-29T00:00:00" u="1"/>
        <d v="2023-08-08T00:00:00" u="1"/>
        <d v="2023-09-21T00:00:00" u="1"/>
        <d v="2023-08-12T00:00:00" u="1"/>
        <d v="2023-08-14T00:00:00" u="1"/>
        <d v="2023-08-13T00:00:00" u="1"/>
        <d v="2023-08-15T00:00:00" u="1"/>
        <d v="2023-08-19T00:00:00" u="1"/>
        <d v="2023-08-16T00:00:00" u="1"/>
        <d v="2023-08-30T00:00:00" u="1"/>
        <d v="2023-08-17T00:00:00" u="1"/>
        <d v="2023-08-31T00:00:00" u="1"/>
        <d v="2023-08-28T00:00:00" u="1"/>
        <d v="2023-08-20T00:00:00" u="1"/>
        <d v="2023-08-21T00:00:00" u="1"/>
        <d v="2023-09-23T00:00:00" u="1"/>
        <d v="2023-08-25T00:00:00" u="1"/>
        <d v="2023-08-24T00:00:00" u="1"/>
        <d v="2023-08-22T00:00:00" u="1"/>
        <d v="2023-08-27T00:00:00" u="1"/>
        <d v="2023-09-01T00:00:00" u="1"/>
        <d v="2023-08-26T00:00:00" u="1"/>
        <d v="2023-09-04T00:00:00" u="1"/>
        <d v="2023-08-29T00:00:00" u="1"/>
        <d v="2023-09-03T00:00:00" u="1"/>
        <d v="2023-09-05T00:00:00" u="1"/>
        <d v="2023-09-26T00:00:00" u="1"/>
        <d v="2023-09-13T00:00:00" u="1"/>
        <d v="2023-09-14T00:00:00" u="1"/>
        <d v="2023-09-02T00:00:00" u="1"/>
        <d v="2023-09-09T00:00:00" u="1"/>
        <d v="2023-09-30T00:00:00" u="1"/>
        <d v="2023-09-06T00:00:00" u="1"/>
        <d v="2023-09-17T00:00:00" u="1"/>
        <d v="2023-09-07T00:00:00" u="1"/>
        <d v="2023-09-08T00:00:00" u="1"/>
        <d v="2023-09-10T00:00:00" u="1"/>
        <d v="2023-10-02T00:00:00" u="1"/>
        <d v="2023-09-12T00:00:00" u="1"/>
        <d v="2023-09-11T00:00:00" u="1"/>
        <d v="2023-09-20T00:00:00" u="1"/>
        <d v="2023-09-16T00:00:00" u="1"/>
        <d v="2023-09-15T00:00:00" u="1"/>
        <d v="2023-09-25T00:00:00" u="1"/>
        <d v="2023-09-18T00:00:00" u="1"/>
        <d v="2023-09-19T00:00:00" u="1"/>
        <d v="2023-09-22T00:00:00" u="1"/>
        <d v="2023-09-24T00:00:00" u="1"/>
        <d v="2023-09-28T00:00:00" u="1"/>
        <d v="2023-09-27T00:00:00" u="1"/>
        <d v="2023-10-01T00:00:00" u="1"/>
        <d v="2023-10-05T00:00:00" u="1"/>
        <d v="2023-10-10T00:00:00" u="1"/>
        <d v="2023-10-08T00:00:00" u="1"/>
        <d v="2023-10-09T00:00:00" u="1"/>
        <d v="2023-10-03T00:00:00" u="1"/>
        <d v="2023-10-04T00:00:00" u="1"/>
        <d v="2023-10-06T00:00:00" u="1"/>
        <d v="2023-10-07T00:00:00" u="1"/>
        <d v="2023-10-13T00:00:00" u="1"/>
        <d v="2023-10-11T00:00:00" u="1"/>
        <d v="2023-10-12T00:00:00" u="1"/>
        <d v="2023-10-17T00:00:00" u="1"/>
        <d v="2023-10-14T00:00:00" u="1"/>
        <d v="2023-10-24T00:00:00" u="1"/>
        <d v="2023-10-15T00:00:00" u="1"/>
        <d v="2023-10-25T00:00:00" u="1"/>
        <d v="2023-10-16T00:00:00" u="1"/>
        <d v="2023-10-18T00:00:00" u="1"/>
        <d v="2023-10-19T00:00:00" u="1"/>
        <d v="2023-10-22T00:00:00" u="1"/>
        <d v="2023-10-20T00:00:00" u="1"/>
        <d v="2023-10-23T00:00:00" u="1"/>
        <d v="2023-10-21T00:00:00" u="1"/>
        <d v="2023-10-26T00:00:00" u="1"/>
        <d v="2023-10-29T00:00:00" u="1"/>
        <d v="2023-10-30T00:00:00" u="1"/>
        <d v="2023-10-27T00:00:00" u="1"/>
        <d v="2023-11-01T00:00:00" u="1"/>
        <d v="2023-11-03T00:00:00" u="1"/>
        <d v="2023-11-22T00:00:00" u="1"/>
        <d v="2023-10-28T00:00:00" u="1"/>
        <d v="2023-10-31T00:00:00" u="1"/>
        <d v="2023-11-02T00:00:00" u="1"/>
        <d v="2023-11-12T00:00:00" u="1"/>
        <d v="2023-11-27T00:00:00" u="1"/>
        <d v="2023-11-09T00:00:00" u="1"/>
        <d v="2023-11-08T00:00:00" u="1"/>
        <d v="2023-11-06T00:00:00" u="1"/>
        <d v="2023-11-04T00:00:00" u="1"/>
        <d v="2023-11-05T00:00:00" u="1"/>
        <d v="2023-11-07T00:00:00" u="1"/>
        <d v="2023-11-13T00:00:00" u="1"/>
        <d v="2023-11-18T00:00:00" u="1"/>
        <d v="2023-11-10T00:00:00" u="1"/>
        <d v="2023-11-11T00:00:00" u="1"/>
        <d v="2023-12-01T00:00:00" u="1"/>
        <d v="2023-11-16T00:00:00" u="1"/>
        <d v="2023-11-14T00:00:00" u="1"/>
        <d v="2023-11-25T00:00:00" u="1"/>
        <d v="2023-11-15T00:00:00" u="1"/>
        <d v="2023-11-17T00:00:00" u="1"/>
        <d v="2023-11-20T00:00:00" u="1"/>
        <d v="2023-11-28T00:00:00" u="1"/>
        <d v="2023-11-26T00:00:00" u="1"/>
        <d v="2023-12-10T00:00:00" u="1"/>
        <d v="2023-11-19T00:00:00" u="1"/>
        <d v="2024-01-02T00:00:00" u="1"/>
        <d v="2023-11-21T00:00:00" u="1"/>
        <d v="2023-11-24T00:00:00" u="1"/>
        <d v="2023-11-23T00:00:00" u="1"/>
        <d v="2023-12-09T00:00:00" u="1"/>
        <d v="2023-11-30T00:00:00" u="1"/>
        <d v="2023-12-02T00:00:00" u="1"/>
        <d v="2023-12-03T00:00:00" u="1"/>
        <d v="2023-11-29T00:00:00" u="1"/>
        <d v="2023-12-14T00:00:00" u="1"/>
        <d v="2023-12-07T00:00:00" u="1"/>
        <d v="2023-12-23T00:00:00" u="1"/>
        <d v="2023-12-04T00:00:00" u="1"/>
        <d v="2023-12-05T00:00:00" u="1"/>
        <d v="2023-12-06T00:00:00" u="1"/>
        <d v="2023-12-22T00:00:00" u="1"/>
        <d v="2023-12-08T00:00:00" u="1"/>
        <d v="2023-12-16T00:00:00" u="1"/>
        <d v="2023-12-21T00:00:00" u="1"/>
        <d v="2023-12-13T00:00:00" u="1"/>
        <d v="2023-12-20T00:00:00" u="1"/>
        <d v="2023-12-11T00:00:00" u="1"/>
        <d v="2023-12-24T00:00:00" u="1"/>
        <d v="2023-12-12T00:00:00" u="1"/>
        <d v="2023-12-31T00:00:00" u="1"/>
        <d v="2023-12-15T00:00:00" u="1"/>
        <d v="2023-12-19T00:00:00" u="1"/>
        <d v="2023-12-18T00:00:00" u="1"/>
        <d v="2024-01-03T00:00:00" u="1"/>
        <d v="2023-12-27T00:00:00" u="1"/>
        <d v="2024-01-31T00:00:00" u="1"/>
        <d v="2023-12-29T00:00:00" u="1"/>
        <d v="2023-12-17T00:00:00" u="1"/>
        <d v="2024-01-19T00:00:00" u="1"/>
        <d v="2024-01-10T00:00:00" u="1"/>
        <d v="2023-12-26T00:00:00" u="1"/>
        <d v="2023-12-25T00:00:00" u="1"/>
        <d v="2023-12-30T00:00:00" u="1"/>
        <d v="2023-12-28T00:00:00" u="1"/>
        <d v="2024-02-02T00:00:00" u="1"/>
        <d v="2024-01-04T00:00:00" u="1"/>
        <d v="2024-01-01T00:00:00" u="1"/>
        <d v="2024-01-16T00:00:00" u="1"/>
        <d v="2024-01-06T00:00:00" u="1"/>
        <d v="2024-01-08T00:00:00" u="1"/>
        <d v="2024-01-29T00:00:00" u="1"/>
        <d v="2024-01-07T00:00:00" u="1"/>
        <d v="2024-01-15T00:00:00" u="1"/>
        <d v="2024-01-21T00:00:00" u="1"/>
        <d v="2024-01-22T00:00:00" u="1"/>
        <d v="2024-01-05T00:00:00" u="1"/>
        <d v="2024-01-09T00:00:00" u="1"/>
        <d v="2024-01-12T00:00:00" u="1"/>
        <d v="2024-01-18T00:00:00" u="1"/>
        <d v="2024-01-13T00:00:00" u="1"/>
        <d v="2024-01-11T00:00:00" u="1"/>
        <d v="2024-01-23T00:00:00" u="1"/>
        <d v="2024-01-14T00:00:00" u="1"/>
        <d v="2024-01-17T00:00:00" u="1"/>
        <d v="2024-02-07T00:00:00" u="1"/>
        <d v="2024-01-24T00:00:00" u="1"/>
        <d v="2024-01-25T00:00:00" u="1"/>
        <d v="2024-01-20T00:00:00" u="1"/>
        <d v="2024-01-27T00:00:00" u="1"/>
        <d v="2024-02-01T00:00:00" u="1"/>
        <d v="2024-01-26T00:00:00" u="1"/>
        <d v="2024-01-30T00:00:00" u="1"/>
        <d v="2024-02-16T00:00:00" u="1"/>
        <d v="2024-02-04T00:00:00" u="1"/>
        <d v="2024-02-17T00:00:00" u="1"/>
        <d v="2024-01-28T00:00:00" u="1"/>
        <d v="2024-02-03T00:00:00" u="1"/>
        <d v="2024-02-05T00:00:00" u="1"/>
        <d v="2024-02-08T00:00:00" u="1"/>
        <d v="2024-02-12T00:00:00" u="1"/>
        <d v="2024-02-06T00:00:00" u="1"/>
        <d v="2024-02-19T00:00:00" u="1"/>
        <d v="2024-02-10T00:00:00" u="1"/>
        <d v="2024-02-09T00:00:00" u="1"/>
        <d v="2024-02-13T00:00:00" u="1"/>
        <d v="2024-02-14T00:00:00" u="1"/>
        <d v="2024-02-11T00:00:00" u="1"/>
        <d v="2024-02-29T00:00:00" u="1"/>
        <d v="2024-02-15T00:00:00" u="1"/>
        <d v="2024-02-20T00:00:00" u="1"/>
        <d v="2024-03-11T00:00:00" u="1"/>
        <d v="2024-02-18T00:00:00" u="1"/>
        <d v="2024-02-26T00:00:00" u="1"/>
        <d v="2024-03-07T00:00:00" u="1"/>
        <d v="2024-03-01T00:00:00" u="1"/>
        <d v="2024-02-22T00:00:00" u="1"/>
        <d v="2024-02-21T00:00:00" u="1"/>
        <d v="2024-03-13T00:00:00" u="1"/>
        <d v="2024-02-23T00:00:00" u="1"/>
        <d v="2024-02-25T00:00:00" u="1"/>
        <d v="2024-02-24T00:00:00" u="1"/>
        <d v="2024-02-27T00:00:00" u="1"/>
        <d v="2024-02-28T00:00:00" u="1"/>
        <d v="2024-03-20T00:00:00" u="1"/>
        <d v="2024-03-03T00:00:00" u="1"/>
        <d v="2024-03-09T00:00:00" u="1"/>
        <d v="2024-03-06T00:00:00" u="1"/>
        <d v="2024-03-12T00:00:00" u="1"/>
        <d v="2024-03-04T00:00:00" u="1"/>
        <d v="2024-03-02T00:00:00" u="1"/>
        <d v="2024-03-18T00:00:00" u="1"/>
        <d v="2024-03-05T00:00:00" u="1"/>
        <d v="2024-03-08T00:00:00" u="1"/>
        <d v="2024-03-23T00:00:00" u="1"/>
        <d v="2024-03-14T00:00:00" u="1"/>
        <d v="2024-03-15T00:00:00" u="1"/>
        <d v="2024-03-16T00:00:00" u="1"/>
        <d v="2024-03-19T00:00:00" u="1"/>
        <d v="2024-03-10T00:00:00" u="1"/>
        <d v="2024-03-31T00:00:00" u="1"/>
        <d v="2024-03-17T00:00:00" u="1"/>
        <d v="2024-03-25T00:00:00" u="1"/>
        <d v="2024-03-22T00:00:00" u="1"/>
        <d v="2024-03-21T00:00:00" u="1"/>
        <d v="2024-03-24T00:00:00" u="1"/>
        <d v="2024-03-26T00:00:00" u="1"/>
        <d v="2024-03-30T00:00:00" u="1"/>
        <d v="2024-03-28T00:00:00" u="1"/>
        <d v="2024-03-27T00:00:00" u="1"/>
        <d v="2024-04-01T00:00:00" u="1"/>
        <d v="2024-04-02T00:00:00" u="1"/>
        <d v="2024-04-06T00:00:00" u="1"/>
        <d v="2024-04-05T00:00:00" u="1"/>
        <d v="2024-04-09T00:00:00" u="1"/>
        <d v="2024-04-08T00:00:00" u="1"/>
        <d v="2024-04-03T00:00:00" u="1"/>
        <d v="2024-04-04T00:00:00" u="1"/>
        <d v="2024-04-15T00:00:00" u="1"/>
        <d v="2024-04-07T00:00:00" u="1"/>
        <d v="2024-04-11T00:00:00" u="1"/>
        <d v="2024-04-18T00:00:00" u="1"/>
        <d v="2024-04-16T00:00:00" u="1"/>
        <d v="2024-04-12T00:00:00" u="1"/>
        <d v="2024-04-10T00:00:00" u="1"/>
        <d v="2024-04-19T00:00:00" u="1"/>
        <d v="2024-04-13T00:00:00" u="1"/>
        <d v="2024-04-17T00:00:00" u="1"/>
        <d v="2024-04-14T00:00:00" u="1"/>
        <d v="2024-04-30T00:00:00" u="1"/>
        <d v="2024-04-22T00:00:00" u="1"/>
        <d v="2024-04-20T00:00:00" u="1"/>
        <d v="2024-04-27T00:00:00" u="1"/>
        <d v="2024-04-28T00:00:00" u="1"/>
        <d v="2024-04-26T00:00:00" u="1"/>
        <d v="2024-04-29T00:00:00" u="1"/>
        <d v="2024-04-21T00:00:00" u="1"/>
        <d v="2024-04-24T00:00:00" u="1"/>
        <d v="2024-04-25T00:00:00" u="1"/>
        <d v="2024-04-23T00:00:00" u="1"/>
        <d v="2024-05-01T00:00:00" u="1"/>
        <d v="2024-05-04T00:00:00" u="1"/>
        <d v="2024-05-03T00:00:00" u="1"/>
        <d v="2024-05-31T00:00:00" u="1"/>
        <d v="2024-05-24T00:00:00" u="1"/>
        <d v="2024-05-02T00:00:00" u="1"/>
        <d v="2024-05-23T00:00:00" u="1"/>
        <d v="2024-05-13T00:00:00" u="1"/>
        <d v="2024-05-29T00:00:00" u="1"/>
        <d v="2024-05-05T00:00:00" u="1"/>
        <d v="2024-05-11T00:00:00" u="1"/>
        <d v="2024-05-08T00:00:00" u="1"/>
        <d v="2024-05-17T00:00:00" u="1"/>
        <d v="2024-05-30T00:00:00" u="1"/>
        <d v="2024-05-06T00:00:00" u="1"/>
        <d v="2024-05-07T00:00:00" u="1"/>
        <d v="2024-05-20T00:00:00" u="1"/>
        <d v="2024-05-12T00:00:00" u="1"/>
        <d v="2024-05-10T00:00:00" u="1"/>
        <d v="2024-05-18T00:00:00" u="1"/>
        <d v="2024-05-22T00:00:00" u="1"/>
        <d v="2024-05-27T00:00:00" u="1"/>
        <d v="2024-05-26T00:00:00" u="1"/>
        <d v="2024-05-09T00:00:00" u="1"/>
        <d v="2024-05-14T00:00:00" u="1"/>
        <d v="2024-05-16T00:00:00" u="1"/>
        <d v="2024-05-25T00:00:00" u="1"/>
        <d v="2024-05-21T00:00:00" u="1"/>
        <d v="2024-05-15T00:00:00" u="1"/>
        <d v="2024-05-19T00:00:00" u="1"/>
        <d v="2024-05-28T00:00:00" u="1"/>
        <d v="2024-06-01T00:00:00" u="1"/>
        <d v="2024-06-03T00:00:00" u="1"/>
        <d v="2024-06-02T00:00:00" u="1"/>
        <d v="2024-06-05T00:00:00" u="1"/>
        <d v="2024-06-11T00:00:00" u="1"/>
        <d v="2024-06-06T00:00:00" u="1"/>
        <d v="2024-06-04T00:00:00" u="1"/>
        <d v="2024-06-15T00:00:00" u="1"/>
        <d v="2024-06-12T00:00:00" u="1"/>
        <d v="2024-06-08T00:00:00" u="1"/>
        <d v="2024-06-07T00:00:00" u="1"/>
        <d v="2024-06-10T00:00:00" u="1"/>
        <d v="2024-06-22T00:00:00" u="1"/>
        <d v="2024-06-14T00:00:00" u="1"/>
        <d v="2024-06-09T00:00:00" u="1"/>
        <d v="2024-06-19T00:00:00" u="1"/>
        <d v="2024-06-17T00:00:00" u="1"/>
        <d v="2024-06-16T00:00:00" u="1"/>
        <d v="2024-06-24T00:00:00" u="1"/>
        <d v="2024-06-18T00:00:00" u="1"/>
        <d v="2024-06-25T00:00:00" u="1"/>
        <d v="2024-06-21T00:00:00" u="1"/>
        <d v="2024-06-20T00:00:00" u="1"/>
        <d v="2024-06-23T00:00:00" u="1"/>
        <d v="2024-06-26T00:00:00" u="1"/>
        <d v="2024-06-28T00:00:00" u="1"/>
        <d v="2024-06-29T00:00:00" u="1"/>
        <d v="2024-06-27T00:00:00" u="1"/>
        <d v="2024-06-30T00:00:00" u="1"/>
        <d v="2024-07-01T00:00:00" u="1"/>
        <d v="2024-07-02T00:00:00" u="1"/>
        <d v="2024-07-12T00:00:00" u="1"/>
        <d v="2024-07-05T00:00:00" u="1"/>
        <d v="2024-07-08T00:00:00" u="1"/>
        <d v="2024-07-03T00:00:00" u="1"/>
        <d v="2024-07-13T00:00:00" u="1"/>
        <d v="2024-07-04T00:00:00" u="1"/>
        <d v="2024-07-31T00:00:00" u="1"/>
        <d v="2024-07-11T00:00:00" u="1"/>
        <d v="2024-07-09T00:00:00" u="1"/>
        <d v="2024-07-14T00:00:00" u="1"/>
        <d v="2024-07-21T00:00:00" u="1"/>
        <d v="2024-07-06T00:00:00" u="1"/>
        <d v="2024-07-20T00:00:00" u="1"/>
        <d v="2024-07-07T00:00:00" u="1"/>
        <d v="2024-07-15T00:00:00" u="1"/>
        <d v="2024-07-10T00:00:00" u="1"/>
        <d v="2024-07-17T00:00:00" u="1"/>
        <d v="2024-07-16T00:00:00" u="1"/>
        <d v="2024-07-26T00:00:00" u="1"/>
        <d v="2024-07-19T00:00:00" u="1"/>
        <d v="2024-07-27T00:00:00" u="1"/>
        <d v="2024-07-29T00:00:00" u="1"/>
        <d v="2024-07-24T00:00:00" u="1"/>
        <d v="2024-07-18T00:00:00" u="1"/>
        <d v="2024-07-25T00:00:00" u="1"/>
        <d v="2024-07-30T00:00:00" u="1"/>
        <d v="2024-07-23T00:00:00" u="1"/>
        <d v="2024-07-22T00:00:00" u="1"/>
        <d v="2024-07-28T00:00:00" u="1"/>
        <d v="2024-08-01T00:00:00" u="1"/>
        <d v="2024-08-10T00:00:00" u="1"/>
        <d v="2024-08-05T00:00:00" u="1"/>
        <d v="2024-08-02T00:00:00" u="1"/>
        <d v="2024-08-11T00:00:00" u="1"/>
        <d v="2024-08-06T00:00:00" u="1"/>
        <d v="2024-08-03T00:00:00" u="1"/>
        <d v="2024-08-14T00:00:00" u="1"/>
        <d v="2024-08-04T00:00:00" u="1"/>
        <d v="2024-08-08T00:00:00" u="1"/>
        <d v="2024-08-12T00:00:00" u="1"/>
        <d v="2024-08-07T00:00:00" u="1"/>
        <d v="2024-08-09T00:00:00" u="1"/>
        <d v="2024-08-24T00:00:00" u="1"/>
        <d v="2024-08-13T00:00:00" u="1"/>
        <d v="2024-08-19T00:00:00" u="1"/>
        <d v="2024-08-16T00:00:00" u="1"/>
        <d v="2024-08-17T00:00:00" u="1"/>
        <d v="2024-08-15T00:00:00" u="1"/>
        <d v="2024-08-23T00:00:00" u="1"/>
        <d v="2024-08-18T00:00:00" u="1"/>
        <d v="2024-08-20T00:00:00" u="1"/>
        <d v="2024-08-25T00:00:00" u="1"/>
        <d v="2024-08-22T00:00:00" u="1"/>
        <d v="2024-08-21T00:00:00" u="1"/>
        <d v="2024-08-29T00:00:00" u="1"/>
        <d v="2024-08-26T00:00:00" u="1"/>
        <d v="2024-08-30T00:00:00" u="1"/>
        <d v="2024-08-27T00:00:00" u="1"/>
        <d v="2024-08-28T00:00:00" u="1"/>
        <d v="2024-08-31T00:00:00" u="1"/>
        <d v="2024-09-01T00:00:00" u="1"/>
        <d v="2024-09-02T00:00:00" u="1"/>
        <d v="2024-09-08T00:00:00" u="1"/>
        <d v="2024-09-05T00:00:00" u="1"/>
        <d v="2024-09-07T00:00:00" u="1"/>
        <d v="2024-09-03T00:00:00" u="1"/>
        <d v="2024-09-06T00:00:00" u="1"/>
        <d v="2024-09-04T00:00:00" u="1"/>
        <d v="2024-09-09T00:00:00" u="1"/>
        <d v="2024-09-17T00:00:00" u="1"/>
        <d v="2024-09-14T00:00:00" u="1"/>
        <d v="2024-09-11T00:00:00" u="1"/>
        <d v="2024-09-10T00:00:00" u="1"/>
        <d v="2024-09-13T00:00:00" u="1"/>
        <d v="2024-09-12T00:00:00" u="1"/>
        <d v="2024-09-19T00:00:00" u="1"/>
        <d v="2024-09-24T00:00:00" u="1"/>
        <d v="2024-09-16T00:00:00" u="1"/>
        <d v="2024-09-18T00:00:00" u="1"/>
        <d v="2024-09-27T00:00:00" u="1"/>
        <d v="2024-09-20T00:00:00" u="1"/>
        <d v="2024-09-28T00:00:00" u="1"/>
        <d v="2024-09-23T00:00:00" u="1"/>
        <d v="2024-09-22T00:00:00" u="1"/>
        <d v="2024-09-21T00:00:00" u="1"/>
        <d v="2024-09-29T00:00:00" u="1"/>
        <d v="2024-09-30T00:00:00" u="1"/>
        <d v="2024-09-26T00:00:00" u="1"/>
        <d v="2024-09-25T00:00:00" u="1"/>
        <d v="2024-10-01T00:00:00" u="1"/>
        <d v="2024-10-03T00:00:00" u="1"/>
        <d v="2024-10-06T00:00:00" u="1"/>
        <d v="2024-10-04T00:00:00" u="1"/>
        <d v="2024-10-05T00:00:00" u="1"/>
        <d v="2024-10-02T00:00:00" u="1"/>
        <d v="2024-10-07T00:00:00" u="1"/>
        <d v="2024-10-08T00:00:00" u="1"/>
        <d v="2024-10-31T00:00:00" u="1"/>
        <d v="2024-10-28T00:00:00" u="1"/>
        <d v="2024-10-27T00:00:00" u="1"/>
        <d v="2024-10-29T00:00:00" u="1"/>
        <d v="2024-10-30T00:00:00" u="1"/>
        <d v="2024-11-01T00:00:00" u="1"/>
        <d v="2024-11-02T00:00:00" u="1"/>
        <d v="2024-11-03T00:00:00" u="1"/>
        <d v="2024-11-06T00:00:00" u="1"/>
        <d v="2024-11-04T00:00:00" u="1"/>
        <d v="2024-11-05T00:00:00" u="1"/>
        <d v="2019-05-29T00:00:00" u="1"/>
        <d v="2020-03-20T00:00:00" u="1"/>
        <d v="2021-02-27T00:00:00" u="1"/>
      </sharedItems>
      <fieldGroup par="14"/>
    </cacheField>
    <cacheField name="forma_pago" numFmtId="0">
      <sharedItems count="13">
        <s v="Activacion MKT"/>
        <s v="Comps Contingencia"/>
        <s v="Red Compra"/>
        <s v="Mastercard"/>
        <s v="Items exentos"/>
        <s v="Vuelto"/>
        <s v="Efectivo"/>
        <s v="Sist Juegos Kiosco"/>
        <s v="Visa"/>
        <s v="Vta otro sistema"/>
        <s v="Diners"/>
        <s v="Comps Eventos"/>
        <s v="ATT PROVEEDORES"/>
      </sharedItems>
    </cacheField>
    <cacheField name="pos" numFmtId="0">
      <sharedItems count="7">
        <s v="Restobar LA"/>
        <s v="Ocean View" u="1"/>
        <s v="Room Sevice" u="1"/>
        <s v="FRAGATA SN" u="1"/>
        <s v="EVENTOS SN" u="1"/>
        <s v="Comps Fragata" u="1"/>
        <s v="Desayuno SN" u="1"/>
      </sharedItems>
    </cacheField>
    <cacheField name="nombre_rvc_micros" numFmtId="0">
      <sharedItems count="7">
        <s v="Restobar LA"/>
        <s v="Ocean View" u="1"/>
        <s v="Room Sevice" u="1"/>
        <s v="Fragata" u="1"/>
        <s v="Eventos" u="1"/>
        <s v="Comps Fragata" u="1"/>
        <s v="Desayuno SN" u="1"/>
      </sharedItems>
    </cacheField>
    <cacheField name="tipo_pago" numFmtId="0">
      <sharedItems count="7">
        <s v="Internas AABB"/>
        <s v="Comps"/>
        <s v="Débito"/>
        <s v="Crédito"/>
        <s v="Exento"/>
        <s v="Efectivo"/>
        <s v="Otro"/>
      </sharedItems>
    </cacheField>
    <cacheField name="nombre_unidad" numFmtId="0">
      <sharedItems count="2">
        <s v="Los Angeles"/>
        <s v="San Antonio" u="1"/>
      </sharedItems>
    </cacheField>
    <cacheField name="Días (business_date)" numFmtId="0" databaseField="0">
      <fieldGroup base="7">
        <rangePr groupBy="days" startDate="2024-10-09T00:00:00" endDate="2024-12-19T00:00:00"/>
        <groupItems count="368">
          <s v="&lt;09-10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9-12-2024"/>
        </groupItems>
      </fieldGroup>
    </cacheField>
    <cacheField name="Meses (business_date)" numFmtId="0" databaseField="0">
      <fieldGroup base="7">
        <rangePr groupBy="months" startDate="2024-10-09T00:00:00" endDate="2024-12-19T00:00:00"/>
        <groupItems count="14">
          <s v="&lt;09-10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9-12-2024"/>
        </groupItems>
      </fieldGroup>
    </cacheField>
  </cacheFields>
  <extLst>
    <ext xmlns:x14="http://schemas.microsoft.com/office/spreadsheetml/2009/9/main" uri="{725AE2AE-9491-48be-B2B4-4EB974FC3084}">
      <x14:pivotCacheDefinition pivotCacheId="31048805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ristian Andres Paineo Paineo" refreshedDate="45661.781583912038" createdVersion="5" refreshedVersion="5" minRefreshableVersion="3" recordCount="365">
  <cacheSource type="worksheet">
    <worksheetSource ref="A2:G367" sheet="bases"/>
  </cacheSource>
  <cacheFields count="7">
    <cacheField name="dia" numFmtId="14">
      <sharedItems containsSemiMixedTypes="0" containsNonDate="0" containsDate="1" containsString="0" minDate="2025-01-01T00:00:00" maxDate="2026-01-01T00:00:00"/>
    </cacheField>
    <cacheField name="MES" numFmtId="14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DIA2" numFmtId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WIN " numFmtId="42">
      <sharedItems containsSemiMixedTypes="0" containsString="0" containsNumber="1" minValue="1268386.2965612467" maxValue="30137686.416973956" count="117">
        <n v="10769523.876666673"/>
        <n v="17914677.435093805"/>
        <n v="21512177.37744651"/>
        <n v="22214133.398884982"/>
        <n v="11554451.829768905"/>
        <n v="11001603.27516697"/>
        <n v="12615568.432236403"/>
        <n v="14819319.103650672"/>
        <n v="25401498.102739699"/>
        <n v="13000170.496650968"/>
        <n v="10990808.249030635"/>
        <n v="14622017.08381268"/>
        <n v="19420824.056264978"/>
        <n v="18890263.117766701"/>
        <n v="19884723.080065966"/>
        <n v="15469438.996475484"/>
        <n v="21771769.447452206"/>
        <n v="12359221.488673376"/>
        <n v="11043460.910099026"/>
        <n v="9796355.4992460366"/>
        <n v="17492675.151674688"/>
        <n v="20137429.412609965"/>
        <n v="20269724.665838562"/>
        <n v="14255668.788146231"/>
        <n v="16906490.409075748"/>
        <n v="13874101.637898529"/>
        <n v="20850405.738661312"/>
        <n v="21833447.577267148"/>
        <n v="13258771.196367942"/>
        <n v="12220271.639210202"/>
        <n v="18748699.411723908"/>
        <n v="28122354.298064563"/>
        <n v="30137686.416973956"/>
        <n v="17996398.707780149"/>
        <n v="19496367.193597704"/>
        <n v="18377292.854510665"/>
        <n v="16225347.712527027"/>
        <n v="17859488.846310958"/>
        <n v="9510936.3450710047"/>
        <n v="14628580.210690727"/>
        <n v="12404495.438223165"/>
        <n v="14913537.275037523"/>
        <n v="18608307.840236623"/>
        <n v="21000390.000889018"/>
        <n v="15842750.616372634"/>
        <n v="19667432.319703281"/>
        <n v="14996797.590108931"/>
        <n v="12096226.75535316"/>
        <n v="12165653.444632793"/>
        <n v="19814491.411737077"/>
        <n v="16958565.254434418"/>
        <n v="23527237.755368516"/>
        <n v="21955282.142623648"/>
        <n v="20818647.800325833"/>
        <n v="25077257.367798403"/>
        <n v="22954160.120942026"/>
        <n v="14882406.950573022"/>
        <n v="11974686.527370207"/>
        <n v="15287446.71997752"/>
        <n v="15627172.300597787"/>
        <n v="21477437.704826418"/>
        <n v="23433285.624920178"/>
        <n v="13450868.482832938"/>
        <n v="11006072.639400329"/>
        <n v="15696716.485942286"/>
        <n v="18833261.927158486"/>
        <n v="21647736.343925562"/>
        <n v="19643816.91842562"/>
        <n v="13748354.51669972"/>
        <n v="12285071.814345151"/>
        <n v="12328845.354141442"/>
        <n v="12639123.776696261"/>
        <n v="16109861.726468131"/>
        <n v="17672969.511393573"/>
        <n v="29749683.846341588"/>
        <n v="10104857.653470501"/>
        <n v="13068531.182450902"/>
        <n v="9762208.1862936858"/>
        <n v="17204492.708354019"/>
        <n v="18482688.634819865"/>
        <n v="22854998.904268991"/>
        <n v="14437801.776011975"/>
        <n v="14210950.475896623"/>
        <n v="18141568.806255966"/>
        <n v="21615588.832513798"/>
        <n v="14421811.75337119"/>
        <n v="13902596.590831321"/>
        <n v="20157849.782047223"/>
        <n v="16865652.631443016"/>
        <n v="11686776.774063485"/>
        <n v="8958908.0465439167"/>
        <n v="10490566.121671973"/>
        <n v="18866275.139430262"/>
        <n v="17868754.308327101"/>
        <n v="14868358.512844007"/>
        <n v="17688402.035985719"/>
        <n v="22548094.24644056"/>
        <n v="21560650.726786077"/>
        <n v="12549526.216471182"/>
        <n v="9385198.7187580001"/>
        <n v="10282134.61381324"/>
        <n v="12665903.319958063"/>
        <n v="15254419.879646949"/>
        <n v="19375143.838403549"/>
        <n v="17850419.717109691"/>
        <n v="10661760.350250054"/>
        <n v="12478136.431486145"/>
        <n v="13236159.230605531"/>
        <n v="15862559.787063276"/>
        <n v="16537573.91467895"/>
        <n v="16869719.851997577"/>
        <n v="15866948.361388691"/>
        <n v="15078224.325762285"/>
        <n v="11206717.154156823"/>
        <n v="1268386.2965612467"/>
        <n v="9713180.4833476078"/>
        <n v="18509965.990026288"/>
      </sharedItems>
    </cacheField>
    <cacheField name="COIN IN" numFmtId="42">
      <sharedItems containsSemiMixedTypes="0" containsString="0" containsNumber="1" minValue="18652739.655312449" maxValue="443201270.83785224"/>
    </cacheField>
    <cacheField name="WIN" numFmtId="42">
      <sharedItems containsSemiMixedTypes="0" containsString="0" containsNumber="1" minValue="7.4999999997089617E-2" maxValue="11753426.181500001"/>
    </cacheField>
    <cacheField name="DROP" numFmtId="42">
      <sharedItems containsSemiMixedTypes="0" containsString="0" containsNumber="1" minValue="0" maxValue="58767130.9077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7">
  <r>
    <x v="0"/>
    <x v="0"/>
    <n v="2236869703"/>
    <x v="0"/>
    <n v="32800"/>
    <x v="0"/>
    <x v="0"/>
    <x v="0"/>
    <x v="0"/>
    <x v="0"/>
    <x v="0"/>
    <x v="0"/>
    <x v="0"/>
  </r>
  <r>
    <x v="0"/>
    <x v="0"/>
    <n v="2236869704"/>
    <x v="0"/>
    <n v="139390"/>
    <x v="0"/>
    <x v="0"/>
    <x v="0"/>
    <x v="0"/>
    <x v="0"/>
    <x v="0"/>
    <x v="0"/>
    <x v="0"/>
  </r>
  <r>
    <x v="0"/>
    <x v="0"/>
    <n v="2236869705"/>
    <x v="0"/>
    <n v="29490"/>
    <x v="0"/>
    <x v="0"/>
    <x v="0"/>
    <x v="0"/>
    <x v="0"/>
    <x v="0"/>
    <x v="0"/>
    <x v="0"/>
  </r>
  <r>
    <x v="0"/>
    <x v="0"/>
    <n v="2236869706"/>
    <x v="0"/>
    <n v="66220"/>
    <x v="0"/>
    <x v="0"/>
    <x v="0"/>
    <x v="0"/>
    <x v="0"/>
    <x v="0"/>
    <x v="0"/>
    <x v="0"/>
  </r>
  <r>
    <x v="0"/>
    <x v="0"/>
    <n v="2236869708"/>
    <x v="0"/>
    <n v="13140"/>
    <x v="0"/>
    <x v="0"/>
    <x v="0"/>
    <x v="0"/>
    <x v="0"/>
    <x v="0"/>
    <x v="0"/>
    <x v="0"/>
  </r>
  <r>
    <x v="0"/>
    <x v="0"/>
    <n v="2236869709"/>
    <x v="0"/>
    <n v="11920"/>
    <x v="0"/>
    <x v="0"/>
    <x v="0"/>
    <x v="0"/>
    <x v="0"/>
    <x v="0"/>
    <x v="0"/>
    <x v="0"/>
  </r>
  <r>
    <x v="0"/>
    <x v="0"/>
    <n v="2236869710"/>
    <x v="0"/>
    <n v="10710"/>
    <x v="0"/>
    <x v="0"/>
    <x v="0"/>
    <x v="0"/>
    <x v="0"/>
    <x v="0"/>
    <x v="0"/>
    <x v="0"/>
  </r>
  <r>
    <x v="0"/>
    <x v="0"/>
    <n v="2236869711"/>
    <x v="1"/>
    <n v="3400"/>
    <x v="0"/>
    <x v="0"/>
    <x v="0"/>
    <x v="1"/>
    <x v="0"/>
    <x v="0"/>
    <x v="1"/>
    <x v="0"/>
  </r>
  <r>
    <x v="0"/>
    <x v="0"/>
    <n v="2236869712"/>
    <x v="1"/>
    <n v="1770"/>
    <x v="0"/>
    <x v="0"/>
    <x v="0"/>
    <x v="1"/>
    <x v="0"/>
    <x v="0"/>
    <x v="1"/>
    <x v="0"/>
  </r>
  <r>
    <x v="0"/>
    <x v="0"/>
    <n v="2236869713"/>
    <x v="0"/>
    <n v="10620"/>
    <x v="0"/>
    <x v="0"/>
    <x v="0"/>
    <x v="0"/>
    <x v="0"/>
    <x v="0"/>
    <x v="0"/>
    <x v="0"/>
  </r>
  <r>
    <x v="0"/>
    <x v="0"/>
    <n v="2236869719"/>
    <x v="1"/>
    <n v="900"/>
    <x v="0"/>
    <x v="0"/>
    <x v="0"/>
    <x v="1"/>
    <x v="0"/>
    <x v="0"/>
    <x v="1"/>
    <x v="0"/>
  </r>
  <r>
    <x v="0"/>
    <x v="0"/>
    <n v="2236869720"/>
    <x v="0"/>
    <n v="2040"/>
    <x v="0"/>
    <x v="0"/>
    <x v="0"/>
    <x v="0"/>
    <x v="0"/>
    <x v="0"/>
    <x v="0"/>
    <x v="0"/>
  </r>
  <r>
    <x v="0"/>
    <x v="0"/>
    <n v="2236869721"/>
    <x v="0"/>
    <n v="5040"/>
    <x v="0"/>
    <x v="0"/>
    <x v="0"/>
    <x v="0"/>
    <x v="0"/>
    <x v="0"/>
    <x v="0"/>
    <x v="0"/>
  </r>
  <r>
    <x v="0"/>
    <x v="0"/>
    <n v="2236869725"/>
    <x v="1"/>
    <n v="3180"/>
    <x v="0"/>
    <x v="0"/>
    <x v="0"/>
    <x v="1"/>
    <x v="0"/>
    <x v="0"/>
    <x v="1"/>
    <x v="0"/>
  </r>
  <r>
    <x v="0"/>
    <x v="0"/>
    <n v="2236869731"/>
    <x v="2"/>
    <n v="7560"/>
    <x v="0"/>
    <x v="0"/>
    <x v="0"/>
    <x v="2"/>
    <x v="0"/>
    <x v="0"/>
    <x v="2"/>
    <x v="0"/>
  </r>
  <r>
    <x v="0"/>
    <x v="0"/>
    <n v="2236869732"/>
    <x v="3"/>
    <n v="2160"/>
    <x v="0"/>
    <x v="0"/>
    <x v="0"/>
    <x v="3"/>
    <x v="0"/>
    <x v="0"/>
    <x v="3"/>
    <x v="0"/>
  </r>
  <r>
    <x v="0"/>
    <x v="0"/>
    <n v="2236869734"/>
    <x v="4"/>
    <n v="4200"/>
    <x v="0"/>
    <x v="0"/>
    <x v="0"/>
    <x v="4"/>
    <x v="0"/>
    <x v="0"/>
    <x v="4"/>
    <x v="0"/>
  </r>
  <r>
    <x v="0"/>
    <x v="0"/>
    <n v="2236869735"/>
    <x v="2"/>
    <n v="8690"/>
    <x v="0"/>
    <x v="0"/>
    <x v="0"/>
    <x v="2"/>
    <x v="0"/>
    <x v="0"/>
    <x v="2"/>
    <x v="0"/>
  </r>
  <r>
    <x v="0"/>
    <x v="0"/>
    <n v="2236869737"/>
    <x v="1"/>
    <n v="1080"/>
    <x v="0"/>
    <x v="0"/>
    <x v="0"/>
    <x v="1"/>
    <x v="0"/>
    <x v="0"/>
    <x v="1"/>
    <x v="0"/>
  </r>
  <r>
    <x v="0"/>
    <x v="0"/>
    <n v="2236869738"/>
    <x v="5"/>
    <n v="-7500"/>
    <x v="0"/>
    <x v="0"/>
    <x v="0"/>
    <x v="5"/>
    <x v="0"/>
    <x v="0"/>
    <x v="5"/>
    <x v="0"/>
  </r>
  <r>
    <x v="0"/>
    <x v="0"/>
    <n v="2236869738"/>
    <x v="6"/>
    <n v="20000"/>
    <x v="0"/>
    <x v="0"/>
    <x v="0"/>
    <x v="6"/>
    <x v="0"/>
    <x v="0"/>
    <x v="5"/>
    <x v="0"/>
  </r>
  <r>
    <x v="0"/>
    <x v="0"/>
    <n v="2236869739"/>
    <x v="2"/>
    <n v="8184"/>
    <x v="0"/>
    <x v="0"/>
    <x v="0"/>
    <x v="2"/>
    <x v="0"/>
    <x v="0"/>
    <x v="2"/>
    <x v="0"/>
  </r>
  <r>
    <x v="0"/>
    <x v="0"/>
    <n v="2236869740"/>
    <x v="2"/>
    <n v="6600"/>
    <x v="0"/>
    <x v="0"/>
    <x v="0"/>
    <x v="2"/>
    <x v="0"/>
    <x v="0"/>
    <x v="2"/>
    <x v="0"/>
  </r>
  <r>
    <x v="0"/>
    <x v="0"/>
    <n v="2236869742"/>
    <x v="5"/>
    <n v="-500"/>
    <x v="0"/>
    <x v="0"/>
    <x v="0"/>
    <x v="5"/>
    <x v="0"/>
    <x v="0"/>
    <x v="5"/>
    <x v="0"/>
  </r>
  <r>
    <x v="0"/>
    <x v="0"/>
    <n v="2236869742"/>
    <x v="6"/>
    <n v="4000"/>
    <x v="0"/>
    <x v="0"/>
    <x v="0"/>
    <x v="6"/>
    <x v="0"/>
    <x v="0"/>
    <x v="5"/>
    <x v="0"/>
  </r>
  <r>
    <x v="0"/>
    <x v="0"/>
    <n v="2236869743"/>
    <x v="5"/>
    <n v="-800"/>
    <x v="0"/>
    <x v="0"/>
    <x v="0"/>
    <x v="5"/>
    <x v="0"/>
    <x v="0"/>
    <x v="5"/>
    <x v="0"/>
  </r>
  <r>
    <x v="0"/>
    <x v="0"/>
    <n v="2236869743"/>
    <x v="6"/>
    <n v="5000"/>
    <x v="0"/>
    <x v="0"/>
    <x v="0"/>
    <x v="6"/>
    <x v="0"/>
    <x v="0"/>
    <x v="5"/>
    <x v="0"/>
  </r>
  <r>
    <x v="0"/>
    <x v="0"/>
    <n v="2236869746"/>
    <x v="5"/>
    <n v="-6000"/>
    <x v="0"/>
    <x v="0"/>
    <x v="0"/>
    <x v="5"/>
    <x v="0"/>
    <x v="0"/>
    <x v="5"/>
    <x v="0"/>
  </r>
  <r>
    <x v="0"/>
    <x v="0"/>
    <n v="2236869746"/>
    <x v="4"/>
    <n v="10000"/>
    <x v="0"/>
    <x v="0"/>
    <x v="0"/>
    <x v="4"/>
    <x v="0"/>
    <x v="0"/>
    <x v="4"/>
    <x v="0"/>
  </r>
  <r>
    <x v="0"/>
    <x v="0"/>
    <n v="2236869747"/>
    <x v="1"/>
    <n v="1080"/>
    <x v="0"/>
    <x v="0"/>
    <x v="0"/>
    <x v="1"/>
    <x v="0"/>
    <x v="0"/>
    <x v="1"/>
    <x v="0"/>
  </r>
  <r>
    <x v="0"/>
    <x v="0"/>
    <n v="2236869748"/>
    <x v="1"/>
    <n v="31310"/>
    <x v="0"/>
    <x v="0"/>
    <x v="0"/>
    <x v="1"/>
    <x v="0"/>
    <x v="0"/>
    <x v="1"/>
    <x v="0"/>
  </r>
  <r>
    <x v="0"/>
    <x v="0"/>
    <n v="2236869749"/>
    <x v="5"/>
    <n v="-6000"/>
    <x v="0"/>
    <x v="0"/>
    <x v="0"/>
    <x v="5"/>
    <x v="0"/>
    <x v="0"/>
    <x v="5"/>
    <x v="0"/>
  </r>
  <r>
    <x v="0"/>
    <x v="0"/>
    <n v="2236869749"/>
    <x v="4"/>
    <n v="10000"/>
    <x v="0"/>
    <x v="0"/>
    <x v="0"/>
    <x v="4"/>
    <x v="0"/>
    <x v="0"/>
    <x v="4"/>
    <x v="0"/>
  </r>
  <r>
    <x v="0"/>
    <x v="0"/>
    <n v="2236869752"/>
    <x v="2"/>
    <n v="3300"/>
    <x v="0"/>
    <x v="0"/>
    <x v="0"/>
    <x v="2"/>
    <x v="0"/>
    <x v="0"/>
    <x v="2"/>
    <x v="0"/>
  </r>
  <r>
    <x v="0"/>
    <x v="0"/>
    <n v="2236869754"/>
    <x v="5"/>
    <n v="-800"/>
    <x v="0"/>
    <x v="0"/>
    <x v="0"/>
    <x v="5"/>
    <x v="0"/>
    <x v="0"/>
    <x v="5"/>
    <x v="0"/>
  </r>
  <r>
    <x v="0"/>
    <x v="0"/>
    <n v="2236869754"/>
    <x v="4"/>
    <n v="6000"/>
    <x v="0"/>
    <x v="0"/>
    <x v="0"/>
    <x v="4"/>
    <x v="0"/>
    <x v="0"/>
    <x v="4"/>
    <x v="0"/>
  </r>
  <r>
    <x v="0"/>
    <x v="0"/>
    <n v="2236869761"/>
    <x v="0"/>
    <n v="90480"/>
    <x v="0"/>
    <x v="0"/>
    <x v="0"/>
    <x v="0"/>
    <x v="0"/>
    <x v="0"/>
    <x v="0"/>
    <x v="0"/>
  </r>
  <r>
    <x v="0"/>
    <x v="0"/>
    <n v="2236869763"/>
    <x v="2"/>
    <n v="56210"/>
    <x v="0"/>
    <x v="0"/>
    <x v="0"/>
    <x v="2"/>
    <x v="0"/>
    <x v="0"/>
    <x v="2"/>
    <x v="0"/>
  </r>
  <r>
    <x v="0"/>
    <x v="0"/>
    <n v="2236869765"/>
    <x v="5"/>
    <n v="-14700"/>
    <x v="0"/>
    <x v="0"/>
    <x v="0"/>
    <x v="5"/>
    <x v="0"/>
    <x v="0"/>
    <x v="5"/>
    <x v="0"/>
  </r>
  <r>
    <x v="0"/>
    <x v="0"/>
    <n v="2236869765"/>
    <x v="4"/>
    <n v="20000"/>
    <x v="0"/>
    <x v="0"/>
    <x v="0"/>
    <x v="4"/>
    <x v="0"/>
    <x v="0"/>
    <x v="4"/>
    <x v="0"/>
  </r>
  <r>
    <x v="0"/>
    <x v="0"/>
    <n v="2236869766"/>
    <x v="4"/>
    <n v="5000"/>
    <x v="0"/>
    <x v="0"/>
    <x v="0"/>
    <x v="4"/>
    <x v="0"/>
    <x v="0"/>
    <x v="4"/>
    <x v="0"/>
  </r>
  <r>
    <x v="0"/>
    <x v="0"/>
    <n v="2236869768"/>
    <x v="3"/>
    <n v="19600"/>
    <x v="0"/>
    <x v="0"/>
    <x v="0"/>
    <x v="3"/>
    <x v="0"/>
    <x v="0"/>
    <x v="3"/>
    <x v="0"/>
  </r>
  <r>
    <x v="0"/>
    <x v="0"/>
    <n v="2236869769"/>
    <x v="2"/>
    <n v="11990"/>
    <x v="0"/>
    <x v="0"/>
    <x v="0"/>
    <x v="2"/>
    <x v="0"/>
    <x v="0"/>
    <x v="2"/>
    <x v="0"/>
  </r>
  <r>
    <x v="0"/>
    <x v="0"/>
    <n v="2236869770"/>
    <x v="3"/>
    <n v="18040"/>
    <x v="0"/>
    <x v="0"/>
    <x v="0"/>
    <x v="3"/>
    <x v="0"/>
    <x v="0"/>
    <x v="3"/>
    <x v="0"/>
  </r>
  <r>
    <x v="0"/>
    <x v="0"/>
    <n v="2236869771"/>
    <x v="5"/>
    <n v="-1000"/>
    <x v="0"/>
    <x v="0"/>
    <x v="0"/>
    <x v="5"/>
    <x v="0"/>
    <x v="0"/>
    <x v="5"/>
    <x v="0"/>
  </r>
  <r>
    <x v="0"/>
    <x v="0"/>
    <n v="2236869771"/>
    <x v="4"/>
    <n v="5000"/>
    <x v="0"/>
    <x v="0"/>
    <x v="0"/>
    <x v="4"/>
    <x v="0"/>
    <x v="0"/>
    <x v="4"/>
    <x v="0"/>
  </r>
  <r>
    <x v="0"/>
    <x v="0"/>
    <n v="2236869772"/>
    <x v="1"/>
    <n v="1050"/>
    <x v="0"/>
    <x v="0"/>
    <x v="0"/>
    <x v="1"/>
    <x v="0"/>
    <x v="0"/>
    <x v="1"/>
    <x v="0"/>
  </r>
  <r>
    <x v="0"/>
    <x v="0"/>
    <n v="2236869774"/>
    <x v="5"/>
    <n v="-700"/>
    <x v="0"/>
    <x v="0"/>
    <x v="0"/>
    <x v="5"/>
    <x v="0"/>
    <x v="0"/>
    <x v="5"/>
    <x v="0"/>
  </r>
  <r>
    <x v="0"/>
    <x v="0"/>
    <n v="2236869774"/>
    <x v="4"/>
    <n v="6000"/>
    <x v="0"/>
    <x v="0"/>
    <x v="0"/>
    <x v="4"/>
    <x v="0"/>
    <x v="0"/>
    <x v="4"/>
    <x v="0"/>
  </r>
  <r>
    <x v="0"/>
    <x v="0"/>
    <n v="2236869775"/>
    <x v="5"/>
    <n v="-3800"/>
    <x v="0"/>
    <x v="0"/>
    <x v="1"/>
    <x v="5"/>
    <x v="0"/>
    <x v="0"/>
    <x v="5"/>
    <x v="0"/>
  </r>
  <r>
    <x v="0"/>
    <x v="0"/>
    <n v="2236869775"/>
    <x v="6"/>
    <n v="10000"/>
    <x v="0"/>
    <x v="0"/>
    <x v="1"/>
    <x v="6"/>
    <x v="0"/>
    <x v="0"/>
    <x v="5"/>
    <x v="0"/>
  </r>
  <r>
    <x v="0"/>
    <x v="0"/>
    <n v="2236869776"/>
    <x v="5"/>
    <n v="-1400"/>
    <x v="0"/>
    <x v="0"/>
    <x v="0"/>
    <x v="5"/>
    <x v="0"/>
    <x v="0"/>
    <x v="5"/>
    <x v="0"/>
  </r>
  <r>
    <x v="0"/>
    <x v="0"/>
    <n v="2236869776"/>
    <x v="6"/>
    <n v="5000"/>
    <x v="0"/>
    <x v="0"/>
    <x v="0"/>
    <x v="6"/>
    <x v="0"/>
    <x v="0"/>
    <x v="5"/>
    <x v="0"/>
  </r>
  <r>
    <x v="0"/>
    <x v="0"/>
    <n v="2236869777"/>
    <x v="1"/>
    <n v="1950"/>
    <x v="0"/>
    <x v="0"/>
    <x v="0"/>
    <x v="1"/>
    <x v="0"/>
    <x v="0"/>
    <x v="1"/>
    <x v="0"/>
  </r>
  <r>
    <x v="0"/>
    <x v="0"/>
    <n v="2236869778"/>
    <x v="2"/>
    <n v="17600"/>
    <x v="0"/>
    <x v="0"/>
    <x v="0"/>
    <x v="2"/>
    <x v="0"/>
    <x v="0"/>
    <x v="2"/>
    <x v="0"/>
  </r>
  <r>
    <x v="0"/>
    <x v="0"/>
    <n v="2236869797"/>
    <x v="1"/>
    <n v="3810"/>
    <x v="0"/>
    <x v="0"/>
    <x v="0"/>
    <x v="1"/>
    <x v="0"/>
    <x v="0"/>
    <x v="1"/>
    <x v="0"/>
  </r>
  <r>
    <x v="0"/>
    <x v="0"/>
    <n v="2236869817"/>
    <x v="2"/>
    <n v="12650"/>
    <x v="0"/>
    <x v="0"/>
    <x v="0"/>
    <x v="2"/>
    <x v="0"/>
    <x v="0"/>
    <x v="2"/>
    <x v="0"/>
  </r>
  <r>
    <x v="0"/>
    <x v="0"/>
    <n v="2236869818"/>
    <x v="5"/>
    <n v="-2600"/>
    <x v="0"/>
    <x v="0"/>
    <x v="0"/>
    <x v="5"/>
    <x v="0"/>
    <x v="0"/>
    <x v="5"/>
    <x v="0"/>
  </r>
  <r>
    <x v="0"/>
    <x v="0"/>
    <n v="2236869818"/>
    <x v="6"/>
    <n v="15000"/>
    <x v="0"/>
    <x v="0"/>
    <x v="0"/>
    <x v="6"/>
    <x v="0"/>
    <x v="0"/>
    <x v="5"/>
    <x v="0"/>
  </r>
  <r>
    <x v="0"/>
    <x v="0"/>
    <n v="2236869819"/>
    <x v="2"/>
    <n v="4400"/>
    <x v="0"/>
    <x v="0"/>
    <x v="0"/>
    <x v="2"/>
    <x v="0"/>
    <x v="0"/>
    <x v="2"/>
    <x v="0"/>
  </r>
  <r>
    <x v="0"/>
    <x v="0"/>
    <n v="2236869821"/>
    <x v="2"/>
    <n v="33264"/>
    <x v="0"/>
    <x v="0"/>
    <x v="0"/>
    <x v="2"/>
    <x v="0"/>
    <x v="0"/>
    <x v="2"/>
    <x v="0"/>
  </r>
  <r>
    <x v="0"/>
    <x v="0"/>
    <n v="2236869821"/>
    <x v="7"/>
    <n v="3360"/>
    <x v="0"/>
    <x v="0"/>
    <x v="0"/>
    <x v="7"/>
    <x v="0"/>
    <x v="0"/>
    <x v="1"/>
    <x v="0"/>
  </r>
  <r>
    <x v="0"/>
    <x v="0"/>
    <n v="2236869822"/>
    <x v="5"/>
    <n v="-800"/>
    <x v="0"/>
    <x v="0"/>
    <x v="0"/>
    <x v="5"/>
    <x v="0"/>
    <x v="0"/>
    <x v="5"/>
    <x v="0"/>
  </r>
  <r>
    <x v="0"/>
    <x v="0"/>
    <n v="2236869822"/>
    <x v="4"/>
    <n v="5000"/>
    <x v="0"/>
    <x v="0"/>
    <x v="0"/>
    <x v="4"/>
    <x v="0"/>
    <x v="0"/>
    <x v="4"/>
    <x v="0"/>
  </r>
  <r>
    <x v="0"/>
    <x v="0"/>
    <n v="2236869836"/>
    <x v="5"/>
    <n v="-13200"/>
    <x v="0"/>
    <x v="0"/>
    <x v="0"/>
    <x v="5"/>
    <x v="0"/>
    <x v="0"/>
    <x v="5"/>
    <x v="0"/>
  </r>
  <r>
    <x v="0"/>
    <x v="0"/>
    <n v="2236869836"/>
    <x v="6"/>
    <n v="20000"/>
    <x v="0"/>
    <x v="0"/>
    <x v="0"/>
    <x v="6"/>
    <x v="0"/>
    <x v="0"/>
    <x v="5"/>
    <x v="0"/>
  </r>
  <r>
    <x v="0"/>
    <x v="0"/>
    <n v="2236869837"/>
    <x v="2"/>
    <n v="36410"/>
    <x v="0"/>
    <x v="0"/>
    <x v="0"/>
    <x v="2"/>
    <x v="0"/>
    <x v="0"/>
    <x v="2"/>
    <x v="0"/>
  </r>
  <r>
    <x v="0"/>
    <x v="0"/>
    <n v="2236869839"/>
    <x v="6"/>
    <n v="3000"/>
    <x v="0"/>
    <x v="0"/>
    <x v="0"/>
    <x v="6"/>
    <x v="0"/>
    <x v="0"/>
    <x v="5"/>
    <x v="0"/>
  </r>
  <r>
    <x v="0"/>
    <x v="0"/>
    <n v="2236869840"/>
    <x v="2"/>
    <n v="7128"/>
    <x v="0"/>
    <x v="0"/>
    <x v="0"/>
    <x v="2"/>
    <x v="0"/>
    <x v="0"/>
    <x v="2"/>
    <x v="0"/>
  </r>
  <r>
    <x v="0"/>
    <x v="0"/>
    <n v="2236869841"/>
    <x v="5"/>
    <n v="-10200"/>
    <x v="0"/>
    <x v="0"/>
    <x v="0"/>
    <x v="5"/>
    <x v="0"/>
    <x v="0"/>
    <x v="5"/>
    <x v="0"/>
  </r>
  <r>
    <x v="0"/>
    <x v="0"/>
    <n v="2236869841"/>
    <x v="6"/>
    <n v="20000"/>
    <x v="0"/>
    <x v="0"/>
    <x v="0"/>
    <x v="6"/>
    <x v="0"/>
    <x v="0"/>
    <x v="5"/>
    <x v="0"/>
  </r>
  <r>
    <x v="0"/>
    <x v="0"/>
    <n v="2236869842"/>
    <x v="5"/>
    <n v="-5000"/>
    <x v="0"/>
    <x v="0"/>
    <x v="0"/>
    <x v="5"/>
    <x v="0"/>
    <x v="0"/>
    <x v="5"/>
    <x v="0"/>
  </r>
  <r>
    <x v="0"/>
    <x v="0"/>
    <n v="2236869842"/>
    <x v="4"/>
    <n v="10000"/>
    <x v="0"/>
    <x v="0"/>
    <x v="0"/>
    <x v="4"/>
    <x v="0"/>
    <x v="0"/>
    <x v="4"/>
    <x v="0"/>
  </r>
  <r>
    <x v="0"/>
    <x v="0"/>
    <n v="2236869843"/>
    <x v="4"/>
    <n v="5000"/>
    <x v="0"/>
    <x v="0"/>
    <x v="0"/>
    <x v="4"/>
    <x v="0"/>
    <x v="0"/>
    <x v="4"/>
    <x v="0"/>
  </r>
  <r>
    <x v="0"/>
    <x v="0"/>
    <n v="2236869844"/>
    <x v="2"/>
    <n v="6820"/>
    <x v="0"/>
    <x v="0"/>
    <x v="0"/>
    <x v="2"/>
    <x v="0"/>
    <x v="0"/>
    <x v="2"/>
    <x v="0"/>
  </r>
  <r>
    <x v="0"/>
    <x v="0"/>
    <n v="2236869845"/>
    <x v="1"/>
    <n v="1080"/>
    <x v="0"/>
    <x v="0"/>
    <x v="0"/>
    <x v="1"/>
    <x v="0"/>
    <x v="0"/>
    <x v="1"/>
    <x v="0"/>
  </r>
  <r>
    <x v="0"/>
    <x v="0"/>
    <n v="2236869846"/>
    <x v="2"/>
    <n v="13700"/>
    <x v="0"/>
    <x v="0"/>
    <x v="0"/>
    <x v="2"/>
    <x v="0"/>
    <x v="0"/>
    <x v="2"/>
    <x v="0"/>
  </r>
  <r>
    <x v="0"/>
    <x v="0"/>
    <n v="2236869847"/>
    <x v="2"/>
    <n v="12100"/>
    <x v="0"/>
    <x v="0"/>
    <x v="0"/>
    <x v="2"/>
    <x v="0"/>
    <x v="0"/>
    <x v="2"/>
    <x v="0"/>
  </r>
  <r>
    <x v="0"/>
    <x v="0"/>
    <n v="2236869849"/>
    <x v="5"/>
    <n v="-3800"/>
    <x v="0"/>
    <x v="0"/>
    <x v="0"/>
    <x v="5"/>
    <x v="0"/>
    <x v="0"/>
    <x v="5"/>
    <x v="0"/>
  </r>
  <r>
    <x v="0"/>
    <x v="0"/>
    <n v="2236869849"/>
    <x v="6"/>
    <n v="10000"/>
    <x v="0"/>
    <x v="0"/>
    <x v="0"/>
    <x v="6"/>
    <x v="0"/>
    <x v="0"/>
    <x v="5"/>
    <x v="0"/>
  </r>
  <r>
    <x v="0"/>
    <x v="0"/>
    <n v="2236869851"/>
    <x v="5"/>
    <n v="-3300"/>
    <x v="0"/>
    <x v="0"/>
    <x v="0"/>
    <x v="5"/>
    <x v="0"/>
    <x v="0"/>
    <x v="5"/>
    <x v="0"/>
  </r>
  <r>
    <x v="0"/>
    <x v="0"/>
    <n v="2236869851"/>
    <x v="6"/>
    <n v="45000"/>
    <x v="0"/>
    <x v="0"/>
    <x v="0"/>
    <x v="6"/>
    <x v="0"/>
    <x v="0"/>
    <x v="5"/>
    <x v="0"/>
  </r>
  <r>
    <x v="0"/>
    <x v="0"/>
    <n v="2236869857"/>
    <x v="5"/>
    <n v="-1000"/>
    <x v="0"/>
    <x v="0"/>
    <x v="0"/>
    <x v="5"/>
    <x v="0"/>
    <x v="0"/>
    <x v="5"/>
    <x v="0"/>
  </r>
  <r>
    <x v="0"/>
    <x v="0"/>
    <n v="2236869857"/>
    <x v="6"/>
    <n v="5000"/>
    <x v="0"/>
    <x v="0"/>
    <x v="0"/>
    <x v="6"/>
    <x v="0"/>
    <x v="0"/>
    <x v="5"/>
    <x v="0"/>
  </r>
  <r>
    <x v="0"/>
    <x v="0"/>
    <n v="2236869858"/>
    <x v="5"/>
    <n v="-40"/>
    <x v="0"/>
    <x v="0"/>
    <x v="0"/>
    <x v="5"/>
    <x v="0"/>
    <x v="0"/>
    <x v="5"/>
    <x v="0"/>
  </r>
  <r>
    <x v="0"/>
    <x v="0"/>
    <n v="2236869858"/>
    <x v="6"/>
    <n v="11200"/>
    <x v="0"/>
    <x v="0"/>
    <x v="0"/>
    <x v="6"/>
    <x v="0"/>
    <x v="0"/>
    <x v="5"/>
    <x v="0"/>
  </r>
  <r>
    <x v="0"/>
    <x v="0"/>
    <n v="2236869858"/>
    <x v="7"/>
    <n v="1240"/>
    <x v="0"/>
    <x v="0"/>
    <x v="0"/>
    <x v="7"/>
    <x v="0"/>
    <x v="0"/>
    <x v="1"/>
    <x v="0"/>
  </r>
  <r>
    <x v="0"/>
    <x v="0"/>
    <n v="2236869859"/>
    <x v="5"/>
    <n v="-3800"/>
    <x v="0"/>
    <x v="0"/>
    <x v="0"/>
    <x v="5"/>
    <x v="0"/>
    <x v="0"/>
    <x v="5"/>
    <x v="0"/>
  </r>
  <r>
    <x v="0"/>
    <x v="0"/>
    <n v="2236869859"/>
    <x v="6"/>
    <n v="10000"/>
    <x v="0"/>
    <x v="0"/>
    <x v="0"/>
    <x v="6"/>
    <x v="0"/>
    <x v="0"/>
    <x v="5"/>
    <x v="0"/>
  </r>
  <r>
    <x v="0"/>
    <x v="0"/>
    <n v="2236869861"/>
    <x v="5"/>
    <n v="-880"/>
    <x v="0"/>
    <x v="0"/>
    <x v="0"/>
    <x v="5"/>
    <x v="0"/>
    <x v="0"/>
    <x v="5"/>
    <x v="0"/>
  </r>
  <r>
    <x v="0"/>
    <x v="0"/>
    <n v="2236869861"/>
    <x v="6"/>
    <n v="11000"/>
    <x v="0"/>
    <x v="0"/>
    <x v="0"/>
    <x v="6"/>
    <x v="0"/>
    <x v="0"/>
    <x v="5"/>
    <x v="0"/>
  </r>
  <r>
    <x v="0"/>
    <x v="0"/>
    <n v="2236869862"/>
    <x v="0"/>
    <n v="9760"/>
    <x v="0"/>
    <x v="0"/>
    <x v="0"/>
    <x v="0"/>
    <x v="0"/>
    <x v="0"/>
    <x v="0"/>
    <x v="0"/>
  </r>
  <r>
    <x v="0"/>
    <x v="0"/>
    <n v="2236869864"/>
    <x v="5"/>
    <n v="-7200"/>
    <x v="0"/>
    <x v="0"/>
    <x v="0"/>
    <x v="5"/>
    <x v="0"/>
    <x v="0"/>
    <x v="5"/>
    <x v="0"/>
  </r>
  <r>
    <x v="0"/>
    <x v="0"/>
    <n v="2236869864"/>
    <x v="6"/>
    <n v="20000"/>
    <x v="0"/>
    <x v="0"/>
    <x v="0"/>
    <x v="6"/>
    <x v="0"/>
    <x v="0"/>
    <x v="5"/>
    <x v="0"/>
  </r>
  <r>
    <x v="0"/>
    <x v="0"/>
    <n v="2236869866"/>
    <x v="5"/>
    <n v="-14800"/>
    <x v="0"/>
    <x v="0"/>
    <x v="0"/>
    <x v="5"/>
    <x v="0"/>
    <x v="0"/>
    <x v="5"/>
    <x v="0"/>
  </r>
  <r>
    <x v="0"/>
    <x v="0"/>
    <n v="2236869866"/>
    <x v="4"/>
    <n v="20000"/>
    <x v="0"/>
    <x v="0"/>
    <x v="0"/>
    <x v="4"/>
    <x v="0"/>
    <x v="0"/>
    <x v="4"/>
    <x v="0"/>
  </r>
  <r>
    <x v="0"/>
    <x v="0"/>
    <n v="2236869868"/>
    <x v="2"/>
    <n v="39325"/>
    <x v="0"/>
    <x v="0"/>
    <x v="0"/>
    <x v="2"/>
    <x v="0"/>
    <x v="0"/>
    <x v="2"/>
    <x v="0"/>
  </r>
  <r>
    <x v="0"/>
    <x v="0"/>
    <n v="2236869871"/>
    <x v="2"/>
    <n v="10010"/>
    <x v="0"/>
    <x v="0"/>
    <x v="0"/>
    <x v="2"/>
    <x v="0"/>
    <x v="0"/>
    <x v="2"/>
    <x v="0"/>
  </r>
  <r>
    <x v="0"/>
    <x v="0"/>
    <n v="2236869872"/>
    <x v="5"/>
    <n v="-2500"/>
    <x v="0"/>
    <x v="0"/>
    <x v="0"/>
    <x v="5"/>
    <x v="0"/>
    <x v="0"/>
    <x v="5"/>
    <x v="0"/>
  </r>
  <r>
    <x v="0"/>
    <x v="0"/>
    <n v="2236869872"/>
    <x v="6"/>
    <n v="40000"/>
    <x v="0"/>
    <x v="0"/>
    <x v="0"/>
    <x v="6"/>
    <x v="0"/>
    <x v="0"/>
    <x v="5"/>
    <x v="0"/>
  </r>
  <r>
    <x v="0"/>
    <x v="0"/>
    <n v="2236869874"/>
    <x v="5"/>
    <n v="-15000"/>
    <x v="0"/>
    <x v="0"/>
    <x v="0"/>
    <x v="5"/>
    <x v="0"/>
    <x v="0"/>
    <x v="5"/>
    <x v="0"/>
  </r>
  <r>
    <x v="0"/>
    <x v="0"/>
    <n v="2236869874"/>
    <x v="4"/>
    <n v="20300"/>
    <x v="0"/>
    <x v="0"/>
    <x v="0"/>
    <x v="4"/>
    <x v="0"/>
    <x v="0"/>
    <x v="4"/>
    <x v="0"/>
  </r>
  <r>
    <x v="0"/>
    <x v="0"/>
    <n v="2236869875"/>
    <x v="2"/>
    <n v="34254"/>
    <x v="0"/>
    <x v="0"/>
    <x v="0"/>
    <x v="2"/>
    <x v="0"/>
    <x v="0"/>
    <x v="2"/>
    <x v="0"/>
  </r>
  <r>
    <x v="0"/>
    <x v="0"/>
    <n v="2236869875"/>
    <x v="7"/>
    <n v="3460"/>
    <x v="0"/>
    <x v="0"/>
    <x v="0"/>
    <x v="7"/>
    <x v="0"/>
    <x v="0"/>
    <x v="1"/>
    <x v="0"/>
  </r>
  <r>
    <x v="0"/>
    <x v="0"/>
    <n v="2236869876"/>
    <x v="2"/>
    <n v="7510"/>
    <x v="0"/>
    <x v="0"/>
    <x v="0"/>
    <x v="2"/>
    <x v="0"/>
    <x v="0"/>
    <x v="2"/>
    <x v="0"/>
  </r>
  <r>
    <x v="0"/>
    <x v="0"/>
    <n v="2236869878"/>
    <x v="7"/>
    <n v="1500"/>
    <x v="0"/>
    <x v="0"/>
    <x v="0"/>
    <x v="7"/>
    <x v="0"/>
    <x v="0"/>
    <x v="1"/>
    <x v="0"/>
  </r>
  <r>
    <x v="0"/>
    <x v="0"/>
    <n v="2236869879"/>
    <x v="0"/>
    <n v="12240"/>
    <x v="0"/>
    <x v="0"/>
    <x v="0"/>
    <x v="0"/>
    <x v="0"/>
    <x v="0"/>
    <x v="0"/>
    <x v="0"/>
  </r>
  <r>
    <x v="0"/>
    <x v="0"/>
    <n v="2236869880"/>
    <x v="6"/>
    <n v="9900"/>
    <x v="0"/>
    <x v="0"/>
    <x v="0"/>
    <x v="6"/>
    <x v="0"/>
    <x v="0"/>
    <x v="5"/>
    <x v="0"/>
  </r>
  <r>
    <x v="0"/>
    <x v="0"/>
    <n v="2236869881"/>
    <x v="5"/>
    <n v="-4800"/>
    <x v="0"/>
    <x v="0"/>
    <x v="0"/>
    <x v="5"/>
    <x v="0"/>
    <x v="0"/>
    <x v="5"/>
    <x v="0"/>
  </r>
  <r>
    <x v="0"/>
    <x v="0"/>
    <n v="2236869881"/>
    <x v="4"/>
    <n v="10000"/>
    <x v="0"/>
    <x v="0"/>
    <x v="0"/>
    <x v="4"/>
    <x v="0"/>
    <x v="0"/>
    <x v="4"/>
    <x v="0"/>
  </r>
  <r>
    <x v="0"/>
    <x v="0"/>
    <n v="2236869883"/>
    <x v="2"/>
    <n v="5310"/>
    <x v="0"/>
    <x v="0"/>
    <x v="0"/>
    <x v="2"/>
    <x v="0"/>
    <x v="0"/>
    <x v="2"/>
    <x v="0"/>
  </r>
  <r>
    <x v="0"/>
    <x v="0"/>
    <n v="2236869885"/>
    <x v="2"/>
    <n v="9440"/>
    <x v="0"/>
    <x v="0"/>
    <x v="0"/>
    <x v="2"/>
    <x v="0"/>
    <x v="0"/>
    <x v="2"/>
    <x v="0"/>
  </r>
  <r>
    <x v="0"/>
    <x v="0"/>
    <n v="2236869885"/>
    <x v="7"/>
    <n v="2360"/>
    <x v="0"/>
    <x v="0"/>
    <x v="0"/>
    <x v="7"/>
    <x v="0"/>
    <x v="0"/>
    <x v="1"/>
    <x v="0"/>
  </r>
  <r>
    <x v="0"/>
    <x v="0"/>
    <n v="2236869887"/>
    <x v="5"/>
    <n v="-5000"/>
    <x v="0"/>
    <x v="0"/>
    <x v="0"/>
    <x v="5"/>
    <x v="0"/>
    <x v="0"/>
    <x v="5"/>
    <x v="0"/>
  </r>
  <r>
    <x v="0"/>
    <x v="0"/>
    <n v="2236869887"/>
    <x v="4"/>
    <n v="10000"/>
    <x v="0"/>
    <x v="0"/>
    <x v="0"/>
    <x v="4"/>
    <x v="0"/>
    <x v="0"/>
    <x v="4"/>
    <x v="0"/>
  </r>
  <r>
    <x v="0"/>
    <x v="0"/>
    <n v="2236869888"/>
    <x v="5"/>
    <n v="-15100"/>
    <x v="0"/>
    <x v="0"/>
    <x v="0"/>
    <x v="5"/>
    <x v="0"/>
    <x v="0"/>
    <x v="5"/>
    <x v="0"/>
  </r>
  <r>
    <x v="0"/>
    <x v="0"/>
    <n v="2236869888"/>
    <x v="6"/>
    <n v="20000"/>
    <x v="0"/>
    <x v="0"/>
    <x v="0"/>
    <x v="6"/>
    <x v="0"/>
    <x v="0"/>
    <x v="5"/>
    <x v="0"/>
  </r>
  <r>
    <x v="0"/>
    <x v="0"/>
    <n v="2236869889"/>
    <x v="2"/>
    <n v="35640"/>
    <x v="0"/>
    <x v="0"/>
    <x v="0"/>
    <x v="2"/>
    <x v="0"/>
    <x v="0"/>
    <x v="2"/>
    <x v="0"/>
  </r>
  <r>
    <x v="0"/>
    <x v="0"/>
    <n v="2236869890"/>
    <x v="2"/>
    <n v="3850"/>
    <x v="0"/>
    <x v="0"/>
    <x v="0"/>
    <x v="2"/>
    <x v="0"/>
    <x v="0"/>
    <x v="2"/>
    <x v="0"/>
  </r>
  <r>
    <x v="0"/>
    <x v="0"/>
    <n v="2236869891"/>
    <x v="6"/>
    <n v="22500"/>
    <x v="0"/>
    <x v="0"/>
    <x v="0"/>
    <x v="6"/>
    <x v="0"/>
    <x v="0"/>
    <x v="5"/>
    <x v="0"/>
  </r>
  <r>
    <x v="0"/>
    <x v="0"/>
    <n v="2236869891"/>
    <x v="2"/>
    <n v="7000"/>
    <x v="0"/>
    <x v="0"/>
    <x v="0"/>
    <x v="2"/>
    <x v="0"/>
    <x v="0"/>
    <x v="2"/>
    <x v="0"/>
  </r>
  <r>
    <x v="0"/>
    <x v="0"/>
    <n v="2236869893"/>
    <x v="0"/>
    <n v="4900"/>
    <x v="0"/>
    <x v="0"/>
    <x v="0"/>
    <x v="0"/>
    <x v="0"/>
    <x v="0"/>
    <x v="0"/>
    <x v="0"/>
  </r>
  <r>
    <x v="0"/>
    <x v="0"/>
    <n v="2236869896"/>
    <x v="2"/>
    <n v="37070"/>
    <x v="0"/>
    <x v="0"/>
    <x v="0"/>
    <x v="2"/>
    <x v="0"/>
    <x v="0"/>
    <x v="2"/>
    <x v="0"/>
  </r>
  <r>
    <x v="0"/>
    <x v="0"/>
    <n v="2236869897"/>
    <x v="2"/>
    <n v="7700"/>
    <x v="0"/>
    <x v="0"/>
    <x v="0"/>
    <x v="2"/>
    <x v="0"/>
    <x v="0"/>
    <x v="2"/>
    <x v="0"/>
  </r>
  <r>
    <x v="0"/>
    <x v="0"/>
    <n v="2236869898"/>
    <x v="2"/>
    <n v="4488"/>
    <x v="0"/>
    <x v="0"/>
    <x v="0"/>
    <x v="2"/>
    <x v="0"/>
    <x v="0"/>
    <x v="2"/>
    <x v="0"/>
  </r>
  <r>
    <x v="0"/>
    <x v="0"/>
    <n v="2236869899"/>
    <x v="2"/>
    <n v="26730"/>
    <x v="0"/>
    <x v="0"/>
    <x v="0"/>
    <x v="2"/>
    <x v="0"/>
    <x v="0"/>
    <x v="2"/>
    <x v="0"/>
  </r>
  <r>
    <x v="0"/>
    <x v="0"/>
    <n v="2236869900"/>
    <x v="5"/>
    <n v="-1370"/>
    <x v="0"/>
    <x v="0"/>
    <x v="0"/>
    <x v="5"/>
    <x v="0"/>
    <x v="0"/>
    <x v="5"/>
    <x v="0"/>
  </r>
  <r>
    <x v="0"/>
    <x v="0"/>
    <n v="2236869900"/>
    <x v="6"/>
    <n v="20000"/>
    <x v="0"/>
    <x v="0"/>
    <x v="0"/>
    <x v="6"/>
    <x v="0"/>
    <x v="0"/>
    <x v="5"/>
    <x v="0"/>
  </r>
  <r>
    <x v="0"/>
    <x v="0"/>
    <n v="2236869901"/>
    <x v="5"/>
    <n v="-880"/>
    <x v="0"/>
    <x v="0"/>
    <x v="0"/>
    <x v="5"/>
    <x v="0"/>
    <x v="0"/>
    <x v="5"/>
    <x v="0"/>
  </r>
  <r>
    <x v="0"/>
    <x v="0"/>
    <n v="2236869901"/>
    <x v="6"/>
    <n v="34000"/>
    <x v="0"/>
    <x v="0"/>
    <x v="0"/>
    <x v="6"/>
    <x v="0"/>
    <x v="0"/>
    <x v="5"/>
    <x v="0"/>
  </r>
  <r>
    <x v="0"/>
    <x v="0"/>
    <n v="2236869902"/>
    <x v="2"/>
    <n v="15070"/>
    <x v="0"/>
    <x v="0"/>
    <x v="0"/>
    <x v="2"/>
    <x v="0"/>
    <x v="0"/>
    <x v="2"/>
    <x v="0"/>
  </r>
  <r>
    <x v="0"/>
    <x v="0"/>
    <n v="2236869904"/>
    <x v="5"/>
    <n v="-4700"/>
    <x v="0"/>
    <x v="0"/>
    <x v="0"/>
    <x v="5"/>
    <x v="0"/>
    <x v="0"/>
    <x v="5"/>
    <x v="0"/>
  </r>
  <r>
    <x v="0"/>
    <x v="0"/>
    <n v="2236869904"/>
    <x v="4"/>
    <n v="10000"/>
    <x v="0"/>
    <x v="0"/>
    <x v="0"/>
    <x v="4"/>
    <x v="0"/>
    <x v="0"/>
    <x v="4"/>
    <x v="0"/>
  </r>
  <r>
    <x v="0"/>
    <x v="0"/>
    <n v="2236869906"/>
    <x v="5"/>
    <n v="-6000"/>
    <x v="0"/>
    <x v="0"/>
    <x v="0"/>
    <x v="5"/>
    <x v="0"/>
    <x v="0"/>
    <x v="5"/>
    <x v="0"/>
  </r>
  <r>
    <x v="0"/>
    <x v="0"/>
    <n v="2236869906"/>
    <x v="6"/>
    <n v="10000"/>
    <x v="0"/>
    <x v="0"/>
    <x v="0"/>
    <x v="6"/>
    <x v="0"/>
    <x v="0"/>
    <x v="5"/>
    <x v="0"/>
  </r>
  <r>
    <x v="0"/>
    <x v="0"/>
    <n v="2236869908"/>
    <x v="2"/>
    <n v="13640"/>
    <x v="0"/>
    <x v="0"/>
    <x v="0"/>
    <x v="2"/>
    <x v="0"/>
    <x v="0"/>
    <x v="2"/>
    <x v="0"/>
  </r>
  <r>
    <x v="0"/>
    <x v="0"/>
    <n v="2236869909"/>
    <x v="3"/>
    <n v="13640"/>
    <x v="0"/>
    <x v="0"/>
    <x v="0"/>
    <x v="3"/>
    <x v="0"/>
    <x v="0"/>
    <x v="3"/>
    <x v="0"/>
  </r>
  <r>
    <x v="0"/>
    <x v="0"/>
    <n v="2236869912"/>
    <x v="5"/>
    <n v="-10800"/>
    <x v="0"/>
    <x v="0"/>
    <x v="0"/>
    <x v="5"/>
    <x v="0"/>
    <x v="0"/>
    <x v="5"/>
    <x v="0"/>
  </r>
  <r>
    <x v="0"/>
    <x v="0"/>
    <n v="2236869912"/>
    <x v="6"/>
    <n v="20000"/>
    <x v="0"/>
    <x v="0"/>
    <x v="0"/>
    <x v="6"/>
    <x v="0"/>
    <x v="0"/>
    <x v="5"/>
    <x v="0"/>
  </r>
  <r>
    <x v="0"/>
    <x v="0"/>
    <n v="2236869913"/>
    <x v="2"/>
    <n v="6200"/>
    <x v="0"/>
    <x v="0"/>
    <x v="0"/>
    <x v="2"/>
    <x v="0"/>
    <x v="0"/>
    <x v="2"/>
    <x v="0"/>
  </r>
  <r>
    <x v="0"/>
    <x v="0"/>
    <n v="2236869914"/>
    <x v="5"/>
    <n v="-5800"/>
    <x v="0"/>
    <x v="0"/>
    <x v="0"/>
    <x v="5"/>
    <x v="0"/>
    <x v="0"/>
    <x v="5"/>
    <x v="0"/>
  </r>
  <r>
    <x v="0"/>
    <x v="0"/>
    <n v="2236869914"/>
    <x v="4"/>
    <n v="10000"/>
    <x v="0"/>
    <x v="0"/>
    <x v="0"/>
    <x v="4"/>
    <x v="0"/>
    <x v="0"/>
    <x v="4"/>
    <x v="0"/>
  </r>
  <r>
    <x v="0"/>
    <x v="0"/>
    <n v="2236869916"/>
    <x v="5"/>
    <n v="-13200"/>
    <x v="0"/>
    <x v="0"/>
    <x v="0"/>
    <x v="5"/>
    <x v="0"/>
    <x v="0"/>
    <x v="5"/>
    <x v="0"/>
  </r>
  <r>
    <x v="0"/>
    <x v="0"/>
    <n v="2236869916"/>
    <x v="6"/>
    <n v="20000"/>
    <x v="0"/>
    <x v="0"/>
    <x v="0"/>
    <x v="6"/>
    <x v="0"/>
    <x v="0"/>
    <x v="5"/>
    <x v="0"/>
  </r>
  <r>
    <x v="0"/>
    <x v="0"/>
    <n v="2236869918"/>
    <x v="5"/>
    <n v="-1000"/>
    <x v="0"/>
    <x v="0"/>
    <x v="0"/>
    <x v="5"/>
    <x v="0"/>
    <x v="0"/>
    <x v="5"/>
    <x v="0"/>
  </r>
  <r>
    <x v="0"/>
    <x v="0"/>
    <n v="2236869918"/>
    <x v="4"/>
    <n v="5000"/>
    <x v="0"/>
    <x v="0"/>
    <x v="0"/>
    <x v="4"/>
    <x v="0"/>
    <x v="0"/>
    <x v="4"/>
    <x v="0"/>
  </r>
  <r>
    <x v="0"/>
    <x v="0"/>
    <n v="2236869919"/>
    <x v="5"/>
    <n v="-17400"/>
    <x v="0"/>
    <x v="0"/>
    <x v="0"/>
    <x v="5"/>
    <x v="0"/>
    <x v="0"/>
    <x v="5"/>
    <x v="0"/>
  </r>
  <r>
    <x v="0"/>
    <x v="0"/>
    <n v="2236869919"/>
    <x v="6"/>
    <n v="50000"/>
    <x v="0"/>
    <x v="0"/>
    <x v="0"/>
    <x v="6"/>
    <x v="0"/>
    <x v="0"/>
    <x v="5"/>
    <x v="0"/>
  </r>
  <r>
    <x v="0"/>
    <x v="0"/>
    <n v="2236869920"/>
    <x v="5"/>
    <n v="-20"/>
    <x v="0"/>
    <x v="0"/>
    <x v="0"/>
    <x v="5"/>
    <x v="0"/>
    <x v="0"/>
    <x v="5"/>
    <x v="0"/>
  </r>
  <r>
    <x v="0"/>
    <x v="0"/>
    <n v="2236869920"/>
    <x v="6"/>
    <n v="35300"/>
    <x v="0"/>
    <x v="0"/>
    <x v="0"/>
    <x v="6"/>
    <x v="0"/>
    <x v="0"/>
    <x v="5"/>
    <x v="0"/>
  </r>
  <r>
    <x v="0"/>
    <x v="0"/>
    <n v="2236869921"/>
    <x v="2"/>
    <n v="12980"/>
    <x v="0"/>
    <x v="0"/>
    <x v="0"/>
    <x v="2"/>
    <x v="0"/>
    <x v="0"/>
    <x v="2"/>
    <x v="0"/>
  </r>
  <r>
    <x v="0"/>
    <x v="0"/>
    <n v="2236869922"/>
    <x v="2"/>
    <n v="35420"/>
    <x v="0"/>
    <x v="0"/>
    <x v="0"/>
    <x v="2"/>
    <x v="0"/>
    <x v="0"/>
    <x v="2"/>
    <x v="0"/>
  </r>
  <r>
    <x v="0"/>
    <x v="0"/>
    <n v="2236869923"/>
    <x v="2"/>
    <n v="21400"/>
    <x v="0"/>
    <x v="0"/>
    <x v="0"/>
    <x v="2"/>
    <x v="0"/>
    <x v="0"/>
    <x v="2"/>
    <x v="0"/>
  </r>
  <r>
    <x v="0"/>
    <x v="0"/>
    <n v="2236869925"/>
    <x v="5"/>
    <n v="-2000"/>
    <x v="0"/>
    <x v="0"/>
    <x v="0"/>
    <x v="5"/>
    <x v="0"/>
    <x v="0"/>
    <x v="5"/>
    <x v="0"/>
  </r>
  <r>
    <x v="0"/>
    <x v="0"/>
    <n v="2236869925"/>
    <x v="6"/>
    <n v="5000"/>
    <x v="0"/>
    <x v="0"/>
    <x v="0"/>
    <x v="6"/>
    <x v="0"/>
    <x v="0"/>
    <x v="5"/>
    <x v="0"/>
  </r>
  <r>
    <x v="0"/>
    <x v="0"/>
    <n v="2236869926"/>
    <x v="2"/>
    <n v="7810"/>
    <x v="0"/>
    <x v="0"/>
    <x v="0"/>
    <x v="2"/>
    <x v="0"/>
    <x v="0"/>
    <x v="2"/>
    <x v="0"/>
  </r>
  <r>
    <x v="0"/>
    <x v="0"/>
    <n v="2236869927"/>
    <x v="5"/>
    <n v="-5000"/>
    <x v="0"/>
    <x v="0"/>
    <x v="0"/>
    <x v="5"/>
    <x v="0"/>
    <x v="0"/>
    <x v="5"/>
    <x v="0"/>
  </r>
  <r>
    <x v="0"/>
    <x v="0"/>
    <n v="2236869927"/>
    <x v="6"/>
    <n v="20000"/>
    <x v="0"/>
    <x v="0"/>
    <x v="0"/>
    <x v="6"/>
    <x v="0"/>
    <x v="0"/>
    <x v="5"/>
    <x v="0"/>
  </r>
  <r>
    <x v="0"/>
    <x v="0"/>
    <n v="2236869928"/>
    <x v="2"/>
    <n v="38830"/>
    <x v="0"/>
    <x v="0"/>
    <x v="0"/>
    <x v="2"/>
    <x v="0"/>
    <x v="0"/>
    <x v="2"/>
    <x v="0"/>
  </r>
  <r>
    <x v="0"/>
    <x v="0"/>
    <n v="2236869930"/>
    <x v="7"/>
    <n v="1500"/>
    <x v="0"/>
    <x v="0"/>
    <x v="0"/>
    <x v="7"/>
    <x v="0"/>
    <x v="0"/>
    <x v="1"/>
    <x v="0"/>
  </r>
  <r>
    <x v="0"/>
    <x v="0"/>
    <n v="2236869931"/>
    <x v="2"/>
    <n v="42240"/>
    <x v="0"/>
    <x v="0"/>
    <x v="0"/>
    <x v="2"/>
    <x v="0"/>
    <x v="0"/>
    <x v="2"/>
    <x v="0"/>
  </r>
  <r>
    <x v="0"/>
    <x v="0"/>
    <n v="2236869933"/>
    <x v="0"/>
    <n v="8880"/>
    <x v="0"/>
    <x v="0"/>
    <x v="0"/>
    <x v="0"/>
    <x v="0"/>
    <x v="0"/>
    <x v="0"/>
    <x v="0"/>
  </r>
  <r>
    <x v="0"/>
    <x v="0"/>
    <n v="2236869934"/>
    <x v="5"/>
    <n v="-13100"/>
    <x v="0"/>
    <x v="0"/>
    <x v="0"/>
    <x v="5"/>
    <x v="0"/>
    <x v="0"/>
    <x v="5"/>
    <x v="0"/>
  </r>
  <r>
    <x v="0"/>
    <x v="0"/>
    <n v="2236869934"/>
    <x v="6"/>
    <n v="20000"/>
    <x v="0"/>
    <x v="0"/>
    <x v="0"/>
    <x v="6"/>
    <x v="0"/>
    <x v="0"/>
    <x v="5"/>
    <x v="0"/>
  </r>
  <r>
    <x v="0"/>
    <x v="0"/>
    <n v="2236869935"/>
    <x v="2"/>
    <n v="4500"/>
    <x v="0"/>
    <x v="0"/>
    <x v="0"/>
    <x v="2"/>
    <x v="0"/>
    <x v="0"/>
    <x v="2"/>
    <x v="0"/>
  </r>
  <r>
    <x v="0"/>
    <x v="0"/>
    <n v="2236869937"/>
    <x v="5"/>
    <n v="-200"/>
    <x v="0"/>
    <x v="0"/>
    <x v="0"/>
    <x v="5"/>
    <x v="0"/>
    <x v="0"/>
    <x v="5"/>
    <x v="0"/>
  </r>
  <r>
    <x v="0"/>
    <x v="0"/>
    <n v="2236869937"/>
    <x v="6"/>
    <n v="7000"/>
    <x v="0"/>
    <x v="0"/>
    <x v="0"/>
    <x v="6"/>
    <x v="0"/>
    <x v="0"/>
    <x v="5"/>
    <x v="0"/>
  </r>
  <r>
    <x v="0"/>
    <x v="0"/>
    <n v="2236869942"/>
    <x v="2"/>
    <n v="28930"/>
    <x v="0"/>
    <x v="0"/>
    <x v="1"/>
    <x v="2"/>
    <x v="0"/>
    <x v="0"/>
    <x v="2"/>
    <x v="0"/>
  </r>
  <r>
    <x v="0"/>
    <x v="0"/>
    <n v="2236869943"/>
    <x v="2"/>
    <n v="17820"/>
    <x v="0"/>
    <x v="0"/>
    <x v="0"/>
    <x v="2"/>
    <x v="0"/>
    <x v="0"/>
    <x v="2"/>
    <x v="0"/>
  </r>
  <r>
    <x v="0"/>
    <x v="0"/>
    <n v="2236869943"/>
    <x v="7"/>
    <n v="1800"/>
    <x v="0"/>
    <x v="0"/>
    <x v="0"/>
    <x v="7"/>
    <x v="0"/>
    <x v="0"/>
    <x v="1"/>
    <x v="0"/>
  </r>
  <r>
    <x v="0"/>
    <x v="0"/>
    <n v="2236869944"/>
    <x v="3"/>
    <n v="14740"/>
    <x v="0"/>
    <x v="0"/>
    <x v="0"/>
    <x v="3"/>
    <x v="0"/>
    <x v="0"/>
    <x v="3"/>
    <x v="0"/>
  </r>
  <r>
    <x v="0"/>
    <x v="0"/>
    <n v="2236869945"/>
    <x v="2"/>
    <n v="6800"/>
    <x v="0"/>
    <x v="0"/>
    <x v="0"/>
    <x v="2"/>
    <x v="0"/>
    <x v="0"/>
    <x v="2"/>
    <x v="0"/>
  </r>
  <r>
    <x v="0"/>
    <x v="0"/>
    <n v="2236869946"/>
    <x v="2"/>
    <n v="4000"/>
    <x v="0"/>
    <x v="0"/>
    <x v="0"/>
    <x v="2"/>
    <x v="0"/>
    <x v="0"/>
    <x v="2"/>
    <x v="0"/>
  </r>
  <r>
    <x v="0"/>
    <x v="0"/>
    <n v="2236869947"/>
    <x v="1"/>
    <n v="2760"/>
    <x v="0"/>
    <x v="0"/>
    <x v="0"/>
    <x v="1"/>
    <x v="0"/>
    <x v="0"/>
    <x v="1"/>
    <x v="0"/>
  </r>
  <r>
    <x v="0"/>
    <x v="0"/>
    <n v="2236869948"/>
    <x v="5"/>
    <n v="-3800"/>
    <x v="0"/>
    <x v="0"/>
    <x v="0"/>
    <x v="5"/>
    <x v="0"/>
    <x v="0"/>
    <x v="5"/>
    <x v="0"/>
  </r>
  <r>
    <x v="0"/>
    <x v="0"/>
    <n v="2236869948"/>
    <x v="6"/>
    <n v="10000"/>
    <x v="0"/>
    <x v="0"/>
    <x v="0"/>
    <x v="6"/>
    <x v="0"/>
    <x v="0"/>
    <x v="5"/>
    <x v="0"/>
  </r>
  <r>
    <x v="0"/>
    <x v="0"/>
    <n v="2236869949"/>
    <x v="2"/>
    <n v="11160"/>
    <x v="0"/>
    <x v="0"/>
    <x v="0"/>
    <x v="2"/>
    <x v="0"/>
    <x v="0"/>
    <x v="2"/>
    <x v="0"/>
  </r>
  <r>
    <x v="0"/>
    <x v="0"/>
    <n v="2236869949"/>
    <x v="7"/>
    <n v="1240"/>
    <x v="0"/>
    <x v="0"/>
    <x v="0"/>
    <x v="7"/>
    <x v="0"/>
    <x v="0"/>
    <x v="1"/>
    <x v="0"/>
  </r>
  <r>
    <x v="0"/>
    <x v="0"/>
    <n v="2236869950"/>
    <x v="2"/>
    <n v="15200"/>
    <x v="0"/>
    <x v="0"/>
    <x v="0"/>
    <x v="2"/>
    <x v="0"/>
    <x v="0"/>
    <x v="2"/>
    <x v="0"/>
  </r>
  <r>
    <x v="0"/>
    <x v="0"/>
    <n v="2236869951"/>
    <x v="5"/>
    <n v="-400"/>
    <x v="0"/>
    <x v="0"/>
    <x v="0"/>
    <x v="5"/>
    <x v="0"/>
    <x v="0"/>
    <x v="5"/>
    <x v="0"/>
  </r>
  <r>
    <x v="0"/>
    <x v="0"/>
    <n v="2236869951"/>
    <x v="4"/>
    <n v="5000"/>
    <x v="0"/>
    <x v="0"/>
    <x v="0"/>
    <x v="4"/>
    <x v="0"/>
    <x v="0"/>
    <x v="4"/>
    <x v="0"/>
  </r>
  <r>
    <x v="0"/>
    <x v="0"/>
    <n v="2236869953"/>
    <x v="5"/>
    <n v="-18000"/>
    <x v="0"/>
    <x v="0"/>
    <x v="0"/>
    <x v="5"/>
    <x v="0"/>
    <x v="0"/>
    <x v="5"/>
    <x v="0"/>
  </r>
  <r>
    <x v="0"/>
    <x v="0"/>
    <n v="2236869953"/>
    <x v="6"/>
    <n v="60000"/>
    <x v="0"/>
    <x v="0"/>
    <x v="0"/>
    <x v="6"/>
    <x v="0"/>
    <x v="0"/>
    <x v="5"/>
    <x v="0"/>
  </r>
  <r>
    <x v="0"/>
    <x v="0"/>
    <n v="2236869954"/>
    <x v="2"/>
    <n v="3190"/>
    <x v="0"/>
    <x v="0"/>
    <x v="0"/>
    <x v="2"/>
    <x v="0"/>
    <x v="0"/>
    <x v="2"/>
    <x v="0"/>
  </r>
  <r>
    <x v="0"/>
    <x v="0"/>
    <n v="2236869955"/>
    <x v="2"/>
    <n v="27500"/>
    <x v="0"/>
    <x v="0"/>
    <x v="0"/>
    <x v="2"/>
    <x v="0"/>
    <x v="0"/>
    <x v="2"/>
    <x v="0"/>
  </r>
  <r>
    <x v="0"/>
    <x v="0"/>
    <n v="2236869956"/>
    <x v="2"/>
    <n v="3000"/>
    <x v="0"/>
    <x v="0"/>
    <x v="0"/>
    <x v="2"/>
    <x v="0"/>
    <x v="0"/>
    <x v="2"/>
    <x v="0"/>
  </r>
  <r>
    <x v="0"/>
    <x v="0"/>
    <n v="2236869957"/>
    <x v="2"/>
    <n v="2800"/>
    <x v="0"/>
    <x v="0"/>
    <x v="0"/>
    <x v="2"/>
    <x v="0"/>
    <x v="0"/>
    <x v="2"/>
    <x v="0"/>
  </r>
  <r>
    <x v="0"/>
    <x v="0"/>
    <n v="2236869958"/>
    <x v="6"/>
    <n v="2400"/>
    <x v="0"/>
    <x v="0"/>
    <x v="0"/>
    <x v="6"/>
    <x v="0"/>
    <x v="0"/>
    <x v="5"/>
    <x v="0"/>
  </r>
  <r>
    <x v="0"/>
    <x v="0"/>
    <n v="2236869958"/>
    <x v="2"/>
    <n v="6820"/>
    <x v="0"/>
    <x v="0"/>
    <x v="0"/>
    <x v="2"/>
    <x v="0"/>
    <x v="0"/>
    <x v="2"/>
    <x v="0"/>
  </r>
  <r>
    <x v="0"/>
    <x v="0"/>
    <n v="2236869959"/>
    <x v="5"/>
    <n v="-950"/>
    <x v="0"/>
    <x v="0"/>
    <x v="0"/>
    <x v="5"/>
    <x v="0"/>
    <x v="0"/>
    <x v="5"/>
    <x v="0"/>
  </r>
  <r>
    <x v="0"/>
    <x v="0"/>
    <n v="2236869959"/>
    <x v="6"/>
    <n v="5000"/>
    <x v="0"/>
    <x v="0"/>
    <x v="0"/>
    <x v="6"/>
    <x v="0"/>
    <x v="0"/>
    <x v="5"/>
    <x v="0"/>
  </r>
  <r>
    <x v="0"/>
    <x v="0"/>
    <n v="2236869959"/>
    <x v="7"/>
    <n v="450"/>
    <x v="0"/>
    <x v="0"/>
    <x v="0"/>
    <x v="7"/>
    <x v="0"/>
    <x v="0"/>
    <x v="1"/>
    <x v="0"/>
  </r>
  <r>
    <x v="0"/>
    <x v="0"/>
    <n v="2236869960"/>
    <x v="5"/>
    <n v="-500"/>
    <x v="0"/>
    <x v="0"/>
    <x v="0"/>
    <x v="5"/>
    <x v="0"/>
    <x v="0"/>
    <x v="5"/>
    <x v="0"/>
  </r>
  <r>
    <x v="0"/>
    <x v="0"/>
    <n v="2236869960"/>
    <x v="6"/>
    <n v="5000"/>
    <x v="0"/>
    <x v="0"/>
    <x v="0"/>
    <x v="6"/>
    <x v="0"/>
    <x v="0"/>
    <x v="5"/>
    <x v="0"/>
  </r>
  <r>
    <x v="0"/>
    <x v="0"/>
    <n v="2236869961"/>
    <x v="5"/>
    <n v="-5000"/>
    <x v="0"/>
    <x v="0"/>
    <x v="0"/>
    <x v="5"/>
    <x v="0"/>
    <x v="0"/>
    <x v="5"/>
    <x v="0"/>
  </r>
  <r>
    <x v="0"/>
    <x v="0"/>
    <n v="2236869961"/>
    <x v="4"/>
    <n v="10000"/>
    <x v="0"/>
    <x v="0"/>
    <x v="0"/>
    <x v="4"/>
    <x v="0"/>
    <x v="0"/>
    <x v="4"/>
    <x v="0"/>
  </r>
  <r>
    <x v="0"/>
    <x v="0"/>
    <n v="2236869962"/>
    <x v="5"/>
    <n v="-2000"/>
    <x v="0"/>
    <x v="0"/>
    <x v="0"/>
    <x v="5"/>
    <x v="0"/>
    <x v="0"/>
    <x v="5"/>
    <x v="0"/>
  </r>
  <r>
    <x v="0"/>
    <x v="0"/>
    <n v="2236869962"/>
    <x v="6"/>
    <n v="5000"/>
    <x v="0"/>
    <x v="0"/>
    <x v="0"/>
    <x v="6"/>
    <x v="0"/>
    <x v="0"/>
    <x v="5"/>
    <x v="0"/>
  </r>
  <r>
    <x v="0"/>
    <x v="0"/>
    <n v="2236869963"/>
    <x v="5"/>
    <n v="-18200"/>
    <x v="0"/>
    <x v="0"/>
    <x v="0"/>
    <x v="5"/>
    <x v="0"/>
    <x v="0"/>
    <x v="5"/>
    <x v="0"/>
  </r>
  <r>
    <x v="0"/>
    <x v="0"/>
    <n v="2236869963"/>
    <x v="6"/>
    <n v="25000"/>
    <x v="0"/>
    <x v="0"/>
    <x v="0"/>
    <x v="6"/>
    <x v="0"/>
    <x v="0"/>
    <x v="5"/>
    <x v="0"/>
  </r>
  <r>
    <x v="0"/>
    <x v="0"/>
    <n v="2236869965"/>
    <x v="2"/>
    <n v="6120"/>
    <x v="0"/>
    <x v="0"/>
    <x v="0"/>
    <x v="2"/>
    <x v="0"/>
    <x v="0"/>
    <x v="2"/>
    <x v="0"/>
  </r>
  <r>
    <x v="0"/>
    <x v="0"/>
    <n v="2236869966"/>
    <x v="4"/>
    <n v="5000"/>
    <x v="0"/>
    <x v="0"/>
    <x v="0"/>
    <x v="4"/>
    <x v="0"/>
    <x v="0"/>
    <x v="4"/>
    <x v="0"/>
  </r>
  <r>
    <x v="0"/>
    <x v="0"/>
    <n v="2236869967"/>
    <x v="2"/>
    <n v="11970"/>
    <x v="0"/>
    <x v="0"/>
    <x v="0"/>
    <x v="2"/>
    <x v="0"/>
    <x v="0"/>
    <x v="2"/>
    <x v="0"/>
  </r>
  <r>
    <x v="0"/>
    <x v="0"/>
    <n v="2236869967"/>
    <x v="7"/>
    <n v="680"/>
    <x v="0"/>
    <x v="0"/>
    <x v="0"/>
    <x v="7"/>
    <x v="0"/>
    <x v="0"/>
    <x v="1"/>
    <x v="0"/>
  </r>
  <r>
    <x v="0"/>
    <x v="0"/>
    <n v="2236869968"/>
    <x v="2"/>
    <n v="21780"/>
    <x v="0"/>
    <x v="0"/>
    <x v="0"/>
    <x v="2"/>
    <x v="0"/>
    <x v="0"/>
    <x v="2"/>
    <x v="0"/>
  </r>
  <r>
    <x v="0"/>
    <x v="0"/>
    <n v="2236869969"/>
    <x v="5"/>
    <n v="-4700"/>
    <x v="0"/>
    <x v="0"/>
    <x v="0"/>
    <x v="5"/>
    <x v="0"/>
    <x v="0"/>
    <x v="5"/>
    <x v="0"/>
  </r>
  <r>
    <x v="0"/>
    <x v="0"/>
    <n v="2236869969"/>
    <x v="4"/>
    <n v="10000"/>
    <x v="0"/>
    <x v="0"/>
    <x v="0"/>
    <x v="4"/>
    <x v="0"/>
    <x v="0"/>
    <x v="4"/>
    <x v="0"/>
  </r>
  <r>
    <x v="0"/>
    <x v="0"/>
    <n v="2236869970"/>
    <x v="2"/>
    <n v="52635"/>
    <x v="0"/>
    <x v="0"/>
    <x v="0"/>
    <x v="2"/>
    <x v="0"/>
    <x v="0"/>
    <x v="2"/>
    <x v="0"/>
  </r>
  <r>
    <x v="0"/>
    <x v="0"/>
    <n v="2236869973"/>
    <x v="2"/>
    <n v="12500"/>
    <x v="0"/>
    <x v="0"/>
    <x v="0"/>
    <x v="2"/>
    <x v="0"/>
    <x v="0"/>
    <x v="2"/>
    <x v="0"/>
  </r>
  <r>
    <x v="0"/>
    <x v="0"/>
    <n v="2236869975"/>
    <x v="5"/>
    <n v="-16000"/>
    <x v="0"/>
    <x v="0"/>
    <x v="0"/>
    <x v="5"/>
    <x v="0"/>
    <x v="0"/>
    <x v="5"/>
    <x v="0"/>
  </r>
  <r>
    <x v="0"/>
    <x v="0"/>
    <n v="2236869975"/>
    <x v="6"/>
    <n v="20050"/>
    <x v="0"/>
    <x v="0"/>
    <x v="0"/>
    <x v="6"/>
    <x v="0"/>
    <x v="0"/>
    <x v="5"/>
    <x v="0"/>
  </r>
  <r>
    <x v="0"/>
    <x v="0"/>
    <n v="2236869975"/>
    <x v="7"/>
    <n v="450"/>
    <x v="0"/>
    <x v="0"/>
    <x v="0"/>
    <x v="7"/>
    <x v="0"/>
    <x v="0"/>
    <x v="1"/>
    <x v="0"/>
  </r>
  <r>
    <x v="0"/>
    <x v="0"/>
    <n v="2236869976"/>
    <x v="5"/>
    <n v="-1000"/>
    <x v="0"/>
    <x v="0"/>
    <x v="0"/>
    <x v="5"/>
    <x v="0"/>
    <x v="0"/>
    <x v="5"/>
    <x v="0"/>
  </r>
  <r>
    <x v="0"/>
    <x v="0"/>
    <n v="2236869976"/>
    <x v="6"/>
    <n v="7000"/>
    <x v="0"/>
    <x v="0"/>
    <x v="0"/>
    <x v="6"/>
    <x v="0"/>
    <x v="0"/>
    <x v="5"/>
    <x v="0"/>
  </r>
  <r>
    <x v="0"/>
    <x v="0"/>
    <n v="2236869997"/>
    <x v="2"/>
    <n v="18700"/>
    <x v="0"/>
    <x v="0"/>
    <x v="0"/>
    <x v="2"/>
    <x v="0"/>
    <x v="0"/>
    <x v="2"/>
    <x v="0"/>
  </r>
  <r>
    <x v="0"/>
    <x v="0"/>
    <n v="2236869998"/>
    <x v="5"/>
    <n v="-1"/>
    <x v="0"/>
    <x v="0"/>
    <x v="0"/>
    <x v="5"/>
    <x v="0"/>
    <x v="0"/>
    <x v="5"/>
    <x v="0"/>
  </r>
  <r>
    <x v="0"/>
    <x v="0"/>
    <n v="2236869998"/>
    <x v="6"/>
    <n v="1"/>
    <x v="0"/>
    <x v="0"/>
    <x v="0"/>
    <x v="6"/>
    <x v="0"/>
    <x v="0"/>
    <x v="5"/>
    <x v="0"/>
  </r>
  <r>
    <x v="0"/>
    <x v="0"/>
    <n v="2236870000"/>
    <x v="5"/>
    <n v="-1"/>
    <x v="0"/>
    <x v="0"/>
    <x v="0"/>
    <x v="5"/>
    <x v="0"/>
    <x v="0"/>
    <x v="5"/>
    <x v="0"/>
  </r>
  <r>
    <x v="0"/>
    <x v="0"/>
    <n v="2236870000"/>
    <x v="6"/>
    <n v="1"/>
    <x v="0"/>
    <x v="0"/>
    <x v="0"/>
    <x v="6"/>
    <x v="0"/>
    <x v="0"/>
    <x v="5"/>
    <x v="0"/>
  </r>
  <r>
    <x v="0"/>
    <x v="0"/>
    <n v="2236870001"/>
    <x v="2"/>
    <n v="4960"/>
    <x v="0"/>
    <x v="0"/>
    <x v="0"/>
    <x v="2"/>
    <x v="0"/>
    <x v="0"/>
    <x v="2"/>
    <x v="0"/>
  </r>
  <r>
    <x v="0"/>
    <x v="0"/>
    <n v="2236870001"/>
    <x v="7"/>
    <n v="1240"/>
    <x v="0"/>
    <x v="0"/>
    <x v="0"/>
    <x v="7"/>
    <x v="0"/>
    <x v="0"/>
    <x v="1"/>
    <x v="0"/>
  </r>
  <r>
    <x v="0"/>
    <x v="0"/>
    <n v="2236870002"/>
    <x v="5"/>
    <n v="-1400"/>
    <x v="0"/>
    <x v="0"/>
    <x v="0"/>
    <x v="5"/>
    <x v="0"/>
    <x v="0"/>
    <x v="5"/>
    <x v="0"/>
  </r>
  <r>
    <x v="0"/>
    <x v="0"/>
    <n v="2236870002"/>
    <x v="6"/>
    <n v="20000"/>
    <x v="0"/>
    <x v="0"/>
    <x v="0"/>
    <x v="6"/>
    <x v="0"/>
    <x v="0"/>
    <x v="5"/>
    <x v="0"/>
  </r>
  <r>
    <x v="0"/>
    <x v="0"/>
    <n v="2236870003"/>
    <x v="6"/>
    <n v="12300"/>
    <x v="0"/>
    <x v="0"/>
    <x v="0"/>
    <x v="6"/>
    <x v="0"/>
    <x v="0"/>
    <x v="5"/>
    <x v="0"/>
  </r>
  <r>
    <x v="0"/>
    <x v="0"/>
    <n v="2236870004"/>
    <x v="5"/>
    <n v="-11000"/>
    <x v="0"/>
    <x v="0"/>
    <x v="0"/>
    <x v="5"/>
    <x v="0"/>
    <x v="0"/>
    <x v="5"/>
    <x v="0"/>
  </r>
  <r>
    <x v="0"/>
    <x v="0"/>
    <n v="2236870004"/>
    <x v="6"/>
    <n v="20000"/>
    <x v="0"/>
    <x v="0"/>
    <x v="0"/>
    <x v="6"/>
    <x v="0"/>
    <x v="0"/>
    <x v="5"/>
    <x v="0"/>
  </r>
  <r>
    <x v="0"/>
    <x v="0"/>
    <n v="2236870005"/>
    <x v="2"/>
    <n v="10120"/>
    <x v="0"/>
    <x v="0"/>
    <x v="0"/>
    <x v="2"/>
    <x v="0"/>
    <x v="0"/>
    <x v="2"/>
    <x v="0"/>
  </r>
  <r>
    <x v="0"/>
    <x v="0"/>
    <n v="2236870006"/>
    <x v="2"/>
    <n v="3000"/>
    <x v="0"/>
    <x v="0"/>
    <x v="0"/>
    <x v="2"/>
    <x v="0"/>
    <x v="0"/>
    <x v="2"/>
    <x v="0"/>
  </r>
  <r>
    <x v="0"/>
    <x v="0"/>
    <n v="2236870009"/>
    <x v="5"/>
    <n v="-6300"/>
    <x v="0"/>
    <x v="0"/>
    <x v="0"/>
    <x v="5"/>
    <x v="0"/>
    <x v="0"/>
    <x v="5"/>
    <x v="0"/>
  </r>
  <r>
    <x v="0"/>
    <x v="0"/>
    <n v="2236870009"/>
    <x v="4"/>
    <n v="10500"/>
    <x v="0"/>
    <x v="0"/>
    <x v="0"/>
    <x v="4"/>
    <x v="0"/>
    <x v="0"/>
    <x v="4"/>
    <x v="0"/>
  </r>
  <r>
    <x v="0"/>
    <x v="0"/>
    <n v="2236870010"/>
    <x v="2"/>
    <n v="6732"/>
    <x v="0"/>
    <x v="0"/>
    <x v="0"/>
    <x v="2"/>
    <x v="0"/>
    <x v="0"/>
    <x v="2"/>
    <x v="0"/>
  </r>
  <r>
    <x v="0"/>
    <x v="0"/>
    <n v="2236870011"/>
    <x v="5"/>
    <n v="-4700"/>
    <x v="0"/>
    <x v="0"/>
    <x v="0"/>
    <x v="5"/>
    <x v="0"/>
    <x v="0"/>
    <x v="5"/>
    <x v="0"/>
  </r>
  <r>
    <x v="0"/>
    <x v="0"/>
    <n v="2236870011"/>
    <x v="4"/>
    <n v="10000"/>
    <x v="0"/>
    <x v="0"/>
    <x v="0"/>
    <x v="4"/>
    <x v="0"/>
    <x v="0"/>
    <x v="4"/>
    <x v="0"/>
  </r>
  <r>
    <x v="0"/>
    <x v="0"/>
    <n v="2236870012"/>
    <x v="2"/>
    <n v="13640"/>
    <x v="0"/>
    <x v="0"/>
    <x v="0"/>
    <x v="2"/>
    <x v="0"/>
    <x v="0"/>
    <x v="2"/>
    <x v="0"/>
  </r>
  <r>
    <x v="0"/>
    <x v="0"/>
    <n v="2236870016"/>
    <x v="5"/>
    <n v="-800"/>
    <x v="0"/>
    <x v="0"/>
    <x v="0"/>
    <x v="5"/>
    <x v="0"/>
    <x v="0"/>
    <x v="5"/>
    <x v="0"/>
  </r>
  <r>
    <x v="0"/>
    <x v="0"/>
    <n v="2236870016"/>
    <x v="6"/>
    <n v="10000"/>
    <x v="0"/>
    <x v="0"/>
    <x v="0"/>
    <x v="6"/>
    <x v="0"/>
    <x v="0"/>
    <x v="5"/>
    <x v="0"/>
  </r>
  <r>
    <x v="0"/>
    <x v="0"/>
    <n v="2236870017"/>
    <x v="2"/>
    <n v="20790"/>
    <x v="0"/>
    <x v="0"/>
    <x v="0"/>
    <x v="2"/>
    <x v="0"/>
    <x v="0"/>
    <x v="2"/>
    <x v="0"/>
  </r>
  <r>
    <x v="0"/>
    <x v="0"/>
    <n v="2236870020"/>
    <x v="6"/>
    <n v="5400"/>
    <x v="0"/>
    <x v="0"/>
    <x v="0"/>
    <x v="6"/>
    <x v="0"/>
    <x v="0"/>
    <x v="5"/>
    <x v="0"/>
  </r>
  <r>
    <x v="0"/>
    <x v="0"/>
    <n v="2236870021"/>
    <x v="2"/>
    <n v="6800"/>
    <x v="0"/>
    <x v="0"/>
    <x v="0"/>
    <x v="2"/>
    <x v="0"/>
    <x v="0"/>
    <x v="2"/>
    <x v="0"/>
  </r>
  <r>
    <x v="0"/>
    <x v="0"/>
    <n v="2236870022"/>
    <x v="2"/>
    <n v="8000"/>
    <x v="0"/>
    <x v="0"/>
    <x v="0"/>
    <x v="2"/>
    <x v="0"/>
    <x v="0"/>
    <x v="2"/>
    <x v="0"/>
  </r>
  <r>
    <x v="0"/>
    <x v="0"/>
    <n v="2236870023"/>
    <x v="2"/>
    <n v="10780"/>
    <x v="0"/>
    <x v="0"/>
    <x v="0"/>
    <x v="2"/>
    <x v="0"/>
    <x v="0"/>
    <x v="2"/>
    <x v="0"/>
  </r>
  <r>
    <x v="0"/>
    <x v="0"/>
    <n v="2236870024"/>
    <x v="2"/>
    <n v="6120"/>
    <x v="0"/>
    <x v="0"/>
    <x v="0"/>
    <x v="2"/>
    <x v="0"/>
    <x v="0"/>
    <x v="2"/>
    <x v="0"/>
  </r>
  <r>
    <x v="0"/>
    <x v="0"/>
    <n v="2236870024"/>
    <x v="7"/>
    <n v="680"/>
    <x v="0"/>
    <x v="0"/>
    <x v="0"/>
    <x v="7"/>
    <x v="0"/>
    <x v="0"/>
    <x v="1"/>
    <x v="0"/>
  </r>
  <r>
    <x v="0"/>
    <x v="0"/>
    <n v="2236870025"/>
    <x v="2"/>
    <n v="35310"/>
    <x v="0"/>
    <x v="0"/>
    <x v="0"/>
    <x v="2"/>
    <x v="0"/>
    <x v="0"/>
    <x v="2"/>
    <x v="0"/>
  </r>
  <r>
    <x v="0"/>
    <x v="0"/>
    <n v="2236870026"/>
    <x v="5"/>
    <n v="-1800"/>
    <x v="0"/>
    <x v="0"/>
    <x v="0"/>
    <x v="5"/>
    <x v="0"/>
    <x v="0"/>
    <x v="5"/>
    <x v="0"/>
  </r>
  <r>
    <x v="0"/>
    <x v="0"/>
    <n v="2236870026"/>
    <x v="6"/>
    <n v="20000"/>
    <x v="0"/>
    <x v="0"/>
    <x v="0"/>
    <x v="6"/>
    <x v="0"/>
    <x v="0"/>
    <x v="5"/>
    <x v="0"/>
  </r>
  <r>
    <x v="0"/>
    <x v="0"/>
    <n v="2236870027"/>
    <x v="5"/>
    <n v="-16000"/>
    <x v="0"/>
    <x v="0"/>
    <x v="0"/>
    <x v="5"/>
    <x v="0"/>
    <x v="0"/>
    <x v="5"/>
    <x v="0"/>
  </r>
  <r>
    <x v="0"/>
    <x v="0"/>
    <n v="2236870027"/>
    <x v="4"/>
    <n v="20000"/>
    <x v="0"/>
    <x v="0"/>
    <x v="0"/>
    <x v="4"/>
    <x v="0"/>
    <x v="0"/>
    <x v="4"/>
    <x v="0"/>
  </r>
  <r>
    <x v="0"/>
    <x v="0"/>
    <n v="2236870037"/>
    <x v="6"/>
    <n v="4000"/>
    <x v="0"/>
    <x v="0"/>
    <x v="0"/>
    <x v="6"/>
    <x v="0"/>
    <x v="0"/>
    <x v="5"/>
    <x v="0"/>
  </r>
  <r>
    <x v="0"/>
    <x v="0"/>
    <n v="2236870038"/>
    <x v="5"/>
    <n v="-13200"/>
    <x v="0"/>
    <x v="0"/>
    <x v="2"/>
    <x v="5"/>
    <x v="0"/>
    <x v="0"/>
    <x v="5"/>
    <x v="0"/>
  </r>
  <r>
    <x v="0"/>
    <x v="0"/>
    <n v="2236870038"/>
    <x v="6"/>
    <n v="20000"/>
    <x v="0"/>
    <x v="0"/>
    <x v="2"/>
    <x v="6"/>
    <x v="0"/>
    <x v="0"/>
    <x v="5"/>
    <x v="0"/>
  </r>
  <r>
    <x v="0"/>
    <x v="0"/>
    <n v="2236870077"/>
    <x v="5"/>
    <n v="-100"/>
    <x v="0"/>
    <x v="0"/>
    <x v="2"/>
    <x v="5"/>
    <x v="0"/>
    <x v="0"/>
    <x v="5"/>
    <x v="0"/>
  </r>
  <r>
    <x v="0"/>
    <x v="0"/>
    <n v="2236870077"/>
    <x v="6"/>
    <n v="500"/>
    <x v="0"/>
    <x v="0"/>
    <x v="2"/>
    <x v="6"/>
    <x v="0"/>
    <x v="0"/>
    <x v="5"/>
    <x v="0"/>
  </r>
  <r>
    <x v="0"/>
    <x v="0"/>
    <n v="2236870077"/>
    <x v="7"/>
    <n v="20000"/>
    <x v="0"/>
    <x v="0"/>
    <x v="2"/>
    <x v="7"/>
    <x v="0"/>
    <x v="0"/>
    <x v="1"/>
    <x v="0"/>
  </r>
  <r>
    <x v="0"/>
    <x v="0"/>
    <n v="2236870117"/>
    <x v="6"/>
    <n v="1270"/>
    <x v="0"/>
    <x v="0"/>
    <x v="2"/>
    <x v="6"/>
    <x v="0"/>
    <x v="0"/>
    <x v="5"/>
    <x v="0"/>
  </r>
  <r>
    <x v="0"/>
    <x v="0"/>
    <n v="2236870117"/>
    <x v="2"/>
    <n v="18600"/>
    <x v="0"/>
    <x v="0"/>
    <x v="2"/>
    <x v="2"/>
    <x v="0"/>
    <x v="0"/>
    <x v="2"/>
    <x v="0"/>
  </r>
  <r>
    <x v="0"/>
    <x v="0"/>
    <n v="2236872516"/>
    <x v="2"/>
    <n v="23507"/>
    <x v="0"/>
    <x v="0"/>
    <x v="3"/>
    <x v="2"/>
    <x v="0"/>
    <x v="0"/>
    <x v="2"/>
    <x v="0"/>
  </r>
  <r>
    <x v="0"/>
    <x v="0"/>
    <n v="2236872517"/>
    <x v="5"/>
    <n v="-4100"/>
    <x v="0"/>
    <x v="0"/>
    <x v="3"/>
    <x v="5"/>
    <x v="0"/>
    <x v="0"/>
    <x v="5"/>
    <x v="0"/>
  </r>
  <r>
    <x v="0"/>
    <x v="0"/>
    <n v="2236872517"/>
    <x v="6"/>
    <n v="10000"/>
    <x v="0"/>
    <x v="0"/>
    <x v="3"/>
    <x v="6"/>
    <x v="0"/>
    <x v="0"/>
    <x v="5"/>
    <x v="0"/>
  </r>
  <r>
    <x v="0"/>
    <x v="0"/>
    <n v="2236872519"/>
    <x v="2"/>
    <n v="6000"/>
    <x v="0"/>
    <x v="0"/>
    <x v="3"/>
    <x v="2"/>
    <x v="0"/>
    <x v="0"/>
    <x v="2"/>
    <x v="0"/>
  </r>
  <r>
    <x v="0"/>
    <x v="0"/>
    <n v="2236872536"/>
    <x v="2"/>
    <n v="3960"/>
    <x v="0"/>
    <x v="0"/>
    <x v="3"/>
    <x v="2"/>
    <x v="0"/>
    <x v="0"/>
    <x v="2"/>
    <x v="0"/>
  </r>
  <r>
    <x v="0"/>
    <x v="0"/>
    <n v="2236872537"/>
    <x v="5"/>
    <n v="-8400"/>
    <x v="0"/>
    <x v="0"/>
    <x v="3"/>
    <x v="5"/>
    <x v="0"/>
    <x v="0"/>
    <x v="5"/>
    <x v="0"/>
  </r>
  <r>
    <x v="0"/>
    <x v="0"/>
    <n v="2236872537"/>
    <x v="6"/>
    <n v="20000"/>
    <x v="0"/>
    <x v="0"/>
    <x v="3"/>
    <x v="6"/>
    <x v="0"/>
    <x v="0"/>
    <x v="5"/>
    <x v="0"/>
  </r>
  <r>
    <x v="0"/>
    <x v="0"/>
    <n v="2236872556"/>
    <x v="4"/>
    <n v="5000"/>
    <x v="0"/>
    <x v="0"/>
    <x v="3"/>
    <x v="4"/>
    <x v="0"/>
    <x v="0"/>
    <x v="4"/>
    <x v="0"/>
  </r>
  <r>
    <x v="0"/>
    <x v="0"/>
    <n v="2236872557"/>
    <x v="5"/>
    <n v="-13600"/>
    <x v="0"/>
    <x v="0"/>
    <x v="3"/>
    <x v="5"/>
    <x v="0"/>
    <x v="0"/>
    <x v="5"/>
    <x v="0"/>
  </r>
  <r>
    <x v="0"/>
    <x v="0"/>
    <n v="2236872557"/>
    <x v="6"/>
    <n v="40000"/>
    <x v="0"/>
    <x v="0"/>
    <x v="3"/>
    <x v="6"/>
    <x v="0"/>
    <x v="0"/>
    <x v="5"/>
    <x v="0"/>
  </r>
  <r>
    <x v="0"/>
    <x v="0"/>
    <n v="2236872558"/>
    <x v="2"/>
    <n v="15906"/>
    <x v="0"/>
    <x v="0"/>
    <x v="3"/>
    <x v="2"/>
    <x v="0"/>
    <x v="0"/>
    <x v="2"/>
    <x v="0"/>
  </r>
  <r>
    <x v="0"/>
    <x v="0"/>
    <n v="2236872559"/>
    <x v="7"/>
    <n v="1500"/>
    <x v="0"/>
    <x v="0"/>
    <x v="3"/>
    <x v="7"/>
    <x v="0"/>
    <x v="0"/>
    <x v="1"/>
    <x v="0"/>
  </r>
  <r>
    <x v="0"/>
    <x v="0"/>
    <n v="2236872562"/>
    <x v="5"/>
    <n v="-9600"/>
    <x v="0"/>
    <x v="0"/>
    <x v="3"/>
    <x v="5"/>
    <x v="0"/>
    <x v="0"/>
    <x v="5"/>
    <x v="0"/>
  </r>
  <r>
    <x v="0"/>
    <x v="0"/>
    <n v="2236872562"/>
    <x v="6"/>
    <n v="30000"/>
    <x v="0"/>
    <x v="0"/>
    <x v="3"/>
    <x v="6"/>
    <x v="0"/>
    <x v="0"/>
    <x v="5"/>
    <x v="0"/>
  </r>
  <r>
    <x v="0"/>
    <x v="0"/>
    <n v="2236872576"/>
    <x v="7"/>
    <n v="59950"/>
    <x v="0"/>
    <x v="0"/>
    <x v="3"/>
    <x v="7"/>
    <x v="0"/>
    <x v="0"/>
    <x v="1"/>
    <x v="0"/>
  </r>
  <r>
    <x v="0"/>
    <x v="0"/>
    <n v="2236872578"/>
    <x v="0"/>
    <n v="1950"/>
    <x v="0"/>
    <x v="0"/>
    <x v="3"/>
    <x v="0"/>
    <x v="0"/>
    <x v="0"/>
    <x v="0"/>
    <x v="0"/>
  </r>
  <r>
    <x v="0"/>
    <x v="0"/>
    <n v="2236872579"/>
    <x v="7"/>
    <n v="7100"/>
    <x v="0"/>
    <x v="0"/>
    <x v="3"/>
    <x v="7"/>
    <x v="0"/>
    <x v="0"/>
    <x v="1"/>
    <x v="0"/>
  </r>
  <r>
    <x v="0"/>
    <x v="0"/>
    <n v="2236872580"/>
    <x v="2"/>
    <n v="4050"/>
    <x v="0"/>
    <x v="0"/>
    <x v="3"/>
    <x v="2"/>
    <x v="0"/>
    <x v="0"/>
    <x v="2"/>
    <x v="0"/>
  </r>
  <r>
    <x v="0"/>
    <x v="0"/>
    <n v="2236872580"/>
    <x v="7"/>
    <n v="450"/>
    <x v="0"/>
    <x v="0"/>
    <x v="3"/>
    <x v="7"/>
    <x v="0"/>
    <x v="0"/>
    <x v="1"/>
    <x v="0"/>
  </r>
  <r>
    <x v="0"/>
    <x v="0"/>
    <n v="2236872581"/>
    <x v="7"/>
    <n v="7100"/>
    <x v="0"/>
    <x v="0"/>
    <x v="3"/>
    <x v="7"/>
    <x v="0"/>
    <x v="0"/>
    <x v="1"/>
    <x v="0"/>
  </r>
  <r>
    <x v="0"/>
    <x v="0"/>
    <n v="2236872582"/>
    <x v="5"/>
    <n v="-400"/>
    <x v="0"/>
    <x v="0"/>
    <x v="3"/>
    <x v="5"/>
    <x v="0"/>
    <x v="0"/>
    <x v="5"/>
    <x v="0"/>
  </r>
  <r>
    <x v="0"/>
    <x v="0"/>
    <n v="2236872582"/>
    <x v="4"/>
    <n v="5000"/>
    <x v="0"/>
    <x v="0"/>
    <x v="3"/>
    <x v="4"/>
    <x v="0"/>
    <x v="0"/>
    <x v="4"/>
    <x v="0"/>
  </r>
  <r>
    <x v="0"/>
    <x v="0"/>
    <n v="2236872584"/>
    <x v="7"/>
    <n v="1500"/>
    <x v="0"/>
    <x v="0"/>
    <x v="3"/>
    <x v="7"/>
    <x v="0"/>
    <x v="0"/>
    <x v="1"/>
    <x v="0"/>
  </r>
  <r>
    <x v="0"/>
    <x v="0"/>
    <n v="2236872585"/>
    <x v="5"/>
    <n v="-6400"/>
    <x v="0"/>
    <x v="0"/>
    <x v="3"/>
    <x v="5"/>
    <x v="0"/>
    <x v="0"/>
    <x v="5"/>
    <x v="0"/>
  </r>
  <r>
    <x v="0"/>
    <x v="0"/>
    <n v="2236872585"/>
    <x v="6"/>
    <n v="20000"/>
    <x v="0"/>
    <x v="0"/>
    <x v="3"/>
    <x v="6"/>
    <x v="0"/>
    <x v="0"/>
    <x v="5"/>
    <x v="0"/>
  </r>
  <r>
    <x v="0"/>
    <x v="0"/>
    <n v="2236872586"/>
    <x v="5"/>
    <n v="-5000"/>
    <x v="0"/>
    <x v="0"/>
    <x v="3"/>
    <x v="5"/>
    <x v="0"/>
    <x v="0"/>
    <x v="5"/>
    <x v="0"/>
  </r>
  <r>
    <x v="0"/>
    <x v="0"/>
    <n v="2236872586"/>
    <x v="4"/>
    <n v="10000"/>
    <x v="0"/>
    <x v="0"/>
    <x v="3"/>
    <x v="4"/>
    <x v="0"/>
    <x v="0"/>
    <x v="4"/>
    <x v="0"/>
  </r>
  <r>
    <x v="0"/>
    <x v="0"/>
    <n v="2236872587"/>
    <x v="5"/>
    <n v="-4700"/>
    <x v="0"/>
    <x v="0"/>
    <x v="3"/>
    <x v="5"/>
    <x v="0"/>
    <x v="0"/>
    <x v="5"/>
    <x v="0"/>
  </r>
  <r>
    <x v="0"/>
    <x v="0"/>
    <n v="2236872587"/>
    <x v="4"/>
    <n v="10000"/>
    <x v="0"/>
    <x v="0"/>
    <x v="3"/>
    <x v="4"/>
    <x v="0"/>
    <x v="0"/>
    <x v="4"/>
    <x v="0"/>
  </r>
  <r>
    <x v="0"/>
    <x v="0"/>
    <n v="2236872588"/>
    <x v="5"/>
    <n v="-3900"/>
    <x v="0"/>
    <x v="0"/>
    <x v="3"/>
    <x v="5"/>
    <x v="0"/>
    <x v="0"/>
    <x v="5"/>
    <x v="0"/>
  </r>
  <r>
    <x v="0"/>
    <x v="0"/>
    <n v="2236872588"/>
    <x v="6"/>
    <n v="41000"/>
    <x v="0"/>
    <x v="0"/>
    <x v="3"/>
    <x v="6"/>
    <x v="0"/>
    <x v="0"/>
    <x v="5"/>
    <x v="0"/>
  </r>
  <r>
    <x v="0"/>
    <x v="0"/>
    <n v="2236872590"/>
    <x v="1"/>
    <n v="1080"/>
    <x v="0"/>
    <x v="0"/>
    <x v="3"/>
    <x v="1"/>
    <x v="0"/>
    <x v="0"/>
    <x v="1"/>
    <x v="0"/>
  </r>
  <r>
    <x v="0"/>
    <x v="0"/>
    <n v="2236872591"/>
    <x v="5"/>
    <n v="-350"/>
    <x v="0"/>
    <x v="0"/>
    <x v="3"/>
    <x v="5"/>
    <x v="0"/>
    <x v="0"/>
    <x v="5"/>
    <x v="0"/>
  </r>
  <r>
    <x v="0"/>
    <x v="0"/>
    <n v="2236872591"/>
    <x v="6"/>
    <n v="3500"/>
    <x v="0"/>
    <x v="0"/>
    <x v="3"/>
    <x v="6"/>
    <x v="0"/>
    <x v="0"/>
    <x v="5"/>
    <x v="0"/>
  </r>
  <r>
    <x v="0"/>
    <x v="0"/>
    <n v="2236872592"/>
    <x v="1"/>
    <n v="1080"/>
    <x v="0"/>
    <x v="0"/>
    <x v="3"/>
    <x v="1"/>
    <x v="0"/>
    <x v="0"/>
    <x v="1"/>
    <x v="0"/>
  </r>
  <r>
    <x v="0"/>
    <x v="0"/>
    <n v="2236872593"/>
    <x v="5"/>
    <n v="-6500"/>
    <x v="0"/>
    <x v="0"/>
    <x v="3"/>
    <x v="5"/>
    <x v="0"/>
    <x v="0"/>
    <x v="5"/>
    <x v="0"/>
  </r>
  <r>
    <x v="0"/>
    <x v="0"/>
    <n v="2236872593"/>
    <x v="6"/>
    <n v="10000"/>
    <x v="0"/>
    <x v="0"/>
    <x v="3"/>
    <x v="6"/>
    <x v="0"/>
    <x v="0"/>
    <x v="5"/>
    <x v="0"/>
  </r>
  <r>
    <x v="0"/>
    <x v="0"/>
    <n v="2236872594"/>
    <x v="1"/>
    <n v="1950"/>
    <x v="0"/>
    <x v="0"/>
    <x v="3"/>
    <x v="1"/>
    <x v="0"/>
    <x v="0"/>
    <x v="1"/>
    <x v="0"/>
  </r>
  <r>
    <x v="0"/>
    <x v="0"/>
    <n v="2236872595"/>
    <x v="1"/>
    <n v="900"/>
    <x v="0"/>
    <x v="0"/>
    <x v="3"/>
    <x v="1"/>
    <x v="0"/>
    <x v="0"/>
    <x v="1"/>
    <x v="0"/>
  </r>
  <r>
    <x v="0"/>
    <x v="0"/>
    <n v="2236872597"/>
    <x v="2"/>
    <n v="43500"/>
    <x v="0"/>
    <x v="0"/>
    <x v="3"/>
    <x v="2"/>
    <x v="0"/>
    <x v="0"/>
    <x v="2"/>
    <x v="0"/>
  </r>
  <r>
    <x v="0"/>
    <x v="0"/>
    <n v="2236872598"/>
    <x v="1"/>
    <n v="5400"/>
    <x v="0"/>
    <x v="0"/>
    <x v="3"/>
    <x v="1"/>
    <x v="0"/>
    <x v="0"/>
    <x v="1"/>
    <x v="0"/>
  </r>
  <r>
    <x v="0"/>
    <x v="0"/>
    <n v="2236872600"/>
    <x v="5"/>
    <n v="-14800"/>
    <x v="0"/>
    <x v="0"/>
    <x v="3"/>
    <x v="5"/>
    <x v="0"/>
    <x v="0"/>
    <x v="5"/>
    <x v="0"/>
  </r>
  <r>
    <x v="0"/>
    <x v="0"/>
    <n v="2236872600"/>
    <x v="6"/>
    <n v="40000"/>
    <x v="0"/>
    <x v="0"/>
    <x v="3"/>
    <x v="6"/>
    <x v="0"/>
    <x v="0"/>
    <x v="5"/>
    <x v="0"/>
  </r>
  <r>
    <x v="0"/>
    <x v="0"/>
    <n v="2236872616"/>
    <x v="7"/>
    <n v="1500"/>
    <x v="0"/>
    <x v="0"/>
    <x v="3"/>
    <x v="7"/>
    <x v="0"/>
    <x v="0"/>
    <x v="1"/>
    <x v="0"/>
  </r>
  <r>
    <x v="0"/>
    <x v="0"/>
    <n v="2236872617"/>
    <x v="7"/>
    <n v="3000"/>
    <x v="0"/>
    <x v="0"/>
    <x v="3"/>
    <x v="7"/>
    <x v="0"/>
    <x v="0"/>
    <x v="1"/>
    <x v="0"/>
  </r>
  <r>
    <x v="0"/>
    <x v="0"/>
    <n v="2236872618"/>
    <x v="6"/>
    <n v="3000"/>
    <x v="0"/>
    <x v="0"/>
    <x v="3"/>
    <x v="6"/>
    <x v="0"/>
    <x v="0"/>
    <x v="5"/>
    <x v="0"/>
  </r>
  <r>
    <x v="0"/>
    <x v="0"/>
    <n v="2236872620"/>
    <x v="5"/>
    <n v="-2500"/>
    <x v="0"/>
    <x v="0"/>
    <x v="3"/>
    <x v="5"/>
    <x v="0"/>
    <x v="0"/>
    <x v="5"/>
    <x v="0"/>
  </r>
  <r>
    <x v="0"/>
    <x v="0"/>
    <n v="2236872620"/>
    <x v="6"/>
    <n v="15000"/>
    <x v="0"/>
    <x v="0"/>
    <x v="3"/>
    <x v="6"/>
    <x v="0"/>
    <x v="0"/>
    <x v="5"/>
    <x v="0"/>
  </r>
  <r>
    <x v="0"/>
    <x v="0"/>
    <n v="2236872621"/>
    <x v="4"/>
    <n v="5000"/>
    <x v="0"/>
    <x v="0"/>
    <x v="3"/>
    <x v="4"/>
    <x v="0"/>
    <x v="0"/>
    <x v="4"/>
    <x v="0"/>
  </r>
  <r>
    <x v="0"/>
    <x v="0"/>
    <n v="2236872622"/>
    <x v="5"/>
    <n v="-700"/>
    <x v="0"/>
    <x v="0"/>
    <x v="3"/>
    <x v="5"/>
    <x v="0"/>
    <x v="0"/>
    <x v="5"/>
    <x v="0"/>
  </r>
  <r>
    <x v="0"/>
    <x v="0"/>
    <n v="2236872622"/>
    <x v="4"/>
    <n v="6000"/>
    <x v="0"/>
    <x v="0"/>
    <x v="3"/>
    <x v="4"/>
    <x v="0"/>
    <x v="0"/>
    <x v="4"/>
    <x v="0"/>
  </r>
  <r>
    <x v="0"/>
    <x v="0"/>
    <n v="2236872623"/>
    <x v="2"/>
    <n v="19965"/>
    <x v="0"/>
    <x v="0"/>
    <x v="3"/>
    <x v="2"/>
    <x v="0"/>
    <x v="0"/>
    <x v="2"/>
    <x v="0"/>
  </r>
  <r>
    <x v="0"/>
    <x v="0"/>
    <n v="2236874279"/>
    <x v="0"/>
    <n v="2970"/>
    <x v="0"/>
    <x v="0"/>
    <x v="4"/>
    <x v="0"/>
    <x v="0"/>
    <x v="0"/>
    <x v="0"/>
    <x v="0"/>
  </r>
  <r>
    <x v="0"/>
    <x v="0"/>
    <n v="2236874280"/>
    <x v="0"/>
    <n v="8010"/>
    <x v="0"/>
    <x v="0"/>
    <x v="4"/>
    <x v="0"/>
    <x v="0"/>
    <x v="0"/>
    <x v="0"/>
    <x v="0"/>
  </r>
  <r>
    <x v="0"/>
    <x v="0"/>
    <n v="2236874281"/>
    <x v="0"/>
    <n v="21345"/>
    <x v="0"/>
    <x v="0"/>
    <x v="4"/>
    <x v="0"/>
    <x v="0"/>
    <x v="0"/>
    <x v="0"/>
    <x v="0"/>
  </r>
  <r>
    <x v="0"/>
    <x v="0"/>
    <n v="2236874282"/>
    <x v="0"/>
    <n v="8820"/>
    <x v="0"/>
    <x v="0"/>
    <x v="4"/>
    <x v="0"/>
    <x v="0"/>
    <x v="0"/>
    <x v="0"/>
    <x v="0"/>
  </r>
  <r>
    <x v="0"/>
    <x v="0"/>
    <n v="2236874283"/>
    <x v="0"/>
    <n v="3030"/>
    <x v="0"/>
    <x v="0"/>
    <x v="4"/>
    <x v="0"/>
    <x v="0"/>
    <x v="0"/>
    <x v="0"/>
    <x v="0"/>
  </r>
  <r>
    <x v="0"/>
    <x v="0"/>
    <n v="2236874284"/>
    <x v="0"/>
    <n v="13410"/>
    <x v="0"/>
    <x v="0"/>
    <x v="4"/>
    <x v="0"/>
    <x v="0"/>
    <x v="0"/>
    <x v="0"/>
    <x v="0"/>
  </r>
  <r>
    <x v="0"/>
    <x v="0"/>
    <n v="2236874285"/>
    <x v="0"/>
    <n v="4050"/>
    <x v="0"/>
    <x v="0"/>
    <x v="4"/>
    <x v="0"/>
    <x v="0"/>
    <x v="0"/>
    <x v="0"/>
    <x v="0"/>
  </r>
  <r>
    <x v="0"/>
    <x v="0"/>
    <n v="2236874286"/>
    <x v="1"/>
    <n v="8730"/>
    <x v="0"/>
    <x v="0"/>
    <x v="4"/>
    <x v="1"/>
    <x v="0"/>
    <x v="0"/>
    <x v="1"/>
    <x v="0"/>
  </r>
  <r>
    <x v="0"/>
    <x v="0"/>
    <n v="2236874287"/>
    <x v="0"/>
    <n v="1770"/>
    <x v="0"/>
    <x v="0"/>
    <x v="4"/>
    <x v="0"/>
    <x v="0"/>
    <x v="0"/>
    <x v="0"/>
    <x v="0"/>
  </r>
  <r>
    <x v="0"/>
    <x v="0"/>
    <n v="2236874288"/>
    <x v="0"/>
    <n v="7200"/>
    <x v="0"/>
    <x v="0"/>
    <x v="4"/>
    <x v="0"/>
    <x v="0"/>
    <x v="0"/>
    <x v="0"/>
    <x v="0"/>
  </r>
  <r>
    <x v="0"/>
    <x v="0"/>
    <n v="2236874289"/>
    <x v="0"/>
    <n v="4050"/>
    <x v="0"/>
    <x v="0"/>
    <x v="4"/>
    <x v="0"/>
    <x v="0"/>
    <x v="0"/>
    <x v="0"/>
    <x v="0"/>
  </r>
  <r>
    <x v="0"/>
    <x v="0"/>
    <n v="2236874290"/>
    <x v="1"/>
    <n v="11670"/>
    <x v="0"/>
    <x v="0"/>
    <x v="4"/>
    <x v="1"/>
    <x v="0"/>
    <x v="0"/>
    <x v="1"/>
    <x v="0"/>
  </r>
  <r>
    <x v="0"/>
    <x v="0"/>
    <n v="2236874291"/>
    <x v="0"/>
    <n v="5850"/>
    <x v="0"/>
    <x v="0"/>
    <x v="4"/>
    <x v="0"/>
    <x v="0"/>
    <x v="0"/>
    <x v="0"/>
    <x v="0"/>
  </r>
  <r>
    <x v="0"/>
    <x v="0"/>
    <n v="2236874292"/>
    <x v="0"/>
    <n v="12960"/>
    <x v="0"/>
    <x v="0"/>
    <x v="4"/>
    <x v="0"/>
    <x v="0"/>
    <x v="0"/>
    <x v="0"/>
    <x v="0"/>
  </r>
  <r>
    <x v="0"/>
    <x v="0"/>
    <n v="2236874293"/>
    <x v="0"/>
    <n v="7140"/>
    <x v="0"/>
    <x v="0"/>
    <x v="4"/>
    <x v="0"/>
    <x v="0"/>
    <x v="0"/>
    <x v="0"/>
    <x v="0"/>
  </r>
  <r>
    <x v="0"/>
    <x v="0"/>
    <n v="2236874294"/>
    <x v="0"/>
    <n v="12780"/>
    <x v="0"/>
    <x v="0"/>
    <x v="4"/>
    <x v="0"/>
    <x v="0"/>
    <x v="0"/>
    <x v="0"/>
    <x v="0"/>
  </r>
  <r>
    <x v="0"/>
    <x v="0"/>
    <n v="2236874295"/>
    <x v="0"/>
    <n v="5940"/>
    <x v="0"/>
    <x v="0"/>
    <x v="4"/>
    <x v="0"/>
    <x v="0"/>
    <x v="0"/>
    <x v="0"/>
    <x v="0"/>
  </r>
  <r>
    <x v="0"/>
    <x v="0"/>
    <n v="2236874296"/>
    <x v="0"/>
    <n v="3810"/>
    <x v="0"/>
    <x v="0"/>
    <x v="4"/>
    <x v="0"/>
    <x v="0"/>
    <x v="0"/>
    <x v="0"/>
    <x v="0"/>
  </r>
  <r>
    <x v="0"/>
    <x v="0"/>
    <n v="2236874297"/>
    <x v="0"/>
    <n v="2610"/>
    <x v="0"/>
    <x v="0"/>
    <x v="4"/>
    <x v="0"/>
    <x v="0"/>
    <x v="0"/>
    <x v="0"/>
    <x v="0"/>
  </r>
  <r>
    <x v="0"/>
    <x v="0"/>
    <n v="2236874298"/>
    <x v="0"/>
    <n v="10140"/>
    <x v="0"/>
    <x v="0"/>
    <x v="4"/>
    <x v="0"/>
    <x v="0"/>
    <x v="0"/>
    <x v="0"/>
    <x v="0"/>
  </r>
  <r>
    <x v="0"/>
    <x v="0"/>
    <n v="2236874300"/>
    <x v="0"/>
    <n v="1080"/>
    <x v="0"/>
    <x v="0"/>
    <x v="4"/>
    <x v="0"/>
    <x v="0"/>
    <x v="0"/>
    <x v="0"/>
    <x v="0"/>
  </r>
  <r>
    <x v="0"/>
    <x v="0"/>
    <n v="2236874301"/>
    <x v="1"/>
    <n v="2100"/>
    <x v="0"/>
    <x v="0"/>
    <x v="4"/>
    <x v="1"/>
    <x v="0"/>
    <x v="0"/>
    <x v="1"/>
    <x v="0"/>
  </r>
  <r>
    <x v="0"/>
    <x v="0"/>
    <n v="2236874302"/>
    <x v="1"/>
    <n v="1260"/>
    <x v="0"/>
    <x v="0"/>
    <x v="4"/>
    <x v="1"/>
    <x v="0"/>
    <x v="0"/>
    <x v="1"/>
    <x v="0"/>
  </r>
  <r>
    <x v="0"/>
    <x v="0"/>
    <n v="2236874303"/>
    <x v="2"/>
    <n v="32900"/>
    <x v="0"/>
    <x v="0"/>
    <x v="4"/>
    <x v="2"/>
    <x v="0"/>
    <x v="0"/>
    <x v="2"/>
    <x v="0"/>
  </r>
  <r>
    <x v="0"/>
    <x v="0"/>
    <n v="2236874304"/>
    <x v="0"/>
    <n v="1950"/>
    <x v="0"/>
    <x v="0"/>
    <x v="4"/>
    <x v="0"/>
    <x v="0"/>
    <x v="0"/>
    <x v="0"/>
    <x v="0"/>
  </r>
  <r>
    <x v="0"/>
    <x v="0"/>
    <n v="2236874306"/>
    <x v="5"/>
    <n v="-200"/>
    <x v="0"/>
    <x v="0"/>
    <x v="4"/>
    <x v="5"/>
    <x v="0"/>
    <x v="0"/>
    <x v="5"/>
    <x v="0"/>
  </r>
  <r>
    <x v="0"/>
    <x v="0"/>
    <n v="2236874306"/>
    <x v="6"/>
    <n v="2000"/>
    <x v="0"/>
    <x v="0"/>
    <x v="4"/>
    <x v="6"/>
    <x v="0"/>
    <x v="0"/>
    <x v="5"/>
    <x v="0"/>
  </r>
  <r>
    <x v="0"/>
    <x v="0"/>
    <n v="2236874306"/>
    <x v="7"/>
    <n v="1200"/>
    <x v="0"/>
    <x v="0"/>
    <x v="4"/>
    <x v="7"/>
    <x v="0"/>
    <x v="0"/>
    <x v="1"/>
    <x v="0"/>
  </r>
  <r>
    <x v="0"/>
    <x v="0"/>
    <n v="2236874307"/>
    <x v="5"/>
    <n v="-2750"/>
    <x v="0"/>
    <x v="0"/>
    <x v="4"/>
    <x v="5"/>
    <x v="0"/>
    <x v="0"/>
    <x v="5"/>
    <x v="0"/>
  </r>
  <r>
    <x v="0"/>
    <x v="0"/>
    <n v="2236874307"/>
    <x v="6"/>
    <n v="10000"/>
    <x v="0"/>
    <x v="0"/>
    <x v="4"/>
    <x v="6"/>
    <x v="0"/>
    <x v="0"/>
    <x v="5"/>
    <x v="0"/>
  </r>
  <r>
    <x v="0"/>
    <x v="0"/>
    <n v="2236874309"/>
    <x v="6"/>
    <n v="3400"/>
    <x v="0"/>
    <x v="0"/>
    <x v="4"/>
    <x v="6"/>
    <x v="0"/>
    <x v="0"/>
    <x v="5"/>
    <x v="0"/>
  </r>
  <r>
    <x v="0"/>
    <x v="0"/>
    <n v="2236874310"/>
    <x v="5"/>
    <n v="-400"/>
    <x v="0"/>
    <x v="0"/>
    <x v="4"/>
    <x v="5"/>
    <x v="0"/>
    <x v="0"/>
    <x v="5"/>
    <x v="0"/>
  </r>
  <r>
    <x v="0"/>
    <x v="0"/>
    <n v="2236874310"/>
    <x v="4"/>
    <n v="5000"/>
    <x v="0"/>
    <x v="0"/>
    <x v="4"/>
    <x v="4"/>
    <x v="0"/>
    <x v="0"/>
    <x v="4"/>
    <x v="0"/>
  </r>
  <r>
    <x v="0"/>
    <x v="0"/>
    <n v="2236874312"/>
    <x v="1"/>
    <n v="1080"/>
    <x v="0"/>
    <x v="0"/>
    <x v="4"/>
    <x v="1"/>
    <x v="0"/>
    <x v="0"/>
    <x v="1"/>
    <x v="0"/>
  </r>
  <r>
    <x v="0"/>
    <x v="0"/>
    <n v="2236874313"/>
    <x v="6"/>
    <n v="1500"/>
    <x v="0"/>
    <x v="0"/>
    <x v="4"/>
    <x v="6"/>
    <x v="0"/>
    <x v="0"/>
    <x v="5"/>
    <x v="0"/>
  </r>
  <r>
    <x v="0"/>
    <x v="0"/>
    <n v="2236874314"/>
    <x v="2"/>
    <n v="15675"/>
    <x v="0"/>
    <x v="0"/>
    <x v="4"/>
    <x v="2"/>
    <x v="0"/>
    <x v="0"/>
    <x v="2"/>
    <x v="0"/>
  </r>
  <r>
    <x v="0"/>
    <x v="0"/>
    <n v="2236874315"/>
    <x v="5"/>
    <n v="-6900"/>
    <x v="0"/>
    <x v="0"/>
    <x v="4"/>
    <x v="5"/>
    <x v="0"/>
    <x v="0"/>
    <x v="5"/>
    <x v="0"/>
  </r>
  <r>
    <x v="0"/>
    <x v="0"/>
    <n v="2236874315"/>
    <x v="6"/>
    <n v="10000"/>
    <x v="0"/>
    <x v="0"/>
    <x v="4"/>
    <x v="6"/>
    <x v="0"/>
    <x v="0"/>
    <x v="5"/>
    <x v="0"/>
  </r>
  <r>
    <x v="0"/>
    <x v="0"/>
    <n v="2236874316"/>
    <x v="5"/>
    <n v="-1600"/>
    <x v="0"/>
    <x v="0"/>
    <x v="4"/>
    <x v="5"/>
    <x v="0"/>
    <x v="0"/>
    <x v="5"/>
    <x v="0"/>
  </r>
  <r>
    <x v="0"/>
    <x v="0"/>
    <n v="2236874316"/>
    <x v="6"/>
    <n v="5000"/>
    <x v="0"/>
    <x v="0"/>
    <x v="4"/>
    <x v="6"/>
    <x v="0"/>
    <x v="0"/>
    <x v="5"/>
    <x v="0"/>
  </r>
  <r>
    <x v="0"/>
    <x v="0"/>
    <n v="2236874317"/>
    <x v="5"/>
    <n v="-420"/>
    <x v="0"/>
    <x v="0"/>
    <x v="4"/>
    <x v="5"/>
    <x v="0"/>
    <x v="0"/>
    <x v="5"/>
    <x v="0"/>
  </r>
  <r>
    <x v="0"/>
    <x v="0"/>
    <n v="2236874317"/>
    <x v="6"/>
    <n v="15000"/>
    <x v="0"/>
    <x v="0"/>
    <x v="4"/>
    <x v="6"/>
    <x v="0"/>
    <x v="0"/>
    <x v="5"/>
    <x v="0"/>
  </r>
  <r>
    <x v="0"/>
    <x v="0"/>
    <n v="2236874318"/>
    <x v="4"/>
    <n v="5000"/>
    <x v="0"/>
    <x v="0"/>
    <x v="4"/>
    <x v="4"/>
    <x v="0"/>
    <x v="0"/>
    <x v="4"/>
    <x v="0"/>
  </r>
  <r>
    <x v="0"/>
    <x v="0"/>
    <n v="2236874319"/>
    <x v="1"/>
    <n v="900"/>
    <x v="0"/>
    <x v="0"/>
    <x v="4"/>
    <x v="1"/>
    <x v="0"/>
    <x v="0"/>
    <x v="1"/>
    <x v="0"/>
  </r>
  <r>
    <x v="0"/>
    <x v="0"/>
    <n v="2236874320"/>
    <x v="5"/>
    <n v="-1000"/>
    <x v="0"/>
    <x v="0"/>
    <x v="4"/>
    <x v="5"/>
    <x v="0"/>
    <x v="0"/>
    <x v="5"/>
    <x v="0"/>
  </r>
  <r>
    <x v="0"/>
    <x v="0"/>
    <n v="2236874320"/>
    <x v="4"/>
    <n v="5000"/>
    <x v="0"/>
    <x v="0"/>
    <x v="4"/>
    <x v="4"/>
    <x v="0"/>
    <x v="0"/>
    <x v="4"/>
    <x v="0"/>
  </r>
  <r>
    <x v="0"/>
    <x v="0"/>
    <n v="2236874321"/>
    <x v="5"/>
    <n v="-900"/>
    <x v="0"/>
    <x v="0"/>
    <x v="4"/>
    <x v="5"/>
    <x v="0"/>
    <x v="0"/>
    <x v="5"/>
    <x v="0"/>
  </r>
  <r>
    <x v="0"/>
    <x v="0"/>
    <n v="2236874321"/>
    <x v="6"/>
    <n v="7000"/>
    <x v="0"/>
    <x v="0"/>
    <x v="4"/>
    <x v="6"/>
    <x v="0"/>
    <x v="0"/>
    <x v="5"/>
    <x v="0"/>
  </r>
  <r>
    <x v="0"/>
    <x v="0"/>
    <n v="2236874322"/>
    <x v="1"/>
    <n v="2580"/>
    <x v="0"/>
    <x v="0"/>
    <x v="4"/>
    <x v="1"/>
    <x v="0"/>
    <x v="0"/>
    <x v="1"/>
    <x v="0"/>
  </r>
  <r>
    <x v="0"/>
    <x v="0"/>
    <n v="2236874323"/>
    <x v="5"/>
    <n v="-4100"/>
    <x v="0"/>
    <x v="0"/>
    <x v="4"/>
    <x v="5"/>
    <x v="0"/>
    <x v="0"/>
    <x v="5"/>
    <x v="0"/>
  </r>
  <r>
    <x v="0"/>
    <x v="0"/>
    <n v="2236874323"/>
    <x v="6"/>
    <n v="10000"/>
    <x v="0"/>
    <x v="0"/>
    <x v="4"/>
    <x v="6"/>
    <x v="0"/>
    <x v="0"/>
    <x v="5"/>
    <x v="0"/>
  </r>
  <r>
    <x v="0"/>
    <x v="0"/>
    <n v="2236874325"/>
    <x v="5"/>
    <n v="-1600"/>
    <x v="0"/>
    <x v="0"/>
    <x v="4"/>
    <x v="5"/>
    <x v="0"/>
    <x v="0"/>
    <x v="5"/>
    <x v="0"/>
  </r>
  <r>
    <x v="0"/>
    <x v="0"/>
    <n v="2236874325"/>
    <x v="6"/>
    <n v="10000"/>
    <x v="0"/>
    <x v="0"/>
    <x v="4"/>
    <x v="6"/>
    <x v="0"/>
    <x v="0"/>
    <x v="5"/>
    <x v="0"/>
  </r>
  <r>
    <x v="0"/>
    <x v="0"/>
    <n v="2236874326"/>
    <x v="5"/>
    <n v="-500"/>
    <x v="0"/>
    <x v="0"/>
    <x v="4"/>
    <x v="5"/>
    <x v="0"/>
    <x v="0"/>
    <x v="5"/>
    <x v="0"/>
  </r>
  <r>
    <x v="0"/>
    <x v="0"/>
    <n v="2236874326"/>
    <x v="4"/>
    <n v="5100"/>
    <x v="0"/>
    <x v="0"/>
    <x v="4"/>
    <x v="4"/>
    <x v="0"/>
    <x v="0"/>
    <x v="4"/>
    <x v="0"/>
  </r>
  <r>
    <x v="0"/>
    <x v="0"/>
    <n v="2236874327"/>
    <x v="1"/>
    <n v="1050"/>
    <x v="0"/>
    <x v="0"/>
    <x v="4"/>
    <x v="1"/>
    <x v="0"/>
    <x v="0"/>
    <x v="1"/>
    <x v="0"/>
  </r>
  <r>
    <x v="0"/>
    <x v="0"/>
    <n v="2236874328"/>
    <x v="5"/>
    <n v="-6900"/>
    <x v="0"/>
    <x v="0"/>
    <x v="4"/>
    <x v="5"/>
    <x v="0"/>
    <x v="0"/>
    <x v="5"/>
    <x v="0"/>
  </r>
  <r>
    <x v="0"/>
    <x v="0"/>
    <n v="2236874328"/>
    <x v="6"/>
    <n v="10000"/>
    <x v="0"/>
    <x v="0"/>
    <x v="4"/>
    <x v="6"/>
    <x v="0"/>
    <x v="0"/>
    <x v="5"/>
    <x v="0"/>
  </r>
  <r>
    <x v="0"/>
    <x v="0"/>
    <n v="2236874329"/>
    <x v="5"/>
    <n v="-600"/>
    <x v="0"/>
    <x v="0"/>
    <x v="4"/>
    <x v="5"/>
    <x v="0"/>
    <x v="0"/>
    <x v="5"/>
    <x v="0"/>
  </r>
  <r>
    <x v="0"/>
    <x v="0"/>
    <n v="2236874329"/>
    <x v="6"/>
    <n v="4000"/>
    <x v="0"/>
    <x v="0"/>
    <x v="4"/>
    <x v="6"/>
    <x v="0"/>
    <x v="0"/>
    <x v="5"/>
    <x v="0"/>
  </r>
  <r>
    <x v="0"/>
    <x v="0"/>
    <n v="2236874330"/>
    <x v="1"/>
    <n v="900"/>
    <x v="0"/>
    <x v="0"/>
    <x v="4"/>
    <x v="1"/>
    <x v="0"/>
    <x v="0"/>
    <x v="1"/>
    <x v="0"/>
  </r>
  <r>
    <x v="0"/>
    <x v="0"/>
    <n v="2236874331"/>
    <x v="5"/>
    <n v="-7400"/>
    <x v="0"/>
    <x v="0"/>
    <x v="4"/>
    <x v="5"/>
    <x v="0"/>
    <x v="0"/>
    <x v="5"/>
    <x v="0"/>
  </r>
  <r>
    <x v="0"/>
    <x v="0"/>
    <n v="2236874331"/>
    <x v="6"/>
    <n v="10500"/>
    <x v="0"/>
    <x v="0"/>
    <x v="4"/>
    <x v="6"/>
    <x v="0"/>
    <x v="0"/>
    <x v="5"/>
    <x v="0"/>
  </r>
  <r>
    <x v="0"/>
    <x v="0"/>
    <n v="2236874332"/>
    <x v="3"/>
    <n v="18920"/>
    <x v="0"/>
    <x v="0"/>
    <x v="4"/>
    <x v="3"/>
    <x v="0"/>
    <x v="0"/>
    <x v="3"/>
    <x v="0"/>
  </r>
  <r>
    <x v="0"/>
    <x v="0"/>
    <n v="2236874333"/>
    <x v="2"/>
    <n v="13000"/>
    <x v="0"/>
    <x v="0"/>
    <x v="4"/>
    <x v="2"/>
    <x v="0"/>
    <x v="0"/>
    <x v="2"/>
    <x v="0"/>
  </r>
  <r>
    <x v="0"/>
    <x v="0"/>
    <n v="2236874334"/>
    <x v="2"/>
    <n v="6200"/>
    <x v="0"/>
    <x v="0"/>
    <x v="4"/>
    <x v="2"/>
    <x v="0"/>
    <x v="0"/>
    <x v="2"/>
    <x v="0"/>
  </r>
  <r>
    <x v="0"/>
    <x v="0"/>
    <n v="2236874337"/>
    <x v="3"/>
    <n v="6800"/>
    <x v="0"/>
    <x v="0"/>
    <x v="4"/>
    <x v="3"/>
    <x v="0"/>
    <x v="0"/>
    <x v="3"/>
    <x v="0"/>
  </r>
  <r>
    <x v="0"/>
    <x v="0"/>
    <n v="2236874338"/>
    <x v="7"/>
    <n v="1500"/>
    <x v="0"/>
    <x v="0"/>
    <x v="4"/>
    <x v="7"/>
    <x v="0"/>
    <x v="0"/>
    <x v="1"/>
    <x v="0"/>
  </r>
  <r>
    <x v="0"/>
    <x v="0"/>
    <n v="2236874339"/>
    <x v="0"/>
    <n v="8300"/>
    <x v="0"/>
    <x v="0"/>
    <x v="4"/>
    <x v="0"/>
    <x v="0"/>
    <x v="0"/>
    <x v="0"/>
    <x v="0"/>
  </r>
  <r>
    <x v="0"/>
    <x v="0"/>
    <n v="2236874340"/>
    <x v="3"/>
    <n v="3740"/>
    <x v="0"/>
    <x v="0"/>
    <x v="4"/>
    <x v="3"/>
    <x v="0"/>
    <x v="0"/>
    <x v="3"/>
    <x v="0"/>
  </r>
  <r>
    <x v="0"/>
    <x v="0"/>
    <n v="2236874341"/>
    <x v="5"/>
    <n v="-340"/>
    <x v="0"/>
    <x v="0"/>
    <x v="4"/>
    <x v="5"/>
    <x v="0"/>
    <x v="0"/>
    <x v="5"/>
    <x v="0"/>
  </r>
  <r>
    <x v="0"/>
    <x v="0"/>
    <n v="2236874341"/>
    <x v="6"/>
    <n v="25000"/>
    <x v="0"/>
    <x v="0"/>
    <x v="4"/>
    <x v="6"/>
    <x v="0"/>
    <x v="0"/>
    <x v="5"/>
    <x v="0"/>
  </r>
  <r>
    <x v="0"/>
    <x v="0"/>
    <n v="2236874341"/>
    <x v="2"/>
    <n v="9000"/>
    <x v="0"/>
    <x v="0"/>
    <x v="4"/>
    <x v="2"/>
    <x v="0"/>
    <x v="0"/>
    <x v="2"/>
    <x v="0"/>
  </r>
  <r>
    <x v="0"/>
    <x v="0"/>
    <n v="2236874344"/>
    <x v="2"/>
    <n v="27230"/>
    <x v="0"/>
    <x v="0"/>
    <x v="5"/>
    <x v="2"/>
    <x v="0"/>
    <x v="0"/>
    <x v="2"/>
    <x v="0"/>
  </r>
  <r>
    <x v="0"/>
    <x v="0"/>
    <n v="2236874345"/>
    <x v="2"/>
    <n v="16390"/>
    <x v="0"/>
    <x v="0"/>
    <x v="4"/>
    <x v="2"/>
    <x v="0"/>
    <x v="0"/>
    <x v="2"/>
    <x v="0"/>
  </r>
  <r>
    <x v="0"/>
    <x v="0"/>
    <n v="2236874346"/>
    <x v="4"/>
    <n v="10200"/>
    <x v="0"/>
    <x v="0"/>
    <x v="4"/>
    <x v="4"/>
    <x v="0"/>
    <x v="0"/>
    <x v="4"/>
    <x v="0"/>
  </r>
  <r>
    <x v="0"/>
    <x v="0"/>
    <n v="2236874348"/>
    <x v="2"/>
    <n v="26290"/>
    <x v="0"/>
    <x v="0"/>
    <x v="4"/>
    <x v="2"/>
    <x v="0"/>
    <x v="0"/>
    <x v="2"/>
    <x v="0"/>
  </r>
  <r>
    <x v="0"/>
    <x v="0"/>
    <n v="2236874349"/>
    <x v="2"/>
    <n v="17880"/>
    <x v="0"/>
    <x v="0"/>
    <x v="4"/>
    <x v="2"/>
    <x v="0"/>
    <x v="0"/>
    <x v="2"/>
    <x v="0"/>
  </r>
  <r>
    <x v="0"/>
    <x v="0"/>
    <n v="2236874350"/>
    <x v="1"/>
    <n v="2160"/>
    <x v="0"/>
    <x v="0"/>
    <x v="4"/>
    <x v="1"/>
    <x v="0"/>
    <x v="0"/>
    <x v="1"/>
    <x v="0"/>
  </r>
  <r>
    <x v="0"/>
    <x v="0"/>
    <n v="2236874351"/>
    <x v="5"/>
    <n v="-2000"/>
    <x v="0"/>
    <x v="0"/>
    <x v="4"/>
    <x v="5"/>
    <x v="0"/>
    <x v="0"/>
    <x v="5"/>
    <x v="0"/>
  </r>
  <r>
    <x v="0"/>
    <x v="0"/>
    <n v="2236874351"/>
    <x v="6"/>
    <n v="10000"/>
    <x v="0"/>
    <x v="0"/>
    <x v="4"/>
    <x v="6"/>
    <x v="0"/>
    <x v="0"/>
    <x v="5"/>
    <x v="0"/>
  </r>
  <r>
    <x v="0"/>
    <x v="0"/>
    <n v="2236874353"/>
    <x v="2"/>
    <n v="6210"/>
    <x v="0"/>
    <x v="0"/>
    <x v="4"/>
    <x v="2"/>
    <x v="0"/>
    <x v="0"/>
    <x v="2"/>
    <x v="0"/>
  </r>
  <r>
    <x v="0"/>
    <x v="0"/>
    <n v="2236874353"/>
    <x v="7"/>
    <n v="3760"/>
    <x v="0"/>
    <x v="0"/>
    <x v="4"/>
    <x v="7"/>
    <x v="0"/>
    <x v="0"/>
    <x v="1"/>
    <x v="0"/>
  </r>
  <r>
    <x v="0"/>
    <x v="0"/>
    <n v="2236874376"/>
    <x v="1"/>
    <n v="1800"/>
    <x v="0"/>
    <x v="0"/>
    <x v="5"/>
    <x v="1"/>
    <x v="0"/>
    <x v="0"/>
    <x v="1"/>
    <x v="0"/>
  </r>
  <r>
    <x v="0"/>
    <x v="0"/>
    <n v="2236874377"/>
    <x v="6"/>
    <n v="200"/>
    <x v="0"/>
    <x v="0"/>
    <x v="5"/>
    <x v="6"/>
    <x v="0"/>
    <x v="0"/>
    <x v="5"/>
    <x v="0"/>
  </r>
  <r>
    <x v="0"/>
    <x v="0"/>
    <n v="2236874377"/>
    <x v="2"/>
    <n v="14000"/>
    <x v="0"/>
    <x v="0"/>
    <x v="5"/>
    <x v="2"/>
    <x v="0"/>
    <x v="0"/>
    <x v="2"/>
    <x v="0"/>
  </r>
  <r>
    <x v="0"/>
    <x v="0"/>
    <n v="2236878861"/>
    <x v="2"/>
    <n v="59070"/>
    <x v="1"/>
    <x v="0"/>
    <x v="6"/>
    <x v="2"/>
    <x v="0"/>
    <x v="0"/>
    <x v="2"/>
    <x v="0"/>
  </r>
  <r>
    <x v="0"/>
    <x v="0"/>
    <n v="2236882693"/>
    <x v="0"/>
    <n v="9180"/>
    <x v="1"/>
    <x v="0"/>
    <x v="7"/>
    <x v="0"/>
    <x v="0"/>
    <x v="0"/>
    <x v="0"/>
    <x v="0"/>
  </r>
  <r>
    <x v="0"/>
    <x v="0"/>
    <n v="2236882700"/>
    <x v="0"/>
    <n v="3750"/>
    <x v="1"/>
    <x v="0"/>
    <x v="7"/>
    <x v="0"/>
    <x v="0"/>
    <x v="0"/>
    <x v="0"/>
    <x v="0"/>
  </r>
  <r>
    <x v="0"/>
    <x v="0"/>
    <n v="2236882860"/>
    <x v="7"/>
    <n v="1500"/>
    <x v="1"/>
    <x v="0"/>
    <x v="7"/>
    <x v="7"/>
    <x v="0"/>
    <x v="0"/>
    <x v="1"/>
    <x v="0"/>
  </r>
  <r>
    <x v="0"/>
    <x v="0"/>
    <n v="2236886368"/>
    <x v="1"/>
    <n v="1050"/>
    <x v="1"/>
    <x v="0"/>
    <x v="8"/>
    <x v="1"/>
    <x v="0"/>
    <x v="0"/>
    <x v="1"/>
    <x v="0"/>
  </r>
  <r>
    <x v="0"/>
    <x v="0"/>
    <n v="2236886369"/>
    <x v="0"/>
    <n v="76560"/>
    <x v="1"/>
    <x v="0"/>
    <x v="8"/>
    <x v="0"/>
    <x v="0"/>
    <x v="0"/>
    <x v="0"/>
    <x v="0"/>
  </r>
  <r>
    <x v="0"/>
    <x v="0"/>
    <n v="2236886370"/>
    <x v="5"/>
    <n v="-1"/>
    <x v="1"/>
    <x v="0"/>
    <x v="8"/>
    <x v="5"/>
    <x v="0"/>
    <x v="0"/>
    <x v="5"/>
    <x v="0"/>
  </r>
  <r>
    <x v="0"/>
    <x v="0"/>
    <n v="2236886370"/>
    <x v="6"/>
    <n v="1"/>
    <x v="1"/>
    <x v="0"/>
    <x v="8"/>
    <x v="6"/>
    <x v="0"/>
    <x v="0"/>
    <x v="5"/>
    <x v="0"/>
  </r>
  <r>
    <x v="0"/>
    <x v="0"/>
    <n v="2236886371"/>
    <x v="0"/>
    <n v="23320"/>
    <x v="1"/>
    <x v="0"/>
    <x v="8"/>
    <x v="0"/>
    <x v="0"/>
    <x v="0"/>
    <x v="0"/>
    <x v="0"/>
  </r>
  <r>
    <x v="0"/>
    <x v="0"/>
    <n v="2236886372"/>
    <x v="0"/>
    <n v="106640"/>
    <x v="1"/>
    <x v="0"/>
    <x v="8"/>
    <x v="0"/>
    <x v="0"/>
    <x v="0"/>
    <x v="0"/>
    <x v="0"/>
  </r>
  <r>
    <x v="0"/>
    <x v="0"/>
    <n v="2236886373"/>
    <x v="1"/>
    <n v="2040"/>
    <x v="1"/>
    <x v="0"/>
    <x v="8"/>
    <x v="1"/>
    <x v="0"/>
    <x v="0"/>
    <x v="1"/>
    <x v="0"/>
  </r>
  <r>
    <x v="0"/>
    <x v="0"/>
    <n v="2236886374"/>
    <x v="1"/>
    <n v="4080"/>
    <x v="1"/>
    <x v="0"/>
    <x v="8"/>
    <x v="1"/>
    <x v="0"/>
    <x v="0"/>
    <x v="1"/>
    <x v="0"/>
  </r>
  <r>
    <x v="0"/>
    <x v="0"/>
    <n v="2236886375"/>
    <x v="1"/>
    <n v="12240"/>
    <x v="1"/>
    <x v="0"/>
    <x v="8"/>
    <x v="1"/>
    <x v="0"/>
    <x v="0"/>
    <x v="1"/>
    <x v="0"/>
  </r>
  <r>
    <x v="0"/>
    <x v="0"/>
    <n v="2236886377"/>
    <x v="1"/>
    <n v="900"/>
    <x v="1"/>
    <x v="0"/>
    <x v="8"/>
    <x v="1"/>
    <x v="0"/>
    <x v="0"/>
    <x v="1"/>
    <x v="0"/>
  </r>
  <r>
    <x v="0"/>
    <x v="0"/>
    <n v="2236886378"/>
    <x v="1"/>
    <n v="2040"/>
    <x v="1"/>
    <x v="0"/>
    <x v="8"/>
    <x v="1"/>
    <x v="0"/>
    <x v="0"/>
    <x v="1"/>
    <x v="0"/>
  </r>
  <r>
    <x v="0"/>
    <x v="0"/>
    <n v="2236886379"/>
    <x v="1"/>
    <n v="4230"/>
    <x v="1"/>
    <x v="0"/>
    <x v="8"/>
    <x v="1"/>
    <x v="0"/>
    <x v="0"/>
    <x v="1"/>
    <x v="0"/>
  </r>
  <r>
    <x v="0"/>
    <x v="0"/>
    <n v="2236886380"/>
    <x v="1"/>
    <n v="1500"/>
    <x v="1"/>
    <x v="0"/>
    <x v="8"/>
    <x v="1"/>
    <x v="0"/>
    <x v="0"/>
    <x v="1"/>
    <x v="0"/>
  </r>
  <r>
    <x v="0"/>
    <x v="0"/>
    <n v="2236886381"/>
    <x v="0"/>
    <n v="1980"/>
    <x v="1"/>
    <x v="0"/>
    <x v="8"/>
    <x v="0"/>
    <x v="0"/>
    <x v="0"/>
    <x v="0"/>
    <x v="0"/>
  </r>
  <r>
    <x v="0"/>
    <x v="0"/>
    <n v="2236886382"/>
    <x v="1"/>
    <n v="2100"/>
    <x v="1"/>
    <x v="0"/>
    <x v="8"/>
    <x v="1"/>
    <x v="0"/>
    <x v="0"/>
    <x v="1"/>
    <x v="0"/>
  </r>
  <r>
    <x v="0"/>
    <x v="0"/>
    <n v="2236886383"/>
    <x v="0"/>
    <n v="18300"/>
    <x v="1"/>
    <x v="0"/>
    <x v="8"/>
    <x v="0"/>
    <x v="0"/>
    <x v="0"/>
    <x v="0"/>
    <x v="0"/>
  </r>
  <r>
    <x v="0"/>
    <x v="0"/>
    <n v="2236886384"/>
    <x v="0"/>
    <n v="1800"/>
    <x v="1"/>
    <x v="0"/>
    <x v="8"/>
    <x v="0"/>
    <x v="0"/>
    <x v="0"/>
    <x v="0"/>
    <x v="0"/>
  </r>
  <r>
    <x v="0"/>
    <x v="0"/>
    <n v="2236886385"/>
    <x v="1"/>
    <n v="1050"/>
    <x v="1"/>
    <x v="0"/>
    <x v="8"/>
    <x v="1"/>
    <x v="0"/>
    <x v="0"/>
    <x v="1"/>
    <x v="0"/>
  </r>
  <r>
    <x v="0"/>
    <x v="0"/>
    <n v="2236886386"/>
    <x v="0"/>
    <n v="129400"/>
    <x v="1"/>
    <x v="0"/>
    <x v="8"/>
    <x v="0"/>
    <x v="0"/>
    <x v="0"/>
    <x v="0"/>
    <x v="0"/>
  </r>
  <r>
    <x v="0"/>
    <x v="0"/>
    <n v="2236886387"/>
    <x v="0"/>
    <n v="8040"/>
    <x v="1"/>
    <x v="0"/>
    <x v="8"/>
    <x v="0"/>
    <x v="0"/>
    <x v="0"/>
    <x v="0"/>
    <x v="0"/>
  </r>
  <r>
    <x v="0"/>
    <x v="0"/>
    <n v="2236886388"/>
    <x v="2"/>
    <n v="24050"/>
    <x v="1"/>
    <x v="0"/>
    <x v="8"/>
    <x v="2"/>
    <x v="0"/>
    <x v="0"/>
    <x v="2"/>
    <x v="0"/>
  </r>
  <r>
    <x v="0"/>
    <x v="0"/>
    <n v="2236886389"/>
    <x v="5"/>
    <n v="-4800"/>
    <x v="1"/>
    <x v="0"/>
    <x v="8"/>
    <x v="5"/>
    <x v="0"/>
    <x v="0"/>
    <x v="5"/>
    <x v="0"/>
  </r>
  <r>
    <x v="0"/>
    <x v="0"/>
    <n v="2236886389"/>
    <x v="4"/>
    <n v="10000"/>
    <x v="1"/>
    <x v="0"/>
    <x v="8"/>
    <x v="4"/>
    <x v="0"/>
    <x v="0"/>
    <x v="4"/>
    <x v="0"/>
  </r>
  <r>
    <x v="0"/>
    <x v="0"/>
    <n v="2236886390"/>
    <x v="5"/>
    <n v="-17000"/>
    <x v="1"/>
    <x v="0"/>
    <x v="8"/>
    <x v="5"/>
    <x v="0"/>
    <x v="0"/>
    <x v="5"/>
    <x v="0"/>
  </r>
  <r>
    <x v="0"/>
    <x v="0"/>
    <n v="2236886390"/>
    <x v="6"/>
    <n v="20100"/>
    <x v="1"/>
    <x v="0"/>
    <x v="8"/>
    <x v="6"/>
    <x v="0"/>
    <x v="0"/>
    <x v="5"/>
    <x v="0"/>
  </r>
  <r>
    <x v="0"/>
    <x v="0"/>
    <n v="2236886391"/>
    <x v="5"/>
    <n v="-1000"/>
    <x v="1"/>
    <x v="0"/>
    <x v="8"/>
    <x v="5"/>
    <x v="0"/>
    <x v="0"/>
    <x v="5"/>
    <x v="0"/>
  </r>
  <r>
    <x v="0"/>
    <x v="0"/>
    <n v="2236886391"/>
    <x v="4"/>
    <n v="5200"/>
    <x v="1"/>
    <x v="0"/>
    <x v="8"/>
    <x v="4"/>
    <x v="0"/>
    <x v="0"/>
    <x v="4"/>
    <x v="0"/>
  </r>
  <r>
    <x v="0"/>
    <x v="0"/>
    <n v="2236886392"/>
    <x v="5"/>
    <n v="-8300"/>
    <x v="1"/>
    <x v="0"/>
    <x v="8"/>
    <x v="5"/>
    <x v="0"/>
    <x v="0"/>
    <x v="5"/>
    <x v="0"/>
  </r>
  <r>
    <x v="0"/>
    <x v="0"/>
    <n v="2236886392"/>
    <x v="6"/>
    <n v="20000"/>
    <x v="1"/>
    <x v="0"/>
    <x v="8"/>
    <x v="6"/>
    <x v="0"/>
    <x v="0"/>
    <x v="5"/>
    <x v="0"/>
  </r>
  <r>
    <x v="0"/>
    <x v="0"/>
    <n v="2236886393"/>
    <x v="5"/>
    <n v="-4300"/>
    <x v="1"/>
    <x v="0"/>
    <x v="8"/>
    <x v="5"/>
    <x v="0"/>
    <x v="0"/>
    <x v="5"/>
    <x v="0"/>
  </r>
  <r>
    <x v="0"/>
    <x v="0"/>
    <n v="2236886393"/>
    <x v="6"/>
    <n v="20000"/>
    <x v="1"/>
    <x v="0"/>
    <x v="8"/>
    <x v="6"/>
    <x v="0"/>
    <x v="0"/>
    <x v="5"/>
    <x v="0"/>
  </r>
  <r>
    <x v="0"/>
    <x v="0"/>
    <n v="2236886394"/>
    <x v="5"/>
    <n v="-3500"/>
    <x v="1"/>
    <x v="0"/>
    <x v="8"/>
    <x v="5"/>
    <x v="0"/>
    <x v="0"/>
    <x v="5"/>
    <x v="0"/>
  </r>
  <r>
    <x v="0"/>
    <x v="0"/>
    <n v="2236886394"/>
    <x v="6"/>
    <n v="30000"/>
    <x v="1"/>
    <x v="0"/>
    <x v="8"/>
    <x v="6"/>
    <x v="0"/>
    <x v="0"/>
    <x v="5"/>
    <x v="0"/>
  </r>
  <r>
    <x v="0"/>
    <x v="0"/>
    <n v="2236886396"/>
    <x v="0"/>
    <n v="34840"/>
    <x v="1"/>
    <x v="0"/>
    <x v="8"/>
    <x v="0"/>
    <x v="0"/>
    <x v="0"/>
    <x v="0"/>
    <x v="0"/>
  </r>
  <r>
    <x v="0"/>
    <x v="0"/>
    <n v="2236886397"/>
    <x v="2"/>
    <n v="5775"/>
    <x v="1"/>
    <x v="0"/>
    <x v="8"/>
    <x v="2"/>
    <x v="0"/>
    <x v="0"/>
    <x v="2"/>
    <x v="0"/>
  </r>
  <r>
    <x v="0"/>
    <x v="0"/>
    <n v="2236886398"/>
    <x v="0"/>
    <n v="11840"/>
    <x v="1"/>
    <x v="0"/>
    <x v="8"/>
    <x v="0"/>
    <x v="0"/>
    <x v="0"/>
    <x v="0"/>
    <x v="0"/>
  </r>
  <r>
    <x v="0"/>
    <x v="0"/>
    <n v="2236886399"/>
    <x v="2"/>
    <n v="20240"/>
    <x v="1"/>
    <x v="0"/>
    <x v="8"/>
    <x v="2"/>
    <x v="0"/>
    <x v="0"/>
    <x v="2"/>
    <x v="0"/>
  </r>
  <r>
    <x v="0"/>
    <x v="0"/>
    <n v="2236886400"/>
    <x v="2"/>
    <n v="2800"/>
    <x v="1"/>
    <x v="0"/>
    <x v="8"/>
    <x v="2"/>
    <x v="0"/>
    <x v="0"/>
    <x v="2"/>
    <x v="0"/>
  </r>
  <r>
    <x v="0"/>
    <x v="0"/>
    <n v="2236886401"/>
    <x v="1"/>
    <n v="7200"/>
    <x v="1"/>
    <x v="0"/>
    <x v="8"/>
    <x v="1"/>
    <x v="0"/>
    <x v="0"/>
    <x v="1"/>
    <x v="0"/>
  </r>
  <r>
    <x v="0"/>
    <x v="0"/>
    <n v="2236886402"/>
    <x v="5"/>
    <n v="-200"/>
    <x v="1"/>
    <x v="0"/>
    <x v="8"/>
    <x v="5"/>
    <x v="0"/>
    <x v="0"/>
    <x v="5"/>
    <x v="0"/>
  </r>
  <r>
    <x v="0"/>
    <x v="0"/>
    <n v="2236886402"/>
    <x v="6"/>
    <n v="1000"/>
    <x v="1"/>
    <x v="0"/>
    <x v="8"/>
    <x v="6"/>
    <x v="0"/>
    <x v="0"/>
    <x v="5"/>
    <x v="0"/>
  </r>
  <r>
    <x v="0"/>
    <x v="0"/>
    <n v="2236886404"/>
    <x v="5"/>
    <n v="-3320"/>
    <x v="1"/>
    <x v="0"/>
    <x v="8"/>
    <x v="5"/>
    <x v="0"/>
    <x v="0"/>
    <x v="5"/>
    <x v="0"/>
  </r>
  <r>
    <x v="0"/>
    <x v="0"/>
    <n v="2236886404"/>
    <x v="6"/>
    <n v="65000"/>
    <x v="1"/>
    <x v="0"/>
    <x v="8"/>
    <x v="6"/>
    <x v="0"/>
    <x v="0"/>
    <x v="5"/>
    <x v="0"/>
  </r>
  <r>
    <x v="0"/>
    <x v="0"/>
    <n v="2236886405"/>
    <x v="2"/>
    <n v="21505"/>
    <x v="1"/>
    <x v="0"/>
    <x v="8"/>
    <x v="2"/>
    <x v="0"/>
    <x v="0"/>
    <x v="2"/>
    <x v="0"/>
  </r>
  <r>
    <x v="0"/>
    <x v="0"/>
    <n v="2236886406"/>
    <x v="5"/>
    <n v="-5000"/>
    <x v="1"/>
    <x v="0"/>
    <x v="8"/>
    <x v="5"/>
    <x v="0"/>
    <x v="0"/>
    <x v="5"/>
    <x v="0"/>
  </r>
  <r>
    <x v="0"/>
    <x v="0"/>
    <n v="2236886406"/>
    <x v="4"/>
    <n v="10000"/>
    <x v="1"/>
    <x v="0"/>
    <x v="8"/>
    <x v="4"/>
    <x v="0"/>
    <x v="0"/>
    <x v="4"/>
    <x v="0"/>
  </r>
  <r>
    <x v="0"/>
    <x v="0"/>
    <n v="2236886407"/>
    <x v="5"/>
    <n v="-5600"/>
    <x v="1"/>
    <x v="0"/>
    <x v="8"/>
    <x v="5"/>
    <x v="0"/>
    <x v="0"/>
    <x v="5"/>
    <x v="0"/>
  </r>
  <r>
    <x v="0"/>
    <x v="0"/>
    <n v="2236886407"/>
    <x v="6"/>
    <n v="20000"/>
    <x v="1"/>
    <x v="0"/>
    <x v="8"/>
    <x v="6"/>
    <x v="0"/>
    <x v="0"/>
    <x v="5"/>
    <x v="0"/>
  </r>
  <r>
    <x v="0"/>
    <x v="0"/>
    <n v="2236886407"/>
    <x v="7"/>
    <n v="3600"/>
    <x v="1"/>
    <x v="0"/>
    <x v="8"/>
    <x v="7"/>
    <x v="0"/>
    <x v="0"/>
    <x v="1"/>
    <x v="0"/>
  </r>
  <r>
    <x v="0"/>
    <x v="0"/>
    <n v="2236886408"/>
    <x v="6"/>
    <n v="3400"/>
    <x v="1"/>
    <x v="0"/>
    <x v="8"/>
    <x v="6"/>
    <x v="0"/>
    <x v="0"/>
    <x v="5"/>
    <x v="0"/>
  </r>
  <r>
    <x v="0"/>
    <x v="0"/>
    <n v="2236886410"/>
    <x v="2"/>
    <n v="4500"/>
    <x v="1"/>
    <x v="0"/>
    <x v="8"/>
    <x v="2"/>
    <x v="0"/>
    <x v="0"/>
    <x v="2"/>
    <x v="0"/>
  </r>
  <r>
    <x v="0"/>
    <x v="0"/>
    <n v="2236886412"/>
    <x v="4"/>
    <n v="5000"/>
    <x v="1"/>
    <x v="0"/>
    <x v="8"/>
    <x v="4"/>
    <x v="0"/>
    <x v="0"/>
    <x v="4"/>
    <x v="0"/>
  </r>
  <r>
    <x v="0"/>
    <x v="0"/>
    <n v="2236886413"/>
    <x v="5"/>
    <n v="-8400"/>
    <x v="1"/>
    <x v="0"/>
    <x v="8"/>
    <x v="5"/>
    <x v="0"/>
    <x v="0"/>
    <x v="5"/>
    <x v="0"/>
  </r>
  <r>
    <x v="0"/>
    <x v="0"/>
    <n v="2236886413"/>
    <x v="6"/>
    <n v="10000"/>
    <x v="1"/>
    <x v="0"/>
    <x v="8"/>
    <x v="6"/>
    <x v="0"/>
    <x v="0"/>
    <x v="5"/>
    <x v="0"/>
  </r>
  <r>
    <x v="0"/>
    <x v="0"/>
    <n v="2236886414"/>
    <x v="4"/>
    <n v="5000"/>
    <x v="1"/>
    <x v="0"/>
    <x v="8"/>
    <x v="4"/>
    <x v="0"/>
    <x v="0"/>
    <x v="4"/>
    <x v="0"/>
  </r>
  <r>
    <x v="0"/>
    <x v="0"/>
    <n v="2236886415"/>
    <x v="2"/>
    <n v="3500"/>
    <x v="1"/>
    <x v="0"/>
    <x v="8"/>
    <x v="2"/>
    <x v="0"/>
    <x v="0"/>
    <x v="2"/>
    <x v="0"/>
  </r>
  <r>
    <x v="0"/>
    <x v="0"/>
    <n v="2236886416"/>
    <x v="5"/>
    <n v="-9400"/>
    <x v="1"/>
    <x v="0"/>
    <x v="8"/>
    <x v="5"/>
    <x v="0"/>
    <x v="0"/>
    <x v="5"/>
    <x v="0"/>
  </r>
  <r>
    <x v="0"/>
    <x v="0"/>
    <n v="2236886416"/>
    <x v="6"/>
    <n v="20000"/>
    <x v="1"/>
    <x v="0"/>
    <x v="8"/>
    <x v="6"/>
    <x v="0"/>
    <x v="0"/>
    <x v="5"/>
    <x v="0"/>
  </r>
  <r>
    <x v="0"/>
    <x v="0"/>
    <n v="2236886417"/>
    <x v="5"/>
    <n v="-4700"/>
    <x v="1"/>
    <x v="0"/>
    <x v="8"/>
    <x v="5"/>
    <x v="0"/>
    <x v="0"/>
    <x v="5"/>
    <x v="0"/>
  </r>
  <r>
    <x v="0"/>
    <x v="0"/>
    <n v="2236886417"/>
    <x v="4"/>
    <n v="10000"/>
    <x v="1"/>
    <x v="0"/>
    <x v="8"/>
    <x v="4"/>
    <x v="0"/>
    <x v="0"/>
    <x v="4"/>
    <x v="0"/>
  </r>
  <r>
    <x v="0"/>
    <x v="0"/>
    <n v="2236886419"/>
    <x v="5"/>
    <n v="-8350"/>
    <x v="1"/>
    <x v="0"/>
    <x v="8"/>
    <x v="5"/>
    <x v="0"/>
    <x v="0"/>
    <x v="5"/>
    <x v="0"/>
  </r>
  <r>
    <x v="0"/>
    <x v="0"/>
    <n v="2236886419"/>
    <x v="6"/>
    <n v="15600"/>
    <x v="1"/>
    <x v="0"/>
    <x v="8"/>
    <x v="6"/>
    <x v="0"/>
    <x v="0"/>
    <x v="5"/>
    <x v="0"/>
  </r>
  <r>
    <x v="0"/>
    <x v="0"/>
    <n v="2236886421"/>
    <x v="2"/>
    <n v="21560"/>
    <x v="1"/>
    <x v="0"/>
    <x v="8"/>
    <x v="2"/>
    <x v="0"/>
    <x v="0"/>
    <x v="2"/>
    <x v="0"/>
  </r>
  <r>
    <x v="0"/>
    <x v="0"/>
    <n v="2236886422"/>
    <x v="2"/>
    <n v="32010"/>
    <x v="1"/>
    <x v="0"/>
    <x v="8"/>
    <x v="2"/>
    <x v="0"/>
    <x v="0"/>
    <x v="2"/>
    <x v="0"/>
  </r>
  <r>
    <x v="0"/>
    <x v="0"/>
    <n v="2236886424"/>
    <x v="5"/>
    <n v="-4000"/>
    <x v="1"/>
    <x v="0"/>
    <x v="8"/>
    <x v="5"/>
    <x v="0"/>
    <x v="0"/>
    <x v="5"/>
    <x v="0"/>
  </r>
  <r>
    <x v="0"/>
    <x v="0"/>
    <n v="2236886424"/>
    <x v="6"/>
    <n v="10150"/>
    <x v="1"/>
    <x v="0"/>
    <x v="8"/>
    <x v="6"/>
    <x v="0"/>
    <x v="0"/>
    <x v="5"/>
    <x v="0"/>
  </r>
  <r>
    <x v="0"/>
    <x v="0"/>
    <n v="2236886425"/>
    <x v="6"/>
    <n v="7000"/>
    <x v="1"/>
    <x v="0"/>
    <x v="8"/>
    <x v="6"/>
    <x v="0"/>
    <x v="0"/>
    <x v="5"/>
    <x v="0"/>
  </r>
  <r>
    <x v="0"/>
    <x v="0"/>
    <n v="2236886426"/>
    <x v="0"/>
    <n v="4500"/>
    <x v="1"/>
    <x v="0"/>
    <x v="8"/>
    <x v="0"/>
    <x v="0"/>
    <x v="0"/>
    <x v="0"/>
    <x v="0"/>
  </r>
  <r>
    <x v="0"/>
    <x v="0"/>
    <n v="2236886427"/>
    <x v="2"/>
    <n v="6200"/>
    <x v="1"/>
    <x v="0"/>
    <x v="8"/>
    <x v="2"/>
    <x v="0"/>
    <x v="0"/>
    <x v="2"/>
    <x v="0"/>
  </r>
  <r>
    <x v="0"/>
    <x v="0"/>
    <n v="2236886428"/>
    <x v="4"/>
    <n v="5000"/>
    <x v="1"/>
    <x v="0"/>
    <x v="8"/>
    <x v="4"/>
    <x v="0"/>
    <x v="0"/>
    <x v="4"/>
    <x v="0"/>
  </r>
  <r>
    <x v="0"/>
    <x v="0"/>
    <n v="2236886429"/>
    <x v="2"/>
    <n v="11715"/>
    <x v="1"/>
    <x v="0"/>
    <x v="8"/>
    <x v="2"/>
    <x v="0"/>
    <x v="0"/>
    <x v="2"/>
    <x v="0"/>
  </r>
  <r>
    <x v="0"/>
    <x v="0"/>
    <n v="2236886430"/>
    <x v="2"/>
    <n v="62040"/>
    <x v="1"/>
    <x v="0"/>
    <x v="8"/>
    <x v="2"/>
    <x v="0"/>
    <x v="0"/>
    <x v="2"/>
    <x v="0"/>
  </r>
  <r>
    <x v="0"/>
    <x v="0"/>
    <n v="2236886433"/>
    <x v="5"/>
    <n v="-100"/>
    <x v="1"/>
    <x v="0"/>
    <x v="8"/>
    <x v="5"/>
    <x v="0"/>
    <x v="0"/>
    <x v="5"/>
    <x v="0"/>
  </r>
  <r>
    <x v="0"/>
    <x v="0"/>
    <n v="2236886433"/>
    <x v="6"/>
    <n v="6000"/>
    <x v="1"/>
    <x v="0"/>
    <x v="8"/>
    <x v="6"/>
    <x v="0"/>
    <x v="0"/>
    <x v="5"/>
    <x v="0"/>
  </r>
  <r>
    <x v="0"/>
    <x v="0"/>
    <n v="2236886434"/>
    <x v="2"/>
    <n v="3400"/>
    <x v="1"/>
    <x v="0"/>
    <x v="9"/>
    <x v="2"/>
    <x v="0"/>
    <x v="0"/>
    <x v="2"/>
    <x v="0"/>
  </r>
  <r>
    <x v="0"/>
    <x v="0"/>
    <n v="2236886435"/>
    <x v="5"/>
    <n v="-5000"/>
    <x v="1"/>
    <x v="0"/>
    <x v="8"/>
    <x v="5"/>
    <x v="0"/>
    <x v="0"/>
    <x v="5"/>
    <x v="0"/>
  </r>
  <r>
    <x v="0"/>
    <x v="0"/>
    <n v="2236886435"/>
    <x v="4"/>
    <n v="10300"/>
    <x v="1"/>
    <x v="0"/>
    <x v="8"/>
    <x v="4"/>
    <x v="0"/>
    <x v="0"/>
    <x v="4"/>
    <x v="0"/>
  </r>
  <r>
    <x v="0"/>
    <x v="0"/>
    <n v="2236886436"/>
    <x v="5"/>
    <n v="-5200"/>
    <x v="1"/>
    <x v="0"/>
    <x v="8"/>
    <x v="5"/>
    <x v="0"/>
    <x v="0"/>
    <x v="5"/>
    <x v="0"/>
  </r>
  <r>
    <x v="0"/>
    <x v="0"/>
    <n v="2236886436"/>
    <x v="4"/>
    <n v="10500"/>
    <x v="1"/>
    <x v="0"/>
    <x v="8"/>
    <x v="4"/>
    <x v="0"/>
    <x v="0"/>
    <x v="4"/>
    <x v="0"/>
  </r>
  <r>
    <x v="0"/>
    <x v="0"/>
    <n v="2236886437"/>
    <x v="5"/>
    <n v="-3100"/>
    <x v="1"/>
    <x v="0"/>
    <x v="8"/>
    <x v="5"/>
    <x v="0"/>
    <x v="0"/>
    <x v="5"/>
    <x v="0"/>
  </r>
  <r>
    <x v="0"/>
    <x v="0"/>
    <n v="2236886437"/>
    <x v="6"/>
    <n v="10000"/>
    <x v="1"/>
    <x v="0"/>
    <x v="8"/>
    <x v="6"/>
    <x v="0"/>
    <x v="0"/>
    <x v="5"/>
    <x v="0"/>
  </r>
  <r>
    <x v="0"/>
    <x v="0"/>
    <n v="2236886438"/>
    <x v="5"/>
    <n v="-500"/>
    <x v="1"/>
    <x v="0"/>
    <x v="8"/>
    <x v="5"/>
    <x v="0"/>
    <x v="0"/>
    <x v="5"/>
    <x v="0"/>
  </r>
  <r>
    <x v="0"/>
    <x v="0"/>
    <n v="2236886438"/>
    <x v="6"/>
    <n v="5000"/>
    <x v="1"/>
    <x v="0"/>
    <x v="8"/>
    <x v="6"/>
    <x v="0"/>
    <x v="0"/>
    <x v="5"/>
    <x v="0"/>
  </r>
  <r>
    <x v="0"/>
    <x v="0"/>
    <n v="2236886439"/>
    <x v="2"/>
    <n v="3000"/>
    <x v="1"/>
    <x v="0"/>
    <x v="8"/>
    <x v="2"/>
    <x v="0"/>
    <x v="0"/>
    <x v="2"/>
    <x v="0"/>
  </r>
  <r>
    <x v="0"/>
    <x v="0"/>
    <n v="2236886440"/>
    <x v="2"/>
    <n v="6540"/>
    <x v="1"/>
    <x v="0"/>
    <x v="8"/>
    <x v="2"/>
    <x v="0"/>
    <x v="0"/>
    <x v="2"/>
    <x v="0"/>
  </r>
  <r>
    <x v="0"/>
    <x v="0"/>
    <n v="2236886441"/>
    <x v="2"/>
    <n v="12320"/>
    <x v="1"/>
    <x v="0"/>
    <x v="8"/>
    <x v="2"/>
    <x v="0"/>
    <x v="0"/>
    <x v="2"/>
    <x v="0"/>
  </r>
  <r>
    <x v="0"/>
    <x v="0"/>
    <n v="2236886442"/>
    <x v="2"/>
    <n v="7100"/>
    <x v="1"/>
    <x v="0"/>
    <x v="8"/>
    <x v="2"/>
    <x v="0"/>
    <x v="0"/>
    <x v="2"/>
    <x v="0"/>
  </r>
  <r>
    <x v="0"/>
    <x v="0"/>
    <n v="2236886443"/>
    <x v="2"/>
    <n v="31900"/>
    <x v="1"/>
    <x v="0"/>
    <x v="8"/>
    <x v="2"/>
    <x v="0"/>
    <x v="0"/>
    <x v="2"/>
    <x v="0"/>
  </r>
  <r>
    <x v="0"/>
    <x v="0"/>
    <n v="2236886444"/>
    <x v="0"/>
    <n v="10280"/>
    <x v="1"/>
    <x v="0"/>
    <x v="8"/>
    <x v="0"/>
    <x v="0"/>
    <x v="0"/>
    <x v="0"/>
    <x v="0"/>
  </r>
  <r>
    <x v="0"/>
    <x v="0"/>
    <n v="2236886446"/>
    <x v="2"/>
    <n v="6800"/>
    <x v="1"/>
    <x v="0"/>
    <x v="8"/>
    <x v="2"/>
    <x v="0"/>
    <x v="0"/>
    <x v="2"/>
    <x v="0"/>
  </r>
  <r>
    <x v="0"/>
    <x v="0"/>
    <n v="2236886447"/>
    <x v="2"/>
    <n v="3850"/>
    <x v="1"/>
    <x v="0"/>
    <x v="8"/>
    <x v="2"/>
    <x v="0"/>
    <x v="0"/>
    <x v="2"/>
    <x v="0"/>
  </r>
  <r>
    <x v="0"/>
    <x v="0"/>
    <n v="2236886448"/>
    <x v="5"/>
    <n v="-4800"/>
    <x v="1"/>
    <x v="0"/>
    <x v="8"/>
    <x v="5"/>
    <x v="0"/>
    <x v="0"/>
    <x v="5"/>
    <x v="0"/>
  </r>
  <r>
    <x v="0"/>
    <x v="0"/>
    <n v="2236886448"/>
    <x v="4"/>
    <n v="10000"/>
    <x v="1"/>
    <x v="0"/>
    <x v="8"/>
    <x v="4"/>
    <x v="0"/>
    <x v="0"/>
    <x v="4"/>
    <x v="0"/>
  </r>
  <r>
    <x v="0"/>
    <x v="0"/>
    <n v="2236886449"/>
    <x v="2"/>
    <n v="27350"/>
    <x v="1"/>
    <x v="0"/>
    <x v="8"/>
    <x v="2"/>
    <x v="0"/>
    <x v="0"/>
    <x v="2"/>
    <x v="0"/>
  </r>
  <r>
    <x v="0"/>
    <x v="0"/>
    <n v="2236886450"/>
    <x v="2"/>
    <n v="3400"/>
    <x v="1"/>
    <x v="0"/>
    <x v="8"/>
    <x v="2"/>
    <x v="0"/>
    <x v="0"/>
    <x v="2"/>
    <x v="0"/>
  </r>
  <r>
    <x v="0"/>
    <x v="0"/>
    <n v="2236886451"/>
    <x v="5"/>
    <n v="-3000"/>
    <x v="1"/>
    <x v="0"/>
    <x v="8"/>
    <x v="5"/>
    <x v="0"/>
    <x v="0"/>
    <x v="5"/>
    <x v="0"/>
  </r>
  <r>
    <x v="0"/>
    <x v="0"/>
    <n v="2236886451"/>
    <x v="6"/>
    <n v="10000"/>
    <x v="1"/>
    <x v="0"/>
    <x v="8"/>
    <x v="6"/>
    <x v="0"/>
    <x v="0"/>
    <x v="5"/>
    <x v="0"/>
  </r>
  <r>
    <x v="0"/>
    <x v="0"/>
    <n v="2236886452"/>
    <x v="5"/>
    <n v="-900"/>
    <x v="1"/>
    <x v="0"/>
    <x v="8"/>
    <x v="5"/>
    <x v="0"/>
    <x v="0"/>
    <x v="5"/>
    <x v="0"/>
  </r>
  <r>
    <x v="0"/>
    <x v="0"/>
    <n v="2236886452"/>
    <x v="6"/>
    <n v="4000"/>
    <x v="1"/>
    <x v="0"/>
    <x v="8"/>
    <x v="6"/>
    <x v="0"/>
    <x v="0"/>
    <x v="5"/>
    <x v="0"/>
  </r>
  <r>
    <x v="0"/>
    <x v="0"/>
    <n v="2236886453"/>
    <x v="2"/>
    <n v="7040"/>
    <x v="1"/>
    <x v="0"/>
    <x v="8"/>
    <x v="2"/>
    <x v="0"/>
    <x v="0"/>
    <x v="2"/>
    <x v="0"/>
  </r>
  <r>
    <x v="0"/>
    <x v="0"/>
    <n v="2236886456"/>
    <x v="4"/>
    <n v="5000"/>
    <x v="1"/>
    <x v="0"/>
    <x v="8"/>
    <x v="4"/>
    <x v="0"/>
    <x v="0"/>
    <x v="4"/>
    <x v="0"/>
  </r>
  <r>
    <x v="0"/>
    <x v="0"/>
    <n v="2236886457"/>
    <x v="2"/>
    <n v="8000"/>
    <x v="1"/>
    <x v="0"/>
    <x v="8"/>
    <x v="2"/>
    <x v="0"/>
    <x v="0"/>
    <x v="2"/>
    <x v="0"/>
  </r>
  <r>
    <x v="0"/>
    <x v="0"/>
    <n v="2236886459"/>
    <x v="5"/>
    <n v="-2000"/>
    <x v="1"/>
    <x v="0"/>
    <x v="8"/>
    <x v="5"/>
    <x v="0"/>
    <x v="0"/>
    <x v="5"/>
    <x v="0"/>
  </r>
  <r>
    <x v="0"/>
    <x v="0"/>
    <n v="2236886459"/>
    <x v="6"/>
    <n v="5000"/>
    <x v="1"/>
    <x v="0"/>
    <x v="8"/>
    <x v="6"/>
    <x v="0"/>
    <x v="0"/>
    <x v="5"/>
    <x v="0"/>
  </r>
  <r>
    <x v="0"/>
    <x v="0"/>
    <n v="2236886461"/>
    <x v="2"/>
    <n v="11550"/>
    <x v="1"/>
    <x v="0"/>
    <x v="8"/>
    <x v="2"/>
    <x v="0"/>
    <x v="0"/>
    <x v="2"/>
    <x v="0"/>
  </r>
  <r>
    <x v="0"/>
    <x v="0"/>
    <n v="2236886462"/>
    <x v="2"/>
    <n v="3400"/>
    <x v="1"/>
    <x v="0"/>
    <x v="8"/>
    <x v="2"/>
    <x v="0"/>
    <x v="0"/>
    <x v="2"/>
    <x v="0"/>
  </r>
  <r>
    <x v="0"/>
    <x v="0"/>
    <n v="2236886463"/>
    <x v="4"/>
    <n v="5000"/>
    <x v="1"/>
    <x v="0"/>
    <x v="8"/>
    <x v="4"/>
    <x v="0"/>
    <x v="0"/>
    <x v="4"/>
    <x v="0"/>
  </r>
  <r>
    <x v="0"/>
    <x v="0"/>
    <n v="2236886464"/>
    <x v="0"/>
    <n v="87920"/>
    <x v="1"/>
    <x v="0"/>
    <x v="8"/>
    <x v="0"/>
    <x v="0"/>
    <x v="0"/>
    <x v="0"/>
    <x v="0"/>
  </r>
  <r>
    <x v="0"/>
    <x v="0"/>
    <n v="2236886465"/>
    <x v="2"/>
    <n v="5610"/>
    <x v="1"/>
    <x v="0"/>
    <x v="8"/>
    <x v="2"/>
    <x v="0"/>
    <x v="0"/>
    <x v="2"/>
    <x v="0"/>
  </r>
  <r>
    <x v="0"/>
    <x v="0"/>
    <n v="2236886466"/>
    <x v="5"/>
    <n v="-350"/>
    <x v="1"/>
    <x v="0"/>
    <x v="8"/>
    <x v="5"/>
    <x v="0"/>
    <x v="0"/>
    <x v="5"/>
    <x v="0"/>
  </r>
  <r>
    <x v="0"/>
    <x v="0"/>
    <n v="2236886466"/>
    <x v="6"/>
    <n v="22000"/>
    <x v="1"/>
    <x v="0"/>
    <x v="8"/>
    <x v="6"/>
    <x v="0"/>
    <x v="0"/>
    <x v="5"/>
    <x v="0"/>
  </r>
  <r>
    <x v="0"/>
    <x v="0"/>
    <n v="2236886467"/>
    <x v="5"/>
    <n v="-5000"/>
    <x v="1"/>
    <x v="0"/>
    <x v="8"/>
    <x v="5"/>
    <x v="0"/>
    <x v="0"/>
    <x v="5"/>
    <x v="0"/>
  </r>
  <r>
    <x v="0"/>
    <x v="0"/>
    <n v="2236886467"/>
    <x v="4"/>
    <n v="10000"/>
    <x v="1"/>
    <x v="0"/>
    <x v="8"/>
    <x v="4"/>
    <x v="0"/>
    <x v="0"/>
    <x v="4"/>
    <x v="0"/>
  </r>
  <r>
    <x v="0"/>
    <x v="0"/>
    <n v="2236886468"/>
    <x v="5"/>
    <n v="-1"/>
    <x v="1"/>
    <x v="0"/>
    <x v="8"/>
    <x v="5"/>
    <x v="0"/>
    <x v="0"/>
    <x v="5"/>
    <x v="0"/>
  </r>
  <r>
    <x v="0"/>
    <x v="0"/>
    <n v="2236886468"/>
    <x v="6"/>
    <n v="1"/>
    <x v="1"/>
    <x v="0"/>
    <x v="8"/>
    <x v="6"/>
    <x v="0"/>
    <x v="0"/>
    <x v="5"/>
    <x v="0"/>
  </r>
  <r>
    <x v="0"/>
    <x v="0"/>
    <n v="2236886469"/>
    <x v="5"/>
    <n v="-6600"/>
    <x v="1"/>
    <x v="0"/>
    <x v="8"/>
    <x v="5"/>
    <x v="0"/>
    <x v="0"/>
    <x v="5"/>
    <x v="0"/>
  </r>
  <r>
    <x v="0"/>
    <x v="0"/>
    <n v="2236886469"/>
    <x v="6"/>
    <n v="10000"/>
    <x v="1"/>
    <x v="0"/>
    <x v="8"/>
    <x v="6"/>
    <x v="0"/>
    <x v="0"/>
    <x v="5"/>
    <x v="0"/>
  </r>
  <r>
    <x v="0"/>
    <x v="0"/>
    <n v="2236886470"/>
    <x v="5"/>
    <n v="-7550"/>
    <x v="1"/>
    <x v="0"/>
    <x v="8"/>
    <x v="5"/>
    <x v="0"/>
    <x v="0"/>
    <x v="5"/>
    <x v="0"/>
  </r>
  <r>
    <x v="0"/>
    <x v="0"/>
    <n v="2236886470"/>
    <x v="6"/>
    <n v="20000"/>
    <x v="1"/>
    <x v="0"/>
    <x v="8"/>
    <x v="6"/>
    <x v="0"/>
    <x v="0"/>
    <x v="5"/>
    <x v="0"/>
  </r>
  <r>
    <x v="0"/>
    <x v="0"/>
    <n v="2236886471"/>
    <x v="2"/>
    <n v="1800"/>
    <x v="1"/>
    <x v="0"/>
    <x v="8"/>
    <x v="2"/>
    <x v="0"/>
    <x v="0"/>
    <x v="2"/>
    <x v="0"/>
  </r>
  <r>
    <x v="0"/>
    <x v="0"/>
    <n v="2236886472"/>
    <x v="5"/>
    <n v="-2000"/>
    <x v="1"/>
    <x v="0"/>
    <x v="8"/>
    <x v="5"/>
    <x v="0"/>
    <x v="0"/>
    <x v="5"/>
    <x v="0"/>
  </r>
  <r>
    <x v="0"/>
    <x v="0"/>
    <n v="2236886472"/>
    <x v="6"/>
    <n v="5100"/>
    <x v="1"/>
    <x v="0"/>
    <x v="8"/>
    <x v="6"/>
    <x v="0"/>
    <x v="0"/>
    <x v="5"/>
    <x v="0"/>
  </r>
  <r>
    <x v="0"/>
    <x v="0"/>
    <n v="2236886473"/>
    <x v="5"/>
    <n v="-1"/>
    <x v="1"/>
    <x v="0"/>
    <x v="8"/>
    <x v="5"/>
    <x v="0"/>
    <x v="0"/>
    <x v="5"/>
    <x v="0"/>
  </r>
  <r>
    <x v="0"/>
    <x v="0"/>
    <n v="2236886473"/>
    <x v="6"/>
    <n v="1"/>
    <x v="1"/>
    <x v="0"/>
    <x v="8"/>
    <x v="6"/>
    <x v="0"/>
    <x v="0"/>
    <x v="5"/>
    <x v="0"/>
  </r>
  <r>
    <x v="0"/>
    <x v="0"/>
    <n v="2236886476"/>
    <x v="5"/>
    <n v="-6600"/>
    <x v="1"/>
    <x v="0"/>
    <x v="8"/>
    <x v="5"/>
    <x v="0"/>
    <x v="0"/>
    <x v="5"/>
    <x v="0"/>
  </r>
  <r>
    <x v="0"/>
    <x v="0"/>
    <n v="2236886476"/>
    <x v="6"/>
    <n v="10000"/>
    <x v="1"/>
    <x v="0"/>
    <x v="8"/>
    <x v="6"/>
    <x v="0"/>
    <x v="0"/>
    <x v="5"/>
    <x v="0"/>
  </r>
  <r>
    <x v="0"/>
    <x v="0"/>
    <n v="2236886479"/>
    <x v="2"/>
    <n v="3740"/>
    <x v="1"/>
    <x v="0"/>
    <x v="8"/>
    <x v="2"/>
    <x v="0"/>
    <x v="0"/>
    <x v="2"/>
    <x v="0"/>
  </r>
  <r>
    <x v="0"/>
    <x v="0"/>
    <n v="2236886480"/>
    <x v="5"/>
    <n v="-11980"/>
    <x v="1"/>
    <x v="0"/>
    <x v="8"/>
    <x v="5"/>
    <x v="0"/>
    <x v="0"/>
    <x v="5"/>
    <x v="0"/>
  </r>
  <r>
    <x v="0"/>
    <x v="0"/>
    <n v="2236886480"/>
    <x v="6"/>
    <n v="25000"/>
    <x v="1"/>
    <x v="0"/>
    <x v="8"/>
    <x v="6"/>
    <x v="0"/>
    <x v="0"/>
    <x v="5"/>
    <x v="0"/>
  </r>
  <r>
    <x v="0"/>
    <x v="0"/>
    <n v="2236886481"/>
    <x v="5"/>
    <n v="-4700"/>
    <x v="1"/>
    <x v="0"/>
    <x v="8"/>
    <x v="5"/>
    <x v="0"/>
    <x v="0"/>
    <x v="5"/>
    <x v="0"/>
  </r>
  <r>
    <x v="0"/>
    <x v="0"/>
    <n v="2236886481"/>
    <x v="4"/>
    <n v="10000"/>
    <x v="1"/>
    <x v="0"/>
    <x v="8"/>
    <x v="4"/>
    <x v="0"/>
    <x v="0"/>
    <x v="4"/>
    <x v="0"/>
  </r>
  <r>
    <x v="0"/>
    <x v="0"/>
    <n v="2236886483"/>
    <x v="5"/>
    <n v="-3000"/>
    <x v="1"/>
    <x v="0"/>
    <x v="8"/>
    <x v="5"/>
    <x v="0"/>
    <x v="0"/>
    <x v="5"/>
    <x v="0"/>
  </r>
  <r>
    <x v="0"/>
    <x v="0"/>
    <n v="2236886483"/>
    <x v="6"/>
    <n v="10000"/>
    <x v="1"/>
    <x v="0"/>
    <x v="8"/>
    <x v="6"/>
    <x v="0"/>
    <x v="0"/>
    <x v="5"/>
    <x v="0"/>
  </r>
  <r>
    <x v="0"/>
    <x v="0"/>
    <n v="2236886485"/>
    <x v="5"/>
    <n v="-1600"/>
    <x v="1"/>
    <x v="0"/>
    <x v="8"/>
    <x v="5"/>
    <x v="0"/>
    <x v="0"/>
    <x v="5"/>
    <x v="0"/>
  </r>
  <r>
    <x v="0"/>
    <x v="0"/>
    <n v="2236886485"/>
    <x v="6"/>
    <n v="20000"/>
    <x v="1"/>
    <x v="0"/>
    <x v="8"/>
    <x v="6"/>
    <x v="0"/>
    <x v="0"/>
    <x v="5"/>
    <x v="0"/>
  </r>
  <r>
    <x v="0"/>
    <x v="0"/>
    <n v="2236886486"/>
    <x v="5"/>
    <n v="-3100"/>
    <x v="1"/>
    <x v="0"/>
    <x v="8"/>
    <x v="5"/>
    <x v="0"/>
    <x v="0"/>
    <x v="5"/>
    <x v="0"/>
  </r>
  <r>
    <x v="0"/>
    <x v="0"/>
    <n v="2236886486"/>
    <x v="6"/>
    <n v="10000"/>
    <x v="1"/>
    <x v="0"/>
    <x v="8"/>
    <x v="6"/>
    <x v="0"/>
    <x v="0"/>
    <x v="5"/>
    <x v="0"/>
  </r>
  <r>
    <x v="0"/>
    <x v="0"/>
    <n v="2236886487"/>
    <x v="2"/>
    <n v="20020"/>
    <x v="1"/>
    <x v="0"/>
    <x v="8"/>
    <x v="2"/>
    <x v="0"/>
    <x v="0"/>
    <x v="2"/>
    <x v="0"/>
  </r>
  <r>
    <x v="0"/>
    <x v="0"/>
    <n v="2236886496"/>
    <x v="5"/>
    <n v="-4200"/>
    <x v="1"/>
    <x v="0"/>
    <x v="8"/>
    <x v="5"/>
    <x v="0"/>
    <x v="0"/>
    <x v="5"/>
    <x v="0"/>
  </r>
  <r>
    <x v="0"/>
    <x v="0"/>
    <n v="2236886496"/>
    <x v="6"/>
    <n v="5000"/>
    <x v="1"/>
    <x v="0"/>
    <x v="8"/>
    <x v="6"/>
    <x v="0"/>
    <x v="0"/>
    <x v="5"/>
    <x v="0"/>
  </r>
  <r>
    <x v="0"/>
    <x v="0"/>
    <n v="2236886497"/>
    <x v="5"/>
    <n v="-4600"/>
    <x v="1"/>
    <x v="0"/>
    <x v="8"/>
    <x v="5"/>
    <x v="0"/>
    <x v="0"/>
    <x v="5"/>
    <x v="0"/>
  </r>
  <r>
    <x v="0"/>
    <x v="0"/>
    <n v="2236886497"/>
    <x v="6"/>
    <n v="15000"/>
    <x v="1"/>
    <x v="0"/>
    <x v="8"/>
    <x v="6"/>
    <x v="0"/>
    <x v="0"/>
    <x v="5"/>
    <x v="0"/>
  </r>
  <r>
    <x v="0"/>
    <x v="0"/>
    <n v="2236886498"/>
    <x v="0"/>
    <n v="16400"/>
    <x v="1"/>
    <x v="0"/>
    <x v="8"/>
    <x v="0"/>
    <x v="0"/>
    <x v="0"/>
    <x v="0"/>
    <x v="0"/>
  </r>
  <r>
    <x v="0"/>
    <x v="0"/>
    <n v="2236886499"/>
    <x v="2"/>
    <n v="26840"/>
    <x v="1"/>
    <x v="0"/>
    <x v="8"/>
    <x v="2"/>
    <x v="0"/>
    <x v="0"/>
    <x v="2"/>
    <x v="0"/>
  </r>
  <r>
    <x v="0"/>
    <x v="0"/>
    <n v="2236886500"/>
    <x v="2"/>
    <n v="20650"/>
    <x v="1"/>
    <x v="0"/>
    <x v="8"/>
    <x v="2"/>
    <x v="0"/>
    <x v="0"/>
    <x v="2"/>
    <x v="0"/>
  </r>
  <r>
    <x v="0"/>
    <x v="0"/>
    <n v="2236886516"/>
    <x v="5"/>
    <n v="-2000"/>
    <x v="1"/>
    <x v="0"/>
    <x v="9"/>
    <x v="5"/>
    <x v="0"/>
    <x v="0"/>
    <x v="5"/>
    <x v="0"/>
  </r>
  <r>
    <x v="0"/>
    <x v="0"/>
    <n v="2236886516"/>
    <x v="6"/>
    <n v="5000"/>
    <x v="1"/>
    <x v="0"/>
    <x v="9"/>
    <x v="6"/>
    <x v="0"/>
    <x v="0"/>
    <x v="5"/>
    <x v="0"/>
  </r>
  <r>
    <x v="0"/>
    <x v="0"/>
    <n v="2236886536"/>
    <x v="6"/>
    <n v="300"/>
    <x v="1"/>
    <x v="0"/>
    <x v="9"/>
    <x v="6"/>
    <x v="0"/>
    <x v="0"/>
    <x v="5"/>
    <x v="0"/>
  </r>
  <r>
    <x v="0"/>
    <x v="0"/>
    <n v="2236886536"/>
    <x v="7"/>
    <n v="20000"/>
    <x v="1"/>
    <x v="0"/>
    <x v="9"/>
    <x v="7"/>
    <x v="0"/>
    <x v="0"/>
    <x v="1"/>
    <x v="0"/>
  </r>
  <r>
    <x v="0"/>
    <x v="0"/>
    <n v="2236886537"/>
    <x v="5"/>
    <n v="-400"/>
    <x v="1"/>
    <x v="0"/>
    <x v="9"/>
    <x v="5"/>
    <x v="0"/>
    <x v="0"/>
    <x v="5"/>
    <x v="0"/>
  </r>
  <r>
    <x v="0"/>
    <x v="0"/>
    <n v="2236886537"/>
    <x v="6"/>
    <n v="24000"/>
    <x v="1"/>
    <x v="0"/>
    <x v="9"/>
    <x v="6"/>
    <x v="0"/>
    <x v="0"/>
    <x v="5"/>
    <x v="0"/>
  </r>
  <r>
    <x v="0"/>
    <x v="0"/>
    <n v="2236886576"/>
    <x v="5"/>
    <n v="-14700"/>
    <x v="1"/>
    <x v="0"/>
    <x v="9"/>
    <x v="5"/>
    <x v="0"/>
    <x v="0"/>
    <x v="5"/>
    <x v="0"/>
  </r>
  <r>
    <x v="0"/>
    <x v="0"/>
    <n v="2236886576"/>
    <x v="4"/>
    <n v="20000"/>
    <x v="1"/>
    <x v="0"/>
    <x v="9"/>
    <x v="4"/>
    <x v="0"/>
    <x v="0"/>
    <x v="4"/>
    <x v="0"/>
  </r>
  <r>
    <x v="0"/>
    <x v="0"/>
    <n v="2236886577"/>
    <x v="5"/>
    <n v="-3500"/>
    <x v="1"/>
    <x v="0"/>
    <x v="9"/>
    <x v="5"/>
    <x v="0"/>
    <x v="0"/>
    <x v="5"/>
    <x v="0"/>
  </r>
  <r>
    <x v="0"/>
    <x v="0"/>
    <n v="2236886577"/>
    <x v="6"/>
    <n v="10000"/>
    <x v="1"/>
    <x v="0"/>
    <x v="9"/>
    <x v="6"/>
    <x v="0"/>
    <x v="0"/>
    <x v="5"/>
    <x v="0"/>
  </r>
  <r>
    <x v="0"/>
    <x v="0"/>
    <n v="2236886578"/>
    <x v="2"/>
    <n v="3300"/>
    <x v="1"/>
    <x v="0"/>
    <x v="9"/>
    <x v="2"/>
    <x v="0"/>
    <x v="0"/>
    <x v="2"/>
    <x v="0"/>
  </r>
  <r>
    <x v="0"/>
    <x v="0"/>
    <n v="2236886579"/>
    <x v="5"/>
    <n v="-5000"/>
    <x v="1"/>
    <x v="0"/>
    <x v="9"/>
    <x v="5"/>
    <x v="0"/>
    <x v="0"/>
    <x v="5"/>
    <x v="0"/>
  </r>
  <r>
    <x v="0"/>
    <x v="0"/>
    <n v="2236886579"/>
    <x v="4"/>
    <n v="10000"/>
    <x v="1"/>
    <x v="0"/>
    <x v="9"/>
    <x v="4"/>
    <x v="0"/>
    <x v="0"/>
    <x v="4"/>
    <x v="0"/>
  </r>
  <r>
    <x v="0"/>
    <x v="0"/>
    <n v="2236886580"/>
    <x v="6"/>
    <n v="12500"/>
    <x v="1"/>
    <x v="0"/>
    <x v="9"/>
    <x v="6"/>
    <x v="0"/>
    <x v="0"/>
    <x v="5"/>
    <x v="0"/>
  </r>
  <r>
    <x v="0"/>
    <x v="0"/>
    <n v="2236886581"/>
    <x v="5"/>
    <n v="-200"/>
    <x v="1"/>
    <x v="0"/>
    <x v="9"/>
    <x v="5"/>
    <x v="0"/>
    <x v="0"/>
    <x v="5"/>
    <x v="0"/>
  </r>
  <r>
    <x v="0"/>
    <x v="0"/>
    <n v="2236886581"/>
    <x v="6"/>
    <n v="7000"/>
    <x v="1"/>
    <x v="0"/>
    <x v="9"/>
    <x v="6"/>
    <x v="0"/>
    <x v="0"/>
    <x v="5"/>
    <x v="0"/>
  </r>
  <r>
    <x v="0"/>
    <x v="0"/>
    <n v="2236886582"/>
    <x v="5"/>
    <n v="-1"/>
    <x v="1"/>
    <x v="0"/>
    <x v="9"/>
    <x v="5"/>
    <x v="0"/>
    <x v="0"/>
    <x v="5"/>
    <x v="0"/>
  </r>
  <r>
    <x v="0"/>
    <x v="0"/>
    <n v="2236886582"/>
    <x v="6"/>
    <n v="1"/>
    <x v="1"/>
    <x v="0"/>
    <x v="9"/>
    <x v="6"/>
    <x v="0"/>
    <x v="0"/>
    <x v="5"/>
    <x v="0"/>
  </r>
  <r>
    <x v="0"/>
    <x v="0"/>
    <n v="2236886583"/>
    <x v="2"/>
    <n v="12420"/>
    <x v="1"/>
    <x v="0"/>
    <x v="9"/>
    <x v="2"/>
    <x v="0"/>
    <x v="0"/>
    <x v="2"/>
    <x v="0"/>
  </r>
  <r>
    <x v="0"/>
    <x v="0"/>
    <n v="2236886584"/>
    <x v="5"/>
    <n v="-2100"/>
    <x v="1"/>
    <x v="0"/>
    <x v="9"/>
    <x v="5"/>
    <x v="0"/>
    <x v="0"/>
    <x v="5"/>
    <x v="0"/>
  </r>
  <r>
    <x v="0"/>
    <x v="0"/>
    <n v="2236886584"/>
    <x v="6"/>
    <n v="10000"/>
    <x v="1"/>
    <x v="0"/>
    <x v="9"/>
    <x v="6"/>
    <x v="0"/>
    <x v="0"/>
    <x v="5"/>
    <x v="0"/>
  </r>
  <r>
    <x v="0"/>
    <x v="0"/>
    <n v="2236886585"/>
    <x v="5"/>
    <n v="-3800"/>
    <x v="1"/>
    <x v="0"/>
    <x v="9"/>
    <x v="5"/>
    <x v="0"/>
    <x v="0"/>
    <x v="5"/>
    <x v="0"/>
  </r>
  <r>
    <x v="0"/>
    <x v="0"/>
    <n v="2236886585"/>
    <x v="6"/>
    <n v="10000"/>
    <x v="1"/>
    <x v="0"/>
    <x v="9"/>
    <x v="6"/>
    <x v="0"/>
    <x v="0"/>
    <x v="5"/>
    <x v="0"/>
  </r>
  <r>
    <x v="0"/>
    <x v="0"/>
    <n v="2236886586"/>
    <x v="2"/>
    <n v="6490"/>
    <x v="1"/>
    <x v="0"/>
    <x v="9"/>
    <x v="2"/>
    <x v="0"/>
    <x v="0"/>
    <x v="2"/>
    <x v="0"/>
  </r>
  <r>
    <x v="0"/>
    <x v="0"/>
    <n v="2236886588"/>
    <x v="2"/>
    <n v="14960"/>
    <x v="1"/>
    <x v="0"/>
    <x v="9"/>
    <x v="2"/>
    <x v="0"/>
    <x v="0"/>
    <x v="2"/>
    <x v="0"/>
  </r>
  <r>
    <x v="0"/>
    <x v="0"/>
    <n v="2236886596"/>
    <x v="5"/>
    <n v="-500"/>
    <x v="1"/>
    <x v="0"/>
    <x v="9"/>
    <x v="5"/>
    <x v="0"/>
    <x v="0"/>
    <x v="5"/>
    <x v="0"/>
  </r>
  <r>
    <x v="0"/>
    <x v="0"/>
    <n v="2236886596"/>
    <x v="6"/>
    <n v="10000"/>
    <x v="1"/>
    <x v="0"/>
    <x v="9"/>
    <x v="6"/>
    <x v="0"/>
    <x v="0"/>
    <x v="5"/>
    <x v="0"/>
  </r>
  <r>
    <x v="0"/>
    <x v="0"/>
    <n v="2236886597"/>
    <x v="5"/>
    <n v="-5040"/>
    <x v="1"/>
    <x v="0"/>
    <x v="9"/>
    <x v="5"/>
    <x v="0"/>
    <x v="0"/>
    <x v="5"/>
    <x v="0"/>
  </r>
  <r>
    <x v="0"/>
    <x v="0"/>
    <n v="2236886597"/>
    <x v="6"/>
    <n v="10000"/>
    <x v="1"/>
    <x v="0"/>
    <x v="9"/>
    <x v="6"/>
    <x v="0"/>
    <x v="0"/>
    <x v="5"/>
    <x v="0"/>
  </r>
  <r>
    <x v="0"/>
    <x v="0"/>
    <n v="2236886597"/>
    <x v="7"/>
    <n v="1240"/>
    <x v="1"/>
    <x v="0"/>
    <x v="9"/>
    <x v="7"/>
    <x v="0"/>
    <x v="0"/>
    <x v="1"/>
    <x v="0"/>
  </r>
  <r>
    <x v="0"/>
    <x v="0"/>
    <n v="2236886599"/>
    <x v="5"/>
    <n v="-100"/>
    <x v="1"/>
    <x v="0"/>
    <x v="9"/>
    <x v="5"/>
    <x v="0"/>
    <x v="0"/>
    <x v="5"/>
    <x v="0"/>
  </r>
  <r>
    <x v="0"/>
    <x v="0"/>
    <n v="2236886599"/>
    <x v="6"/>
    <n v="6000"/>
    <x v="1"/>
    <x v="0"/>
    <x v="9"/>
    <x v="6"/>
    <x v="0"/>
    <x v="0"/>
    <x v="5"/>
    <x v="0"/>
  </r>
  <r>
    <x v="0"/>
    <x v="0"/>
    <n v="2236886600"/>
    <x v="1"/>
    <n v="6510"/>
    <x v="1"/>
    <x v="0"/>
    <x v="9"/>
    <x v="1"/>
    <x v="0"/>
    <x v="0"/>
    <x v="1"/>
    <x v="0"/>
  </r>
  <r>
    <x v="0"/>
    <x v="0"/>
    <n v="2236886601"/>
    <x v="6"/>
    <n v="3500"/>
    <x v="1"/>
    <x v="0"/>
    <x v="10"/>
    <x v="6"/>
    <x v="0"/>
    <x v="0"/>
    <x v="5"/>
    <x v="0"/>
  </r>
  <r>
    <x v="0"/>
    <x v="0"/>
    <n v="2236886602"/>
    <x v="2"/>
    <n v="4400"/>
    <x v="1"/>
    <x v="0"/>
    <x v="10"/>
    <x v="2"/>
    <x v="0"/>
    <x v="0"/>
    <x v="2"/>
    <x v="0"/>
  </r>
  <r>
    <x v="0"/>
    <x v="0"/>
    <n v="2236886605"/>
    <x v="5"/>
    <n v="-400"/>
    <x v="1"/>
    <x v="0"/>
    <x v="9"/>
    <x v="5"/>
    <x v="0"/>
    <x v="0"/>
    <x v="5"/>
    <x v="0"/>
  </r>
  <r>
    <x v="0"/>
    <x v="0"/>
    <n v="2236886605"/>
    <x v="6"/>
    <n v="32500"/>
    <x v="1"/>
    <x v="0"/>
    <x v="9"/>
    <x v="6"/>
    <x v="0"/>
    <x v="0"/>
    <x v="5"/>
    <x v="0"/>
  </r>
  <r>
    <x v="0"/>
    <x v="0"/>
    <n v="2236886606"/>
    <x v="5"/>
    <n v="-1700"/>
    <x v="1"/>
    <x v="0"/>
    <x v="9"/>
    <x v="5"/>
    <x v="0"/>
    <x v="0"/>
    <x v="5"/>
    <x v="0"/>
  </r>
  <r>
    <x v="0"/>
    <x v="0"/>
    <n v="2236886606"/>
    <x v="6"/>
    <n v="10000"/>
    <x v="1"/>
    <x v="0"/>
    <x v="9"/>
    <x v="6"/>
    <x v="0"/>
    <x v="0"/>
    <x v="5"/>
    <x v="0"/>
  </r>
  <r>
    <x v="0"/>
    <x v="0"/>
    <n v="2236886607"/>
    <x v="2"/>
    <n v="6600"/>
    <x v="1"/>
    <x v="0"/>
    <x v="9"/>
    <x v="2"/>
    <x v="0"/>
    <x v="0"/>
    <x v="2"/>
    <x v="0"/>
  </r>
  <r>
    <x v="0"/>
    <x v="0"/>
    <n v="2236886608"/>
    <x v="5"/>
    <n v="-13200"/>
    <x v="1"/>
    <x v="0"/>
    <x v="9"/>
    <x v="5"/>
    <x v="0"/>
    <x v="0"/>
    <x v="5"/>
    <x v="0"/>
  </r>
  <r>
    <x v="0"/>
    <x v="0"/>
    <n v="2236886608"/>
    <x v="6"/>
    <n v="20000"/>
    <x v="1"/>
    <x v="0"/>
    <x v="9"/>
    <x v="6"/>
    <x v="0"/>
    <x v="0"/>
    <x v="5"/>
    <x v="0"/>
  </r>
  <r>
    <x v="0"/>
    <x v="0"/>
    <n v="2236886609"/>
    <x v="5"/>
    <n v="-3200"/>
    <x v="1"/>
    <x v="0"/>
    <x v="9"/>
    <x v="5"/>
    <x v="0"/>
    <x v="0"/>
    <x v="5"/>
    <x v="0"/>
  </r>
  <r>
    <x v="0"/>
    <x v="0"/>
    <n v="2236886609"/>
    <x v="6"/>
    <n v="10000"/>
    <x v="1"/>
    <x v="0"/>
    <x v="9"/>
    <x v="6"/>
    <x v="0"/>
    <x v="0"/>
    <x v="5"/>
    <x v="0"/>
  </r>
  <r>
    <x v="0"/>
    <x v="0"/>
    <n v="2236886610"/>
    <x v="2"/>
    <n v="13600"/>
    <x v="1"/>
    <x v="0"/>
    <x v="9"/>
    <x v="2"/>
    <x v="0"/>
    <x v="0"/>
    <x v="2"/>
    <x v="0"/>
  </r>
  <r>
    <x v="0"/>
    <x v="0"/>
    <n v="2236886610"/>
    <x v="7"/>
    <n v="3400"/>
    <x v="1"/>
    <x v="0"/>
    <x v="9"/>
    <x v="7"/>
    <x v="0"/>
    <x v="0"/>
    <x v="1"/>
    <x v="0"/>
  </r>
  <r>
    <x v="0"/>
    <x v="0"/>
    <n v="2236886611"/>
    <x v="2"/>
    <n v="16720"/>
    <x v="1"/>
    <x v="0"/>
    <x v="9"/>
    <x v="2"/>
    <x v="0"/>
    <x v="0"/>
    <x v="2"/>
    <x v="0"/>
  </r>
  <r>
    <x v="0"/>
    <x v="0"/>
    <n v="2236886613"/>
    <x v="0"/>
    <n v="7860"/>
    <x v="1"/>
    <x v="0"/>
    <x v="9"/>
    <x v="0"/>
    <x v="0"/>
    <x v="0"/>
    <x v="0"/>
    <x v="0"/>
  </r>
  <r>
    <x v="0"/>
    <x v="0"/>
    <n v="2236886616"/>
    <x v="5"/>
    <n v="-700"/>
    <x v="1"/>
    <x v="0"/>
    <x v="11"/>
    <x v="5"/>
    <x v="0"/>
    <x v="0"/>
    <x v="5"/>
    <x v="0"/>
  </r>
  <r>
    <x v="0"/>
    <x v="0"/>
    <n v="2236886616"/>
    <x v="6"/>
    <n v="6000"/>
    <x v="1"/>
    <x v="0"/>
    <x v="11"/>
    <x v="6"/>
    <x v="0"/>
    <x v="0"/>
    <x v="5"/>
    <x v="0"/>
  </r>
  <r>
    <x v="0"/>
    <x v="0"/>
    <n v="2236886617"/>
    <x v="5"/>
    <n v="-13375"/>
    <x v="1"/>
    <x v="0"/>
    <x v="9"/>
    <x v="5"/>
    <x v="0"/>
    <x v="0"/>
    <x v="5"/>
    <x v="0"/>
  </r>
  <r>
    <x v="0"/>
    <x v="0"/>
    <n v="2236886617"/>
    <x v="6"/>
    <n v="100000"/>
    <x v="1"/>
    <x v="0"/>
    <x v="9"/>
    <x v="6"/>
    <x v="0"/>
    <x v="0"/>
    <x v="5"/>
    <x v="0"/>
  </r>
  <r>
    <x v="0"/>
    <x v="0"/>
    <n v="2236892705"/>
    <x v="5"/>
    <n v="-6500"/>
    <x v="1"/>
    <x v="0"/>
    <x v="10"/>
    <x v="5"/>
    <x v="0"/>
    <x v="0"/>
    <x v="5"/>
    <x v="0"/>
  </r>
  <r>
    <x v="0"/>
    <x v="0"/>
    <n v="2236892705"/>
    <x v="6"/>
    <n v="10000"/>
    <x v="1"/>
    <x v="0"/>
    <x v="10"/>
    <x v="6"/>
    <x v="0"/>
    <x v="0"/>
    <x v="5"/>
    <x v="0"/>
  </r>
  <r>
    <x v="0"/>
    <x v="0"/>
    <n v="2236892709"/>
    <x v="5"/>
    <n v="-1450"/>
    <x v="1"/>
    <x v="0"/>
    <x v="10"/>
    <x v="5"/>
    <x v="0"/>
    <x v="0"/>
    <x v="5"/>
    <x v="0"/>
  </r>
  <r>
    <x v="0"/>
    <x v="0"/>
    <n v="2236892709"/>
    <x v="6"/>
    <n v="10000"/>
    <x v="1"/>
    <x v="0"/>
    <x v="10"/>
    <x v="6"/>
    <x v="0"/>
    <x v="0"/>
    <x v="5"/>
    <x v="0"/>
  </r>
  <r>
    <x v="0"/>
    <x v="0"/>
    <n v="2236892710"/>
    <x v="4"/>
    <n v="4000"/>
    <x v="1"/>
    <x v="0"/>
    <x v="10"/>
    <x v="4"/>
    <x v="0"/>
    <x v="0"/>
    <x v="4"/>
    <x v="0"/>
  </r>
  <r>
    <x v="0"/>
    <x v="0"/>
    <n v="2236892711"/>
    <x v="4"/>
    <n v="5000"/>
    <x v="1"/>
    <x v="0"/>
    <x v="10"/>
    <x v="4"/>
    <x v="0"/>
    <x v="0"/>
    <x v="4"/>
    <x v="0"/>
  </r>
  <r>
    <x v="0"/>
    <x v="0"/>
    <n v="2236892712"/>
    <x v="5"/>
    <n v="-3500"/>
    <x v="1"/>
    <x v="0"/>
    <x v="10"/>
    <x v="5"/>
    <x v="0"/>
    <x v="0"/>
    <x v="5"/>
    <x v="0"/>
  </r>
  <r>
    <x v="0"/>
    <x v="0"/>
    <n v="2236892712"/>
    <x v="6"/>
    <n v="10000"/>
    <x v="1"/>
    <x v="0"/>
    <x v="10"/>
    <x v="6"/>
    <x v="0"/>
    <x v="0"/>
    <x v="5"/>
    <x v="0"/>
  </r>
  <r>
    <x v="0"/>
    <x v="0"/>
    <n v="2236892713"/>
    <x v="0"/>
    <n v="92400"/>
    <x v="1"/>
    <x v="0"/>
    <x v="10"/>
    <x v="0"/>
    <x v="0"/>
    <x v="0"/>
    <x v="0"/>
    <x v="0"/>
  </r>
  <r>
    <x v="0"/>
    <x v="0"/>
    <n v="2236892715"/>
    <x v="5"/>
    <n v="-2100"/>
    <x v="1"/>
    <x v="0"/>
    <x v="10"/>
    <x v="5"/>
    <x v="0"/>
    <x v="0"/>
    <x v="5"/>
    <x v="0"/>
  </r>
  <r>
    <x v="0"/>
    <x v="0"/>
    <n v="2236892715"/>
    <x v="6"/>
    <n v="5000"/>
    <x v="1"/>
    <x v="0"/>
    <x v="10"/>
    <x v="6"/>
    <x v="0"/>
    <x v="0"/>
    <x v="5"/>
    <x v="0"/>
  </r>
  <r>
    <x v="0"/>
    <x v="0"/>
    <n v="2236892717"/>
    <x v="5"/>
    <n v="-2100"/>
    <x v="1"/>
    <x v="0"/>
    <x v="10"/>
    <x v="5"/>
    <x v="0"/>
    <x v="0"/>
    <x v="5"/>
    <x v="0"/>
  </r>
  <r>
    <x v="0"/>
    <x v="0"/>
    <n v="2236892717"/>
    <x v="6"/>
    <n v="5000"/>
    <x v="1"/>
    <x v="0"/>
    <x v="10"/>
    <x v="6"/>
    <x v="0"/>
    <x v="0"/>
    <x v="5"/>
    <x v="0"/>
  </r>
  <r>
    <x v="0"/>
    <x v="0"/>
    <n v="2236892718"/>
    <x v="5"/>
    <n v="-3200"/>
    <x v="1"/>
    <x v="0"/>
    <x v="10"/>
    <x v="5"/>
    <x v="0"/>
    <x v="0"/>
    <x v="5"/>
    <x v="0"/>
  </r>
  <r>
    <x v="0"/>
    <x v="0"/>
    <n v="2236892718"/>
    <x v="6"/>
    <n v="5000"/>
    <x v="1"/>
    <x v="0"/>
    <x v="10"/>
    <x v="6"/>
    <x v="0"/>
    <x v="0"/>
    <x v="5"/>
    <x v="0"/>
  </r>
  <r>
    <x v="0"/>
    <x v="0"/>
    <n v="2236892719"/>
    <x v="5"/>
    <n v="-3500"/>
    <x v="1"/>
    <x v="0"/>
    <x v="10"/>
    <x v="5"/>
    <x v="0"/>
    <x v="0"/>
    <x v="5"/>
    <x v="0"/>
  </r>
  <r>
    <x v="0"/>
    <x v="0"/>
    <n v="2236892719"/>
    <x v="6"/>
    <n v="10000"/>
    <x v="1"/>
    <x v="0"/>
    <x v="10"/>
    <x v="6"/>
    <x v="0"/>
    <x v="0"/>
    <x v="5"/>
    <x v="0"/>
  </r>
  <r>
    <x v="0"/>
    <x v="0"/>
    <n v="2236892720"/>
    <x v="2"/>
    <n v="34430"/>
    <x v="1"/>
    <x v="0"/>
    <x v="10"/>
    <x v="2"/>
    <x v="0"/>
    <x v="0"/>
    <x v="2"/>
    <x v="0"/>
  </r>
  <r>
    <x v="0"/>
    <x v="0"/>
    <n v="2236892721"/>
    <x v="2"/>
    <n v="31350"/>
    <x v="1"/>
    <x v="0"/>
    <x v="10"/>
    <x v="2"/>
    <x v="0"/>
    <x v="0"/>
    <x v="2"/>
    <x v="0"/>
  </r>
  <r>
    <x v="0"/>
    <x v="0"/>
    <n v="2236892722"/>
    <x v="5"/>
    <n v="-6600"/>
    <x v="1"/>
    <x v="0"/>
    <x v="10"/>
    <x v="5"/>
    <x v="0"/>
    <x v="0"/>
    <x v="5"/>
    <x v="0"/>
  </r>
  <r>
    <x v="0"/>
    <x v="0"/>
    <n v="2236892722"/>
    <x v="6"/>
    <n v="10000"/>
    <x v="1"/>
    <x v="0"/>
    <x v="10"/>
    <x v="6"/>
    <x v="0"/>
    <x v="0"/>
    <x v="5"/>
    <x v="0"/>
  </r>
  <r>
    <x v="0"/>
    <x v="0"/>
    <n v="2236892723"/>
    <x v="2"/>
    <n v="16555"/>
    <x v="1"/>
    <x v="0"/>
    <x v="10"/>
    <x v="2"/>
    <x v="0"/>
    <x v="0"/>
    <x v="2"/>
    <x v="0"/>
  </r>
  <r>
    <x v="0"/>
    <x v="0"/>
    <n v="2236892724"/>
    <x v="2"/>
    <n v="43890"/>
    <x v="1"/>
    <x v="0"/>
    <x v="10"/>
    <x v="2"/>
    <x v="0"/>
    <x v="0"/>
    <x v="2"/>
    <x v="0"/>
  </r>
  <r>
    <x v="0"/>
    <x v="0"/>
    <n v="2236892725"/>
    <x v="5"/>
    <n v="-1400"/>
    <x v="1"/>
    <x v="0"/>
    <x v="10"/>
    <x v="5"/>
    <x v="0"/>
    <x v="0"/>
    <x v="5"/>
    <x v="0"/>
  </r>
  <r>
    <x v="0"/>
    <x v="0"/>
    <n v="2236892725"/>
    <x v="6"/>
    <n v="5000"/>
    <x v="1"/>
    <x v="0"/>
    <x v="10"/>
    <x v="6"/>
    <x v="0"/>
    <x v="0"/>
    <x v="5"/>
    <x v="0"/>
  </r>
  <r>
    <x v="0"/>
    <x v="0"/>
    <n v="2236892726"/>
    <x v="2"/>
    <n v="5680"/>
    <x v="1"/>
    <x v="0"/>
    <x v="10"/>
    <x v="2"/>
    <x v="0"/>
    <x v="0"/>
    <x v="2"/>
    <x v="0"/>
  </r>
  <r>
    <x v="0"/>
    <x v="0"/>
    <n v="2236892727"/>
    <x v="2"/>
    <n v="7840"/>
    <x v="1"/>
    <x v="0"/>
    <x v="10"/>
    <x v="2"/>
    <x v="0"/>
    <x v="0"/>
    <x v="2"/>
    <x v="0"/>
  </r>
  <r>
    <x v="0"/>
    <x v="0"/>
    <n v="2236892736"/>
    <x v="1"/>
    <n v="1800"/>
    <x v="1"/>
    <x v="0"/>
    <x v="10"/>
    <x v="1"/>
    <x v="0"/>
    <x v="0"/>
    <x v="1"/>
    <x v="0"/>
  </r>
  <r>
    <x v="0"/>
    <x v="0"/>
    <n v="2236892738"/>
    <x v="5"/>
    <n v="-1600"/>
    <x v="1"/>
    <x v="0"/>
    <x v="10"/>
    <x v="5"/>
    <x v="0"/>
    <x v="0"/>
    <x v="5"/>
    <x v="0"/>
  </r>
  <r>
    <x v="0"/>
    <x v="0"/>
    <n v="2236892738"/>
    <x v="6"/>
    <n v="5000"/>
    <x v="1"/>
    <x v="0"/>
    <x v="10"/>
    <x v="6"/>
    <x v="0"/>
    <x v="0"/>
    <x v="5"/>
    <x v="0"/>
  </r>
  <r>
    <x v="0"/>
    <x v="0"/>
    <n v="2236892740"/>
    <x v="5"/>
    <n v="-200"/>
    <x v="1"/>
    <x v="0"/>
    <x v="10"/>
    <x v="5"/>
    <x v="0"/>
    <x v="0"/>
    <x v="5"/>
    <x v="0"/>
  </r>
  <r>
    <x v="0"/>
    <x v="0"/>
    <n v="2236892740"/>
    <x v="6"/>
    <n v="2000"/>
    <x v="1"/>
    <x v="0"/>
    <x v="10"/>
    <x v="6"/>
    <x v="0"/>
    <x v="0"/>
    <x v="5"/>
    <x v="0"/>
  </r>
  <r>
    <x v="0"/>
    <x v="0"/>
    <n v="2236892741"/>
    <x v="2"/>
    <n v="22275"/>
    <x v="1"/>
    <x v="0"/>
    <x v="10"/>
    <x v="2"/>
    <x v="0"/>
    <x v="0"/>
    <x v="2"/>
    <x v="0"/>
  </r>
  <r>
    <x v="0"/>
    <x v="0"/>
    <n v="2236892741"/>
    <x v="7"/>
    <n v="2250"/>
    <x v="1"/>
    <x v="0"/>
    <x v="10"/>
    <x v="7"/>
    <x v="0"/>
    <x v="0"/>
    <x v="1"/>
    <x v="0"/>
  </r>
  <r>
    <x v="0"/>
    <x v="0"/>
    <n v="2236892742"/>
    <x v="0"/>
    <n v="11610"/>
    <x v="1"/>
    <x v="0"/>
    <x v="10"/>
    <x v="0"/>
    <x v="0"/>
    <x v="0"/>
    <x v="0"/>
    <x v="0"/>
  </r>
  <r>
    <x v="0"/>
    <x v="0"/>
    <n v="2236892745"/>
    <x v="5"/>
    <n v="-500"/>
    <x v="1"/>
    <x v="0"/>
    <x v="10"/>
    <x v="5"/>
    <x v="0"/>
    <x v="0"/>
    <x v="5"/>
    <x v="0"/>
  </r>
  <r>
    <x v="0"/>
    <x v="0"/>
    <n v="2236892745"/>
    <x v="6"/>
    <n v="7000"/>
    <x v="1"/>
    <x v="0"/>
    <x v="10"/>
    <x v="6"/>
    <x v="0"/>
    <x v="0"/>
    <x v="5"/>
    <x v="0"/>
  </r>
  <r>
    <x v="0"/>
    <x v="0"/>
    <n v="2236892746"/>
    <x v="4"/>
    <n v="10200"/>
    <x v="1"/>
    <x v="0"/>
    <x v="10"/>
    <x v="4"/>
    <x v="0"/>
    <x v="0"/>
    <x v="4"/>
    <x v="0"/>
  </r>
  <r>
    <x v="0"/>
    <x v="0"/>
    <n v="2236892748"/>
    <x v="5"/>
    <n v="-500"/>
    <x v="1"/>
    <x v="0"/>
    <x v="10"/>
    <x v="5"/>
    <x v="0"/>
    <x v="0"/>
    <x v="5"/>
    <x v="0"/>
  </r>
  <r>
    <x v="0"/>
    <x v="0"/>
    <n v="2236892748"/>
    <x v="6"/>
    <n v="15000"/>
    <x v="1"/>
    <x v="0"/>
    <x v="10"/>
    <x v="6"/>
    <x v="0"/>
    <x v="0"/>
    <x v="5"/>
    <x v="0"/>
  </r>
  <r>
    <x v="0"/>
    <x v="0"/>
    <n v="2236892750"/>
    <x v="2"/>
    <n v="102520"/>
    <x v="1"/>
    <x v="0"/>
    <x v="10"/>
    <x v="2"/>
    <x v="0"/>
    <x v="0"/>
    <x v="2"/>
    <x v="0"/>
  </r>
  <r>
    <x v="0"/>
    <x v="0"/>
    <n v="2236892751"/>
    <x v="5"/>
    <n v="-46000"/>
    <x v="1"/>
    <x v="0"/>
    <x v="10"/>
    <x v="5"/>
    <x v="0"/>
    <x v="0"/>
    <x v="5"/>
    <x v="0"/>
  </r>
  <r>
    <x v="0"/>
    <x v="0"/>
    <n v="2236892751"/>
    <x v="4"/>
    <n v="50000"/>
    <x v="1"/>
    <x v="0"/>
    <x v="10"/>
    <x v="4"/>
    <x v="0"/>
    <x v="0"/>
    <x v="4"/>
    <x v="0"/>
  </r>
  <r>
    <x v="0"/>
    <x v="0"/>
    <n v="2236892753"/>
    <x v="7"/>
    <n v="19800"/>
    <x v="1"/>
    <x v="0"/>
    <x v="10"/>
    <x v="7"/>
    <x v="0"/>
    <x v="0"/>
    <x v="1"/>
    <x v="0"/>
  </r>
  <r>
    <x v="0"/>
    <x v="0"/>
    <n v="2236892754"/>
    <x v="5"/>
    <n v="-3200"/>
    <x v="1"/>
    <x v="0"/>
    <x v="10"/>
    <x v="5"/>
    <x v="0"/>
    <x v="0"/>
    <x v="5"/>
    <x v="0"/>
  </r>
  <r>
    <x v="0"/>
    <x v="0"/>
    <n v="2236892754"/>
    <x v="6"/>
    <n v="10000"/>
    <x v="1"/>
    <x v="0"/>
    <x v="10"/>
    <x v="6"/>
    <x v="0"/>
    <x v="0"/>
    <x v="5"/>
    <x v="0"/>
  </r>
  <r>
    <x v="0"/>
    <x v="0"/>
    <n v="2236892755"/>
    <x v="2"/>
    <n v="10725"/>
    <x v="1"/>
    <x v="0"/>
    <x v="10"/>
    <x v="2"/>
    <x v="0"/>
    <x v="0"/>
    <x v="2"/>
    <x v="0"/>
  </r>
  <r>
    <x v="0"/>
    <x v="0"/>
    <n v="2236892756"/>
    <x v="2"/>
    <n v="2400"/>
    <x v="1"/>
    <x v="0"/>
    <x v="10"/>
    <x v="2"/>
    <x v="0"/>
    <x v="0"/>
    <x v="2"/>
    <x v="0"/>
  </r>
  <r>
    <x v="0"/>
    <x v="0"/>
    <n v="2236892757"/>
    <x v="5"/>
    <n v="-20"/>
    <x v="1"/>
    <x v="0"/>
    <x v="10"/>
    <x v="5"/>
    <x v="0"/>
    <x v="0"/>
    <x v="5"/>
    <x v="0"/>
  </r>
  <r>
    <x v="0"/>
    <x v="0"/>
    <n v="2236892757"/>
    <x v="6"/>
    <n v="10700"/>
    <x v="1"/>
    <x v="0"/>
    <x v="10"/>
    <x v="6"/>
    <x v="0"/>
    <x v="0"/>
    <x v="5"/>
    <x v="0"/>
  </r>
  <r>
    <x v="0"/>
    <x v="0"/>
    <n v="2236892758"/>
    <x v="2"/>
    <n v="24750"/>
    <x v="1"/>
    <x v="0"/>
    <x v="10"/>
    <x v="2"/>
    <x v="0"/>
    <x v="0"/>
    <x v="2"/>
    <x v="0"/>
  </r>
  <r>
    <x v="0"/>
    <x v="0"/>
    <n v="2236892759"/>
    <x v="5"/>
    <n v="-14000"/>
    <x v="1"/>
    <x v="0"/>
    <x v="10"/>
    <x v="5"/>
    <x v="0"/>
    <x v="0"/>
    <x v="5"/>
    <x v="0"/>
  </r>
  <r>
    <x v="0"/>
    <x v="0"/>
    <n v="2236892759"/>
    <x v="6"/>
    <n v="20000"/>
    <x v="1"/>
    <x v="0"/>
    <x v="10"/>
    <x v="6"/>
    <x v="0"/>
    <x v="0"/>
    <x v="5"/>
    <x v="0"/>
  </r>
  <r>
    <x v="0"/>
    <x v="0"/>
    <n v="2236892760"/>
    <x v="2"/>
    <n v="7975"/>
    <x v="1"/>
    <x v="0"/>
    <x v="10"/>
    <x v="2"/>
    <x v="0"/>
    <x v="0"/>
    <x v="2"/>
    <x v="0"/>
  </r>
  <r>
    <x v="0"/>
    <x v="0"/>
    <n v="2236892761"/>
    <x v="2"/>
    <n v="6800"/>
    <x v="1"/>
    <x v="0"/>
    <x v="10"/>
    <x v="2"/>
    <x v="0"/>
    <x v="0"/>
    <x v="2"/>
    <x v="0"/>
  </r>
  <r>
    <x v="0"/>
    <x v="0"/>
    <n v="2236892762"/>
    <x v="5"/>
    <n v="-600"/>
    <x v="1"/>
    <x v="0"/>
    <x v="10"/>
    <x v="5"/>
    <x v="0"/>
    <x v="0"/>
    <x v="5"/>
    <x v="0"/>
  </r>
  <r>
    <x v="0"/>
    <x v="0"/>
    <n v="2236892762"/>
    <x v="6"/>
    <n v="4000"/>
    <x v="1"/>
    <x v="0"/>
    <x v="10"/>
    <x v="6"/>
    <x v="0"/>
    <x v="0"/>
    <x v="5"/>
    <x v="0"/>
  </r>
  <r>
    <x v="0"/>
    <x v="0"/>
    <n v="2236892763"/>
    <x v="2"/>
    <n v="5900"/>
    <x v="1"/>
    <x v="0"/>
    <x v="10"/>
    <x v="2"/>
    <x v="0"/>
    <x v="0"/>
    <x v="2"/>
    <x v="0"/>
  </r>
  <r>
    <x v="0"/>
    <x v="0"/>
    <n v="2236892765"/>
    <x v="5"/>
    <n v="-5000"/>
    <x v="1"/>
    <x v="0"/>
    <x v="10"/>
    <x v="5"/>
    <x v="0"/>
    <x v="0"/>
    <x v="5"/>
    <x v="0"/>
  </r>
  <r>
    <x v="0"/>
    <x v="0"/>
    <n v="2236892765"/>
    <x v="4"/>
    <n v="10000"/>
    <x v="1"/>
    <x v="0"/>
    <x v="10"/>
    <x v="4"/>
    <x v="0"/>
    <x v="0"/>
    <x v="4"/>
    <x v="0"/>
  </r>
  <r>
    <x v="0"/>
    <x v="0"/>
    <n v="2236892766"/>
    <x v="3"/>
    <n v="43950"/>
    <x v="1"/>
    <x v="0"/>
    <x v="10"/>
    <x v="3"/>
    <x v="0"/>
    <x v="0"/>
    <x v="3"/>
    <x v="0"/>
  </r>
  <r>
    <x v="0"/>
    <x v="0"/>
    <n v="2236892766"/>
    <x v="2"/>
    <n v="77000"/>
    <x v="1"/>
    <x v="0"/>
    <x v="10"/>
    <x v="2"/>
    <x v="0"/>
    <x v="0"/>
    <x v="2"/>
    <x v="0"/>
  </r>
  <r>
    <x v="0"/>
    <x v="0"/>
    <n v="2236892767"/>
    <x v="5"/>
    <n v="-6900"/>
    <x v="1"/>
    <x v="0"/>
    <x v="10"/>
    <x v="5"/>
    <x v="0"/>
    <x v="0"/>
    <x v="5"/>
    <x v="0"/>
  </r>
  <r>
    <x v="0"/>
    <x v="0"/>
    <n v="2236892767"/>
    <x v="6"/>
    <n v="10000"/>
    <x v="1"/>
    <x v="0"/>
    <x v="10"/>
    <x v="6"/>
    <x v="0"/>
    <x v="0"/>
    <x v="5"/>
    <x v="0"/>
  </r>
  <r>
    <x v="0"/>
    <x v="0"/>
    <n v="2236892776"/>
    <x v="5"/>
    <n v="-590"/>
    <x v="1"/>
    <x v="0"/>
    <x v="10"/>
    <x v="5"/>
    <x v="0"/>
    <x v="0"/>
    <x v="5"/>
    <x v="0"/>
  </r>
  <r>
    <x v="0"/>
    <x v="0"/>
    <n v="2236892776"/>
    <x v="6"/>
    <n v="5000"/>
    <x v="1"/>
    <x v="0"/>
    <x v="10"/>
    <x v="6"/>
    <x v="0"/>
    <x v="0"/>
    <x v="5"/>
    <x v="0"/>
  </r>
  <r>
    <x v="0"/>
    <x v="0"/>
    <n v="2236892777"/>
    <x v="0"/>
    <n v="5880"/>
    <x v="1"/>
    <x v="0"/>
    <x v="10"/>
    <x v="0"/>
    <x v="0"/>
    <x v="0"/>
    <x v="0"/>
    <x v="0"/>
  </r>
  <r>
    <x v="0"/>
    <x v="0"/>
    <n v="2236892778"/>
    <x v="2"/>
    <n v="3740"/>
    <x v="1"/>
    <x v="0"/>
    <x v="10"/>
    <x v="2"/>
    <x v="0"/>
    <x v="0"/>
    <x v="2"/>
    <x v="0"/>
  </r>
  <r>
    <x v="0"/>
    <x v="0"/>
    <n v="2236892779"/>
    <x v="5"/>
    <n v="-5000"/>
    <x v="1"/>
    <x v="0"/>
    <x v="10"/>
    <x v="5"/>
    <x v="0"/>
    <x v="0"/>
    <x v="5"/>
    <x v="0"/>
  </r>
  <r>
    <x v="0"/>
    <x v="0"/>
    <n v="2236892779"/>
    <x v="4"/>
    <n v="10000"/>
    <x v="1"/>
    <x v="0"/>
    <x v="10"/>
    <x v="4"/>
    <x v="0"/>
    <x v="0"/>
    <x v="4"/>
    <x v="0"/>
  </r>
  <r>
    <x v="0"/>
    <x v="0"/>
    <n v="2236892780"/>
    <x v="5"/>
    <n v="-1400"/>
    <x v="1"/>
    <x v="0"/>
    <x v="10"/>
    <x v="5"/>
    <x v="0"/>
    <x v="0"/>
    <x v="5"/>
    <x v="0"/>
  </r>
  <r>
    <x v="0"/>
    <x v="0"/>
    <n v="2236892780"/>
    <x v="6"/>
    <n v="5000"/>
    <x v="1"/>
    <x v="0"/>
    <x v="10"/>
    <x v="6"/>
    <x v="0"/>
    <x v="0"/>
    <x v="5"/>
    <x v="0"/>
  </r>
  <r>
    <x v="0"/>
    <x v="0"/>
    <n v="2236892781"/>
    <x v="6"/>
    <n v="400"/>
    <x v="1"/>
    <x v="0"/>
    <x v="10"/>
    <x v="6"/>
    <x v="0"/>
    <x v="0"/>
    <x v="5"/>
    <x v="0"/>
  </r>
  <r>
    <x v="0"/>
    <x v="0"/>
    <n v="2236892781"/>
    <x v="2"/>
    <n v="3000"/>
    <x v="1"/>
    <x v="0"/>
    <x v="10"/>
    <x v="2"/>
    <x v="0"/>
    <x v="0"/>
    <x v="2"/>
    <x v="0"/>
  </r>
  <r>
    <x v="0"/>
    <x v="0"/>
    <n v="2236892782"/>
    <x v="2"/>
    <n v="73040"/>
    <x v="1"/>
    <x v="0"/>
    <x v="10"/>
    <x v="2"/>
    <x v="0"/>
    <x v="0"/>
    <x v="2"/>
    <x v="0"/>
  </r>
  <r>
    <x v="0"/>
    <x v="0"/>
    <n v="2236892784"/>
    <x v="1"/>
    <n v="3840"/>
    <x v="1"/>
    <x v="0"/>
    <x v="10"/>
    <x v="1"/>
    <x v="0"/>
    <x v="0"/>
    <x v="1"/>
    <x v="0"/>
  </r>
  <r>
    <x v="0"/>
    <x v="0"/>
    <n v="2236892785"/>
    <x v="2"/>
    <n v="3100"/>
    <x v="1"/>
    <x v="0"/>
    <x v="10"/>
    <x v="2"/>
    <x v="0"/>
    <x v="0"/>
    <x v="2"/>
    <x v="0"/>
  </r>
  <r>
    <x v="0"/>
    <x v="0"/>
    <n v="2236892796"/>
    <x v="2"/>
    <n v="15050"/>
    <x v="1"/>
    <x v="0"/>
    <x v="10"/>
    <x v="2"/>
    <x v="0"/>
    <x v="0"/>
    <x v="2"/>
    <x v="0"/>
  </r>
  <r>
    <x v="0"/>
    <x v="0"/>
    <n v="2236892797"/>
    <x v="5"/>
    <n v="-100"/>
    <x v="1"/>
    <x v="0"/>
    <x v="10"/>
    <x v="5"/>
    <x v="0"/>
    <x v="0"/>
    <x v="5"/>
    <x v="0"/>
  </r>
  <r>
    <x v="0"/>
    <x v="0"/>
    <n v="2236892797"/>
    <x v="6"/>
    <n v="3000"/>
    <x v="1"/>
    <x v="0"/>
    <x v="10"/>
    <x v="6"/>
    <x v="0"/>
    <x v="0"/>
    <x v="5"/>
    <x v="0"/>
  </r>
  <r>
    <x v="0"/>
    <x v="0"/>
    <n v="2236892816"/>
    <x v="5"/>
    <n v="-500"/>
    <x v="1"/>
    <x v="0"/>
    <x v="7"/>
    <x v="5"/>
    <x v="0"/>
    <x v="0"/>
    <x v="5"/>
    <x v="0"/>
  </r>
  <r>
    <x v="0"/>
    <x v="0"/>
    <n v="2236892816"/>
    <x v="6"/>
    <n v="4000"/>
    <x v="1"/>
    <x v="0"/>
    <x v="7"/>
    <x v="6"/>
    <x v="0"/>
    <x v="0"/>
    <x v="5"/>
    <x v="0"/>
  </r>
  <r>
    <x v="0"/>
    <x v="0"/>
    <n v="2236892836"/>
    <x v="3"/>
    <n v="17573"/>
    <x v="1"/>
    <x v="0"/>
    <x v="7"/>
    <x v="3"/>
    <x v="0"/>
    <x v="0"/>
    <x v="3"/>
    <x v="0"/>
  </r>
  <r>
    <x v="0"/>
    <x v="0"/>
    <n v="2236892836"/>
    <x v="2"/>
    <n v="17573"/>
    <x v="1"/>
    <x v="0"/>
    <x v="7"/>
    <x v="2"/>
    <x v="0"/>
    <x v="0"/>
    <x v="2"/>
    <x v="0"/>
  </r>
  <r>
    <x v="0"/>
    <x v="0"/>
    <n v="2236892856"/>
    <x v="4"/>
    <n v="5300"/>
    <x v="1"/>
    <x v="0"/>
    <x v="7"/>
    <x v="4"/>
    <x v="0"/>
    <x v="0"/>
    <x v="4"/>
    <x v="0"/>
  </r>
  <r>
    <x v="0"/>
    <x v="0"/>
    <n v="2236892876"/>
    <x v="5"/>
    <n v="-1800"/>
    <x v="1"/>
    <x v="0"/>
    <x v="12"/>
    <x v="5"/>
    <x v="0"/>
    <x v="0"/>
    <x v="5"/>
    <x v="0"/>
  </r>
  <r>
    <x v="0"/>
    <x v="0"/>
    <n v="2236892876"/>
    <x v="6"/>
    <n v="12000"/>
    <x v="1"/>
    <x v="0"/>
    <x v="12"/>
    <x v="6"/>
    <x v="0"/>
    <x v="0"/>
    <x v="5"/>
    <x v="0"/>
  </r>
  <r>
    <x v="0"/>
    <x v="0"/>
    <n v="2236892877"/>
    <x v="5"/>
    <n v="-11000"/>
    <x v="1"/>
    <x v="0"/>
    <x v="7"/>
    <x v="5"/>
    <x v="0"/>
    <x v="0"/>
    <x v="5"/>
    <x v="0"/>
  </r>
  <r>
    <x v="0"/>
    <x v="0"/>
    <n v="2236892877"/>
    <x v="6"/>
    <n v="20000"/>
    <x v="1"/>
    <x v="0"/>
    <x v="7"/>
    <x v="6"/>
    <x v="0"/>
    <x v="0"/>
    <x v="5"/>
    <x v="0"/>
  </r>
  <r>
    <x v="0"/>
    <x v="0"/>
    <n v="2236892878"/>
    <x v="5"/>
    <n v="-5000"/>
    <x v="1"/>
    <x v="0"/>
    <x v="7"/>
    <x v="5"/>
    <x v="0"/>
    <x v="0"/>
    <x v="5"/>
    <x v="0"/>
  </r>
  <r>
    <x v="0"/>
    <x v="0"/>
    <n v="2236892878"/>
    <x v="4"/>
    <n v="10000"/>
    <x v="1"/>
    <x v="0"/>
    <x v="7"/>
    <x v="4"/>
    <x v="0"/>
    <x v="0"/>
    <x v="4"/>
    <x v="0"/>
  </r>
  <r>
    <x v="0"/>
    <x v="0"/>
    <n v="2236892879"/>
    <x v="2"/>
    <n v="74800"/>
    <x v="1"/>
    <x v="0"/>
    <x v="7"/>
    <x v="2"/>
    <x v="0"/>
    <x v="0"/>
    <x v="2"/>
    <x v="0"/>
  </r>
  <r>
    <x v="0"/>
    <x v="0"/>
    <n v="2236892879"/>
    <x v="7"/>
    <n v="17000"/>
    <x v="1"/>
    <x v="0"/>
    <x v="7"/>
    <x v="7"/>
    <x v="0"/>
    <x v="0"/>
    <x v="1"/>
    <x v="0"/>
  </r>
  <r>
    <x v="0"/>
    <x v="0"/>
    <n v="2236892880"/>
    <x v="5"/>
    <n v="-5000"/>
    <x v="1"/>
    <x v="0"/>
    <x v="7"/>
    <x v="5"/>
    <x v="0"/>
    <x v="0"/>
    <x v="5"/>
    <x v="0"/>
  </r>
  <r>
    <x v="0"/>
    <x v="0"/>
    <n v="2236892880"/>
    <x v="6"/>
    <n v="10000"/>
    <x v="1"/>
    <x v="0"/>
    <x v="7"/>
    <x v="6"/>
    <x v="0"/>
    <x v="0"/>
    <x v="5"/>
    <x v="0"/>
  </r>
  <r>
    <x v="0"/>
    <x v="0"/>
    <n v="2236892881"/>
    <x v="5"/>
    <n v="-16600"/>
    <x v="1"/>
    <x v="0"/>
    <x v="7"/>
    <x v="5"/>
    <x v="0"/>
    <x v="0"/>
    <x v="5"/>
    <x v="0"/>
  </r>
  <r>
    <x v="0"/>
    <x v="0"/>
    <n v="2236892881"/>
    <x v="6"/>
    <n v="20000"/>
    <x v="1"/>
    <x v="0"/>
    <x v="7"/>
    <x v="6"/>
    <x v="0"/>
    <x v="0"/>
    <x v="5"/>
    <x v="0"/>
  </r>
  <r>
    <x v="0"/>
    <x v="0"/>
    <n v="2236892882"/>
    <x v="2"/>
    <n v="12700"/>
    <x v="1"/>
    <x v="0"/>
    <x v="7"/>
    <x v="2"/>
    <x v="0"/>
    <x v="0"/>
    <x v="2"/>
    <x v="0"/>
  </r>
  <r>
    <x v="0"/>
    <x v="0"/>
    <n v="2236892896"/>
    <x v="5"/>
    <n v="-7500"/>
    <x v="1"/>
    <x v="0"/>
    <x v="7"/>
    <x v="5"/>
    <x v="0"/>
    <x v="0"/>
    <x v="5"/>
    <x v="0"/>
  </r>
  <r>
    <x v="0"/>
    <x v="0"/>
    <n v="2236892896"/>
    <x v="6"/>
    <n v="30000"/>
    <x v="1"/>
    <x v="0"/>
    <x v="7"/>
    <x v="6"/>
    <x v="0"/>
    <x v="0"/>
    <x v="5"/>
    <x v="0"/>
  </r>
  <r>
    <x v="0"/>
    <x v="0"/>
    <n v="2236892916"/>
    <x v="2"/>
    <n v="45000"/>
    <x v="1"/>
    <x v="0"/>
    <x v="7"/>
    <x v="2"/>
    <x v="0"/>
    <x v="0"/>
    <x v="2"/>
    <x v="0"/>
  </r>
  <r>
    <x v="0"/>
    <x v="0"/>
    <n v="2236892918"/>
    <x v="2"/>
    <n v="37730"/>
    <x v="1"/>
    <x v="0"/>
    <x v="7"/>
    <x v="2"/>
    <x v="0"/>
    <x v="0"/>
    <x v="2"/>
    <x v="0"/>
  </r>
  <r>
    <x v="0"/>
    <x v="0"/>
    <n v="2236892919"/>
    <x v="5"/>
    <n v="-3200"/>
    <x v="1"/>
    <x v="0"/>
    <x v="7"/>
    <x v="5"/>
    <x v="0"/>
    <x v="0"/>
    <x v="5"/>
    <x v="0"/>
  </r>
  <r>
    <x v="0"/>
    <x v="0"/>
    <n v="2236892919"/>
    <x v="6"/>
    <n v="10000"/>
    <x v="1"/>
    <x v="0"/>
    <x v="7"/>
    <x v="6"/>
    <x v="0"/>
    <x v="0"/>
    <x v="5"/>
    <x v="0"/>
  </r>
  <r>
    <x v="0"/>
    <x v="0"/>
    <n v="2236892920"/>
    <x v="5"/>
    <n v="-2000"/>
    <x v="1"/>
    <x v="0"/>
    <x v="7"/>
    <x v="5"/>
    <x v="0"/>
    <x v="0"/>
    <x v="5"/>
    <x v="0"/>
  </r>
  <r>
    <x v="0"/>
    <x v="0"/>
    <n v="2236892920"/>
    <x v="6"/>
    <n v="5000"/>
    <x v="1"/>
    <x v="0"/>
    <x v="7"/>
    <x v="6"/>
    <x v="0"/>
    <x v="0"/>
    <x v="5"/>
    <x v="0"/>
  </r>
  <r>
    <x v="0"/>
    <x v="0"/>
    <n v="2236892925"/>
    <x v="2"/>
    <n v="8800"/>
    <x v="1"/>
    <x v="0"/>
    <x v="7"/>
    <x v="2"/>
    <x v="0"/>
    <x v="0"/>
    <x v="2"/>
    <x v="0"/>
  </r>
  <r>
    <x v="0"/>
    <x v="0"/>
    <n v="2236892927"/>
    <x v="5"/>
    <n v="-1500"/>
    <x v="1"/>
    <x v="0"/>
    <x v="7"/>
    <x v="5"/>
    <x v="0"/>
    <x v="0"/>
    <x v="5"/>
    <x v="0"/>
  </r>
  <r>
    <x v="0"/>
    <x v="0"/>
    <n v="2236892927"/>
    <x v="6"/>
    <n v="5000"/>
    <x v="1"/>
    <x v="0"/>
    <x v="7"/>
    <x v="6"/>
    <x v="0"/>
    <x v="0"/>
    <x v="5"/>
    <x v="0"/>
  </r>
  <r>
    <x v="0"/>
    <x v="0"/>
    <n v="2236892928"/>
    <x v="2"/>
    <n v="7100"/>
    <x v="1"/>
    <x v="0"/>
    <x v="7"/>
    <x v="2"/>
    <x v="0"/>
    <x v="0"/>
    <x v="2"/>
    <x v="0"/>
  </r>
  <r>
    <x v="0"/>
    <x v="0"/>
    <n v="2236892929"/>
    <x v="5"/>
    <n v="-10"/>
    <x v="1"/>
    <x v="0"/>
    <x v="7"/>
    <x v="5"/>
    <x v="0"/>
    <x v="0"/>
    <x v="5"/>
    <x v="0"/>
  </r>
  <r>
    <x v="0"/>
    <x v="0"/>
    <n v="2236892929"/>
    <x v="6"/>
    <n v="21500"/>
    <x v="1"/>
    <x v="0"/>
    <x v="7"/>
    <x v="6"/>
    <x v="0"/>
    <x v="0"/>
    <x v="5"/>
    <x v="0"/>
  </r>
  <r>
    <x v="0"/>
    <x v="0"/>
    <n v="2236892929"/>
    <x v="7"/>
    <n v="530"/>
    <x v="1"/>
    <x v="0"/>
    <x v="7"/>
    <x v="7"/>
    <x v="0"/>
    <x v="0"/>
    <x v="1"/>
    <x v="0"/>
  </r>
  <r>
    <x v="0"/>
    <x v="0"/>
    <n v="2236892930"/>
    <x v="3"/>
    <n v="9680"/>
    <x v="1"/>
    <x v="0"/>
    <x v="7"/>
    <x v="3"/>
    <x v="0"/>
    <x v="0"/>
    <x v="3"/>
    <x v="0"/>
  </r>
  <r>
    <x v="0"/>
    <x v="0"/>
    <n v="2236892931"/>
    <x v="5"/>
    <n v="-1660"/>
    <x v="1"/>
    <x v="0"/>
    <x v="7"/>
    <x v="5"/>
    <x v="0"/>
    <x v="0"/>
    <x v="5"/>
    <x v="0"/>
  </r>
  <r>
    <x v="0"/>
    <x v="0"/>
    <n v="2236892931"/>
    <x v="6"/>
    <n v="10000"/>
    <x v="1"/>
    <x v="0"/>
    <x v="7"/>
    <x v="6"/>
    <x v="0"/>
    <x v="0"/>
    <x v="5"/>
    <x v="0"/>
  </r>
  <r>
    <x v="0"/>
    <x v="0"/>
    <n v="2236892931"/>
    <x v="7"/>
    <n v="3600"/>
    <x v="1"/>
    <x v="0"/>
    <x v="7"/>
    <x v="7"/>
    <x v="0"/>
    <x v="0"/>
    <x v="1"/>
    <x v="0"/>
  </r>
  <r>
    <x v="0"/>
    <x v="0"/>
    <n v="2236892932"/>
    <x v="5"/>
    <n v="-6000"/>
    <x v="1"/>
    <x v="0"/>
    <x v="11"/>
    <x v="5"/>
    <x v="0"/>
    <x v="0"/>
    <x v="5"/>
    <x v="0"/>
  </r>
  <r>
    <x v="0"/>
    <x v="0"/>
    <n v="2236892932"/>
    <x v="4"/>
    <n v="10000"/>
    <x v="1"/>
    <x v="0"/>
    <x v="11"/>
    <x v="4"/>
    <x v="0"/>
    <x v="0"/>
    <x v="4"/>
    <x v="0"/>
  </r>
  <r>
    <x v="0"/>
    <x v="0"/>
    <n v="2236892933"/>
    <x v="4"/>
    <n v="4200"/>
    <x v="1"/>
    <x v="0"/>
    <x v="7"/>
    <x v="4"/>
    <x v="0"/>
    <x v="0"/>
    <x v="4"/>
    <x v="0"/>
  </r>
  <r>
    <x v="0"/>
    <x v="0"/>
    <n v="2236892934"/>
    <x v="5"/>
    <n v="-920"/>
    <x v="1"/>
    <x v="0"/>
    <x v="7"/>
    <x v="5"/>
    <x v="0"/>
    <x v="0"/>
    <x v="5"/>
    <x v="0"/>
  </r>
  <r>
    <x v="0"/>
    <x v="0"/>
    <n v="2236892934"/>
    <x v="6"/>
    <n v="5000"/>
    <x v="1"/>
    <x v="0"/>
    <x v="7"/>
    <x v="6"/>
    <x v="0"/>
    <x v="0"/>
    <x v="5"/>
    <x v="0"/>
  </r>
  <r>
    <x v="0"/>
    <x v="0"/>
    <n v="2236892935"/>
    <x v="5"/>
    <n v="-15000"/>
    <x v="1"/>
    <x v="0"/>
    <x v="7"/>
    <x v="5"/>
    <x v="0"/>
    <x v="0"/>
    <x v="5"/>
    <x v="0"/>
  </r>
  <r>
    <x v="0"/>
    <x v="0"/>
    <n v="2236892935"/>
    <x v="4"/>
    <n v="20000"/>
    <x v="1"/>
    <x v="0"/>
    <x v="7"/>
    <x v="4"/>
    <x v="0"/>
    <x v="0"/>
    <x v="4"/>
    <x v="0"/>
  </r>
  <r>
    <x v="0"/>
    <x v="0"/>
    <n v="2236892936"/>
    <x v="4"/>
    <n v="4000"/>
    <x v="1"/>
    <x v="0"/>
    <x v="7"/>
    <x v="4"/>
    <x v="0"/>
    <x v="0"/>
    <x v="4"/>
    <x v="0"/>
  </r>
  <r>
    <x v="0"/>
    <x v="0"/>
    <n v="2236892937"/>
    <x v="2"/>
    <n v="8250"/>
    <x v="1"/>
    <x v="0"/>
    <x v="7"/>
    <x v="2"/>
    <x v="0"/>
    <x v="0"/>
    <x v="2"/>
    <x v="0"/>
  </r>
  <r>
    <x v="0"/>
    <x v="0"/>
    <n v="2236892938"/>
    <x v="7"/>
    <n v="7900"/>
    <x v="1"/>
    <x v="0"/>
    <x v="7"/>
    <x v="7"/>
    <x v="0"/>
    <x v="0"/>
    <x v="1"/>
    <x v="0"/>
  </r>
  <r>
    <x v="0"/>
    <x v="0"/>
    <n v="2236892939"/>
    <x v="5"/>
    <n v="-700"/>
    <x v="1"/>
    <x v="0"/>
    <x v="7"/>
    <x v="5"/>
    <x v="0"/>
    <x v="0"/>
    <x v="5"/>
    <x v="0"/>
  </r>
  <r>
    <x v="0"/>
    <x v="0"/>
    <n v="2236892939"/>
    <x v="6"/>
    <n v="6000"/>
    <x v="1"/>
    <x v="0"/>
    <x v="7"/>
    <x v="6"/>
    <x v="0"/>
    <x v="0"/>
    <x v="5"/>
    <x v="0"/>
  </r>
  <r>
    <x v="0"/>
    <x v="0"/>
    <n v="2236892940"/>
    <x v="5"/>
    <n v="-100"/>
    <x v="1"/>
    <x v="0"/>
    <x v="7"/>
    <x v="5"/>
    <x v="0"/>
    <x v="0"/>
    <x v="5"/>
    <x v="0"/>
  </r>
  <r>
    <x v="0"/>
    <x v="0"/>
    <n v="2236892940"/>
    <x v="6"/>
    <n v="7000"/>
    <x v="1"/>
    <x v="0"/>
    <x v="7"/>
    <x v="6"/>
    <x v="0"/>
    <x v="0"/>
    <x v="5"/>
    <x v="0"/>
  </r>
  <r>
    <x v="0"/>
    <x v="0"/>
    <n v="2236892941"/>
    <x v="5"/>
    <n v="-6100"/>
    <x v="1"/>
    <x v="0"/>
    <x v="7"/>
    <x v="5"/>
    <x v="0"/>
    <x v="0"/>
    <x v="5"/>
    <x v="0"/>
  </r>
  <r>
    <x v="0"/>
    <x v="0"/>
    <n v="2236892941"/>
    <x v="6"/>
    <n v="20000"/>
    <x v="1"/>
    <x v="0"/>
    <x v="7"/>
    <x v="6"/>
    <x v="0"/>
    <x v="0"/>
    <x v="5"/>
    <x v="0"/>
  </r>
  <r>
    <x v="0"/>
    <x v="0"/>
    <n v="2236892942"/>
    <x v="2"/>
    <n v="6000"/>
    <x v="1"/>
    <x v="0"/>
    <x v="7"/>
    <x v="2"/>
    <x v="0"/>
    <x v="0"/>
    <x v="2"/>
    <x v="0"/>
  </r>
  <r>
    <x v="0"/>
    <x v="0"/>
    <n v="2236892944"/>
    <x v="6"/>
    <n v="1800"/>
    <x v="1"/>
    <x v="0"/>
    <x v="7"/>
    <x v="6"/>
    <x v="0"/>
    <x v="0"/>
    <x v="5"/>
    <x v="0"/>
  </r>
  <r>
    <x v="0"/>
    <x v="0"/>
    <n v="2236892944"/>
    <x v="2"/>
    <n v="12400"/>
    <x v="1"/>
    <x v="0"/>
    <x v="7"/>
    <x v="2"/>
    <x v="0"/>
    <x v="0"/>
    <x v="2"/>
    <x v="0"/>
  </r>
  <r>
    <x v="0"/>
    <x v="0"/>
    <n v="2236892945"/>
    <x v="1"/>
    <n v="2700"/>
    <x v="1"/>
    <x v="0"/>
    <x v="11"/>
    <x v="1"/>
    <x v="0"/>
    <x v="0"/>
    <x v="1"/>
    <x v="0"/>
  </r>
  <r>
    <x v="0"/>
    <x v="0"/>
    <n v="2236892946"/>
    <x v="4"/>
    <n v="4000"/>
    <x v="1"/>
    <x v="0"/>
    <x v="7"/>
    <x v="4"/>
    <x v="0"/>
    <x v="0"/>
    <x v="4"/>
    <x v="0"/>
  </r>
  <r>
    <x v="0"/>
    <x v="0"/>
    <n v="2236892956"/>
    <x v="1"/>
    <n v="900"/>
    <x v="1"/>
    <x v="0"/>
    <x v="7"/>
    <x v="1"/>
    <x v="0"/>
    <x v="0"/>
    <x v="1"/>
    <x v="0"/>
  </r>
  <r>
    <x v="0"/>
    <x v="0"/>
    <n v="2236892957"/>
    <x v="5"/>
    <n v="-4800"/>
    <x v="1"/>
    <x v="0"/>
    <x v="7"/>
    <x v="5"/>
    <x v="0"/>
    <x v="0"/>
    <x v="5"/>
    <x v="0"/>
  </r>
  <r>
    <x v="0"/>
    <x v="0"/>
    <n v="2236892957"/>
    <x v="4"/>
    <n v="10000"/>
    <x v="1"/>
    <x v="0"/>
    <x v="7"/>
    <x v="4"/>
    <x v="0"/>
    <x v="0"/>
    <x v="4"/>
    <x v="0"/>
  </r>
  <r>
    <x v="0"/>
    <x v="0"/>
    <n v="2236892958"/>
    <x v="5"/>
    <n v="-200"/>
    <x v="1"/>
    <x v="0"/>
    <x v="7"/>
    <x v="5"/>
    <x v="0"/>
    <x v="0"/>
    <x v="5"/>
    <x v="0"/>
  </r>
  <r>
    <x v="0"/>
    <x v="0"/>
    <n v="2236892958"/>
    <x v="4"/>
    <n v="5500"/>
    <x v="1"/>
    <x v="0"/>
    <x v="7"/>
    <x v="4"/>
    <x v="0"/>
    <x v="0"/>
    <x v="4"/>
    <x v="0"/>
  </r>
  <r>
    <x v="0"/>
    <x v="0"/>
    <n v="2236892959"/>
    <x v="5"/>
    <n v="-4900"/>
    <x v="1"/>
    <x v="0"/>
    <x v="7"/>
    <x v="5"/>
    <x v="0"/>
    <x v="0"/>
    <x v="5"/>
    <x v="0"/>
  </r>
  <r>
    <x v="0"/>
    <x v="0"/>
    <n v="2236892959"/>
    <x v="6"/>
    <n v="20000"/>
    <x v="1"/>
    <x v="0"/>
    <x v="7"/>
    <x v="6"/>
    <x v="0"/>
    <x v="0"/>
    <x v="5"/>
    <x v="0"/>
  </r>
  <r>
    <x v="0"/>
    <x v="0"/>
    <n v="2236892976"/>
    <x v="5"/>
    <n v="-4700"/>
    <x v="1"/>
    <x v="0"/>
    <x v="7"/>
    <x v="5"/>
    <x v="0"/>
    <x v="0"/>
    <x v="5"/>
    <x v="0"/>
  </r>
  <r>
    <x v="0"/>
    <x v="0"/>
    <n v="2236892976"/>
    <x v="4"/>
    <n v="10000"/>
    <x v="1"/>
    <x v="0"/>
    <x v="7"/>
    <x v="4"/>
    <x v="0"/>
    <x v="0"/>
    <x v="4"/>
    <x v="0"/>
  </r>
  <r>
    <x v="0"/>
    <x v="0"/>
    <n v="2236892978"/>
    <x v="2"/>
    <n v="6000"/>
    <x v="1"/>
    <x v="0"/>
    <x v="7"/>
    <x v="2"/>
    <x v="0"/>
    <x v="0"/>
    <x v="2"/>
    <x v="0"/>
  </r>
  <r>
    <x v="0"/>
    <x v="0"/>
    <n v="2236892979"/>
    <x v="2"/>
    <n v="3000"/>
    <x v="1"/>
    <x v="0"/>
    <x v="7"/>
    <x v="2"/>
    <x v="0"/>
    <x v="0"/>
    <x v="2"/>
    <x v="0"/>
  </r>
  <r>
    <x v="0"/>
    <x v="0"/>
    <n v="2236892981"/>
    <x v="5"/>
    <n v="-3200"/>
    <x v="1"/>
    <x v="0"/>
    <x v="7"/>
    <x v="5"/>
    <x v="0"/>
    <x v="0"/>
    <x v="5"/>
    <x v="0"/>
  </r>
  <r>
    <x v="0"/>
    <x v="0"/>
    <n v="2236892981"/>
    <x v="6"/>
    <n v="10000"/>
    <x v="1"/>
    <x v="0"/>
    <x v="7"/>
    <x v="6"/>
    <x v="0"/>
    <x v="0"/>
    <x v="5"/>
    <x v="0"/>
  </r>
  <r>
    <x v="0"/>
    <x v="0"/>
    <n v="2236892982"/>
    <x v="2"/>
    <n v="6000"/>
    <x v="1"/>
    <x v="0"/>
    <x v="7"/>
    <x v="2"/>
    <x v="0"/>
    <x v="0"/>
    <x v="2"/>
    <x v="0"/>
  </r>
  <r>
    <x v="0"/>
    <x v="0"/>
    <n v="2236892983"/>
    <x v="5"/>
    <n v="-14800"/>
    <x v="1"/>
    <x v="0"/>
    <x v="7"/>
    <x v="5"/>
    <x v="0"/>
    <x v="0"/>
    <x v="5"/>
    <x v="0"/>
  </r>
  <r>
    <x v="0"/>
    <x v="0"/>
    <n v="2236892983"/>
    <x v="4"/>
    <n v="20000"/>
    <x v="1"/>
    <x v="0"/>
    <x v="7"/>
    <x v="4"/>
    <x v="0"/>
    <x v="0"/>
    <x v="4"/>
    <x v="0"/>
  </r>
  <r>
    <x v="0"/>
    <x v="0"/>
    <n v="2236892984"/>
    <x v="2"/>
    <n v="7480"/>
    <x v="1"/>
    <x v="0"/>
    <x v="11"/>
    <x v="2"/>
    <x v="0"/>
    <x v="0"/>
    <x v="2"/>
    <x v="0"/>
  </r>
  <r>
    <x v="0"/>
    <x v="0"/>
    <n v="2236892986"/>
    <x v="1"/>
    <n v="3870"/>
    <x v="1"/>
    <x v="0"/>
    <x v="7"/>
    <x v="1"/>
    <x v="0"/>
    <x v="0"/>
    <x v="1"/>
    <x v="0"/>
  </r>
  <r>
    <x v="0"/>
    <x v="0"/>
    <n v="2236892987"/>
    <x v="2"/>
    <n v="7100"/>
    <x v="1"/>
    <x v="0"/>
    <x v="7"/>
    <x v="2"/>
    <x v="0"/>
    <x v="0"/>
    <x v="2"/>
    <x v="0"/>
  </r>
  <r>
    <x v="0"/>
    <x v="0"/>
    <n v="2236892988"/>
    <x v="6"/>
    <n v="1000"/>
    <x v="1"/>
    <x v="0"/>
    <x v="7"/>
    <x v="6"/>
    <x v="0"/>
    <x v="0"/>
    <x v="5"/>
    <x v="0"/>
  </r>
  <r>
    <x v="0"/>
    <x v="0"/>
    <n v="2236892988"/>
    <x v="2"/>
    <n v="13600"/>
    <x v="1"/>
    <x v="0"/>
    <x v="7"/>
    <x v="2"/>
    <x v="0"/>
    <x v="0"/>
    <x v="2"/>
    <x v="0"/>
  </r>
  <r>
    <x v="0"/>
    <x v="0"/>
    <n v="2236892989"/>
    <x v="5"/>
    <n v="-6850"/>
    <x v="1"/>
    <x v="0"/>
    <x v="7"/>
    <x v="5"/>
    <x v="0"/>
    <x v="0"/>
    <x v="5"/>
    <x v="0"/>
  </r>
  <r>
    <x v="0"/>
    <x v="0"/>
    <n v="2236892989"/>
    <x v="6"/>
    <n v="10000"/>
    <x v="1"/>
    <x v="0"/>
    <x v="7"/>
    <x v="6"/>
    <x v="0"/>
    <x v="0"/>
    <x v="5"/>
    <x v="0"/>
  </r>
  <r>
    <x v="0"/>
    <x v="0"/>
    <n v="2236892990"/>
    <x v="6"/>
    <n v="5300"/>
    <x v="1"/>
    <x v="0"/>
    <x v="7"/>
    <x v="6"/>
    <x v="0"/>
    <x v="0"/>
    <x v="5"/>
    <x v="0"/>
  </r>
  <r>
    <x v="0"/>
    <x v="0"/>
    <n v="2236892991"/>
    <x v="7"/>
    <n v="3500"/>
    <x v="1"/>
    <x v="0"/>
    <x v="7"/>
    <x v="7"/>
    <x v="0"/>
    <x v="0"/>
    <x v="1"/>
    <x v="0"/>
  </r>
  <r>
    <x v="0"/>
    <x v="0"/>
    <n v="2236892992"/>
    <x v="2"/>
    <n v="30140"/>
    <x v="1"/>
    <x v="0"/>
    <x v="7"/>
    <x v="2"/>
    <x v="0"/>
    <x v="0"/>
    <x v="2"/>
    <x v="0"/>
  </r>
  <r>
    <x v="0"/>
    <x v="0"/>
    <n v="2236892993"/>
    <x v="2"/>
    <n v="11550"/>
    <x v="1"/>
    <x v="0"/>
    <x v="7"/>
    <x v="2"/>
    <x v="0"/>
    <x v="0"/>
    <x v="2"/>
    <x v="0"/>
  </r>
  <r>
    <x v="0"/>
    <x v="0"/>
    <n v="2236892995"/>
    <x v="4"/>
    <n v="10000"/>
    <x v="1"/>
    <x v="0"/>
    <x v="7"/>
    <x v="4"/>
    <x v="0"/>
    <x v="0"/>
    <x v="4"/>
    <x v="0"/>
  </r>
  <r>
    <x v="0"/>
    <x v="0"/>
    <n v="2236892996"/>
    <x v="1"/>
    <n v="2040"/>
    <x v="1"/>
    <x v="0"/>
    <x v="7"/>
    <x v="1"/>
    <x v="0"/>
    <x v="0"/>
    <x v="1"/>
    <x v="0"/>
  </r>
  <r>
    <x v="0"/>
    <x v="0"/>
    <n v="2236892997"/>
    <x v="5"/>
    <n v="-5260"/>
    <x v="1"/>
    <x v="0"/>
    <x v="11"/>
    <x v="5"/>
    <x v="0"/>
    <x v="0"/>
    <x v="5"/>
    <x v="0"/>
  </r>
  <r>
    <x v="0"/>
    <x v="0"/>
    <n v="2236892997"/>
    <x v="6"/>
    <n v="10000"/>
    <x v="1"/>
    <x v="0"/>
    <x v="11"/>
    <x v="6"/>
    <x v="0"/>
    <x v="0"/>
    <x v="5"/>
    <x v="0"/>
  </r>
  <r>
    <x v="0"/>
    <x v="0"/>
    <n v="2236892998"/>
    <x v="5"/>
    <n v="-3100"/>
    <x v="1"/>
    <x v="0"/>
    <x v="7"/>
    <x v="5"/>
    <x v="0"/>
    <x v="0"/>
    <x v="5"/>
    <x v="0"/>
  </r>
  <r>
    <x v="0"/>
    <x v="0"/>
    <n v="2236892998"/>
    <x v="6"/>
    <n v="10000"/>
    <x v="1"/>
    <x v="0"/>
    <x v="7"/>
    <x v="6"/>
    <x v="0"/>
    <x v="0"/>
    <x v="5"/>
    <x v="0"/>
  </r>
  <r>
    <x v="0"/>
    <x v="0"/>
    <n v="2236892999"/>
    <x v="6"/>
    <n v="3800"/>
    <x v="1"/>
    <x v="0"/>
    <x v="7"/>
    <x v="6"/>
    <x v="0"/>
    <x v="0"/>
    <x v="5"/>
    <x v="0"/>
  </r>
  <r>
    <x v="0"/>
    <x v="0"/>
    <n v="2236892999"/>
    <x v="2"/>
    <n v="6800"/>
    <x v="1"/>
    <x v="0"/>
    <x v="7"/>
    <x v="2"/>
    <x v="0"/>
    <x v="0"/>
    <x v="2"/>
    <x v="0"/>
  </r>
  <r>
    <x v="0"/>
    <x v="0"/>
    <n v="2236893002"/>
    <x v="1"/>
    <n v="900"/>
    <x v="1"/>
    <x v="0"/>
    <x v="7"/>
    <x v="1"/>
    <x v="0"/>
    <x v="0"/>
    <x v="1"/>
    <x v="0"/>
  </r>
  <r>
    <x v="0"/>
    <x v="0"/>
    <n v="2236893003"/>
    <x v="2"/>
    <n v="21714"/>
    <x v="1"/>
    <x v="0"/>
    <x v="7"/>
    <x v="2"/>
    <x v="0"/>
    <x v="0"/>
    <x v="2"/>
    <x v="0"/>
  </r>
  <r>
    <x v="0"/>
    <x v="0"/>
    <n v="2236893004"/>
    <x v="2"/>
    <n v="29480"/>
    <x v="1"/>
    <x v="0"/>
    <x v="7"/>
    <x v="2"/>
    <x v="0"/>
    <x v="0"/>
    <x v="2"/>
    <x v="0"/>
  </r>
  <r>
    <x v="0"/>
    <x v="0"/>
    <n v="2236893007"/>
    <x v="1"/>
    <n v="2040"/>
    <x v="1"/>
    <x v="0"/>
    <x v="13"/>
    <x v="1"/>
    <x v="0"/>
    <x v="0"/>
    <x v="1"/>
    <x v="0"/>
  </r>
  <r>
    <x v="0"/>
    <x v="0"/>
    <n v="2236893008"/>
    <x v="2"/>
    <n v="4950"/>
    <x v="1"/>
    <x v="0"/>
    <x v="7"/>
    <x v="2"/>
    <x v="0"/>
    <x v="0"/>
    <x v="2"/>
    <x v="0"/>
  </r>
  <r>
    <x v="0"/>
    <x v="0"/>
    <n v="2236893010"/>
    <x v="5"/>
    <n v="-400"/>
    <x v="1"/>
    <x v="0"/>
    <x v="7"/>
    <x v="5"/>
    <x v="0"/>
    <x v="0"/>
    <x v="5"/>
    <x v="0"/>
  </r>
  <r>
    <x v="0"/>
    <x v="0"/>
    <n v="2236893010"/>
    <x v="6"/>
    <n v="4000"/>
    <x v="1"/>
    <x v="0"/>
    <x v="7"/>
    <x v="6"/>
    <x v="0"/>
    <x v="0"/>
    <x v="5"/>
    <x v="0"/>
  </r>
  <r>
    <x v="0"/>
    <x v="0"/>
    <n v="2236893011"/>
    <x v="5"/>
    <n v="-120"/>
    <x v="1"/>
    <x v="0"/>
    <x v="7"/>
    <x v="5"/>
    <x v="0"/>
    <x v="0"/>
    <x v="5"/>
    <x v="0"/>
  </r>
  <r>
    <x v="0"/>
    <x v="0"/>
    <n v="2236893011"/>
    <x v="6"/>
    <n v="11000"/>
    <x v="1"/>
    <x v="0"/>
    <x v="7"/>
    <x v="6"/>
    <x v="0"/>
    <x v="0"/>
    <x v="5"/>
    <x v="0"/>
  </r>
  <r>
    <x v="0"/>
    <x v="0"/>
    <n v="2236893012"/>
    <x v="2"/>
    <n v="6300"/>
    <x v="1"/>
    <x v="0"/>
    <x v="7"/>
    <x v="2"/>
    <x v="0"/>
    <x v="0"/>
    <x v="2"/>
    <x v="0"/>
  </r>
  <r>
    <x v="0"/>
    <x v="0"/>
    <n v="2236893013"/>
    <x v="3"/>
    <n v="12500"/>
    <x v="1"/>
    <x v="0"/>
    <x v="7"/>
    <x v="3"/>
    <x v="0"/>
    <x v="0"/>
    <x v="3"/>
    <x v="0"/>
  </r>
  <r>
    <x v="0"/>
    <x v="0"/>
    <n v="2236893014"/>
    <x v="4"/>
    <n v="5000"/>
    <x v="1"/>
    <x v="0"/>
    <x v="7"/>
    <x v="4"/>
    <x v="0"/>
    <x v="0"/>
    <x v="4"/>
    <x v="0"/>
  </r>
  <r>
    <x v="0"/>
    <x v="0"/>
    <n v="2236893019"/>
    <x v="2"/>
    <n v="7480"/>
    <x v="1"/>
    <x v="0"/>
    <x v="7"/>
    <x v="2"/>
    <x v="0"/>
    <x v="0"/>
    <x v="2"/>
    <x v="0"/>
  </r>
  <r>
    <x v="0"/>
    <x v="0"/>
    <n v="2236893020"/>
    <x v="2"/>
    <n v="6000"/>
    <x v="1"/>
    <x v="0"/>
    <x v="7"/>
    <x v="2"/>
    <x v="0"/>
    <x v="0"/>
    <x v="2"/>
    <x v="0"/>
  </r>
  <r>
    <x v="0"/>
    <x v="0"/>
    <n v="2236893022"/>
    <x v="6"/>
    <n v="50000"/>
    <x v="1"/>
    <x v="0"/>
    <x v="7"/>
    <x v="6"/>
    <x v="0"/>
    <x v="0"/>
    <x v="5"/>
    <x v="0"/>
  </r>
  <r>
    <x v="0"/>
    <x v="0"/>
    <n v="2236893023"/>
    <x v="5"/>
    <n v="-13500"/>
    <x v="1"/>
    <x v="0"/>
    <x v="7"/>
    <x v="5"/>
    <x v="0"/>
    <x v="0"/>
    <x v="5"/>
    <x v="0"/>
  </r>
  <r>
    <x v="0"/>
    <x v="0"/>
    <n v="2236893023"/>
    <x v="6"/>
    <n v="20000"/>
    <x v="1"/>
    <x v="0"/>
    <x v="7"/>
    <x v="6"/>
    <x v="0"/>
    <x v="0"/>
    <x v="5"/>
    <x v="0"/>
  </r>
  <r>
    <x v="0"/>
    <x v="0"/>
    <n v="2236893024"/>
    <x v="2"/>
    <n v="11550"/>
    <x v="1"/>
    <x v="0"/>
    <x v="7"/>
    <x v="2"/>
    <x v="0"/>
    <x v="0"/>
    <x v="2"/>
    <x v="0"/>
  </r>
  <r>
    <x v="0"/>
    <x v="0"/>
    <n v="2236893025"/>
    <x v="2"/>
    <n v="7000"/>
    <x v="1"/>
    <x v="0"/>
    <x v="7"/>
    <x v="2"/>
    <x v="0"/>
    <x v="0"/>
    <x v="2"/>
    <x v="0"/>
  </r>
  <r>
    <x v="0"/>
    <x v="0"/>
    <n v="2236893026"/>
    <x v="2"/>
    <n v="10660"/>
    <x v="1"/>
    <x v="0"/>
    <x v="7"/>
    <x v="2"/>
    <x v="0"/>
    <x v="0"/>
    <x v="2"/>
    <x v="0"/>
  </r>
  <r>
    <x v="0"/>
    <x v="0"/>
    <n v="2236893028"/>
    <x v="2"/>
    <n v="8000"/>
    <x v="1"/>
    <x v="0"/>
    <x v="7"/>
    <x v="2"/>
    <x v="0"/>
    <x v="0"/>
    <x v="2"/>
    <x v="0"/>
  </r>
  <r>
    <x v="0"/>
    <x v="0"/>
    <n v="2236893029"/>
    <x v="5"/>
    <n v="-11000"/>
    <x v="1"/>
    <x v="0"/>
    <x v="7"/>
    <x v="5"/>
    <x v="0"/>
    <x v="0"/>
    <x v="5"/>
    <x v="0"/>
  </r>
  <r>
    <x v="0"/>
    <x v="0"/>
    <n v="2236893029"/>
    <x v="6"/>
    <n v="20000"/>
    <x v="1"/>
    <x v="0"/>
    <x v="7"/>
    <x v="6"/>
    <x v="0"/>
    <x v="0"/>
    <x v="5"/>
    <x v="0"/>
  </r>
  <r>
    <x v="0"/>
    <x v="0"/>
    <n v="2236893030"/>
    <x v="1"/>
    <n v="900"/>
    <x v="1"/>
    <x v="0"/>
    <x v="7"/>
    <x v="1"/>
    <x v="0"/>
    <x v="0"/>
    <x v="1"/>
    <x v="0"/>
  </r>
  <r>
    <x v="0"/>
    <x v="0"/>
    <n v="2236893031"/>
    <x v="6"/>
    <n v="4900"/>
    <x v="1"/>
    <x v="0"/>
    <x v="7"/>
    <x v="6"/>
    <x v="0"/>
    <x v="0"/>
    <x v="5"/>
    <x v="0"/>
  </r>
  <r>
    <x v="0"/>
    <x v="0"/>
    <n v="2236893031"/>
    <x v="2"/>
    <n v="10400"/>
    <x v="1"/>
    <x v="0"/>
    <x v="7"/>
    <x v="2"/>
    <x v="0"/>
    <x v="0"/>
    <x v="2"/>
    <x v="0"/>
  </r>
  <r>
    <x v="0"/>
    <x v="0"/>
    <n v="2236893032"/>
    <x v="5"/>
    <n v="-5200"/>
    <x v="1"/>
    <x v="0"/>
    <x v="7"/>
    <x v="5"/>
    <x v="0"/>
    <x v="0"/>
    <x v="5"/>
    <x v="0"/>
  </r>
  <r>
    <x v="0"/>
    <x v="0"/>
    <n v="2236893032"/>
    <x v="6"/>
    <n v="10000"/>
    <x v="1"/>
    <x v="0"/>
    <x v="7"/>
    <x v="6"/>
    <x v="0"/>
    <x v="0"/>
    <x v="5"/>
    <x v="0"/>
  </r>
  <r>
    <x v="0"/>
    <x v="0"/>
    <n v="2236893033"/>
    <x v="5"/>
    <n v="-6400"/>
    <x v="1"/>
    <x v="0"/>
    <x v="7"/>
    <x v="5"/>
    <x v="0"/>
    <x v="0"/>
    <x v="5"/>
    <x v="0"/>
  </r>
  <r>
    <x v="0"/>
    <x v="0"/>
    <n v="2236893033"/>
    <x v="6"/>
    <n v="20000"/>
    <x v="1"/>
    <x v="0"/>
    <x v="7"/>
    <x v="6"/>
    <x v="0"/>
    <x v="0"/>
    <x v="5"/>
    <x v="0"/>
  </r>
  <r>
    <x v="0"/>
    <x v="0"/>
    <n v="2236893035"/>
    <x v="5"/>
    <n v="-5000"/>
    <x v="1"/>
    <x v="0"/>
    <x v="7"/>
    <x v="5"/>
    <x v="0"/>
    <x v="0"/>
    <x v="5"/>
    <x v="0"/>
  </r>
  <r>
    <x v="0"/>
    <x v="0"/>
    <n v="2236893035"/>
    <x v="4"/>
    <n v="10300"/>
    <x v="1"/>
    <x v="0"/>
    <x v="7"/>
    <x v="4"/>
    <x v="0"/>
    <x v="0"/>
    <x v="4"/>
    <x v="0"/>
  </r>
  <r>
    <x v="0"/>
    <x v="0"/>
    <n v="2236893036"/>
    <x v="2"/>
    <n v="14960"/>
    <x v="1"/>
    <x v="0"/>
    <x v="7"/>
    <x v="2"/>
    <x v="0"/>
    <x v="0"/>
    <x v="2"/>
    <x v="0"/>
  </r>
  <r>
    <x v="0"/>
    <x v="0"/>
    <n v="2236893037"/>
    <x v="2"/>
    <n v="4000"/>
    <x v="1"/>
    <x v="0"/>
    <x v="7"/>
    <x v="2"/>
    <x v="0"/>
    <x v="0"/>
    <x v="2"/>
    <x v="0"/>
  </r>
  <r>
    <x v="0"/>
    <x v="0"/>
    <n v="2236893038"/>
    <x v="5"/>
    <n v="-10010"/>
    <x v="1"/>
    <x v="0"/>
    <x v="7"/>
    <x v="5"/>
    <x v="0"/>
    <x v="0"/>
    <x v="5"/>
    <x v="0"/>
  </r>
  <r>
    <x v="0"/>
    <x v="0"/>
    <n v="2236893038"/>
    <x v="6"/>
    <n v="20300"/>
    <x v="1"/>
    <x v="0"/>
    <x v="7"/>
    <x v="6"/>
    <x v="0"/>
    <x v="0"/>
    <x v="5"/>
    <x v="0"/>
  </r>
  <r>
    <x v="0"/>
    <x v="0"/>
    <n v="2236893039"/>
    <x v="1"/>
    <n v="900"/>
    <x v="1"/>
    <x v="0"/>
    <x v="7"/>
    <x v="1"/>
    <x v="0"/>
    <x v="0"/>
    <x v="1"/>
    <x v="0"/>
  </r>
  <r>
    <x v="0"/>
    <x v="0"/>
    <n v="2236893040"/>
    <x v="5"/>
    <n v="-3200"/>
    <x v="1"/>
    <x v="0"/>
    <x v="7"/>
    <x v="5"/>
    <x v="0"/>
    <x v="0"/>
    <x v="5"/>
    <x v="0"/>
  </r>
  <r>
    <x v="0"/>
    <x v="0"/>
    <n v="2236893040"/>
    <x v="6"/>
    <n v="10000"/>
    <x v="1"/>
    <x v="0"/>
    <x v="7"/>
    <x v="6"/>
    <x v="0"/>
    <x v="0"/>
    <x v="5"/>
    <x v="0"/>
  </r>
  <r>
    <x v="0"/>
    <x v="0"/>
    <n v="2236893042"/>
    <x v="5"/>
    <n v="-5000"/>
    <x v="1"/>
    <x v="0"/>
    <x v="7"/>
    <x v="5"/>
    <x v="0"/>
    <x v="0"/>
    <x v="5"/>
    <x v="0"/>
  </r>
  <r>
    <x v="0"/>
    <x v="0"/>
    <n v="2236893042"/>
    <x v="4"/>
    <n v="10000"/>
    <x v="1"/>
    <x v="0"/>
    <x v="7"/>
    <x v="4"/>
    <x v="0"/>
    <x v="0"/>
    <x v="4"/>
    <x v="0"/>
  </r>
  <r>
    <x v="0"/>
    <x v="0"/>
    <n v="2236893044"/>
    <x v="5"/>
    <n v="-16000"/>
    <x v="1"/>
    <x v="0"/>
    <x v="7"/>
    <x v="5"/>
    <x v="0"/>
    <x v="0"/>
    <x v="5"/>
    <x v="0"/>
  </r>
  <r>
    <x v="0"/>
    <x v="0"/>
    <n v="2236893044"/>
    <x v="6"/>
    <n v="20000"/>
    <x v="1"/>
    <x v="0"/>
    <x v="7"/>
    <x v="6"/>
    <x v="0"/>
    <x v="0"/>
    <x v="5"/>
    <x v="0"/>
  </r>
  <r>
    <x v="0"/>
    <x v="0"/>
    <n v="2236893045"/>
    <x v="2"/>
    <n v="16300"/>
    <x v="1"/>
    <x v="0"/>
    <x v="7"/>
    <x v="2"/>
    <x v="0"/>
    <x v="0"/>
    <x v="2"/>
    <x v="0"/>
  </r>
  <r>
    <x v="0"/>
    <x v="0"/>
    <n v="2236893046"/>
    <x v="2"/>
    <n v="6120"/>
    <x v="1"/>
    <x v="0"/>
    <x v="7"/>
    <x v="2"/>
    <x v="0"/>
    <x v="0"/>
    <x v="2"/>
    <x v="0"/>
  </r>
  <r>
    <x v="0"/>
    <x v="0"/>
    <n v="2236893048"/>
    <x v="5"/>
    <n v="-300"/>
    <x v="1"/>
    <x v="0"/>
    <x v="7"/>
    <x v="5"/>
    <x v="0"/>
    <x v="0"/>
    <x v="5"/>
    <x v="0"/>
  </r>
  <r>
    <x v="0"/>
    <x v="0"/>
    <n v="2236893048"/>
    <x v="6"/>
    <n v="6500"/>
    <x v="1"/>
    <x v="0"/>
    <x v="7"/>
    <x v="6"/>
    <x v="0"/>
    <x v="0"/>
    <x v="5"/>
    <x v="0"/>
  </r>
  <r>
    <x v="0"/>
    <x v="0"/>
    <n v="2236893049"/>
    <x v="2"/>
    <n v="10000"/>
    <x v="1"/>
    <x v="0"/>
    <x v="7"/>
    <x v="2"/>
    <x v="0"/>
    <x v="0"/>
    <x v="2"/>
    <x v="0"/>
  </r>
  <r>
    <x v="0"/>
    <x v="0"/>
    <n v="2236893050"/>
    <x v="5"/>
    <n v="-4200"/>
    <x v="1"/>
    <x v="0"/>
    <x v="7"/>
    <x v="5"/>
    <x v="0"/>
    <x v="0"/>
    <x v="5"/>
    <x v="0"/>
  </r>
  <r>
    <x v="0"/>
    <x v="0"/>
    <n v="2236893050"/>
    <x v="6"/>
    <n v="15000"/>
    <x v="1"/>
    <x v="0"/>
    <x v="7"/>
    <x v="6"/>
    <x v="0"/>
    <x v="0"/>
    <x v="5"/>
    <x v="0"/>
  </r>
  <r>
    <x v="0"/>
    <x v="0"/>
    <n v="2236893051"/>
    <x v="5"/>
    <n v="-1000"/>
    <x v="1"/>
    <x v="0"/>
    <x v="7"/>
    <x v="5"/>
    <x v="0"/>
    <x v="0"/>
    <x v="5"/>
    <x v="0"/>
  </r>
  <r>
    <x v="0"/>
    <x v="0"/>
    <n v="2236893051"/>
    <x v="4"/>
    <n v="5000"/>
    <x v="1"/>
    <x v="0"/>
    <x v="7"/>
    <x v="4"/>
    <x v="0"/>
    <x v="0"/>
    <x v="4"/>
    <x v="0"/>
  </r>
  <r>
    <x v="0"/>
    <x v="0"/>
    <n v="2236893052"/>
    <x v="5"/>
    <n v="-2100"/>
    <x v="1"/>
    <x v="0"/>
    <x v="7"/>
    <x v="5"/>
    <x v="0"/>
    <x v="0"/>
    <x v="5"/>
    <x v="0"/>
  </r>
  <r>
    <x v="0"/>
    <x v="0"/>
    <n v="2236893052"/>
    <x v="6"/>
    <n v="10000"/>
    <x v="1"/>
    <x v="0"/>
    <x v="7"/>
    <x v="6"/>
    <x v="0"/>
    <x v="0"/>
    <x v="5"/>
    <x v="0"/>
  </r>
  <r>
    <x v="0"/>
    <x v="0"/>
    <n v="2236893053"/>
    <x v="3"/>
    <n v="3000"/>
    <x v="1"/>
    <x v="0"/>
    <x v="7"/>
    <x v="3"/>
    <x v="0"/>
    <x v="0"/>
    <x v="3"/>
    <x v="0"/>
  </r>
  <r>
    <x v="0"/>
    <x v="0"/>
    <n v="2236893054"/>
    <x v="2"/>
    <n v="63000"/>
    <x v="1"/>
    <x v="0"/>
    <x v="7"/>
    <x v="2"/>
    <x v="0"/>
    <x v="0"/>
    <x v="2"/>
    <x v="0"/>
  </r>
  <r>
    <x v="0"/>
    <x v="0"/>
    <n v="2236893055"/>
    <x v="5"/>
    <n v="-13800"/>
    <x v="1"/>
    <x v="0"/>
    <x v="7"/>
    <x v="5"/>
    <x v="0"/>
    <x v="0"/>
    <x v="5"/>
    <x v="0"/>
  </r>
  <r>
    <x v="0"/>
    <x v="0"/>
    <n v="2236893055"/>
    <x v="6"/>
    <n v="20000"/>
    <x v="1"/>
    <x v="0"/>
    <x v="7"/>
    <x v="6"/>
    <x v="0"/>
    <x v="0"/>
    <x v="5"/>
    <x v="0"/>
  </r>
  <r>
    <x v="0"/>
    <x v="0"/>
    <n v="2236893056"/>
    <x v="6"/>
    <n v="3000"/>
    <x v="1"/>
    <x v="0"/>
    <x v="7"/>
    <x v="6"/>
    <x v="0"/>
    <x v="0"/>
    <x v="5"/>
    <x v="0"/>
  </r>
  <r>
    <x v="0"/>
    <x v="0"/>
    <n v="2236893057"/>
    <x v="5"/>
    <n v="-15100"/>
    <x v="1"/>
    <x v="0"/>
    <x v="7"/>
    <x v="5"/>
    <x v="0"/>
    <x v="0"/>
    <x v="5"/>
    <x v="0"/>
  </r>
  <r>
    <x v="0"/>
    <x v="0"/>
    <n v="2236893057"/>
    <x v="6"/>
    <n v="20000"/>
    <x v="1"/>
    <x v="0"/>
    <x v="7"/>
    <x v="6"/>
    <x v="0"/>
    <x v="0"/>
    <x v="5"/>
    <x v="0"/>
  </r>
  <r>
    <x v="0"/>
    <x v="0"/>
    <n v="2236893058"/>
    <x v="5"/>
    <n v="-10800"/>
    <x v="1"/>
    <x v="0"/>
    <x v="7"/>
    <x v="5"/>
    <x v="0"/>
    <x v="0"/>
    <x v="5"/>
    <x v="0"/>
  </r>
  <r>
    <x v="0"/>
    <x v="0"/>
    <n v="2236893058"/>
    <x v="6"/>
    <n v="40000"/>
    <x v="1"/>
    <x v="0"/>
    <x v="7"/>
    <x v="6"/>
    <x v="0"/>
    <x v="0"/>
    <x v="5"/>
    <x v="0"/>
  </r>
  <r>
    <x v="0"/>
    <x v="0"/>
    <n v="2236893059"/>
    <x v="2"/>
    <n v="3500"/>
    <x v="1"/>
    <x v="0"/>
    <x v="7"/>
    <x v="2"/>
    <x v="0"/>
    <x v="0"/>
    <x v="2"/>
    <x v="0"/>
  </r>
  <r>
    <x v="0"/>
    <x v="0"/>
    <n v="2236893062"/>
    <x v="4"/>
    <n v="4000"/>
    <x v="1"/>
    <x v="0"/>
    <x v="7"/>
    <x v="4"/>
    <x v="0"/>
    <x v="0"/>
    <x v="4"/>
    <x v="0"/>
  </r>
  <r>
    <x v="0"/>
    <x v="0"/>
    <n v="2236893063"/>
    <x v="5"/>
    <n v="-6600"/>
    <x v="1"/>
    <x v="0"/>
    <x v="7"/>
    <x v="5"/>
    <x v="0"/>
    <x v="0"/>
    <x v="5"/>
    <x v="0"/>
  </r>
  <r>
    <x v="0"/>
    <x v="0"/>
    <n v="2236893063"/>
    <x v="6"/>
    <n v="30000"/>
    <x v="1"/>
    <x v="0"/>
    <x v="7"/>
    <x v="6"/>
    <x v="0"/>
    <x v="0"/>
    <x v="5"/>
    <x v="0"/>
  </r>
  <r>
    <x v="0"/>
    <x v="0"/>
    <n v="2236893064"/>
    <x v="2"/>
    <n v="15939"/>
    <x v="1"/>
    <x v="0"/>
    <x v="7"/>
    <x v="2"/>
    <x v="0"/>
    <x v="0"/>
    <x v="2"/>
    <x v="0"/>
  </r>
  <r>
    <x v="0"/>
    <x v="0"/>
    <n v="2236893064"/>
    <x v="7"/>
    <n v="1610"/>
    <x v="1"/>
    <x v="0"/>
    <x v="7"/>
    <x v="7"/>
    <x v="0"/>
    <x v="0"/>
    <x v="1"/>
    <x v="0"/>
  </r>
  <r>
    <x v="0"/>
    <x v="0"/>
    <n v="2236893066"/>
    <x v="2"/>
    <n v="15070"/>
    <x v="1"/>
    <x v="0"/>
    <x v="7"/>
    <x v="2"/>
    <x v="0"/>
    <x v="0"/>
    <x v="2"/>
    <x v="0"/>
  </r>
  <r>
    <x v="0"/>
    <x v="0"/>
    <n v="2236893069"/>
    <x v="1"/>
    <n v="3750"/>
    <x v="1"/>
    <x v="0"/>
    <x v="7"/>
    <x v="1"/>
    <x v="0"/>
    <x v="0"/>
    <x v="1"/>
    <x v="0"/>
  </r>
  <r>
    <x v="0"/>
    <x v="0"/>
    <n v="2236893070"/>
    <x v="5"/>
    <n v="-4560"/>
    <x v="1"/>
    <x v="0"/>
    <x v="7"/>
    <x v="5"/>
    <x v="0"/>
    <x v="0"/>
    <x v="5"/>
    <x v="0"/>
  </r>
  <r>
    <x v="0"/>
    <x v="0"/>
    <n v="2236893070"/>
    <x v="6"/>
    <n v="10000"/>
    <x v="1"/>
    <x v="0"/>
    <x v="7"/>
    <x v="6"/>
    <x v="0"/>
    <x v="0"/>
    <x v="5"/>
    <x v="0"/>
  </r>
  <r>
    <x v="0"/>
    <x v="0"/>
    <n v="2236893071"/>
    <x v="5"/>
    <n v="-4420"/>
    <x v="1"/>
    <x v="0"/>
    <x v="7"/>
    <x v="5"/>
    <x v="0"/>
    <x v="0"/>
    <x v="5"/>
    <x v="0"/>
  </r>
  <r>
    <x v="0"/>
    <x v="0"/>
    <n v="2236893071"/>
    <x v="6"/>
    <n v="10000"/>
    <x v="1"/>
    <x v="0"/>
    <x v="7"/>
    <x v="6"/>
    <x v="0"/>
    <x v="0"/>
    <x v="5"/>
    <x v="0"/>
  </r>
  <r>
    <x v="0"/>
    <x v="0"/>
    <n v="2236893071"/>
    <x v="7"/>
    <n v="620"/>
    <x v="1"/>
    <x v="0"/>
    <x v="7"/>
    <x v="7"/>
    <x v="0"/>
    <x v="0"/>
    <x v="1"/>
    <x v="0"/>
  </r>
  <r>
    <x v="0"/>
    <x v="0"/>
    <n v="2236893072"/>
    <x v="5"/>
    <n v="-3200"/>
    <x v="1"/>
    <x v="0"/>
    <x v="7"/>
    <x v="5"/>
    <x v="0"/>
    <x v="0"/>
    <x v="5"/>
    <x v="0"/>
  </r>
  <r>
    <x v="0"/>
    <x v="0"/>
    <n v="2236893072"/>
    <x v="6"/>
    <n v="10000"/>
    <x v="1"/>
    <x v="0"/>
    <x v="7"/>
    <x v="6"/>
    <x v="0"/>
    <x v="0"/>
    <x v="5"/>
    <x v="0"/>
  </r>
  <r>
    <x v="0"/>
    <x v="0"/>
    <n v="2236893073"/>
    <x v="4"/>
    <n v="5000"/>
    <x v="1"/>
    <x v="0"/>
    <x v="7"/>
    <x v="4"/>
    <x v="0"/>
    <x v="0"/>
    <x v="4"/>
    <x v="0"/>
  </r>
  <r>
    <x v="0"/>
    <x v="0"/>
    <n v="2236893074"/>
    <x v="2"/>
    <n v="15180"/>
    <x v="1"/>
    <x v="0"/>
    <x v="14"/>
    <x v="2"/>
    <x v="0"/>
    <x v="0"/>
    <x v="2"/>
    <x v="0"/>
  </r>
  <r>
    <x v="0"/>
    <x v="0"/>
    <n v="2236893075"/>
    <x v="5"/>
    <n v="-200"/>
    <x v="1"/>
    <x v="0"/>
    <x v="7"/>
    <x v="5"/>
    <x v="0"/>
    <x v="0"/>
    <x v="5"/>
    <x v="0"/>
  </r>
  <r>
    <x v="0"/>
    <x v="0"/>
    <n v="2236893075"/>
    <x v="4"/>
    <n v="5500"/>
    <x v="1"/>
    <x v="0"/>
    <x v="7"/>
    <x v="4"/>
    <x v="0"/>
    <x v="0"/>
    <x v="4"/>
    <x v="0"/>
  </r>
  <r>
    <x v="0"/>
    <x v="0"/>
    <n v="2236893079"/>
    <x v="2"/>
    <n v="14960"/>
    <x v="1"/>
    <x v="0"/>
    <x v="7"/>
    <x v="2"/>
    <x v="0"/>
    <x v="0"/>
    <x v="2"/>
    <x v="0"/>
  </r>
  <r>
    <x v="0"/>
    <x v="0"/>
    <n v="2236893081"/>
    <x v="3"/>
    <n v="3850"/>
    <x v="1"/>
    <x v="0"/>
    <x v="7"/>
    <x v="3"/>
    <x v="0"/>
    <x v="0"/>
    <x v="3"/>
    <x v="0"/>
  </r>
  <r>
    <x v="0"/>
    <x v="0"/>
    <n v="2236893082"/>
    <x v="2"/>
    <n v="17490"/>
    <x v="1"/>
    <x v="0"/>
    <x v="7"/>
    <x v="2"/>
    <x v="0"/>
    <x v="0"/>
    <x v="2"/>
    <x v="0"/>
  </r>
  <r>
    <x v="0"/>
    <x v="0"/>
    <n v="2236893083"/>
    <x v="2"/>
    <n v="6138"/>
    <x v="1"/>
    <x v="0"/>
    <x v="7"/>
    <x v="2"/>
    <x v="0"/>
    <x v="0"/>
    <x v="2"/>
    <x v="0"/>
  </r>
  <r>
    <x v="0"/>
    <x v="0"/>
    <n v="2236893083"/>
    <x v="7"/>
    <n v="620"/>
    <x v="1"/>
    <x v="0"/>
    <x v="7"/>
    <x v="7"/>
    <x v="0"/>
    <x v="0"/>
    <x v="1"/>
    <x v="0"/>
  </r>
  <r>
    <x v="0"/>
    <x v="0"/>
    <n v="2236893084"/>
    <x v="5"/>
    <n v="-7360"/>
    <x v="1"/>
    <x v="0"/>
    <x v="7"/>
    <x v="5"/>
    <x v="0"/>
    <x v="0"/>
    <x v="5"/>
    <x v="0"/>
  </r>
  <r>
    <x v="0"/>
    <x v="0"/>
    <n v="2236893084"/>
    <x v="6"/>
    <n v="30000"/>
    <x v="1"/>
    <x v="0"/>
    <x v="7"/>
    <x v="6"/>
    <x v="0"/>
    <x v="0"/>
    <x v="5"/>
    <x v="0"/>
  </r>
  <r>
    <x v="0"/>
    <x v="0"/>
    <n v="2236893085"/>
    <x v="5"/>
    <n v="-5220"/>
    <x v="1"/>
    <x v="0"/>
    <x v="7"/>
    <x v="5"/>
    <x v="0"/>
    <x v="0"/>
    <x v="5"/>
    <x v="0"/>
  </r>
  <r>
    <x v="0"/>
    <x v="0"/>
    <n v="2236893085"/>
    <x v="6"/>
    <n v="10000"/>
    <x v="1"/>
    <x v="0"/>
    <x v="7"/>
    <x v="6"/>
    <x v="0"/>
    <x v="0"/>
    <x v="5"/>
    <x v="0"/>
  </r>
  <r>
    <x v="0"/>
    <x v="0"/>
    <n v="2236893085"/>
    <x v="7"/>
    <n v="1420"/>
    <x v="1"/>
    <x v="0"/>
    <x v="7"/>
    <x v="7"/>
    <x v="0"/>
    <x v="0"/>
    <x v="1"/>
    <x v="0"/>
  </r>
  <r>
    <x v="0"/>
    <x v="0"/>
    <n v="2236893086"/>
    <x v="5"/>
    <n v="-200"/>
    <x v="1"/>
    <x v="0"/>
    <x v="7"/>
    <x v="5"/>
    <x v="0"/>
    <x v="0"/>
    <x v="5"/>
    <x v="0"/>
  </r>
  <r>
    <x v="0"/>
    <x v="0"/>
    <n v="2236893086"/>
    <x v="6"/>
    <n v="7000"/>
    <x v="1"/>
    <x v="0"/>
    <x v="7"/>
    <x v="6"/>
    <x v="0"/>
    <x v="0"/>
    <x v="5"/>
    <x v="0"/>
  </r>
  <r>
    <x v="0"/>
    <x v="0"/>
    <n v="2236893087"/>
    <x v="5"/>
    <n v="-4000"/>
    <x v="1"/>
    <x v="0"/>
    <x v="7"/>
    <x v="5"/>
    <x v="0"/>
    <x v="0"/>
    <x v="5"/>
    <x v="0"/>
  </r>
  <r>
    <x v="0"/>
    <x v="0"/>
    <n v="2236893087"/>
    <x v="6"/>
    <n v="10000"/>
    <x v="1"/>
    <x v="0"/>
    <x v="7"/>
    <x v="6"/>
    <x v="0"/>
    <x v="0"/>
    <x v="5"/>
    <x v="0"/>
  </r>
  <r>
    <x v="0"/>
    <x v="0"/>
    <n v="2236893088"/>
    <x v="2"/>
    <n v="8800"/>
    <x v="1"/>
    <x v="0"/>
    <x v="15"/>
    <x v="2"/>
    <x v="0"/>
    <x v="0"/>
    <x v="2"/>
    <x v="0"/>
  </r>
  <r>
    <x v="0"/>
    <x v="0"/>
    <n v="2236893089"/>
    <x v="5"/>
    <n v="-2000"/>
    <x v="1"/>
    <x v="0"/>
    <x v="7"/>
    <x v="5"/>
    <x v="0"/>
    <x v="0"/>
    <x v="5"/>
    <x v="0"/>
  </r>
  <r>
    <x v="0"/>
    <x v="0"/>
    <n v="2236893089"/>
    <x v="6"/>
    <n v="5000"/>
    <x v="1"/>
    <x v="0"/>
    <x v="7"/>
    <x v="6"/>
    <x v="0"/>
    <x v="0"/>
    <x v="5"/>
    <x v="0"/>
  </r>
  <r>
    <x v="0"/>
    <x v="0"/>
    <n v="2236893090"/>
    <x v="5"/>
    <n v="-3200"/>
    <x v="1"/>
    <x v="0"/>
    <x v="7"/>
    <x v="5"/>
    <x v="0"/>
    <x v="0"/>
    <x v="5"/>
    <x v="0"/>
  </r>
  <r>
    <x v="0"/>
    <x v="0"/>
    <n v="2236893090"/>
    <x v="6"/>
    <n v="10000"/>
    <x v="1"/>
    <x v="0"/>
    <x v="7"/>
    <x v="6"/>
    <x v="0"/>
    <x v="0"/>
    <x v="5"/>
    <x v="0"/>
  </r>
  <r>
    <x v="0"/>
    <x v="0"/>
    <n v="2236893091"/>
    <x v="5"/>
    <n v="-800"/>
    <x v="1"/>
    <x v="0"/>
    <x v="7"/>
    <x v="5"/>
    <x v="0"/>
    <x v="0"/>
    <x v="5"/>
    <x v="0"/>
  </r>
  <r>
    <x v="0"/>
    <x v="0"/>
    <n v="2236893091"/>
    <x v="6"/>
    <n v="7000"/>
    <x v="1"/>
    <x v="0"/>
    <x v="7"/>
    <x v="6"/>
    <x v="0"/>
    <x v="0"/>
    <x v="5"/>
    <x v="0"/>
  </r>
  <r>
    <x v="0"/>
    <x v="0"/>
    <n v="2236893093"/>
    <x v="5"/>
    <n v="-16000"/>
    <x v="1"/>
    <x v="0"/>
    <x v="7"/>
    <x v="5"/>
    <x v="0"/>
    <x v="0"/>
    <x v="5"/>
    <x v="0"/>
  </r>
  <r>
    <x v="0"/>
    <x v="0"/>
    <n v="2236893093"/>
    <x v="6"/>
    <n v="20000"/>
    <x v="1"/>
    <x v="0"/>
    <x v="7"/>
    <x v="6"/>
    <x v="0"/>
    <x v="0"/>
    <x v="5"/>
    <x v="0"/>
  </r>
  <r>
    <x v="0"/>
    <x v="0"/>
    <n v="2236893095"/>
    <x v="2"/>
    <n v="29480"/>
    <x v="1"/>
    <x v="0"/>
    <x v="7"/>
    <x v="2"/>
    <x v="0"/>
    <x v="0"/>
    <x v="2"/>
    <x v="0"/>
  </r>
  <r>
    <x v="0"/>
    <x v="0"/>
    <n v="2236893096"/>
    <x v="1"/>
    <n v="1800"/>
    <x v="1"/>
    <x v="0"/>
    <x v="7"/>
    <x v="1"/>
    <x v="0"/>
    <x v="0"/>
    <x v="1"/>
    <x v="0"/>
  </r>
  <r>
    <x v="0"/>
    <x v="0"/>
    <n v="2236893097"/>
    <x v="2"/>
    <n v="21300"/>
    <x v="1"/>
    <x v="0"/>
    <x v="7"/>
    <x v="2"/>
    <x v="0"/>
    <x v="0"/>
    <x v="2"/>
    <x v="0"/>
  </r>
  <r>
    <x v="0"/>
    <x v="0"/>
    <n v="2236893098"/>
    <x v="5"/>
    <n v="-2560"/>
    <x v="1"/>
    <x v="0"/>
    <x v="7"/>
    <x v="5"/>
    <x v="0"/>
    <x v="0"/>
    <x v="5"/>
    <x v="0"/>
  </r>
  <r>
    <x v="0"/>
    <x v="0"/>
    <n v="2236893098"/>
    <x v="6"/>
    <n v="10000"/>
    <x v="1"/>
    <x v="0"/>
    <x v="7"/>
    <x v="6"/>
    <x v="0"/>
    <x v="0"/>
    <x v="5"/>
    <x v="0"/>
  </r>
  <r>
    <x v="0"/>
    <x v="0"/>
    <n v="2236893098"/>
    <x v="7"/>
    <n v="4960"/>
    <x v="1"/>
    <x v="0"/>
    <x v="7"/>
    <x v="7"/>
    <x v="0"/>
    <x v="0"/>
    <x v="1"/>
    <x v="0"/>
  </r>
  <r>
    <x v="0"/>
    <x v="0"/>
    <n v="2236893099"/>
    <x v="4"/>
    <n v="5000"/>
    <x v="1"/>
    <x v="0"/>
    <x v="7"/>
    <x v="4"/>
    <x v="0"/>
    <x v="0"/>
    <x v="4"/>
    <x v="0"/>
  </r>
  <r>
    <x v="0"/>
    <x v="0"/>
    <n v="2236893100"/>
    <x v="5"/>
    <n v="-4800"/>
    <x v="1"/>
    <x v="0"/>
    <x v="7"/>
    <x v="5"/>
    <x v="0"/>
    <x v="0"/>
    <x v="5"/>
    <x v="0"/>
  </r>
  <r>
    <x v="0"/>
    <x v="0"/>
    <n v="2236893100"/>
    <x v="4"/>
    <n v="10000"/>
    <x v="1"/>
    <x v="0"/>
    <x v="7"/>
    <x v="4"/>
    <x v="0"/>
    <x v="0"/>
    <x v="4"/>
    <x v="0"/>
  </r>
  <r>
    <x v="0"/>
    <x v="0"/>
    <n v="2236893102"/>
    <x v="2"/>
    <n v="23210"/>
    <x v="1"/>
    <x v="0"/>
    <x v="7"/>
    <x v="2"/>
    <x v="0"/>
    <x v="0"/>
    <x v="2"/>
    <x v="0"/>
  </r>
  <r>
    <x v="0"/>
    <x v="0"/>
    <n v="2236893103"/>
    <x v="2"/>
    <n v="7150"/>
    <x v="1"/>
    <x v="0"/>
    <x v="7"/>
    <x v="2"/>
    <x v="0"/>
    <x v="0"/>
    <x v="2"/>
    <x v="0"/>
  </r>
  <r>
    <x v="0"/>
    <x v="0"/>
    <n v="2236893104"/>
    <x v="2"/>
    <n v="8800"/>
    <x v="1"/>
    <x v="0"/>
    <x v="7"/>
    <x v="2"/>
    <x v="0"/>
    <x v="0"/>
    <x v="2"/>
    <x v="0"/>
  </r>
  <r>
    <x v="0"/>
    <x v="0"/>
    <n v="2236893105"/>
    <x v="5"/>
    <n v="-15100"/>
    <x v="1"/>
    <x v="0"/>
    <x v="7"/>
    <x v="5"/>
    <x v="0"/>
    <x v="0"/>
    <x v="5"/>
    <x v="0"/>
  </r>
  <r>
    <x v="0"/>
    <x v="0"/>
    <n v="2236893105"/>
    <x v="6"/>
    <n v="20000"/>
    <x v="1"/>
    <x v="0"/>
    <x v="7"/>
    <x v="6"/>
    <x v="0"/>
    <x v="0"/>
    <x v="5"/>
    <x v="0"/>
  </r>
  <r>
    <x v="0"/>
    <x v="0"/>
    <n v="2236893106"/>
    <x v="5"/>
    <n v="-1000"/>
    <x v="1"/>
    <x v="0"/>
    <x v="7"/>
    <x v="5"/>
    <x v="0"/>
    <x v="0"/>
    <x v="5"/>
    <x v="0"/>
  </r>
  <r>
    <x v="0"/>
    <x v="0"/>
    <n v="2236893106"/>
    <x v="6"/>
    <n v="5000"/>
    <x v="1"/>
    <x v="0"/>
    <x v="7"/>
    <x v="6"/>
    <x v="0"/>
    <x v="0"/>
    <x v="5"/>
    <x v="0"/>
  </r>
  <r>
    <x v="0"/>
    <x v="0"/>
    <n v="2236893107"/>
    <x v="5"/>
    <n v="-1800"/>
    <x v="1"/>
    <x v="0"/>
    <x v="7"/>
    <x v="5"/>
    <x v="0"/>
    <x v="0"/>
    <x v="5"/>
    <x v="0"/>
  </r>
  <r>
    <x v="0"/>
    <x v="0"/>
    <n v="2236893107"/>
    <x v="6"/>
    <n v="15000"/>
    <x v="1"/>
    <x v="0"/>
    <x v="7"/>
    <x v="6"/>
    <x v="0"/>
    <x v="0"/>
    <x v="5"/>
    <x v="0"/>
  </r>
  <r>
    <x v="0"/>
    <x v="0"/>
    <n v="2236893109"/>
    <x v="5"/>
    <n v="-120"/>
    <x v="1"/>
    <x v="0"/>
    <x v="7"/>
    <x v="5"/>
    <x v="0"/>
    <x v="0"/>
    <x v="5"/>
    <x v="0"/>
  </r>
  <r>
    <x v="0"/>
    <x v="0"/>
    <n v="2236893109"/>
    <x v="6"/>
    <n v="11000"/>
    <x v="1"/>
    <x v="0"/>
    <x v="7"/>
    <x v="6"/>
    <x v="0"/>
    <x v="0"/>
    <x v="5"/>
    <x v="0"/>
  </r>
  <r>
    <x v="0"/>
    <x v="0"/>
    <n v="2236893109"/>
    <x v="7"/>
    <n v="2720"/>
    <x v="1"/>
    <x v="0"/>
    <x v="7"/>
    <x v="7"/>
    <x v="0"/>
    <x v="0"/>
    <x v="1"/>
    <x v="0"/>
  </r>
  <r>
    <x v="0"/>
    <x v="0"/>
    <n v="2236893110"/>
    <x v="5"/>
    <n v="-6000"/>
    <x v="1"/>
    <x v="0"/>
    <x v="7"/>
    <x v="5"/>
    <x v="0"/>
    <x v="0"/>
    <x v="5"/>
    <x v="0"/>
  </r>
  <r>
    <x v="0"/>
    <x v="0"/>
    <n v="2236893110"/>
    <x v="4"/>
    <n v="10000"/>
    <x v="1"/>
    <x v="0"/>
    <x v="7"/>
    <x v="4"/>
    <x v="0"/>
    <x v="0"/>
    <x v="4"/>
    <x v="0"/>
  </r>
  <r>
    <x v="0"/>
    <x v="0"/>
    <n v="2236893111"/>
    <x v="5"/>
    <n v="-14700"/>
    <x v="1"/>
    <x v="0"/>
    <x v="7"/>
    <x v="5"/>
    <x v="0"/>
    <x v="0"/>
    <x v="5"/>
    <x v="0"/>
  </r>
  <r>
    <x v="0"/>
    <x v="0"/>
    <n v="2236893111"/>
    <x v="4"/>
    <n v="20000"/>
    <x v="1"/>
    <x v="0"/>
    <x v="7"/>
    <x v="4"/>
    <x v="0"/>
    <x v="0"/>
    <x v="4"/>
    <x v="0"/>
  </r>
  <r>
    <x v="0"/>
    <x v="0"/>
    <n v="2236893112"/>
    <x v="2"/>
    <n v="18400"/>
    <x v="1"/>
    <x v="0"/>
    <x v="7"/>
    <x v="2"/>
    <x v="0"/>
    <x v="0"/>
    <x v="2"/>
    <x v="0"/>
  </r>
  <r>
    <x v="0"/>
    <x v="0"/>
    <n v="2236893113"/>
    <x v="6"/>
    <n v="6000"/>
    <x v="1"/>
    <x v="0"/>
    <x v="7"/>
    <x v="6"/>
    <x v="0"/>
    <x v="0"/>
    <x v="5"/>
    <x v="0"/>
  </r>
  <r>
    <x v="0"/>
    <x v="0"/>
    <n v="2236893114"/>
    <x v="5"/>
    <n v="-4320"/>
    <x v="1"/>
    <x v="0"/>
    <x v="7"/>
    <x v="5"/>
    <x v="0"/>
    <x v="0"/>
    <x v="5"/>
    <x v="0"/>
  </r>
  <r>
    <x v="0"/>
    <x v="0"/>
    <n v="2236893114"/>
    <x v="6"/>
    <n v="20000"/>
    <x v="1"/>
    <x v="0"/>
    <x v="7"/>
    <x v="6"/>
    <x v="0"/>
    <x v="0"/>
    <x v="5"/>
    <x v="0"/>
  </r>
  <r>
    <x v="0"/>
    <x v="0"/>
    <n v="2236893115"/>
    <x v="1"/>
    <n v="900"/>
    <x v="1"/>
    <x v="0"/>
    <x v="7"/>
    <x v="1"/>
    <x v="0"/>
    <x v="0"/>
    <x v="1"/>
    <x v="0"/>
  </r>
  <r>
    <x v="0"/>
    <x v="0"/>
    <n v="2236893116"/>
    <x v="8"/>
    <n v="7480"/>
    <x v="1"/>
    <x v="0"/>
    <x v="7"/>
    <x v="8"/>
    <x v="0"/>
    <x v="0"/>
    <x v="3"/>
    <x v="0"/>
  </r>
  <r>
    <x v="0"/>
    <x v="0"/>
    <n v="2236893117"/>
    <x v="5"/>
    <n v="-800"/>
    <x v="1"/>
    <x v="0"/>
    <x v="7"/>
    <x v="5"/>
    <x v="0"/>
    <x v="0"/>
    <x v="5"/>
    <x v="0"/>
  </r>
  <r>
    <x v="0"/>
    <x v="0"/>
    <n v="2236893117"/>
    <x v="6"/>
    <n v="7000"/>
    <x v="1"/>
    <x v="0"/>
    <x v="7"/>
    <x v="6"/>
    <x v="0"/>
    <x v="0"/>
    <x v="5"/>
    <x v="0"/>
  </r>
  <r>
    <x v="0"/>
    <x v="0"/>
    <n v="2236893118"/>
    <x v="2"/>
    <n v="8480"/>
    <x v="1"/>
    <x v="0"/>
    <x v="7"/>
    <x v="2"/>
    <x v="0"/>
    <x v="0"/>
    <x v="2"/>
    <x v="0"/>
  </r>
  <r>
    <x v="0"/>
    <x v="0"/>
    <n v="2236893118"/>
    <x v="7"/>
    <n v="2120"/>
    <x v="1"/>
    <x v="0"/>
    <x v="7"/>
    <x v="7"/>
    <x v="0"/>
    <x v="0"/>
    <x v="1"/>
    <x v="0"/>
  </r>
  <r>
    <x v="0"/>
    <x v="0"/>
    <n v="2236893119"/>
    <x v="2"/>
    <n v="6600"/>
    <x v="1"/>
    <x v="0"/>
    <x v="7"/>
    <x v="2"/>
    <x v="0"/>
    <x v="0"/>
    <x v="2"/>
    <x v="0"/>
  </r>
  <r>
    <x v="0"/>
    <x v="0"/>
    <n v="2236893120"/>
    <x v="5"/>
    <n v="-13200"/>
    <x v="1"/>
    <x v="0"/>
    <x v="7"/>
    <x v="5"/>
    <x v="0"/>
    <x v="0"/>
    <x v="5"/>
    <x v="0"/>
  </r>
  <r>
    <x v="0"/>
    <x v="0"/>
    <n v="2236893120"/>
    <x v="6"/>
    <n v="20000"/>
    <x v="1"/>
    <x v="0"/>
    <x v="7"/>
    <x v="6"/>
    <x v="0"/>
    <x v="0"/>
    <x v="5"/>
    <x v="0"/>
  </r>
  <r>
    <x v="0"/>
    <x v="0"/>
    <n v="2236893121"/>
    <x v="5"/>
    <n v="-8200"/>
    <x v="1"/>
    <x v="0"/>
    <x v="7"/>
    <x v="5"/>
    <x v="0"/>
    <x v="0"/>
    <x v="5"/>
    <x v="0"/>
  </r>
  <r>
    <x v="0"/>
    <x v="0"/>
    <n v="2236893121"/>
    <x v="4"/>
    <n v="13200"/>
    <x v="1"/>
    <x v="0"/>
    <x v="7"/>
    <x v="4"/>
    <x v="0"/>
    <x v="0"/>
    <x v="4"/>
    <x v="0"/>
  </r>
  <r>
    <x v="0"/>
    <x v="0"/>
    <n v="2236893122"/>
    <x v="5"/>
    <n v="-3100"/>
    <x v="1"/>
    <x v="0"/>
    <x v="7"/>
    <x v="5"/>
    <x v="0"/>
    <x v="0"/>
    <x v="5"/>
    <x v="0"/>
  </r>
  <r>
    <x v="0"/>
    <x v="0"/>
    <n v="2236893122"/>
    <x v="6"/>
    <n v="20000"/>
    <x v="1"/>
    <x v="0"/>
    <x v="7"/>
    <x v="6"/>
    <x v="0"/>
    <x v="0"/>
    <x v="5"/>
    <x v="0"/>
  </r>
  <r>
    <x v="0"/>
    <x v="0"/>
    <n v="2236893123"/>
    <x v="5"/>
    <n v="-5000"/>
    <x v="1"/>
    <x v="0"/>
    <x v="7"/>
    <x v="5"/>
    <x v="0"/>
    <x v="0"/>
    <x v="5"/>
    <x v="0"/>
  </r>
  <r>
    <x v="0"/>
    <x v="0"/>
    <n v="2236893123"/>
    <x v="4"/>
    <n v="10000"/>
    <x v="1"/>
    <x v="0"/>
    <x v="7"/>
    <x v="4"/>
    <x v="0"/>
    <x v="0"/>
    <x v="4"/>
    <x v="0"/>
  </r>
  <r>
    <x v="0"/>
    <x v="0"/>
    <n v="2236893124"/>
    <x v="5"/>
    <n v="-7500"/>
    <x v="1"/>
    <x v="0"/>
    <x v="7"/>
    <x v="5"/>
    <x v="0"/>
    <x v="0"/>
    <x v="5"/>
    <x v="0"/>
  </r>
  <r>
    <x v="0"/>
    <x v="0"/>
    <n v="2236893124"/>
    <x v="6"/>
    <n v="20000"/>
    <x v="1"/>
    <x v="0"/>
    <x v="7"/>
    <x v="6"/>
    <x v="0"/>
    <x v="0"/>
    <x v="5"/>
    <x v="0"/>
  </r>
  <r>
    <x v="0"/>
    <x v="0"/>
    <n v="2236893125"/>
    <x v="2"/>
    <n v="6500"/>
    <x v="1"/>
    <x v="0"/>
    <x v="7"/>
    <x v="2"/>
    <x v="0"/>
    <x v="0"/>
    <x v="2"/>
    <x v="0"/>
  </r>
  <r>
    <x v="0"/>
    <x v="0"/>
    <n v="2236893126"/>
    <x v="2"/>
    <n v="13600"/>
    <x v="1"/>
    <x v="0"/>
    <x v="7"/>
    <x v="2"/>
    <x v="0"/>
    <x v="0"/>
    <x v="2"/>
    <x v="0"/>
  </r>
  <r>
    <x v="0"/>
    <x v="0"/>
    <n v="2236893127"/>
    <x v="5"/>
    <n v="-1600"/>
    <x v="1"/>
    <x v="0"/>
    <x v="7"/>
    <x v="5"/>
    <x v="0"/>
    <x v="0"/>
    <x v="5"/>
    <x v="0"/>
  </r>
  <r>
    <x v="0"/>
    <x v="0"/>
    <n v="2236893127"/>
    <x v="6"/>
    <n v="20000"/>
    <x v="1"/>
    <x v="0"/>
    <x v="7"/>
    <x v="6"/>
    <x v="0"/>
    <x v="0"/>
    <x v="5"/>
    <x v="0"/>
  </r>
  <r>
    <x v="0"/>
    <x v="0"/>
    <n v="2236893129"/>
    <x v="5"/>
    <n v="-200"/>
    <x v="1"/>
    <x v="0"/>
    <x v="7"/>
    <x v="5"/>
    <x v="0"/>
    <x v="0"/>
    <x v="5"/>
    <x v="0"/>
  </r>
  <r>
    <x v="0"/>
    <x v="0"/>
    <n v="2236893129"/>
    <x v="6"/>
    <n v="13000"/>
    <x v="1"/>
    <x v="0"/>
    <x v="7"/>
    <x v="6"/>
    <x v="0"/>
    <x v="0"/>
    <x v="5"/>
    <x v="0"/>
  </r>
  <r>
    <x v="0"/>
    <x v="0"/>
    <n v="2236893133"/>
    <x v="6"/>
    <n v="70300"/>
    <x v="1"/>
    <x v="0"/>
    <x v="7"/>
    <x v="6"/>
    <x v="0"/>
    <x v="0"/>
    <x v="5"/>
    <x v="0"/>
  </r>
  <r>
    <x v="0"/>
    <x v="0"/>
    <n v="2236893134"/>
    <x v="5"/>
    <n v="-13500"/>
    <x v="1"/>
    <x v="0"/>
    <x v="7"/>
    <x v="5"/>
    <x v="0"/>
    <x v="0"/>
    <x v="5"/>
    <x v="0"/>
  </r>
  <r>
    <x v="0"/>
    <x v="0"/>
    <n v="2236893134"/>
    <x v="6"/>
    <n v="20000"/>
    <x v="1"/>
    <x v="0"/>
    <x v="7"/>
    <x v="6"/>
    <x v="0"/>
    <x v="0"/>
    <x v="5"/>
    <x v="0"/>
  </r>
  <r>
    <x v="0"/>
    <x v="0"/>
    <n v="2236893135"/>
    <x v="2"/>
    <n v="10920"/>
    <x v="1"/>
    <x v="0"/>
    <x v="7"/>
    <x v="2"/>
    <x v="0"/>
    <x v="0"/>
    <x v="2"/>
    <x v="0"/>
  </r>
  <r>
    <x v="0"/>
    <x v="0"/>
    <n v="2236893135"/>
    <x v="7"/>
    <n v="7280"/>
    <x v="1"/>
    <x v="0"/>
    <x v="7"/>
    <x v="7"/>
    <x v="0"/>
    <x v="0"/>
    <x v="1"/>
    <x v="0"/>
  </r>
  <r>
    <x v="0"/>
    <x v="0"/>
    <n v="2236893136"/>
    <x v="2"/>
    <n v="36850"/>
    <x v="1"/>
    <x v="0"/>
    <x v="7"/>
    <x v="2"/>
    <x v="0"/>
    <x v="0"/>
    <x v="2"/>
    <x v="0"/>
  </r>
  <r>
    <x v="0"/>
    <x v="0"/>
    <n v="2236893137"/>
    <x v="2"/>
    <n v="11220"/>
    <x v="1"/>
    <x v="0"/>
    <x v="7"/>
    <x v="2"/>
    <x v="0"/>
    <x v="0"/>
    <x v="2"/>
    <x v="0"/>
  </r>
  <r>
    <x v="0"/>
    <x v="0"/>
    <n v="2236893138"/>
    <x v="2"/>
    <n v="8000"/>
    <x v="1"/>
    <x v="0"/>
    <x v="7"/>
    <x v="2"/>
    <x v="0"/>
    <x v="0"/>
    <x v="2"/>
    <x v="0"/>
  </r>
  <r>
    <x v="0"/>
    <x v="0"/>
    <n v="2236899536"/>
    <x v="0"/>
    <n v="4080"/>
    <x v="2"/>
    <x v="0"/>
    <x v="16"/>
    <x v="0"/>
    <x v="0"/>
    <x v="0"/>
    <x v="0"/>
    <x v="0"/>
  </r>
  <r>
    <x v="0"/>
    <x v="0"/>
    <n v="2236899537"/>
    <x v="2"/>
    <n v="5400"/>
    <x v="2"/>
    <x v="0"/>
    <x v="16"/>
    <x v="2"/>
    <x v="0"/>
    <x v="0"/>
    <x v="2"/>
    <x v="0"/>
  </r>
  <r>
    <x v="0"/>
    <x v="0"/>
    <n v="2236899557"/>
    <x v="5"/>
    <n v="-4800"/>
    <x v="2"/>
    <x v="0"/>
    <x v="16"/>
    <x v="5"/>
    <x v="0"/>
    <x v="0"/>
    <x v="5"/>
    <x v="0"/>
  </r>
  <r>
    <x v="0"/>
    <x v="0"/>
    <n v="2236899557"/>
    <x v="6"/>
    <n v="30000"/>
    <x v="2"/>
    <x v="0"/>
    <x v="16"/>
    <x v="6"/>
    <x v="0"/>
    <x v="0"/>
    <x v="5"/>
    <x v="0"/>
  </r>
  <r>
    <x v="0"/>
    <x v="0"/>
    <n v="2236899558"/>
    <x v="5"/>
    <n v="-3200"/>
    <x v="2"/>
    <x v="0"/>
    <x v="16"/>
    <x v="5"/>
    <x v="0"/>
    <x v="0"/>
    <x v="5"/>
    <x v="0"/>
  </r>
  <r>
    <x v="0"/>
    <x v="0"/>
    <n v="2236899558"/>
    <x v="6"/>
    <n v="10000"/>
    <x v="2"/>
    <x v="0"/>
    <x v="16"/>
    <x v="6"/>
    <x v="0"/>
    <x v="0"/>
    <x v="5"/>
    <x v="0"/>
  </r>
  <r>
    <x v="0"/>
    <x v="0"/>
    <n v="2236899576"/>
    <x v="5"/>
    <n v="-9860"/>
    <x v="2"/>
    <x v="0"/>
    <x v="16"/>
    <x v="5"/>
    <x v="0"/>
    <x v="0"/>
    <x v="5"/>
    <x v="0"/>
  </r>
  <r>
    <x v="0"/>
    <x v="0"/>
    <n v="2236899576"/>
    <x v="6"/>
    <n v="20000"/>
    <x v="2"/>
    <x v="0"/>
    <x v="16"/>
    <x v="6"/>
    <x v="0"/>
    <x v="0"/>
    <x v="5"/>
    <x v="0"/>
  </r>
  <r>
    <x v="0"/>
    <x v="0"/>
    <n v="2236899596"/>
    <x v="3"/>
    <n v="12980"/>
    <x v="2"/>
    <x v="0"/>
    <x v="16"/>
    <x v="3"/>
    <x v="0"/>
    <x v="0"/>
    <x v="3"/>
    <x v="0"/>
  </r>
  <r>
    <x v="0"/>
    <x v="0"/>
    <n v="2236899618"/>
    <x v="2"/>
    <n v="5000"/>
    <x v="2"/>
    <x v="0"/>
    <x v="17"/>
    <x v="2"/>
    <x v="0"/>
    <x v="0"/>
    <x v="2"/>
    <x v="0"/>
  </r>
  <r>
    <x v="0"/>
    <x v="0"/>
    <n v="2236899620"/>
    <x v="5"/>
    <n v="-13800"/>
    <x v="2"/>
    <x v="0"/>
    <x v="16"/>
    <x v="5"/>
    <x v="0"/>
    <x v="0"/>
    <x v="5"/>
    <x v="0"/>
  </r>
  <r>
    <x v="0"/>
    <x v="0"/>
    <n v="2236899620"/>
    <x v="6"/>
    <n v="20000"/>
    <x v="2"/>
    <x v="0"/>
    <x v="16"/>
    <x v="6"/>
    <x v="0"/>
    <x v="0"/>
    <x v="5"/>
    <x v="0"/>
  </r>
  <r>
    <x v="0"/>
    <x v="0"/>
    <n v="2236899622"/>
    <x v="5"/>
    <n v="-1"/>
    <x v="2"/>
    <x v="0"/>
    <x v="16"/>
    <x v="5"/>
    <x v="0"/>
    <x v="0"/>
    <x v="5"/>
    <x v="0"/>
  </r>
  <r>
    <x v="0"/>
    <x v="0"/>
    <n v="2236899622"/>
    <x v="6"/>
    <n v="1"/>
    <x v="2"/>
    <x v="0"/>
    <x v="16"/>
    <x v="6"/>
    <x v="0"/>
    <x v="0"/>
    <x v="5"/>
    <x v="0"/>
  </r>
  <r>
    <x v="0"/>
    <x v="0"/>
    <n v="2236899623"/>
    <x v="2"/>
    <n v="10200"/>
    <x v="2"/>
    <x v="0"/>
    <x v="16"/>
    <x v="2"/>
    <x v="0"/>
    <x v="0"/>
    <x v="2"/>
    <x v="0"/>
  </r>
  <r>
    <x v="0"/>
    <x v="0"/>
    <n v="2236899624"/>
    <x v="2"/>
    <n v="26950"/>
    <x v="2"/>
    <x v="0"/>
    <x v="16"/>
    <x v="2"/>
    <x v="0"/>
    <x v="0"/>
    <x v="2"/>
    <x v="0"/>
  </r>
  <r>
    <x v="0"/>
    <x v="0"/>
    <n v="2236899626"/>
    <x v="2"/>
    <n v="24495"/>
    <x v="2"/>
    <x v="0"/>
    <x v="16"/>
    <x v="2"/>
    <x v="0"/>
    <x v="0"/>
    <x v="2"/>
    <x v="0"/>
  </r>
  <r>
    <x v="0"/>
    <x v="0"/>
    <n v="2236899631"/>
    <x v="2"/>
    <n v="14200"/>
    <x v="2"/>
    <x v="0"/>
    <x v="16"/>
    <x v="2"/>
    <x v="0"/>
    <x v="0"/>
    <x v="2"/>
    <x v="0"/>
  </r>
  <r>
    <x v="0"/>
    <x v="0"/>
    <n v="2236899633"/>
    <x v="2"/>
    <n v="27610"/>
    <x v="2"/>
    <x v="0"/>
    <x v="16"/>
    <x v="2"/>
    <x v="0"/>
    <x v="0"/>
    <x v="2"/>
    <x v="0"/>
  </r>
  <r>
    <x v="0"/>
    <x v="0"/>
    <n v="2236899634"/>
    <x v="5"/>
    <n v="-10400"/>
    <x v="2"/>
    <x v="0"/>
    <x v="18"/>
    <x v="5"/>
    <x v="0"/>
    <x v="0"/>
    <x v="5"/>
    <x v="0"/>
  </r>
  <r>
    <x v="0"/>
    <x v="0"/>
    <n v="2236899634"/>
    <x v="6"/>
    <n v="20000"/>
    <x v="2"/>
    <x v="0"/>
    <x v="18"/>
    <x v="6"/>
    <x v="0"/>
    <x v="0"/>
    <x v="5"/>
    <x v="0"/>
  </r>
  <r>
    <x v="0"/>
    <x v="0"/>
    <n v="2236899635"/>
    <x v="2"/>
    <n v="7700"/>
    <x v="2"/>
    <x v="0"/>
    <x v="16"/>
    <x v="2"/>
    <x v="0"/>
    <x v="0"/>
    <x v="2"/>
    <x v="0"/>
  </r>
  <r>
    <x v="0"/>
    <x v="0"/>
    <n v="2236899636"/>
    <x v="5"/>
    <n v="-5000"/>
    <x v="2"/>
    <x v="0"/>
    <x v="16"/>
    <x v="5"/>
    <x v="0"/>
    <x v="0"/>
    <x v="5"/>
    <x v="0"/>
  </r>
  <r>
    <x v="0"/>
    <x v="0"/>
    <n v="2236899636"/>
    <x v="4"/>
    <n v="10000"/>
    <x v="2"/>
    <x v="0"/>
    <x v="16"/>
    <x v="4"/>
    <x v="0"/>
    <x v="0"/>
    <x v="4"/>
    <x v="0"/>
  </r>
  <r>
    <x v="0"/>
    <x v="0"/>
    <n v="2236899637"/>
    <x v="5"/>
    <n v="-5400"/>
    <x v="2"/>
    <x v="0"/>
    <x v="16"/>
    <x v="5"/>
    <x v="0"/>
    <x v="0"/>
    <x v="5"/>
    <x v="0"/>
  </r>
  <r>
    <x v="0"/>
    <x v="0"/>
    <n v="2236899637"/>
    <x v="4"/>
    <n v="10000"/>
    <x v="2"/>
    <x v="0"/>
    <x v="16"/>
    <x v="4"/>
    <x v="0"/>
    <x v="0"/>
    <x v="4"/>
    <x v="0"/>
  </r>
  <r>
    <x v="0"/>
    <x v="0"/>
    <n v="2236899656"/>
    <x v="7"/>
    <n v="8000"/>
    <x v="2"/>
    <x v="0"/>
    <x v="16"/>
    <x v="7"/>
    <x v="0"/>
    <x v="0"/>
    <x v="1"/>
    <x v="0"/>
  </r>
  <r>
    <x v="0"/>
    <x v="0"/>
    <n v="2236899657"/>
    <x v="7"/>
    <n v="1500"/>
    <x v="2"/>
    <x v="0"/>
    <x v="16"/>
    <x v="7"/>
    <x v="0"/>
    <x v="0"/>
    <x v="1"/>
    <x v="0"/>
  </r>
  <r>
    <x v="0"/>
    <x v="0"/>
    <n v="2236899658"/>
    <x v="4"/>
    <n v="5200"/>
    <x v="2"/>
    <x v="0"/>
    <x v="16"/>
    <x v="4"/>
    <x v="0"/>
    <x v="0"/>
    <x v="4"/>
    <x v="0"/>
  </r>
  <r>
    <x v="0"/>
    <x v="0"/>
    <n v="2236899659"/>
    <x v="5"/>
    <n v="-400"/>
    <x v="2"/>
    <x v="0"/>
    <x v="16"/>
    <x v="5"/>
    <x v="0"/>
    <x v="0"/>
    <x v="5"/>
    <x v="0"/>
  </r>
  <r>
    <x v="0"/>
    <x v="0"/>
    <n v="2236899659"/>
    <x v="4"/>
    <n v="5000"/>
    <x v="2"/>
    <x v="0"/>
    <x v="16"/>
    <x v="4"/>
    <x v="0"/>
    <x v="0"/>
    <x v="4"/>
    <x v="0"/>
  </r>
  <r>
    <x v="0"/>
    <x v="0"/>
    <n v="2236899676"/>
    <x v="5"/>
    <n v="-6300"/>
    <x v="2"/>
    <x v="0"/>
    <x v="16"/>
    <x v="5"/>
    <x v="0"/>
    <x v="0"/>
    <x v="5"/>
    <x v="0"/>
  </r>
  <r>
    <x v="0"/>
    <x v="0"/>
    <n v="2236899676"/>
    <x v="6"/>
    <n v="20000"/>
    <x v="2"/>
    <x v="0"/>
    <x v="16"/>
    <x v="6"/>
    <x v="0"/>
    <x v="0"/>
    <x v="5"/>
    <x v="0"/>
  </r>
  <r>
    <x v="0"/>
    <x v="0"/>
    <n v="2236899678"/>
    <x v="2"/>
    <n v="14900"/>
    <x v="2"/>
    <x v="0"/>
    <x v="16"/>
    <x v="2"/>
    <x v="0"/>
    <x v="0"/>
    <x v="2"/>
    <x v="0"/>
  </r>
  <r>
    <x v="0"/>
    <x v="0"/>
    <n v="2236899679"/>
    <x v="5"/>
    <n v="-5500"/>
    <x v="2"/>
    <x v="0"/>
    <x v="16"/>
    <x v="5"/>
    <x v="0"/>
    <x v="0"/>
    <x v="5"/>
    <x v="0"/>
  </r>
  <r>
    <x v="0"/>
    <x v="0"/>
    <n v="2236899679"/>
    <x v="6"/>
    <n v="10000"/>
    <x v="2"/>
    <x v="0"/>
    <x v="16"/>
    <x v="6"/>
    <x v="0"/>
    <x v="0"/>
    <x v="5"/>
    <x v="0"/>
  </r>
  <r>
    <x v="0"/>
    <x v="0"/>
    <n v="2236899680"/>
    <x v="8"/>
    <n v="6800"/>
    <x v="2"/>
    <x v="0"/>
    <x v="16"/>
    <x v="8"/>
    <x v="0"/>
    <x v="0"/>
    <x v="3"/>
    <x v="0"/>
  </r>
  <r>
    <x v="0"/>
    <x v="0"/>
    <n v="2236899682"/>
    <x v="2"/>
    <n v="31680"/>
    <x v="2"/>
    <x v="0"/>
    <x v="16"/>
    <x v="2"/>
    <x v="0"/>
    <x v="0"/>
    <x v="2"/>
    <x v="0"/>
  </r>
  <r>
    <x v="0"/>
    <x v="0"/>
    <n v="2236899683"/>
    <x v="2"/>
    <n v="14960"/>
    <x v="2"/>
    <x v="0"/>
    <x v="16"/>
    <x v="2"/>
    <x v="0"/>
    <x v="0"/>
    <x v="2"/>
    <x v="0"/>
  </r>
  <r>
    <x v="0"/>
    <x v="0"/>
    <n v="2236899684"/>
    <x v="2"/>
    <n v="6800"/>
    <x v="2"/>
    <x v="0"/>
    <x v="16"/>
    <x v="2"/>
    <x v="0"/>
    <x v="0"/>
    <x v="2"/>
    <x v="0"/>
  </r>
  <r>
    <x v="0"/>
    <x v="0"/>
    <n v="2236899685"/>
    <x v="2"/>
    <n v="10800"/>
    <x v="2"/>
    <x v="0"/>
    <x v="16"/>
    <x v="2"/>
    <x v="0"/>
    <x v="0"/>
    <x v="2"/>
    <x v="0"/>
  </r>
  <r>
    <x v="0"/>
    <x v="0"/>
    <n v="2236899686"/>
    <x v="6"/>
    <n v="9400"/>
    <x v="2"/>
    <x v="0"/>
    <x v="16"/>
    <x v="6"/>
    <x v="0"/>
    <x v="0"/>
    <x v="5"/>
    <x v="0"/>
  </r>
  <r>
    <x v="0"/>
    <x v="0"/>
    <n v="2236899686"/>
    <x v="2"/>
    <n v="3000"/>
    <x v="2"/>
    <x v="0"/>
    <x v="16"/>
    <x v="2"/>
    <x v="0"/>
    <x v="0"/>
    <x v="2"/>
    <x v="0"/>
  </r>
  <r>
    <x v="0"/>
    <x v="0"/>
    <n v="2236899687"/>
    <x v="2"/>
    <n v="12600"/>
    <x v="2"/>
    <x v="0"/>
    <x v="16"/>
    <x v="2"/>
    <x v="0"/>
    <x v="0"/>
    <x v="2"/>
    <x v="0"/>
  </r>
  <r>
    <x v="0"/>
    <x v="0"/>
    <n v="2236899688"/>
    <x v="7"/>
    <n v="1500"/>
    <x v="2"/>
    <x v="0"/>
    <x v="16"/>
    <x v="7"/>
    <x v="0"/>
    <x v="0"/>
    <x v="1"/>
    <x v="0"/>
  </r>
  <r>
    <x v="0"/>
    <x v="0"/>
    <n v="2236899689"/>
    <x v="5"/>
    <n v="-9900"/>
    <x v="2"/>
    <x v="0"/>
    <x v="16"/>
    <x v="5"/>
    <x v="0"/>
    <x v="0"/>
    <x v="5"/>
    <x v="0"/>
  </r>
  <r>
    <x v="0"/>
    <x v="0"/>
    <n v="2236899689"/>
    <x v="6"/>
    <n v="20000"/>
    <x v="2"/>
    <x v="0"/>
    <x v="16"/>
    <x v="6"/>
    <x v="0"/>
    <x v="0"/>
    <x v="5"/>
    <x v="0"/>
  </r>
  <r>
    <x v="0"/>
    <x v="0"/>
    <n v="2236899690"/>
    <x v="4"/>
    <n v="5000"/>
    <x v="2"/>
    <x v="0"/>
    <x v="16"/>
    <x v="4"/>
    <x v="0"/>
    <x v="0"/>
    <x v="4"/>
    <x v="0"/>
  </r>
  <r>
    <x v="0"/>
    <x v="0"/>
    <n v="2236899691"/>
    <x v="2"/>
    <n v="12200"/>
    <x v="2"/>
    <x v="0"/>
    <x v="16"/>
    <x v="2"/>
    <x v="0"/>
    <x v="0"/>
    <x v="2"/>
    <x v="0"/>
  </r>
  <r>
    <x v="0"/>
    <x v="0"/>
    <n v="2236899696"/>
    <x v="7"/>
    <n v="3000"/>
    <x v="2"/>
    <x v="0"/>
    <x v="16"/>
    <x v="7"/>
    <x v="0"/>
    <x v="0"/>
    <x v="1"/>
    <x v="0"/>
  </r>
  <r>
    <x v="0"/>
    <x v="0"/>
    <n v="2236899697"/>
    <x v="2"/>
    <n v="15510"/>
    <x v="2"/>
    <x v="0"/>
    <x v="16"/>
    <x v="2"/>
    <x v="0"/>
    <x v="0"/>
    <x v="2"/>
    <x v="0"/>
  </r>
  <r>
    <x v="0"/>
    <x v="0"/>
    <n v="2236899698"/>
    <x v="2"/>
    <n v="33440"/>
    <x v="2"/>
    <x v="0"/>
    <x v="16"/>
    <x v="2"/>
    <x v="0"/>
    <x v="0"/>
    <x v="2"/>
    <x v="0"/>
  </r>
  <r>
    <x v="0"/>
    <x v="0"/>
    <n v="2236899716"/>
    <x v="5"/>
    <n v="-6100"/>
    <x v="2"/>
    <x v="0"/>
    <x v="16"/>
    <x v="5"/>
    <x v="0"/>
    <x v="0"/>
    <x v="5"/>
    <x v="0"/>
  </r>
  <r>
    <x v="0"/>
    <x v="0"/>
    <n v="2236899716"/>
    <x v="6"/>
    <n v="20000"/>
    <x v="2"/>
    <x v="0"/>
    <x v="16"/>
    <x v="6"/>
    <x v="0"/>
    <x v="0"/>
    <x v="5"/>
    <x v="0"/>
  </r>
  <r>
    <x v="0"/>
    <x v="0"/>
    <n v="2236899717"/>
    <x v="2"/>
    <n v="5800"/>
    <x v="2"/>
    <x v="0"/>
    <x v="16"/>
    <x v="2"/>
    <x v="0"/>
    <x v="0"/>
    <x v="2"/>
    <x v="0"/>
  </r>
  <r>
    <x v="0"/>
    <x v="0"/>
    <n v="2236899718"/>
    <x v="5"/>
    <n v="-4800"/>
    <x v="2"/>
    <x v="0"/>
    <x v="16"/>
    <x v="5"/>
    <x v="0"/>
    <x v="0"/>
    <x v="5"/>
    <x v="0"/>
  </r>
  <r>
    <x v="0"/>
    <x v="0"/>
    <n v="2236899718"/>
    <x v="6"/>
    <n v="20000"/>
    <x v="2"/>
    <x v="0"/>
    <x v="16"/>
    <x v="6"/>
    <x v="0"/>
    <x v="0"/>
    <x v="5"/>
    <x v="0"/>
  </r>
  <r>
    <x v="0"/>
    <x v="0"/>
    <n v="2236899720"/>
    <x v="2"/>
    <n v="15620"/>
    <x v="2"/>
    <x v="0"/>
    <x v="16"/>
    <x v="2"/>
    <x v="0"/>
    <x v="0"/>
    <x v="2"/>
    <x v="0"/>
  </r>
  <r>
    <x v="0"/>
    <x v="0"/>
    <n v="2236899736"/>
    <x v="3"/>
    <n v="7150"/>
    <x v="2"/>
    <x v="0"/>
    <x v="16"/>
    <x v="3"/>
    <x v="0"/>
    <x v="0"/>
    <x v="3"/>
    <x v="0"/>
  </r>
  <r>
    <x v="0"/>
    <x v="0"/>
    <n v="2236899737"/>
    <x v="5"/>
    <n v="-10400"/>
    <x v="2"/>
    <x v="0"/>
    <x v="16"/>
    <x v="5"/>
    <x v="0"/>
    <x v="0"/>
    <x v="5"/>
    <x v="0"/>
  </r>
  <r>
    <x v="0"/>
    <x v="0"/>
    <n v="2236899737"/>
    <x v="6"/>
    <n v="20000"/>
    <x v="2"/>
    <x v="0"/>
    <x v="16"/>
    <x v="6"/>
    <x v="0"/>
    <x v="0"/>
    <x v="5"/>
    <x v="0"/>
  </r>
  <r>
    <x v="0"/>
    <x v="0"/>
    <n v="2236899738"/>
    <x v="2"/>
    <n v="3500"/>
    <x v="2"/>
    <x v="0"/>
    <x v="16"/>
    <x v="2"/>
    <x v="0"/>
    <x v="0"/>
    <x v="2"/>
    <x v="0"/>
  </r>
  <r>
    <x v="0"/>
    <x v="0"/>
    <n v="2236899739"/>
    <x v="2"/>
    <n v="24495"/>
    <x v="2"/>
    <x v="0"/>
    <x v="16"/>
    <x v="2"/>
    <x v="0"/>
    <x v="0"/>
    <x v="2"/>
    <x v="0"/>
  </r>
  <r>
    <x v="0"/>
    <x v="0"/>
    <n v="2236899742"/>
    <x v="6"/>
    <n v="7000"/>
    <x v="2"/>
    <x v="0"/>
    <x v="16"/>
    <x v="6"/>
    <x v="0"/>
    <x v="0"/>
    <x v="5"/>
    <x v="0"/>
  </r>
  <r>
    <x v="0"/>
    <x v="0"/>
    <n v="2236899743"/>
    <x v="5"/>
    <n v="-500"/>
    <x v="2"/>
    <x v="0"/>
    <x v="16"/>
    <x v="5"/>
    <x v="0"/>
    <x v="0"/>
    <x v="5"/>
    <x v="0"/>
  </r>
  <r>
    <x v="0"/>
    <x v="0"/>
    <n v="2236899743"/>
    <x v="6"/>
    <n v="4000"/>
    <x v="2"/>
    <x v="0"/>
    <x v="16"/>
    <x v="6"/>
    <x v="0"/>
    <x v="0"/>
    <x v="5"/>
    <x v="0"/>
  </r>
  <r>
    <x v="0"/>
    <x v="0"/>
    <n v="2236899744"/>
    <x v="5"/>
    <n v="-5800"/>
    <x v="2"/>
    <x v="0"/>
    <x v="16"/>
    <x v="5"/>
    <x v="0"/>
    <x v="0"/>
    <x v="5"/>
    <x v="0"/>
  </r>
  <r>
    <x v="0"/>
    <x v="0"/>
    <n v="2236899744"/>
    <x v="6"/>
    <n v="10000"/>
    <x v="2"/>
    <x v="0"/>
    <x v="16"/>
    <x v="6"/>
    <x v="0"/>
    <x v="0"/>
    <x v="5"/>
    <x v="0"/>
  </r>
  <r>
    <x v="0"/>
    <x v="0"/>
    <n v="2236899757"/>
    <x v="5"/>
    <n v="-400"/>
    <x v="2"/>
    <x v="0"/>
    <x v="16"/>
    <x v="5"/>
    <x v="0"/>
    <x v="0"/>
    <x v="5"/>
    <x v="0"/>
  </r>
  <r>
    <x v="0"/>
    <x v="0"/>
    <n v="2236899757"/>
    <x v="4"/>
    <n v="5000"/>
    <x v="2"/>
    <x v="0"/>
    <x v="16"/>
    <x v="4"/>
    <x v="0"/>
    <x v="0"/>
    <x v="4"/>
    <x v="0"/>
  </r>
  <r>
    <x v="0"/>
    <x v="0"/>
    <n v="2236899758"/>
    <x v="3"/>
    <n v="12400"/>
    <x v="2"/>
    <x v="0"/>
    <x v="16"/>
    <x v="3"/>
    <x v="0"/>
    <x v="0"/>
    <x v="3"/>
    <x v="0"/>
  </r>
  <r>
    <x v="0"/>
    <x v="0"/>
    <n v="2236899759"/>
    <x v="5"/>
    <n v="-1500"/>
    <x v="2"/>
    <x v="0"/>
    <x v="16"/>
    <x v="5"/>
    <x v="0"/>
    <x v="0"/>
    <x v="5"/>
    <x v="0"/>
  </r>
  <r>
    <x v="0"/>
    <x v="0"/>
    <n v="2236899759"/>
    <x v="6"/>
    <n v="5000"/>
    <x v="2"/>
    <x v="0"/>
    <x v="16"/>
    <x v="6"/>
    <x v="0"/>
    <x v="0"/>
    <x v="5"/>
    <x v="0"/>
  </r>
  <r>
    <x v="0"/>
    <x v="0"/>
    <n v="2236899760"/>
    <x v="7"/>
    <n v="7000"/>
    <x v="2"/>
    <x v="0"/>
    <x v="16"/>
    <x v="7"/>
    <x v="0"/>
    <x v="0"/>
    <x v="1"/>
    <x v="0"/>
  </r>
  <r>
    <x v="0"/>
    <x v="0"/>
    <n v="2236899761"/>
    <x v="5"/>
    <n v="-200"/>
    <x v="2"/>
    <x v="0"/>
    <x v="16"/>
    <x v="5"/>
    <x v="0"/>
    <x v="0"/>
    <x v="5"/>
    <x v="0"/>
  </r>
  <r>
    <x v="0"/>
    <x v="0"/>
    <n v="2236899761"/>
    <x v="6"/>
    <n v="5000"/>
    <x v="2"/>
    <x v="0"/>
    <x v="16"/>
    <x v="6"/>
    <x v="0"/>
    <x v="0"/>
    <x v="5"/>
    <x v="0"/>
  </r>
  <r>
    <x v="0"/>
    <x v="0"/>
    <n v="2236899762"/>
    <x v="2"/>
    <n v="2900"/>
    <x v="2"/>
    <x v="0"/>
    <x v="16"/>
    <x v="2"/>
    <x v="0"/>
    <x v="0"/>
    <x v="2"/>
    <x v="0"/>
  </r>
  <r>
    <x v="0"/>
    <x v="0"/>
    <n v="2236899763"/>
    <x v="2"/>
    <n v="10230"/>
    <x v="2"/>
    <x v="0"/>
    <x v="16"/>
    <x v="2"/>
    <x v="0"/>
    <x v="0"/>
    <x v="2"/>
    <x v="0"/>
  </r>
  <r>
    <x v="0"/>
    <x v="0"/>
    <n v="2236899764"/>
    <x v="2"/>
    <n v="12330"/>
    <x v="2"/>
    <x v="0"/>
    <x v="16"/>
    <x v="2"/>
    <x v="0"/>
    <x v="0"/>
    <x v="2"/>
    <x v="0"/>
  </r>
  <r>
    <x v="0"/>
    <x v="0"/>
    <n v="2236899765"/>
    <x v="5"/>
    <n v="-18900"/>
    <x v="2"/>
    <x v="0"/>
    <x v="16"/>
    <x v="5"/>
    <x v="0"/>
    <x v="0"/>
    <x v="5"/>
    <x v="0"/>
  </r>
  <r>
    <x v="0"/>
    <x v="0"/>
    <n v="2236899765"/>
    <x v="6"/>
    <n v="40000"/>
    <x v="2"/>
    <x v="0"/>
    <x v="16"/>
    <x v="6"/>
    <x v="0"/>
    <x v="0"/>
    <x v="5"/>
    <x v="0"/>
  </r>
  <r>
    <x v="0"/>
    <x v="0"/>
    <n v="2236899766"/>
    <x v="3"/>
    <n v="3335"/>
    <x v="2"/>
    <x v="0"/>
    <x v="16"/>
    <x v="3"/>
    <x v="0"/>
    <x v="0"/>
    <x v="3"/>
    <x v="0"/>
  </r>
  <r>
    <x v="0"/>
    <x v="0"/>
    <n v="2236899767"/>
    <x v="2"/>
    <n v="14260"/>
    <x v="2"/>
    <x v="0"/>
    <x v="16"/>
    <x v="2"/>
    <x v="0"/>
    <x v="0"/>
    <x v="2"/>
    <x v="0"/>
  </r>
  <r>
    <x v="0"/>
    <x v="0"/>
    <n v="2236899768"/>
    <x v="5"/>
    <n v="-4540"/>
    <x v="2"/>
    <x v="0"/>
    <x v="16"/>
    <x v="5"/>
    <x v="0"/>
    <x v="0"/>
    <x v="5"/>
    <x v="0"/>
  </r>
  <r>
    <x v="0"/>
    <x v="0"/>
    <n v="2236899768"/>
    <x v="6"/>
    <n v="10000"/>
    <x v="2"/>
    <x v="0"/>
    <x v="16"/>
    <x v="6"/>
    <x v="0"/>
    <x v="0"/>
    <x v="5"/>
    <x v="0"/>
  </r>
  <r>
    <x v="0"/>
    <x v="0"/>
    <n v="2236899769"/>
    <x v="2"/>
    <n v="14950"/>
    <x v="2"/>
    <x v="0"/>
    <x v="16"/>
    <x v="2"/>
    <x v="0"/>
    <x v="0"/>
    <x v="2"/>
    <x v="0"/>
  </r>
  <r>
    <x v="0"/>
    <x v="0"/>
    <n v="2236899770"/>
    <x v="5"/>
    <n v="-7000"/>
    <x v="2"/>
    <x v="0"/>
    <x v="16"/>
    <x v="5"/>
    <x v="0"/>
    <x v="0"/>
    <x v="5"/>
    <x v="0"/>
  </r>
  <r>
    <x v="0"/>
    <x v="0"/>
    <n v="2236899770"/>
    <x v="6"/>
    <n v="10000"/>
    <x v="2"/>
    <x v="0"/>
    <x v="16"/>
    <x v="6"/>
    <x v="0"/>
    <x v="0"/>
    <x v="5"/>
    <x v="0"/>
  </r>
  <r>
    <x v="0"/>
    <x v="0"/>
    <n v="2236899771"/>
    <x v="3"/>
    <n v="9900"/>
    <x v="2"/>
    <x v="0"/>
    <x v="16"/>
    <x v="3"/>
    <x v="0"/>
    <x v="0"/>
    <x v="3"/>
    <x v="0"/>
  </r>
  <r>
    <x v="0"/>
    <x v="0"/>
    <n v="2236899772"/>
    <x v="5"/>
    <n v="-1500"/>
    <x v="2"/>
    <x v="0"/>
    <x v="16"/>
    <x v="5"/>
    <x v="0"/>
    <x v="0"/>
    <x v="5"/>
    <x v="0"/>
  </r>
  <r>
    <x v="0"/>
    <x v="0"/>
    <n v="2236899772"/>
    <x v="6"/>
    <n v="30000"/>
    <x v="2"/>
    <x v="0"/>
    <x v="16"/>
    <x v="6"/>
    <x v="0"/>
    <x v="0"/>
    <x v="5"/>
    <x v="0"/>
  </r>
  <r>
    <x v="0"/>
    <x v="0"/>
    <n v="2236899773"/>
    <x v="5"/>
    <n v="-13800"/>
    <x v="2"/>
    <x v="0"/>
    <x v="16"/>
    <x v="5"/>
    <x v="0"/>
    <x v="0"/>
    <x v="5"/>
    <x v="0"/>
  </r>
  <r>
    <x v="0"/>
    <x v="0"/>
    <n v="2236899773"/>
    <x v="6"/>
    <n v="20000"/>
    <x v="2"/>
    <x v="0"/>
    <x v="16"/>
    <x v="6"/>
    <x v="0"/>
    <x v="0"/>
    <x v="5"/>
    <x v="0"/>
  </r>
  <r>
    <x v="0"/>
    <x v="0"/>
    <n v="2236899774"/>
    <x v="6"/>
    <n v="3000"/>
    <x v="2"/>
    <x v="0"/>
    <x v="16"/>
    <x v="6"/>
    <x v="0"/>
    <x v="0"/>
    <x v="5"/>
    <x v="0"/>
  </r>
  <r>
    <x v="0"/>
    <x v="0"/>
    <n v="2236899776"/>
    <x v="2"/>
    <n v="4500"/>
    <x v="2"/>
    <x v="0"/>
    <x v="16"/>
    <x v="2"/>
    <x v="0"/>
    <x v="0"/>
    <x v="2"/>
    <x v="0"/>
  </r>
  <r>
    <x v="0"/>
    <x v="0"/>
    <n v="2236899779"/>
    <x v="5"/>
    <n v="-100"/>
    <x v="2"/>
    <x v="0"/>
    <x v="16"/>
    <x v="5"/>
    <x v="0"/>
    <x v="0"/>
    <x v="5"/>
    <x v="0"/>
  </r>
  <r>
    <x v="0"/>
    <x v="0"/>
    <n v="2236899779"/>
    <x v="6"/>
    <n v="2500"/>
    <x v="2"/>
    <x v="0"/>
    <x v="16"/>
    <x v="6"/>
    <x v="0"/>
    <x v="0"/>
    <x v="5"/>
    <x v="0"/>
  </r>
  <r>
    <x v="0"/>
    <x v="0"/>
    <n v="2236899781"/>
    <x v="5"/>
    <n v="-200"/>
    <x v="2"/>
    <x v="0"/>
    <x v="16"/>
    <x v="5"/>
    <x v="0"/>
    <x v="0"/>
    <x v="5"/>
    <x v="0"/>
  </r>
  <r>
    <x v="0"/>
    <x v="0"/>
    <n v="2236899781"/>
    <x v="6"/>
    <n v="5000"/>
    <x v="2"/>
    <x v="0"/>
    <x v="16"/>
    <x v="6"/>
    <x v="0"/>
    <x v="0"/>
    <x v="5"/>
    <x v="0"/>
  </r>
  <r>
    <x v="0"/>
    <x v="0"/>
    <n v="2236899782"/>
    <x v="5"/>
    <n v="-3200"/>
    <x v="2"/>
    <x v="0"/>
    <x v="16"/>
    <x v="5"/>
    <x v="0"/>
    <x v="0"/>
    <x v="5"/>
    <x v="0"/>
  </r>
  <r>
    <x v="0"/>
    <x v="0"/>
    <n v="2236899782"/>
    <x v="6"/>
    <n v="10000"/>
    <x v="2"/>
    <x v="0"/>
    <x v="16"/>
    <x v="6"/>
    <x v="0"/>
    <x v="0"/>
    <x v="5"/>
    <x v="0"/>
  </r>
  <r>
    <x v="0"/>
    <x v="0"/>
    <n v="2236899783"/>
    <x v="2"/>
    <n v="3500"/>
    <x v="2"/>
    <x v="0"/>
    <x v="16"/>
    <x v="2"/>
    <x v="0"/>
    <x v="0"/>
    <x v="2"/>
    <x v="0"/>
  </r>
  <r>
    <x v="0"/>
    <x v="0"/>
    <n v="2236899784"/>
    <x v="5"/>
    <n v="-10200"/>
    <x v="2"/>
    <x v="0"/>
    <x v="16"/>
    <x v="5"/>
    <x v="0"/>
    <x v="0"/>
    <x v="5"/>
    <x v="0"/>
  </r>
  <r>
    <x v="0"/>
    <x v="0"/>
    <n v="2236899784"/>
    <x v="6"/>
    <n v="20000"/>
    <x v="2"/>
    <x v="0"/>
    <x v="16"/>
    <x v="6"/>
    <x v="0"/>
    <x v="0"/>
    <x v="5"/>
    <x v="0"/>
  </r>
  <r>
    <x v="0"/>
    <x v="0"/>
    <n v="2236899786"/>
    <x v="2"/>
    <n v="22880"/>
    <x v="2"/>
    <x v="0"/>
    <x v="16"/>
    <x v="2"/>
    <x v="0"/>
    <x v="0"/>
    <x v="2"/>
    <x v="0"/>
  </r>
  <r>
    <x v="0"/>
    <x v="0"/>
    <n v="2236899788"/>
    <x v="5"/>
    <n v="-2320"/>
    <x v="2"/>
    <x v="0"/>
    <x v="16"/>
    <x v="5"/>
    <x v="0"/>
    <x v="0"/>
    <x v="5"/>
    <x v="0"/>
  </r>
  <r>
    <x v="0"/>
    <x v="0"/>
    <n v="2236899788"/>
    <x v="6"/>
    <n v="10000"/>
    <x v="2"/>
    <x v="0"/>
    <x v="16"/>
    <x v="6"/>
    <x v="0"/>
    <x v="0"/>
    <x v="5"/>
    <x v="0"/>
  </r>
  <r>
    <x v="0"/>
    <x v="0"/>
    <n v="2236899791"/>
    <x v="5"/>
    <n v="-100"/>
    <x v="2"/>
    <x v="0"/>
    <x v="16"/>
    <x v="5"/>
    <x v="0"/>
    <x v="0"/>
    <x v="5"/>
    <x v="0"/>
  </r>
  <r>
    <x v="0"/>
    <x v="0"/>
    <n v="2236899791"/>
    <x v="6"/>
    <n v="10000"/>
    <x v="2"/>
    <x v="0"/>
    <x v="16"/>
    <x v="6"/>
    <x v="0"/>
    <x v="0"/>
    <x v="5"/>
    <x v="0"/>
  </r>
  <r>
    <x v="0"/>
    <x v="0"/>
    <n v="2236899792"/>
    <x v="2"/>
    <n v="6900"/>
    <x v="2"/>
    <x v="0"/>
    <x v="16"/>
    <x v="2"/>
    <x v="0"/>
    <x v="0"/>
    <x v="2"/>
    <x v="0"/>
  </r>
  <r>
    <x v="0"/>
    <x v="0"/>
    <n v="2236899793"/>
    <x v="5"/>
    <n v="-3700"/>
    <x v="2"/>
    <x v="0"/>
    <x v="16"/>
    <x v="5"/>
    <x v="0"/>
    <x v="0"/>
    <x v="5"/>
    <x v="0"/>
  </r>
  <r>
    <x v="0"/>
    <x v="0"/>
    <n v="2236899793"/>
    <x v="6"/>
    <n v="20000"/>
    <x v="2"/>
    <x v="0"/>
    <x v="16"/>
    <x v="6"/>
    <x v="0"/>
    <x v="0"/>
    <x v="5"/>
    <x v="0"/>
  </r>
  <r>
    <x v="0"/>
    <x v="0"/>
    <n v="2236899795"/>
    <x v="2"/>
    <n v="11110"/>
    <x v="2"/>
    <x v="0"/>
    <x v="16"/>
    <x v="2"/>
    <x v="0"/>
    <x v="0"/>
    <x v="2"/>
    <x v="0"/>
  </r>
  <r>
    <x v="0"/>
    <x v="0"/>
    <n v="2236899796"/>
    <x v="2"/>
    <n v="12400"/>
    <x v="2"/>
    <x v="0"/>
    <x v="16"/>
    <x v="2"/>
    <x v="0"/>
    <x v="0"/>
    <x v="2"/>
    <x v="0"/>
  </r>
  <r>
    <x v="0"/>
    <x v="0"/>
    <n v="2236899797"/>
    <x v="2"/>
    <n v="15180"/>
    <x v="2"/>
    <x v="0"/>
    <x v="16"/>
    <x v="2"/>
    <x v="0"/>
    <x v="0"/>
    <x v="2"/>
    <x v="0"/>
  </r>
  <r>
    <x v="0"/>
    <x v="0"/>
    <n v="2236899798"/>
    <x v="2"/>
    <n v="8280"/>
    <x v="2"/>
    <x v="0"/>
    <x v="16"/>
    <x v="2"/>
    <x v="0"/>
    <x v="0"/>
    <x v="2"/>
    <x v="0"/>
  </r>
  <r>
    <x v="0"/>
    <x v="0"/>
    <n v="2236899798"/>
    <x v="7"/>
    <n v="920"/>
    <x v="2"/>
    <x v="0"/>
    <x v="16"/>
    <x v="7"/>
    <x v="0"/>
    <x v="0"/>
    <x v="1"/>
    <x v="0"/>
  </r>
  <r>
    <x v="0"/>
    <x v="0"/>
    <n v="2236899800"/>
    <x v="5"/>
    <n v="-7600"/>
    <x v="2"/>
    <x v="0"/>
    <x v="19"/>
    <x v="5"/>
    <x v="0"/>
    <x v="0"/>
    <x v="5"/>
    <x v="0"/>
  </r>
  <r>
    <x v="0"/>
    <x v="0"/>
    <n v="2236899800"/>
    <x v="6"/>
    <n v="10000"/>
    <x v="2"/>
    <x v="0"/>
    <x v="19"/>
    <x v="6"/>
    <x v="0"/>
    <x v="0"/>
    <x v="5"/>
    <x v="0"/>
  </r>
  <r>
    <x v="0"/>
    <x v="0"/>
    <n v="2236899800"/>
    <x v="7"/>
    <n v="600"/>
    <x v="2"/>
    <x v="0"/>
    <x v="19"/>
    <x v="7"/>
    <x v="0"/>
    <x v="0"/>
    <x v="1"/>
    <x v="0"/>
  </r>
  <r>
    <x v="0"/>
    <x v="0"/>
    <n v="2236899801"/>
    <x v="8"/>
    <n v="7100"/>
    <x v="2"/>
    <x v="0"/>
    <x v="16"/>
    <x v="8"/>
    <x v="0"/>
    <x v="0"/>
    <x v="3"/>
    <x v="0"/>
  </r>
  <r>
    <x v="0"/>
    <x v="0"/>
    <n v="2236899803"/>
    <x v="5"/>
    <n v="-1600"/>
    <x v="2"/>
    <x v="0"/>
    <x v="16"/>
    <x v="5"/>
    <x v="0"/>
    <x v="0"/>
    <x v="5"/>
    <x v="0"/>
  </r>
  <r>
    <x v="0"/>
    <x v="0"/>
    <n v="2236899803"/>
    <x v="6"/>
    <n v="20000"/>
    <x v="2"/>
    <x v="0"/>
    <x v="16"/>
    <x v="6"/>
    <x v="0"/>
    <x v="0"/>
    <x v="5"/>
    <x v="0"/>
  </r>
  <r>
    <x v="0"/>
    <x v="0"/>
    <n v="2236899806"/>
    <x v="2"/>
    <n v="18150"/>
    <x v="2"/>
    <x v="0"/>
    <x v="16"/>
    <x v="2"/>
    <x v="0"/>
    <x v="0"/>
    <x v="2"/>
    <x v="0"/>
  </r>
  <r>
    <x v="0"/>
    <x v="0"/>
    <n v="2236899807"/>
    <x v="5"/>
    <n v="-3200"/>
    <x v="2"/>
    <x v="0"/>
    <x v="16"/>
    <x v="5"/>
    <x v="0"/>
    <x v="0"/>
    <x v="5"/>
    <x v="0"/>
  </r>
  <r>
    <x v="0"/>
    <x v="0"/>
    <n v="2236899807"/>
    <x v="6"/>
    <n v="10000"/>
    <x v="2"/>
    <x v="0"/>
    <x v="16"/>
    <x v="6"/>
    <x v="0"/>
    <x v="0"/>
    <x v="5"/>
    <x v="0"/>
  </r>
  <r>
    <x v="0"/>
    <x v="0"/>
    <n v="2236899808"/>
    <x v="5"/>
    <n v="-700"/>
    <x v="2"/>
    <x v="0"/>
    <x v="16"/>
    <x v="5"/>
    <x v="0"/>
    <x v="0"/>
    <x v="5"/>
    <x v="0"/>
  </r>
  <r>
    <x v="0"/>
    <x v="0"/>
    <n v="2236899808"/>
    <x v="6"/>
    <n v="10000"/>
    <x v="2"/>
    <x v="0"/>
    <x v="16"/>
    <x v="6"/>
    <x v="0"/>
    <x v="0"/>
    <x v="5"/>
    <x v="0"/>
  </r>
  <r>
    <x v="0"/>
    <x v="0"/>
    <n v="2236899809"/>
    <x v="5"/>
    <n v="-6200"/>
    <x v="2"/>
    <x v="0"/>
    <x v="16"/>
    <x v="5"/>
    <x v="0"/>
    <x v="0"/>
    <x v="5"/>
    <x v="0"/>
  </r>
  <r>
    <x v="0"/>
    <x v="0"/>
    <n v="2236899809"/>
    <x v="6"/>
    <n v="20000"/>
    <x v="2"/>
    <x v="0"/>
    <x v="16"/>
    <x v="6"/>
    <x v="0"/>
    <x v="0"/>
    <x v="5"/>
    <x v="0"/>
  </r>
  <r>
    <x v="0"/>
    <x v="0"/>
    <n v="2236899810"/>
    <x v="2"/>
    <n v="11160"/>
    <x v="2"/>
    <x v="0"/>
    <x v="16"/>
    <x v="2"/>
    <x v="0"/>
    <x v="0"/>
    <x v="2"/>
    <x v="0"/>
  </r>
  <r>
    <x v="0"/>
    <x v="0"/>
    <n v="2236899810"/>
    <x v="7"/>
    <n v="1240"/>
    <x v="2"/>
    <x v="0"/>
    <x v="16"/>
    <x v="7"/>
    <x v="0"/>
    <x v="0"/>
    <x v="1"/>
    <x v="0"/>
  </r>
  <r>
    <x v="0"/>
    <x v="0"/>
    <n v="2236899812"/>
    <x v="5"/>
    <n v="-5000"/>
    <x v="2"/>
    <x v="0"/>
    <x v="16"/>
    <x v="5"/>
    <x v="0"/>
    <x v="0"/>
    <x v="5"/>
    <x v="0"/>
  </r>
  <r>
    <x v="0"/>
    <x v="0"/>
    <n v="2236899812"/>
    <x v="4"/>
    <n v="10000"/>
    <x v="2"/>
    <x v="0"/>
    <x v="16"/>
    <x v="4"/>
    <x v="0"/>
    <x v="0"/>
    <x v="4"/>
    <x v="0"/>
  </r>
  <r>
    <x v="0"/>
    <x v="0"/>
    <n v="2236899813"/>
    <x v="2"/>
    <n v="6200"/>
    <x v="2"/>
    <x v="0"/>
    <x v="16"/>
    <x v="2"/>
    <x v="0"/>
    <x v="0"/>
    <x v="2"/>
    <x v="0"/>
  </r>
  <r>
    <x v="0"/>
    <x v="0"/>
    <n v="2236899817"/>
    <x v="2"/>
    <n v="17490"/>
    <x v="2"/>
    <x v="0"/>
    <x v="16"/>
    <x v="2"/>
    <x v="0"/>
    <x v="0"/>
    <x v="2"/>
    <x v="0"/>
  </r>
  <r>
    <x v="0"/>
    <x v="0"/>
    <n v="2236899818"/>
    <x v="2"/>
    <n v="14157"/>
    <x v="2"/>
    <x v="0"/>
    <x v="16"/>
    <x v="2"/>
    <x v="0"/>
    <x v="0"/>
    <x v="2"/>
    <x v="0"/>
  </r>
  <r>
    <x v="0"/>
    <x v="0"/>
    <n v="2236899818"/>
    <x v="7"/>
    <n v="1430"/>
    <x v="2"/>
    <x v="0"/>
    <x v="16"/>
    <x v="7"/>
    <x v="0"/>
    <x v="0"/>
    <x v="1"/>
    <x v="0"/>
  </r>
  <r>
    <x v="0"/>
    <x v="0"/>
    <n v="2236899819"/>
    <x v="2"/>
    <n v="12400"/>
    <x v="2"/>
    <x v="0"/>
    <x v="16"/>
    <x v="2"/>
    <x v="0"/>
    <x v="0"/>
    <x v="2"/>
    <x v="0"/>
  </r>
  <r>
    <x v="0"/>
    <x v="0"/>
    <n v="2236899820"/>
    <x v="5"/>
    <n v="-15000"/>
    <x v="2"/>
    <x v="0"/>
    <x v="16"/>
    <x v="5"/>
    <x v="0"/>
    <x v="0"/>
    <x v="5"/>
    <x v="0"/>
  </r>
  <r>
    <x v="0"/>
    <x v="0"/>
    <n v="2236899820"/>
    <x v="4"/>
    <n v="20300"/>
    <x v="2"/>
    <x v="0"/>
    <x v="16"/>
    <x v="4"/>
    <x v="0"/>
    <x v="0"/>
    <x v="4"/>
    <x v="0"/>
  </r>
  <r>
    <x v="0"/>
    <x v="0"/>
    <n v="2236899823"/>
    <x v="2"/>
    <n v="3850"/>
    <x v="2"/>
    <x v="0"/>
    <x v="16"/>
    <x v="2"/>
    <x v="0"/>
    <x v="0"/>
    <x v="2"/>
    <x v="0"/>
  </r>
  <r>
    <x v="0"/>
    <x v="0"/>
    <n v="2236899824"/>
    <x v="7"/>
    <n v="1500"/>
    <x v="2"/>
    <x v="0"/>
    <x v="16"/>
    <x v="7"/>
    <x v="0"/>
    <x v="0"/>
    <x v="1"/>
    <x v="0"/>
  </r>
  <r>
    <x v="0"/>
    <x v="0"/>
    <n v="2236899825"/>
    <x v="5"/>
    <n v="-2960"/>
    <x v="2"/>
    <x v="0"/>
    <x v="16"/>
    <x v="5"/>
    <x v="0"/>
    <x v="0"/>
    <x v="5"/>
    <x v="0"/>
  </r>
  <r>
    <x v="0"/>
    <x v="0"/>
    <n v="2236899825"/>
    <x v="6"/>
    <n v="15200"/>
    <x v="2"/>
    <x v="0"/>
    <x v="16"/>
    <x v="6"/>
    <x v="0"/>
    <x v="0"/>
    <x v="5"/>
    <x v="0"/>
  </r>
  <r>
    <x v="0"/>
    <x v="0"/>
    <n v="2236899827"/>
    <x v="6"/>
    <n v="100"/>
    <x v="2"/>
    <x v="0"/>
    <x v="16"/>
    <x v="6"/>
    <x v="0"/>
    <x v="0"/>
    <x v="5"/>
    <x v="0"/>
  </r>
  <r>
    <x v="0"/>
    <x v="0"/>
    <n v="2236899827"/>
    <x v="7"/>
    <n v="20000"/>
    <x v="2"/>
    <x v="0"/>
    <x v="16"/>
    <x v="7"/>
    <x v="0"/>
    <x v="0"/>
    <x v="1"/>
    <x v="0"/>
  </r>
  <r>
    <x v="0"/>
    <x v="0"/>
    <n v="2236899828"/>
    <x v="2"/>
    <n v="5900"/>
    <x v="2"/>
    <x v="0"/>
    <x v="16"/>
    <x v="2"/>
    <x v="0"/>
    <x v="0"/>
    <x v="2"/>
    <x v="0"/>
  </r>
  <r>
    <x v="0"/>
    <x v="0"/>
    <n v="2236899830"/>
    <x v="4"/>
    <n v="5000"/>
    <x v="2"/>
    <x v="0"/>
    <x v="16"/>
    <x v="4"/>
    <x v="0"/>
    <x v="0"/>
    <x v="4"/>
    <x v="0"/>
  </r>
  <r>
    <x v="0"/>
    <x v="0"/>
    <n v="2236899832"/>
    <x v="2"/>
    <n v="5390"/>
    <x v="2"/>
    <x v="0"/>
    <x v="16"/>
    <x v="2"/>
    <x v="0"/>
    <x v="0"/>
    <x v="2"/>
    <x v="0"/>
  </r>
  <r>
    <x v="0"/>
    <x v="0"/>
    <n v="2236899833"/>
    <x v="5"/>
    <n v="-15400"/>
    <x v="2"/>
    <x v="0"/>
    <x v="16"/>
    <x v="5"/>
    <x v="0"/>
    <x v="0"/>
    <x v="5"/>
    <x v="0"/>
  </r>
  <r>
    <x v="0"/>
    <x v="0"/>
    <n v="2236899833"/>
    <x v="4"/>
    <n v="20000"/>
    <x v="2"/>
    <x v="0"/>
    <x v="16"/>
    <x v="4"/>
    <x v="0"/>
    <x v="0"/>
    <x v="4"/>
    <x v="0"/>
  </r>
  <r>
    <x v="0"/>
    <x v="0"/>
    <n v="2236899834"/>
    <x v="2"/>
    <n v="14916"/>
    <x v="2"/>
    <x v="0"/>
    <x v="16"/>
    <x v="2"/>
    <x v="0"/>
    <x v="0"/>
    <x v="2"/>
    <x v="0"/>
  </r>
  <r>
    <x v="0"/>
    <x v="0"/>
    <n v="2236899835"/>
    <x v="5"/>
    <n v="-3200"/>
    <x v="2"/>
    <x v="0"/>
    <x v="16"/>
    <x v="5"/>
    <x v="0"/>
    <x v="0"/>
    <x v="5"/>
    <x v="0"/>
  </r>
  <r>
    <x v="0"/>
    <x v="0"/>
    <n v="2236899835"/>
    <x v="6"/>
    <n v="10000"/>
    <x v="2"/>
    <x v="0"/>
    <x v="16"/>
    <x v="6"/>
    <x v="0"/>
    <x v="0"/>
    <x v="5"/>
    <x v="0"/>
  </r>
  <r>
    <x v="0"/>
    <x v="0"/>
    <n v="2236899836"/>
    <x v="5"/>
    <n v="-3200"/>
    <x v="2"/>
    <x v="0"/>
    <x v="16"/>
    <x v="5"/>
    <x v="0"/>
    <x v="0"/>
    <x v="5"/>
    <x v="0"/>
  </r>
  <r>
    <x v="0"/>
    <x v="0"/>
    <n v="2236899836"/>
    <x v="6"/>
    <n v="10000"/>
    <x v="2"/>
    <x v="0"/>
    <x v="16"/>
    <x v="6"/>
    <x v="0"/>
    <x v="0"/>
    <x v="5"/>
    <x v="0"/>
  </r>
  <r>
    <x v="0"/>
    <x v="0"/>
    <n v="2236899837"/>
    <x v="5"/>
    <n v="-4000"/>
    <x v="2"/>
    <x v="0"/>
    <x v="16"/>
    <x v="5"/>
    <x v="0"/>
    <x v="0"/>
    <x v="5"/>
    <x v="0"/>
  </r>
  <r>
    <x v="0"/>
    <x v="0"/>
    <n v="2236899837"/>
    <x v="6"/>
    <n v="10200"/>
    <x v="2"/>
    <x v="0"/>
    <x v="16"/>
    <x v="6"/>
    <x v="0"/>
    <x v="0"/>
    <x v="5"/>
    <x v="0"/>
  </r>
  <r>
    <x v="0"/>
    <x v="0"/>
    <n v="2236899838"/>
    <x v="2"/>
    <n v="13970"/>
    <x v="2"/>
    <x v="0"/>
    <x v="16"/>
    <x v="2"/>
    <x v="0"/>
    <x v="0"/>
    <x v="2"/>
    <x v="0"/>
  </r>
  <r>
    <x v="0"/>
    <x v="0"/>
    <n v="2236899845"/>
    <x v="7"/>
    <n v="19700"/>
    <x v="2"/>
    <x v="0"/>
    <x v="16"/>
    <x v="7"/>
    <x v="0"/>
    <x v="0"/>
    <x v="1"/>
    <x v="0"/>
  </r>
  <r>
    <x v="0"/>
    <x v="0"/>
    <n v="2236899846"/>
    <x v="7"/>
    <n v="1500"/>
    <x v="2"/>
    <x v="0"/>
    <x v="16"/>
    <x v="7"/>
    <x v="0"/>
    <x v="0"/>
    <x v="1"/>
    <x v="0"/>
  </r>
  <r>
    <x v="0"/>
    <x v="0"/>
    <n v="2236899847"/>
    <x v="5"/>
    <n v="-3200"/>
    <x v="2"/>
    <x v="0"/>
    <x v="16"/>
    <x v="5"/>
    <x v="0"/>
    <x v="0"/>
    <x v="5"/>
    <x v="0"/>
  </r>
  <r>
    <x v="0"/>
    <x v="0"/>
    <n v="2236899847"/>
    <x v="6"/>
    <n v="10000"/>
    <x v="2"/>
    <x v="0"/>
    <x v="16"/>
    <x v="6"/>
    <x v="0"/>
    <x v="0"/>
    <x v="5"/>
    <x v="0"/>
  </r>
  <r>
    <x v="0"/>
    <x v="0"/>
    <n v="2236899848"/>
    <x v="5"/>
    <n v="-7000"/>
    <x v="2"/>
    <x v="0"/>
    <x v="16"/>
    <x v="5"/>
    <x v="0"/>
    <x v="0"/>
    <x v="5"/>
    <x v="0"/>
  </r>
  <r>
    <x v="0"/>
    <x v="0"/>
    <n v="2236899848"/>
    <x v="6"/>
    <n v="10000"/>
    <x v="2"/>
    <x v="0"/>
    <x v="16"/>
    <x v="6"/>
    <x v="0"/>
    <x v="0"/>
    <x v="5"/>
    <x v="0"/>
  </r>
  <r>
    <x v="0"/>
    <x v="0"/>
    <n v="2236899849"/>
    <x v="5"/>
    <n v="-4700"/>
    <x v="2"/>
    <x v="0"/>
    <x v="16"/>
    <x v="5"/>
    <x v="0"/>
    <x v="0"/>
    <x v="5"/>
    <x v="0"/>
  </r>
  <r>
    <x v="0"/>
    <x v="0"/>
    <n v="2236899849"/>
    <x v="4"/>
    <n v="10000"/>
    <x v="2"/>
    <x v="0"/>
    <x v="16"/>
    <x v="4"/>
    <x v="0"/>
    <x v="0"/>
    <x v="4"/>
    <x v="0"/>
  </r>
  <r>
    <x v="0"/>
    <x v="0"/>
    <n v="2236899851"/>
    <x v="2"/>
    <n v="2900"/>
    <x v="2"/>
    <x v="0"/>
    <x v="16"/>
    <x v="2"/>
    <x v="0"/>
    <x v="0"/>
    <x v="2"/>
    <x v="0"/>
  </r>
  <r>
    <x v="0"/>
    <x v="0"/>
    <n v="2236899852"/>
    <x v="5"/>
    <n v="-13500"/>
    <x v="2"/>
    <x v="0"/>
    <x v="16"/>
    <x v="5"/>
    <x v="0"/>
    <x v="0"/>
    <x v="5"/>
    <x v="0"/>
  </r>
  <r>
    <x v="0"/>
    <x v="0"/>
    <n v="2236899852"/>
    <x v="6"/>
    <n v="20000"/>
    <x v="2"/>
    <x v="0"/>
    <x v="16"/>
    <x v="6"/>
    <x v="0"/>
    <x v="0"/>
    <x v="5"/>
    <x v="0"/>
  </r>
  <r>
    <x v="0"/>
    <x v="0"/>
    <n v="2236899853"/>
    <x v="5"/>
    <n v="-3200"/>
    <x v="2"/>
    <x v="0"/>
    <x v="16"/>
    <x v="5"/>
    <x v="0"/>
    <x v="0"/>
    <x v="5"/>
    <x v="0"/>
  </r>
  <r>
    <x v="0"/>
    <x v="0"/>
    <n v="2236899853"/>
    <x v="6"/>
    <n v="10000"/>
    <x v="2"/>
    <x v="0"/>
    <x v="16"/>
    <x v="6"/>
    <x v="0"/>
    <x v="0"/>
    <x v="5"/>
    <x v="0"/>
  </r>
  <r>
    <x v="0"/>
    <x v="0"/>
    <n v="2236899854"/>
    <x v="5"/>
    <n v="-4300"/>
    <x v="2"/>
    <x v="0"/>
    <x v="16"/>
    <x v="5"/>
    <x v="0"/>
    <x v="0"/>
    <x v="5"/>
    <x v="0"/>
  </r>
  <r>
    <x v="0"/>
    <x v="0"/>
    <n v="2236899854"/>
    <x v="6"/>
    <n v="40000"/>
    <x v="2"/>
    <x v="0"/>
    <x v="16"/>
    <x v="6"/>
    <x v="0"/>
    <x v="0"/>
    <x v="5"/>
    <x v="0"/>
  </r>
  <r>
    <x v="0"/>
    <x v="0"/>
    <n v="2236899855"/>
    <x v="5"/>
    <n v="-400"/>
    <x v="2"/>
    <x v="0"/>
    <x v="16"/>
    <x v="5"/>
    <x v="0"/>
    <x v="0"/>
    <x v="5"/>
    <x v="0"/>
  </r>
  <r>
    <x v="0"/>
    <x v="0"/>
    <n v="2236899855"/>
    <x v="6"/>
    <n v="4000"/>
    <x v="2"/>
    <x v="0"/>
    <x v="16"/>
    <x v="6"/>
    <x v="0"/>
    <x v="0"/>
    <x v="5"/>
    <x v="0"/>
  </r>
  <r>
    <x v="0"/>
    <x v="0"/>
    <n v="2236899856"/>
    <x v="5"/>
    <n v="-15800"/>
    <x v="2"/>
    <x v="0"/>
    <x v="16"/>
    <x v="5"/>
    <x v="0"/>
    <x v="0"/>
    <x v="5"/>
    <x v="0"/>
  </r>
  <r>
    <x v="0"/>
    <x v="0"/>
    <n v="2236899856"/>
    <x v="6"/>
    <n v="25000"/>
    <x v="2"/>
    <x v="0"/>
    <x v="16"/>
    <x v="6"/>
    <x v="0"/>
    <x v="0"/>
    <x v="5"/>
    <x v="0"/>
  </r>
  <r>
    <x v="0"/>
    <x v="0"/>
    <n v="2236899857"/>
    <x v="5"/>
    <n v="-3200"/>
    <x v="2"/>
    <x v="0"/>
    <x v="16"/>
    <x v="5"/>
    <x v="0"/>
    <x v="0"/>
    <x v="5"/>
    <x v="0"/>
  </r>
  <r>
    <x v="0"/>
    <x v="0"/>
    <n v="2236899857"/>
    <x v="6"/>
    <n v="10000"/>
    <x v="2"/>
    <x v="0"/>
    <x v="16"/>
    <x v="6"/>
    <x v="0"/>
    <x v="0"/>
    <x v="5"/>
    <x v="0"/>
  </r>
  <r>
    <x v="0"/>
    <x v="0"/>
    <n v="2236899858"/>
    <x v="5"/>
    <n v="-3200"/>
    <x v="2"/>
    <x v="0"/>
    <x v="16"/>
    <x v="5"/>
    <x v="0"/>
    <x v="0"/>
    <x v="5"/>
    <x v="0"/>
  </r>
  <r>
    <x v="0"/>
    <x v="0"/>
    <n v="2236899858"/>
    <x v="6"/>
    <n v="10000"/>
    <x v="2"/>
    <x v="0"/>
    <x v="16"/>
    <x v="6"/>
    <x v="0"/>
    <x v="0"/>
    <x v="5"/>
    <x v="0"/>
  </r>
  <r>
    <x v="0"/>
    <x v="0"/>
    <n v="2236899859"/>
    <x v="5"/>
    <n v="-18200"/>
    <x v="2"/>
    <x v="0"/>
    <x v="16"/>
    <x v="5"/>
    <x v="0"/>
    <x v="0"/>
    <x v="5"/>
    <x v="0"/>
  </r>
  <r>
    <x v="0"/>
    <x v="0"/>
    <n v="2236899859"/>
    <x v="6"/>
    <n v="25000"/>
    <x v="2"/>
    <x v="0"/>
    <x v="16"/>
    <x v="6"/>
    <x v="0"/>
    <x v="0"/>
    <x v="5"/>
    <x v="0"/>
  </r>
  <r>
    <x v="0"/>
    <x v="0"/>
    <n v="2236899860"/>
    <x v="5"/>
    <n v="-2000"/>
    <x v="2"/>
    <x v="0"/>
    <x v="16"/>
    <x v="5"/>
    <x v="0"/>
    <x v="0"/>
    <x v="5"/>
    <x v="0"/>
  </r>
  <r>
    <x v="0"/>
    <x v="0"/>
    <n v="2236899860"/>
    <x v="6"/>
    <n v="5000"/>
    <x v="2"/>
    <x v="0"/>
    <x v="16"/>
    <x v="6"/>
    <x v="0"/>
    <x v="0"/>
    <x v="5"/>
    <x v="0"/>
  </r>
  <r>
    <x v="0"/>
    <x v="0"/>
    <n v="2236899862"/>
    <x v="5"/>
    <n v="-7800"/>
    <x v="2"/>
    <x v="0"/>
    <x v="16"/>
    <x v="5"/>
    <x v="0"/>
    <x v="0"/>
    <x v="5"/>
    <x v="0"/>
  </r>
  <r>
    <x v="0"/>
    <x v="0"/>
    <n v="2236899862"/>
    <x v="6"/>
    <n v="30000"/>
    <x v="2"/>
    <x v="0"/>
    <x v="16"/>
    <x v="6"/>
    <x v="0"/>
    <x v="0"/>
    <x v="5"/>
    <x v="0"/>
  </r>
  <r>
    <x v="0"/>
    <x v="0"/>
    <n v="2236899864"/>
    <x v="5"/>
    <n v="-10800"/>
    <x v="2"/>
    <x v="0"/>
    <x v="16"/>
    <x v="5"/>
    <x v="0"/>
    <x v="0"/>
    <x v="5"/>
    <x v="0"/>
  </r>
  <r>
    <x v="0"/>
    <x v="0"/>
    <n v="2236899864"/>
    <x v="6"/>
    <n v="20000"/>
    <x v="2"/>
    <x v="0"/>
    <x v="16"/>
    <x v="6"/>
    <x v="0"/>
    <x v="0"/>
    <x v="5"/>
    <x v="0"/>
  </r>
  <r>
    <x v="0"/>
    <x v="0"/>
    <n v="2236899866"/>
    <x v="6"/>
    <n v="22000"/>
    <x v="2"/>
    <x v="0"/>
    <x v="16"/>
    <x v="6"/>
    <x v="0"/>
    <x v="0"/>
    <x v="5"/>
    <x v="0"/>
  </r>
  <r>
    <x v="0"/>
    <x v="0"/>
    <n v="2236899867"/>
    <x v="2"/>
    <n v="5900"/>
    <x v="2"/>
    <x v="0"/>
    <x v="16"/>
    <x v="2"/>
    <x v="0"/>
    <x v="0"/>
    <x v="2"/>
    <x v="0"/>
  </r>
  <r>
    <x v="0"/>
    <x v="0"/>
    <n v="2236905631"/>
    <x v="2"/>
    <n v="37400"/>
    <x v="2"/>
    <x v="0"/>
    <x v="20"/>
    <x v="2"/>
    <x v="0"/>
    <x v="0"/>
    <x v="2"/>
    <x v="0"/>
  </r>
  <r>
    <x v="0"/>
    <x v="0"/>
    <n v="2236905633"/>
    <x v="1"/>
    <n v="1800"/>
    <x v="2"/>
    <x v="0"/>
    <x v="20"/>
    <x v="1"/>
    <x v="0"/>
    <x v="0"/>
    <x v="1"/>
    <x v="0"/>
  </r>
  <r>
    <x v="0"/>
    <x v="0"/>
    <n v="2236905634"/>
    <x v="0"/>
    <n v="900"/>
    <x v="2"/>
    <x v="0"/>
    <x v="20"/>
    <x v="0"/>
    <x v="0"/>
    <x v="0"/>
    <x v="0"/>
    <x v="0"/>
  </r>
  <r>
    <x v="0"/>
    <x v="0"/>
    <n v="2236905635"/>
    <x v="1"/>
    <n v="2580"/>
    <x v="2"/>
    <x v="0"/>
    <x v="20"/>
    <x v="1"/>
    <x v="0"/>
    <x v="0"/>
    <x v="1"/>
    <x v="0"/>
  </r>
  <r>
    <x v="0"/>
    <x v="0"/>
    <n v="2236905636"/>
    <x v="0"/>
    <n v="4300"/>
    <x v="2"/>
    <x v="0"/>
    <x v="20"/>
    <x v="0"/>
    <x v="0"/>
    <x v="0"/>
    <x v="0"/>
    <x v="0"/>
  </r>
  <r>
    <x v="0"/>
    <x v="0"/>
    <n v="2236905637"/>
    <x v="0"/>
    <n v="10590"/>
    <x v="2"/>
    <x v="0"/>
    <x v="20"/>
    <x v="0"/>
    <x v="0"/>
    <x v="0"/>
    <x v="0"/>
    <x v="0"/>
  </r>
  <r>
    <x v="0"/>
    <x v="0"/>
    <n v="2236905638"/>
    <x v="0"/>
    <n v="20250"/>
    <x v="2"/>
    <x v="0"/>
    <x v="20"/>
    <x v="0"/>
    <x v="0"/>
    <x v="0"/>
    <x v="0"/>
    <x v="0"/>
  </r>
  <r>
    <x v="0"/>
    <x v="0"/>
    <n v="2236905640"/>
    <x v="1"/>
    <n v="7920"/>
    <x v="2"/>
    <x v="0"/>
    <x v="20"/>
    <x v="1"/>
    <x v="0"/>
    <x v="0"/>
    <x v="1"/>
    <x v="0"/>
  </r>
  <r>
    <x v="0"/>
    <x v="0"/>
    <n v="2236905641"/>
    <x v="0"/>
    <n v="4080"/>
    <x v="2"/>
    <x v="0"/>
    <x v="20"/>
    <x v="0"/>
    <x v="0"/>
    <x v="0"/>
    <x v="0"/>
    <x v="0"/>
  </r>
  <r>
    <x v="0"/>
    <x v="0"/>
    <n v="2236905642"/>
    <x v="1"/>
    <n v="3810"/>
    <x v="2"/>
    <x v="0"/>
    <x v="20"/>
    <x v="1"/>
    <x v="0"/>
    <x v="0"/>
    <x v="1"/>
    <x v="0"/>
  </r>
  <r>
    <x v="0"/>
    <x v="0"/>
    <n v="2236905643"/>
    <x v="0"/>
    <n v="3840"/>
    <x v="2"/>
    <x v="0"/>
    <x v="20"/>
    <x v="0"/>
    <x v="0"/>
    <x v="0"/>
    <x v="0"/>
    <x v="0"/>
  </r>
  <r>
    <x v="0"/>
    <x v="0"/>
    <n v="2236905644"/>
    <x v="0"/>
    <n v="8850"/>
    <x v="2"/>
    <x v="0"/>
    <x v="20"/>
    <x v="0"/>
    <x v="0"/>
    <x v="0"/>
    <x v="0"/>
    <x v="0"/>
  </r>
  <r>
    <x v="0"/>
    <x v="0"/>
    <n v="2236905645"/>
    <x v="2"/>
    <n v="36328"/>
    <x v="2"/>
    <x v="0"/>
    <x v="20"/>
    <x v="2"/>
    <x v="0"/>
    <x v="0"/>
    <x v="2"/>
    <x v="0"/>
  </r>
  <r>
    <x v="0"/>
    <x v="0"/>
    <n v="2236905646"/>
    <x v="0"/>
    <n v="2100"/>
    <x v="2"/>
    <x v="0"/>
    <x v="20"/>
    <x v="0"/>
    <x v="0"/>
    <x v="0"/>
    <x v="0"/>
    <x v="0"/>
  </r>
  <r>
    <x v="0"/>
    <x v="0"/>
    <n v="2236905647"/>
    <x v="0"/>
    <n v="15300"/>
    <x v="2"/>
    <x v="0"/>
    <x v="20"/>
    <x v="0"/>
    <x v="0"/>
    <x v="0"/>
    <x v="0"/>
    <x v="0"/>
  </r>
  <r>
    <x v="0"/>
    <x v="0"/>
    <n v="2236905648"/>
    <x v="0"/>
    <n v="26960"/>
    <x v="2"/>
    <x v="0"/>
    <x v="20"/>
    <x v="0"/>
    <x v="0"/>
    <x v="0"/>
    <x v="0"/>
    <x v="0"/>
  </r>
  <r>
    <x v="0"/>
    <x v="0"/>
    <n v="2236905649"/>
    <x v="0"/>
    <n v="3840"/>
    <x v="2"/>
    <x v="0"/>
    <x v="20"/>
    <x v="0"/>
    <x v="0"/>
    <x v="0"/>
    <x v="0"/>
    <x v="0"/>
  </r>
  <r>
    <x v="0"/>
    <x v="0"/>
    <n v="2236905650"/>
    <x v="1"/>
    <n v="5670"/>
    <x v="2"/>
    <x v="0"/>
    <x v="20"/>
    <x v="1"/>
    <x v="0"/>
    <x v="0"/>
    <x v="1"/>
    <x v="0"/>
  </r>
  <r>
    <x v="0"/>
    <x v="0"/>
    <n v="2236905651"/>
    <x v="1"/>
    <n v="900"/>
    <x v="2"/>
    <x v="0"/>
    <x v="20"/>
    <x v="1"/>
    <x v="0"/>
    <x v="0"/>
    <x v="1"/>
    <x v="0"/>
  </r>
  <r>
    <x v="0"/>
    <x v="0"/>
    <n v="2236905652"/>
    <x v="1"/>
    <n v="3390"/>
    <x v="2"/>
    <x v="0"/>
    <x v="20"/>
    <x v="1"/>
    <x v="0"/>
    <x v="0"/>
    <x v="1"/>
    <x v="0"/>
  </r>
  <r>
    <x v="0"/>
    <x v="0"/>
    <n v="2236905653"/>
    <x v="1"/>
    <n v="5610"/>
    <x v="2"/>
    <x v="0"/>
    <x v="20"/>
    <x v="1"/>
    <x v="0"/>
    <x v="0"/>
    <x v="1"/>
    <x v="0"/>
  </r>
  <r>
    <x v="0"/>
    <x v="0"/>
    <n v="2236905654"/>
    <x v="1"/>
    <n v="2940"/>
    <x v="2"/>
    <x v="0"/>
    <x v="20"/>
    <x v="1"/>
    <x v="0"/>
    <x v="0"/>
    <x v="1"/>
    <x v="0"/>
  </r>
  <r>
    <x v="0"/>
    <x v="0"/>
    <n v="2236905655"/>
    <x v="0"/>
    <n v="4500"/>
    <x v="2"/>
    <x v="0"/>
    <x v="20"/>
    <x v="0"/>
    <x v="0"/>
    <x v="0"/>
    <x v="0"/>
    <x v="0"/>
  </r>
  <r>
    <x v="0"/>
    <x v="0"/>
    <n v="2236905656"/>
    <x v="0"/>
    <n v="15150"/>
    <x v="2"/>
    <x v="0"/>
    <x v="20"/>
    <x v="0"/>
    <x v="0"/>
    <x v="0"/>
    <x v="0"/>
    <x v="0"/>
  </r>
  <r>
    <x v="0"/>
    <x v="0"/>
    <n v="2236905657"/>
    <x v="0"/>
    <n v="2040"/>
    <x v="2"/>
    <x v="0"/>
    <x v="20"/>
    <x v="0"/>
    <x v="0"/>
    <x v="0"/>
    <x v="0"/>
    <x v="0"/>
  </r>
  <r>
    <x v="0"/>
    <x v="0"/>
    <n v="2236905658"/>
    <x v="0"/>
    <n v="4050"/>
    <x v="2"/>
    <x v="0"/>
    <x v="20"/>
    <x v="0"/>
    <x v="0"/>
    <x v="0"/>
    <x v="0"/>
    <x v="0"/>
  </r>
  <r>
    <x v="0"/>
    <x v="0"/>
    <n v="2236905659"/>
    <x v="1"/>
    <n v="3750"/>
    <x v="2"/>
    <x v="0"/>
    <x v="20"/>
    <x v="1"/>
    <x v="0"/>
    <x v="0"/>
    <x v="1"/>
    <x v="0"/>
  </r>
  <r>
    <x v="0"/>
    <x v="0"/>
    <n v="2236905660"/>
    <x v="0"/>
    <n v="8310"/>
    <x v="2"/>
    <x v="0"/>
    <x v="20"/>
    <x v="0"/>
    <x v="0"/>
    <x v="0"/>
    <x v="0"/>
    <x v="0"/>
  </r>
  <r>
    <x v="0"/>
    <x v="0"/>
    <n v="2236905661"/>
    <x v="0"/>
    <n v="7650"/>
    <x v="2"/>
    <x v="0"/>
    <x v="20"/>
    <x v="0"/>
    <x v="0"/>
    <x v="0"/>
    <x v="0"/>
    <x v="0"/>
  </r>
  <r>
    <x v="0"/>
    <x v="0"/>
    <n v="2236905662"/>
    <x v="0"/>
    <n v="8000"/>
    <x v="2"/>
    <x v="0"/>
    <x v="20"/>
    <x v="0"/>
    <x v="0"/>
    <x v="0"/>
    <x v="0"/>
    <x v="0"/>
  </r>
  <r>
    <x v="0"/>
    <x v="0"/>
    <n v="2236905663"/>
    <x v="0"/>
    <n v="3360"/>
    <x v="2"/>
    <x v="0"/>
    <x v="20"/>
    <x v="0"/>
    <x v="0"/>
    <x v="0"/>
    <x v="0"/>
    <x v="0"/>
  </r>
  <r>
    <x v="0"/>
    <x v="0"/>
    <n v="2236905665"/>
    <x v="1"/>
    <n v="1050"/>
    <x v="2"/>
    <x v="0"/>
    <x v="20"/>
    <x v="1"/>
    <x v="0"/>
    <x v="0"/>
    <x v="1"/>
    <x v="0"/>
  </r>
  <r>
    <x v="0"/>
    <x v="0"/>
    <n v="2236905668"/>
    <x v="1"/>
    <n v="10340"/>
    <x v="2"/>
    <x v="0"/>
    <x v="20"/>
    <x v="1"/>
    <x v="0"/>
    <x v="0"/>
    <x v="1"/>
    <x v="0"/>
  </r>
  <r>
    <x v="0"/>
    <x v="0"/>
    <n v="2236905670"/>
    <x v="0"/>
    <n v="1740"/>
    <x v="2"/>
    <x v="0"/>
    <x v="20"/>
    <x v="0"/>
    <x v="0"/>
    <x v="0"/>
    <x v="0"/>
    <x v="0"/>
  </r>
  <r>
    <x v="0"/>
    <x v="0"/>
    <n v="2236905671"/>
    <x v="1"/>
    <n v="1920"/>
    <x v="2"/>
    <x v="0"/>
    <x v="20"/>
    <x v="1"/>
    <x v="0"/>
    <x v="0"/>
    <x v="1"/>
    <x v="0"/>
  </r>
  <r>
    <x v="0"/>
    <x v="0"/>
    <n v="2236905672"/>
    <x v="1"/>
    <n v="2100"/>
    <x v="2"/>
    <x v="0"/>
    <x v="20"/>
    <x v="1"/>
    <x v="0"/>
    <x v="0"/>
    <x v="1"/>
    <x v="0"/>
  </r>
  <r>
    <x v="0"/>
    <x v="0"/>
    <n v="2236905673"/>
    <x v="1"/>
    <n v="1050"/>
    <x v="2"/>
    <x v="0"/>
    <x v="20"/>
    <x v="1"/>
    <x v="0"/>
    <x v="0"/>
    <x v="1"/>
    <x v="0"/>
  </r>
  <r>
    <x v="0"/>
    <x v="0"/>
    <n v="2236905674"/>
    <x v="0"/>
    <n v="4500"/>
    <x v="2"/>
    <x v="0"/>
    <x v="20"/>
    <x v="0"/>
    <x v="0"/>
    <x v="0"/>
    <x v="0"/>
    <x v="0"/>
  </r>
  <r>
    <x v="0"/>
    <x v="0"/>
    <n v="2236905675"/>
    <x v="1"/>
    <n v="900"/>
    <x v="2"/>
    <x v="0"/>
    <x v="20"/>
    <x v="1"/>
    <x v="0"/>
    <x v="0"/>
    <x v="1"/>
    <x v="0"/>
  </r>
  <r>
    <x v="0"/>
    <x v="0"/>
    <n v="2236905676"/>
    <x v="1"/>
    <n v="4080"/>
    <x v="2"/>
    <x v="0"/>
    <x v="20"/>
    <x v="1"/>
    <x v="0"/>
    <x v="0"/>
    <x v="1"/>
    <x v="0"/>
  </r>
  <r>
    <x v="0"/>
    <x v="0"/>
    <n v="2236905677"/>
    <x v="1"/>
    <n v="4000"/>
    <x v="2"/>
    <x v="0"/>
    <x v="20"/>
    <x v="1"/>
    <x v="0"/>
    <x v="0"/>
    <x v="1"/>
    <x v="0"/>
  </r>
  <r>
    <x v="0"/>
    <x v="0"/>
    <n v="2236905678"/>
    <x v="0"/>
    <n v="4710"/>
    <x v="2"/>
    <x v="0"/>
    <x v="20"/>
    <x v="0"/>
    <x v="0"/>
    <x v="0"/>
    <x v="0"/>
    <x v="0"/>
  </r>
  <r>
    <x v="0"/>
    <x v="0"/>
    <n v="2236905679"/>
    <x v="1"/>
    <n v="10500"/>
    <x v="2"/>
    <x v="0"/>
    <x v="20"/>
    <x v="1"/>
    <x v="0"/>
    <x v="0"/>
    <x v="1"/>
    <x v="0"/>
  </r>
  <r>
    <x v="0"/>
    <x v="0"/>
    <n v="2236905680"/>
    <x v="0"/>
    <n v="1050"/>
    <x v="2"/>
    <x v="0"/>
    <x v="20"/>
    <x v="0"/>
    <x v="0"/>
    <x v="0"/>
    <x v="0"/>
    <x v="0"/>
  </r>
  <r>
    <x v="0"/>
    <x v="0"/>
    <n v="2236905681"/>
    <x v="1"/>
    <n v="3630"/>
    <x v="2"/>
    <x v="0"/>
    <x v="20"/>
    <x v="1"/>
    <x v="0"/>
    <x v="0"/>
    <x v="1"/>
    <x v="0"/>
  </r>
  <r>
    <x v="0"/>
    <x v="0"/>
    <n v="2236905683"/>
    <x v="0"/>
    <n v="1950"/>
    <x v="2"/>
    <x v="0"/>
    <x v="20"/>
    <x v="0"/>
    <x v="0"/>
    <x v="0"/>
    <x v="0"/>
    <x v="0"/>
  </r>
  <r>
    <x v="0"/>
    <x v="0"/>
    <n v="2236905684"/>
    <x v="0"/>
    <n v="4050"/>
    <x v="2"/>
    <x v="0"/>
    <x v="20"/>
    <x v="0"/>
    <x v="0"/>
    <x v="0"/>
    <x v="0"/>
    <x v="0"/>
  </r>
  <r>
    <x v="0"/>
    <x v="0"/>
    <n v="2236905685"/>
    <x v="4"/>
    <n v="5200"/>
    <x v="2"/>
    <x v="0"/>
    <x v="20"/>
    <x v="4"/>
    <x v="0"/>
    <x v="0"/>
    <x v="4"/>
    <x v="0"/>
  </r>
  <r>
    <x v="0"/>
    <x v="0"/>
    <n v="2236905686"/>
    <x v="3"/>
    <n v="8900"/>
    <x v="2"/>
    <x v="0"/>
    <x v="20"/>
    <x v="3"/>
    <x v="0"/>
    <x v="0"/>
    <x v="3"/>
    <x v="0"/>
  </r>
  <r>
    <x v="0"/>
    <x v="0"/>
    <n v="2236905687"/>
    <x v="3"/>
    <n v="3960"/>
    <x v="2"/>
    <x v="0"/>
    <x v="20"/>
    <x v="3"/>
    <x v="0"/>
    <x v="0"/>
    <x v="3"/>
    <x v="0"/>
  </r>
  <r>
    <x v="0"/>
    <x v="0"/>
    <n v="2236905688"/>
    <x v="4"/>
    <n v="5200"/>
    <x v="2"/>
    <x v="0"/>
    <x v="20"/>
    <x v="4"/>
    <x v="0"/>
    <x v="0"/>
    <x v="4"/>
    <x v="0"/>
  </r>
  <r>
    <x v="0"/>
    <x v="0"/>
    <n v="2236905690"/>
    <x v="5"/>
    <n v="-700"/>
    <x v="2"/>
    <x v="0"/>
    <x v="20"/>
    <x v="5"/>
    <x v="0"/>
    <x v="0"/>
    <x v="5"/>
    <x v="0"/>
  </r>
  <r>
    <x v="0"/>
    <x v="0"/>
    <n v="2236905690"/>
    <x v="6"/>
    <n v="5000"/>
    <x v="2"/>
    <x v="0"/>
    <x v="20"/>
    <x v="6"/>
    <x v="0"/>
    <x v="0"/>
    <x v="5"/>
    <x v="0"/>
  </r>
  <r>
    <x v="0"/>
    <x v="0"/>
    <n v="2236905691"/>
    <x v="5"/>
    <n v="-3200"/>
    <x v="2"/>
    <x v="0"/>
    <x v="20"/>
    <x v="5"/>
    <x v="0"/>
    <x v="0"/>
    <x v="5"/>
    <x v="0"/>
  </r>
  <r>
    <x v="0"/>
    <x v="0"/>
    <n v="2236905691"/>
    <x v="6"/>
    <n v="10000"/>
    <x v="2"/>
    <x v="0"/>
    <x v="20"/>
    <x v="6"/>
    <x v="0"/>
    <x v="0"/>
    <x v="5"/>
    <x v="0"/>
  </r>
  <r>
    <x v="0"/>
    <x v="0"/>
    <n v="2236905692"/>
    <x v="5"/>
    <n v="-5000"/>
    <x v="2"/>
    <x v="0"/>
    <x v="20"/>
    <x v="5"/>
    <x v="0"/>
    <x v="0"/>
    <x v="5"/>
    <x v="0"/>
  </r>
  <r>
    <x v="0"/>
    <x v="0"/>
    <n v="2236905692"/>
    <x v="4"/>
    <n v="10000"/>
    <x v="2"/>
    <x v="0"/>
    <x v="20"/>
    <x v="4"/>
    <x v="0"/>
    <x v="0"/>
    <x v="4"/>
    <x v="0"/>
  </r>
  <r>
    <x v="0"/>
    <x v="0"/>
    <n v="2236905693"/>
    <x v="4"/>
    <n v="4000"/>
    <x v="2"/>
    <x v="0"/>
    <x v="20"/>
    <x v="4"/>
    <x v="0"/>
    <x v="0"/>
    <x v="4"/>
    <x v="0"/>
  </r>
  <r>
    <x v="0"/>
    <x v="0"/>
    <n v="2236905694"/>
    <x v="2"/>
    <n v="31130"/>
    <x v="2"/>
    <x v="0"/>
    <x v="20"/>
    <x v="2"/>
    <x v="0"/>
    <x v="0"/>
    <x v="2"/>
    <x v="0"/>
  </r>
  <r>
    <x v="0"/>
    <x v="0"/>
    <n v="2236905697"/>
    <x v="3"/>
    <n v="12100"/>
    <x v="2"/>
    <x v="0"/>
    <x v="20"/>
    <x v="3"/>
    <x v="0"/>
    <x v="0"/>
    <x v="3"/>
    <x v="0"/>
  </r>
  <r>
    <x v="0"/>
    <x v="0"/>
    <n v="2236905698"/>
    <x v="4"/>
    <n v="8000"/>
    <x v="2"/>
    <x v="0"/>
    <x v="20"/>
    <x v="4"/>
    <x v="0"/>
    <x v="0"/>
    <x v="4"/>
    <x v="0"/>
  </r>
  <r>
    <x v="0"/>
    <x v="0"/>
    <n v="2236905699"/>
    <x v="2"/>
    <n v="10695"/>
    <x v="2"/>
    <x v="0"/>
    <x v="20"/>
    <x v="2"/>
    <x v="0"/>
    <x v="0"/>
    <x v="2"/>
    <x v="0"/>
  </r>
  <r>
    <x v="0"/>
    <x v="0"/>
    <n v="2236905700"/>
    <x v="3"/>
    <n v="27830"/>
    <x v="2"/>
    <x v="0"/>
    <x v="20"/>
    <x v="3"/>
    <x v="0"/>
    <x v="0"/>
    <x v="3"/>
    <x v="0"/>
  </r>
  <r>
    <x v="0"/>
    <x v="0"/>
    <n v="2236905701"/>
    <x v="2"/>
    <n v="28402"/>
    <x v="2"/>
    <x v="0"/>
    <x v="20"/>
    <x v="2"/>
    <x v="0"/>
    <x v="0"/>
    <x v="2"/>
    <x v="0"/>
  </r>
  <r>
    <x v="0"/>
    <x v="0"/>
    <n v="2236905702"/>
    <x v="2"/>
    <n v="25850"/>
    <x v="2"/>
    <x v="0"/>
    <x v="20"/>
    <x v="2"/>
    <x v="0"/>
    <x v="0"/>
    <x v="2"/>
    <x v="0"/>
  </r>
  <r>
    <x v="0"/>
    <x v="0"/>
    <n v="2236905703"/>
    <x v="5"/>
    <n v="-6200"/>
    <x v="2"/>
    <x v="0"/>
    <x v="20"/>
    <x v="5"/>
    <x v="0"/>
    <x v="0"/>
    <x v="5"/>
    <x v="0"/>
  </r>
  <r>
    <x v="0"/>
    <x v="0"/>
    <n v="2236905703"/>
    <x v="6"/>
    <n v="40000"/>
    <x v="2"/>
    <x v="0"/>
    <x v="20"/>
    <x v="6"/>
    <x v="0"/>
    <x v="0"/>
    <x v="5"/>
    <x v="0"/>
  </r>
  <r>
    <x v="0"/>
    <x v="0"/>
    <n v="2236905704"/>
    <x v="2"/>
    <n v="6210"/>
    <x v="2"/>
    <x v="0"/>
    <x v="20"/>
    <x v="2"/>
    <x v="0"/>
    <x v="0"/>
    <x v="2"/>
    <x v="0"/>
  </r>
  <r>
    <x v="0"/>
    <x v="0"/>
    <n v="2236905705"/>
    <x v="2"/>
    <n v="5280"/>
    <x v="2"/>
    <x v="0"/>
    <x v="20"/>
    <x v="2"/>
    <x v="0"/>
    <x v="0"/>
    <x v="2"/>
    <x v="0"/>
  </r>
  <r>
    <x v="0"/>
    <x v="0"/>
    <n v="2236905707"/>
    <x v="5"/>
    <n v="-1890"/>
    <x v="2"/>
    <x v="0"/>
    <x v="20"/>
    <x v="5"/>
    <x v="0"/>
    <x v="0"/>
    <x v="5"/>
    <x v="0"/>
  </r>
  <r>
    <x v="0"/>
    <x v="0"/>
    <n v="2236905707"/>
    <x v="6"/>
    <n v="5040"/>
    <x v="2"/>
    <x v="0"/>
    <x v="20"/>
    <x v="6"/>
    <x v="0"/>
    <x v="0"/>
    <x v="5"/>
    <x v="0"/>
  </r>
  <r>
    <x v="0"/>
    <x v="0"/>
    <n v="2236905708"/>
    <x v="5"/>
    <n v="-5040"/>
    <x v="2"/>
    <x v="0"/>
    <x v="20"/>
    <x v="5"/>
    <x v="0"/>
    <x v="0"/>
    <x v="5"/>
    <x v="0"/>
  </r>
  <r>
    <x v="0"/>
    <x v="0"/>
    <n v="2236905708"/>
    <x v="6"/>
    <n v="20000"/>
    <x v="2"/>
    <x v="0"/>
    <x v="20"/>
    <x v="6"/>
    <x v="0"/>
    <x v="0"/>
    <x v="5"/>
    <x v="0"/>
  </r>
  <r>
    <x v="0"/>
    <x v="0"/>
    <n v="2236905710"/>
    <x v="2"/>
    <n v="18000"/>
    <x v="2"/>
    <x v="0"/>
    <x v="20"/>
    <x v="2"/>
    <x v="0"/>
    <x v="0"/>
    <x v="2"/>
    <x v="0"/>
  </r>
  <r>
    <x v="0"/>
    <x v="0"/>
    <n v="2236905711"/>
    <x v="5"/>
    <n v="-1000"/>
    <x v="2"/>
    <x v="0"/>
    <x v="20"/>
    <x v="5"/>
    <x v="0"/>
    <x v="0"/>
    <x v="5"/>
    <x v="0"/>
  </r>
  <r>
    <x v="0"/>
    <x v="0"/>
    <n v="2236905711"/>
    <x v="6"/>
    <n v="5000"/>
    <x v="2"/>
    <x v="0"/>
    <x v="20"/>
    <x v="6"/>
    <x v="0"/>
    <x v="0"/>
    <x v="5"/>
    <x v="0"/>
  </r>
  <r>
    <x v="0"/>
    <x v="0"/>
    <n v="2236905712"/>
    <x v="5"/>
    <n v="-100"/>
    <x v="2"/>
    <x v="0"/>
    <x v="20"/>
    <x v="5"/>
    <x v="0"/>
    <x v="0"/>
    <x v="5"/>
    <x v="0"/>
  </r>
  <r>
    <x v="0"/>
    <x v="0"/>
    <n v="2236905712"/>
    <x v="6"/>
    <n v="25000"/>
    <x v="2"/>
    <x v="0"/>
    <x v="20"/>
    <x v="6"/>
    <x v="0"/>
    <x v="0"/>
    <x v="5"/>
    <x v="0"/>
  </r>
  <r>
    <x v="0"/>
    <x v="0"/>
    <n v="2236905713"/>
    <x v="5"/>
    <n v="-4800"/>
    <x v="2"/>
    <x v="0"/>
    <x v="20"/>
    <x v="5"/>
    <x v="0"/>
    <x v="0"/>
    <x v="5"/>
    <x v="0"/>
  </r>
  <r>
    <x v="0"/>
    <x v="0"/>
    <n v="2236905713"/>
    <x v="4"/>
    <n v="10000"/>
    <x v="2"/>
    <x v="0"/>
    <x v="20"/>
    <x v="4"/>
    <x v="0"/>
    <x v="0"/>
    <x v="4"/>
    <x v="0"/>
  </r>
  <r>
    <x v="0"/>
    <x v="0"/>
    <n v="2236905714"/>
    <x v="5"/>
    <n v="-5000"/>
    <x v="2"/>
    <x v="0"/>
    <x v="20"/>
    <x v="5"/>
    <x v="0"/>
    <x v="0"/>
    <x v="5"/>
    <x v="0"/>
  </r>
  <r>
    <x v="0"/>
    <x v="0"/>
    <n v="2236905714"/>
    <x v="4"/>
    <n v="10000"/>
    <x v="2"/>
    <x v="0"/>
    <x v="20"/>
    <x v="4"/>
    <x v="0"/>
    <x v="0"/>
    <x v="4"/>
    <x v="0"/>
  </r>
  <r>
    <x v="0"/>
    <x v="0"/>
    <n v="2236905716"/>
    <x v="6"/>
    <n v="3000"/>
    <x v="2"/>
    <x v="0"/>
    <x v="20"/>
    <x v="6"/>
    <x v="0"/>
    <x v="0"/>
    <x v="5"/>
    <x v="0"/>
  </r>
  <r>
    <x v="0"/>
    <x v="0"/>
    <n v="2236905718"/>
    <x v="2"/>
    <n v="6468"/>
    <x v="2"/>
    <x v="0"/>
    <x v="20"/>
    <x v="2"/>
    <x v="0"/>
    <x v="0"/>
    <x v="2"/>
    <x v="0"/>
  </r>
  <r>
    <x v="0"/>
    <x v="0"/>
    <n v="2236905722"/>
    <x v="5"/>
    <n v="-40"/>
    <x v="2"/>
    <x v="0"/>
    <x v="20"/>
    <x v="5"/>
    <x v="0"/>
    <x v="0"/>
    <x v="5"/>
    <x v="0"/>
  </r>
  <r>
    <x v="0"/>
    <x v="0"/>
    <n v="2236905722"/>
    <x v="6"/>
    <n v="27100"/>
    <x v="2"/>
    <x v="0"/>
    <x v="20"/>
    <x v="6"/>
    <x v="0"/>
    <x v="0"/>
    <x v="5"/>
    <x v="0"/>
  </r>
  <r>
    <x v="0"/>
    <x v="0"/>
    <n v="2236905723"/>
    <x v="2"/>
    <n v="4320"/>
    <x v="2"/>
    <x v="0"/>
    <x v="20"/>
    <x v="2"/>
    <x v="0"/>
    <x v="0"/>
    <x v="2"/>
    <x v="0"/>
  </r>
  <r>
    <x v="0"/>
    <x v="0"/>
    <n v="2236905723"/>
    <x v="7"/>
    <n v="480"/>
    <x v="2"/>
    <x v="0"/>
    <x v="20"/>
    <x v="7"/>
    <x v="0"/>
    <x v="0"/>
    <x v="1"/>
    <x v="0"/>
  </r>
  <r>
    <x v="0"/>
    <x v="0"/>
    <n v="2236905724"/>
    <x v="2"/>
    <n v="11880"/>
    <x v="2"/>
    <x v="0"/>
    <x v="20"/>
    <x v="2"/>
    <x v="0"/>
    <x v="0"/>
    <x v="2"/>
    <x v="0"/>
  </r>
  <r>
    <x v="0"/>
    <x v="0"/>
    <n v="2236905725"/>
    <x v="5"/>
    <n v="-7000"/>
    <x v="2"/>
    <x v="0"/>
    <x v="20"/>
    <x v="5"/>
    <x v="0"/>
    <x v="0"/>
    <x v="5"/>
    <x v="0"/>
  </r>
  <r>
    <x v="0"/>
    <x v="0"/>
    <n v="2236905725"/>
    <x v="6"/>
    <n v="20600"/>
    <x v="2"/>
    <x v="0"/>
    <x v="20"/>
    <x v="6"/>
    <x v="0"/>
    <x v="0"/>
    <x v="5"/>
    <x v="0"/>
  </r>
  <r>
    <x v="0"/>
    <x v="0"/>
    <n v="2236905726"/>
    <x v="5"/>
    <n v="-1700"/>
    <x v="2"/>
    <x v="0"/>
    <x v="20"/>
    <x v="5"/>
    <x v="0"/>
    <x v="0"/>
    <x v="5"/>
    <x v="0"/>
  </r>
  <r>
    <x v="0"/>
    <x v="0"/>
    <n v="2236905726"/>
    <x v="4"/>
    <n v="7000"/>
    <x v="2"/>
    <x v="0"/>
    <x v="20"/>
    <x v="4"/>
    <x v="0"/>
    <x v="0"/>
    <x v="4"/>
    <x v="0"/>
  </r>
  <r>
    <x v="0"/>
    <x v="0"/>
    <n v="2236905727"/>
    <x v="5"/>
    <n v="-400"/>
    <x v="2"/>
    <x v="0"/>
    <x v="20"/>
    <x v="5"/>
    <x v="0"/>
    <x v="0"/>
    <x v="5"/>
    <x v="0"/>
  </r>
  <r>
    <x v="0"/>
    <x v="0"/>
    <n v="2236905727"/>
    <x v="6"/>
    <n v="14000"/>
    <x v="2"/>
    <x v="0"/>
    <x v="20"/>
    <x v="6"/>
    <x v="0"/>
    <x v="0"/>
    <x v="5"/>
    <x v="0"/>
  </r>
  <r>
    <x v="0"/>
    <x v="0"/>
    <n v="2236905728"/>
    <x v="5"/>
    <n v="-14800"/>
    <x v="2"/>
    <x v="0"/>
    <x v="20"/>
    <x v="5"/>
    <x v="0"/>
    <x v="0"/>
    <x v="5"/>
    <x v="0"/>
  </r>
  <r>
    <x v="0"/>
    <x v="0"/>
    <n v="2236905728"/>
    <x v="4"/>
    <n v="20000"/>
    <x v="2"/>
    <x v="0"/>
    <x v="20"/>
    <x v="4"/>
    <x v="0"/>
    <x v="0"/>
    <x v="4"/>
    <x v="0"/>
  </r>
  <r>
    <x v="0"/>
    <x v="0"/>
    <n v="2236905730"/>
    <x v="2"/>
    <n v="36960"/>
    <x v="2"/>
    <x v="0"/>
    <x v="21"/>
    <x v="2"/>
    <x v="0"/>
    <x v="0"/>
    <x v="2"/>
    <x v="0"/>
  </r>
  <r>
    <x v="0"/>
    <x v="0"/>
    <n v="2236905731"/>
    <x v="5"/>
    <n v="-14700"/>
    <x v="2"/>
    <x v="0"/>
    <x v="20"/>
    <x v="5"/>
    <x v="0"/>
    <x v="0"/>
    <x v="5"/>
    <x v="0"/>
  </r>
  <r>
    <x v="0"/>
    <x v="0"/>
    <n v="2236905731"/>
    <x v="6"/>
    <n v="20000"/>
    <x v="2"/>
    <x v="0"/>
    <x v="20"/>
    <x v="6"/>
    <x v="0"/>
    <x v="0"/>
    <x v="5"/>
    <x v="0"/>
  </r>
  <r>
    <x v="0"/>
    <x v="0"/>
    <n v="2236905732"/>
    <x v="5"/>
    <n v="-9400"/>
    <x v="2"/>
    <x v="0"/>
    <x v="20"/>
    <x v="5"/>
    <x v="0"/>
    <x v="0"/>
    <x v="5"/>
    <x v="0"/>
  </r>
  <r>
    <x v="0"/>
    <x v="0"/>
    <n v="2236905732"/>
    <x v="4"/>
    <n v="14700"/>
    <x v="2"/>
    <x v="0"/>
    <x v="20"/>
    <x v="4"/>
    <x v="0"/>
    <x v="0"/>
    <x v="4"/>
    <x v="0"/>
  </r>
  <r>
    <x v="0"/>
    <x v="0"/>
    <n v="2236905733"/>
    <x v="2"/>
    <n v="24970"/>
    <x v="2"/>
    <x v="0"/>
    <x v="20"/>
    <x v="2"/>
    <x v="0"/>
    <x v="0"/>
    <x v="2"/>
    <x v="0"/>
  </r>
  <r>
    <x v="0"/>
    <x v="0"/>
    <n v="2236905734"/>
    <x v="5"/>
    <n v="-6000"/>
    <x v="2"/>
    <x v="0"/>
    <x v="20"/>
    <x v="5"/>
    <x v="0"/>
    <x v="0"/>
    <x v="5"/>
    <x v="0"/>
  </r>
  <r>
    <x v="0"/>
    <x v="0"/>
    <n v="2236905734"/>
    <x v="6"/>
    <n v="10000"/>
    <x v="2"/>
    <x v="0"/>
    <x v="20"/>
    <x v="6"/>
    <x v="0"/>
    <x v="0"/>
    <x v="5"/>
    <x v="0"/>
  </r>
  <r>
    <x v="0"/>
    <x v="0"/>
    <n v="2236905735"/>
    <x v="2"/>
    <n v="52690"/>
    <x v="2"/>
    <x v="0"/>
    <x v="20"/>
    <x v="2"/>
    <x v="0"/>
    <x v="0"/>
    <x v="2"/>
    <x v="0"/>
  </r>
  <r>
    <x v="0"/>
    <x v="0"/>
    <n v="2236905736"/>
    <x v="5"/>
    <n v="-5000"/>
    <x v="2"/>
    <x v="0"/>
    <x v="20"/>
    <x v="5"/>
    <x v="0"/>
    <x v="0"/>
    <x v="5"/>
    <x v="0"/>
  </r>
  <r>
    <x v="0"/>
    <x v="0"/>
    <n v="2236905736"/>
    <x v="4"/>
    <n v="10000"/>
    <x v="2"/>
    <x v="0"/>
    <x v="20"/>
    <x v="4"/>
    <x v="0"/>
    <x v="0"/>
    <x v="4"/>
    <x v="0"/>
  </r>
  <r>
    <x v="0"/>
    <x v="0"/>
    <n v="2236905737"/>
    <x v="2"/>
    <n v="15488"/>
    <x v="2"/>
    <x v="0"/>
    <x v="20"/>
    <x v="2"/>
    <x v="0"/>
    <x v="0"/>
    <x v="2"/>
    <x v="0"/>
  </r>
  <r>
    <x v="0"/>
    <x v="0"/>
    <n v="2236905738"/>
    <x v="6"/>
    <n v="50700"/>
    <x v="2"/>
    <x v="0"/>
    <x v="20"/>
    <x v="6"/>
    <x v="0"/>
    <x v="0"/>
    <x v="5"/>
    <x v="0"/>
  </r>
  <r>
    <x v="0"/>
    <x v="0"/>
    <n v="2236905738"/>
    <x v="7"/>
    <n v="50000"/>
    <x v="2"/>
    <x v="0"/>
    <x v="20"/>
    <x v="7"/>
    <x v="0"/>
    <x v="0"/>
    <x v="1"/>
    <x v="0"/>
  </r>
  <r>
    <x v="0"/>
    <x v="0"/>
    <n v="2236905739"/>
    <x v="7"/>
    <n v="1500"/>
    <x v="2"/>
    <x v="0"/>
    <x v="20"/>
    <x v="7"/>
    <x v="0"/>
    <x v="0"/>
    <x v="1"/>
    <x v="0"/>
  </r>
  <r>
    <x v="0"/>
    <x v="0"/>
    <n v="2236905740"/>
    <x v="5"/>
    <n v="-400"/>
    <x v="2"/>
    <x v="0"/>
    <x v="20"/>
    <x v="5"/>
    <x v="0"/>
    <x v="0"/>
    <x v="5"/>
    <x v="0"/>
  </r>
  <r>
    <x v="0"/>
    <x v="0"/>
    <n v="2236905740"/>
    <x v="6"/>
    <n v="16000"/>
    <x v="2"/>
    <x v="0"/>
    <x v="20"/>
    <x v="6"/>
    <x v="0"/>
    <x v="0"/>
    <x v="5"/>
    <x v="0"/>
  </r>
  <r>
    <x v="0"/>
    <x v="0"/>
    <n v="2236905741"/>
    <x v="7"/>
    <n v="3500"/>
    <x v="2"/>
    <x v="0"/>
    <x v="20"/>
    <x v="7"/>
    <x v="0"/>
    <x v="0"/>
    <x v="1"/>
    <x v="0"/>
  </r>
  <r>
    <x v="0"/>
    <x v="0"/>
    <n v="2236905742"/>
    <x v="5"/>
    <n v="-17000"/>
    <x v="2"/>
    <x v="0"/>
    <x v="20"/>
    <x v="5"/>
    <x v="0"/>
    <x v="0"/>
    <x v="5"/>
    <x v="0"/>
  </r>
  <r>
    <x v="0"/>
    <x v="0"/>
    <n v="2236905742"/>
    <x v="6"/>
    <n v="20000"/>
    <x v="2"/>
    <x v="0"/>
    <x v="20"/>
    <x v="6"/>
    <x v="0"/>
    <x v="0"/>
    <x v="5"/>
    <x v="0"/>
  </r>
  <r>
    <x v="0"/>
    <x v="0"/>
    <n v="2236905744"/>
    <x v="2"/>
    <n v="19305"/>
    <x v="2"/>
    <x v="0"/>
    <x v="20"/>
    <x v="2"/>
    <x v="0"/>
    <x v="0"/>
    <x v="2"/>
    <x v="0"/>
  </r>
  <r>
    <x v="0"/>
    <x v="0"/>
    <n v="2236905746"/>
    <x v="5"/>
    <n v="-13500"/>
    <x v="2"/>
    <x v="0"/>
    <x v="20"/>
    <x v="5"/>
    <x v="0"/>
    <x v="0"/>
    <x v="5"/>
    <x v="0"/>
  </r>
  <r>
    <x v="0"/>
    <x v="0"/>
    <n v="2236905746"/>
    <x v="6"/>
    <n v="20000"/>
    <x v="2"/>
    <x v="0"/>
    <x v="20"/>
    <x v="6"/>
    <x v="0"/>
    <x v="0"/>
    <x v="5"/>
    <x v="0"/>
  </r>
  <r>
    <x v="0"/>
    <x v="0"/>
    <n v="2236905747"/>
    <x v="5"/>
    <n v="-400"/>
    <x v="2"/>
    <x v="0"/>
    <x v="20"/>
    <x v="5"/>
    <x v="0"/>
    <x v="0"/>
    <x v="5"/>
    <x v="0"/>
  </r>
  <r>
    <x v="0"/>
    <x v="0"/>
    <n v="2236905747"/>
    <x v="6"/>
    <n v="10000"/>
    <x v="2"/>
    <x v="0"/>
    <x v="20"/>
    <x v="6"/>
    <x v="0"/>
    <x v="0"/>
    <x v="5"/>
    <x v="0"/>
  </r>
  <r>
    <x v="0"/>
    <x v="0"/>
    <n v="2236905748"/>
    <x v="5"/>
    <n v="-700"/>
    <x v="2"/>
    <x v="0"/>
    <x v="20"/>
    <x v="5"/>
    <x v="0"/>
    <x v="0"/>
    <x v="5"/>
    <x v="0"/>
  </r>
  <r>
    <x v="0"/>
    <x v="0"/>
    <n v="2236905748"/>
    <x v="6"/>
    <n v="6000"/>
    <x v="2"/>
    <x v="0"/>
    <x v="20"/>
    <x v="6"/>
    <x v="0"/>
    <x v="0"/>
    <x v="5"/>
    <x v="0"/>
  </r>
  <r>
    <x v="0"/>
    <x v="0"/>
    <n v="2236905749"/>
    <x v="2"/>
    <n v="12210"/>
    <x v="2"/>
    <x v="0"/>
    <x v="20"/>
    <x v="2"/>
    <x v="0"/>
    <x v="0"/>
    <x v="2"/>
    <x v="0"/>
  </r>
  <r>
    <x v="0"/>
    <x v="0"/>
    <n v="2236905750"/>
    <x v="2"/>
    <n v="7700"/>
    <x v="2"/>
    <x v="0"/>
    <x v="20"/>
    <x v="2"/>
    <x v="0"/>
    <x v="0"/>
    <x v="2"/>
    <x v="0"/>
  </r>
  <r>
    <x v="0"/>
    <x v="0"/>
    <n v="2236905751"/>
    <x v="2"/>
    <n v="3000"/>
    <x v="2"/>
    <x v="0"/>
    <x v="20"/>
    <x v="2"/>
    <x v="0"/>
    <x v="0"/>
    <x v="2"/>
    <x v="0"/>
  </r>
  <r>
    <x v="0"/>
    <x v="0"/>
    <n v="2236905752"/>
    <x v="6"/>
    <n v="550"/>
    <x v="2"/>
    <x v="0"/>
    <x v="20"/>
    <x v="6"/>
    <x v="0"/>
    <x v="0"/>
    <x v="5"/>
    <x v="0"/>
  </r>
  <r>
    <x v="0"/>
    <x v="0"/>
    <n v="2236905752"/>
    <x v="2"/>
    <n v="25850"/>
    <x v="2"/>
    <x v="0"/>
    <x v="20"/>
    <x v="2"/>
    <x v="0"/>
    <x v="0"/>
    <x v="2"/>
    <x v="0"/>
  </r>
  <r>
    <x v="0"/>
    <x v="0"/>
    <n v="2236905753"/>
    <x v="7"/>
    <n v="3500"/>
    <x v="2"/>
    <x v="0"/>
    <x v="20"/>
    <x v="7"/>
    <x v="0"/>
    <x v="0"/>
    <x v="1"/>
    <x v="0"/>
  </r>
  <r>
    <x v="0"/>
    <x v="0"/>
    <n v="2236905754"/>
    <x v="5"/>
    <n v="-4700"/>
    <x v="2"/>
    <x v="0"/>
    <x v="20"/>
    <x v="5"/>
    <x v="0"/>
    <x v="0"/>
    <x v="5"/>
    <x v="0"/>
  </r>
  <r>
    <x v="0"/>
    <x v="0"/>
    <n v="2236905754"/>
    <x v="4"/>
    <n v="10000"/>
    <x v="2"/>
    <x v="0"/>
    <x v="20"/>
    <x v="4"/>
    <x v="0"/>
    <x v="0"/>
    <x v="4"/>
    <x v="0"/>
  </r>
  <r>
    <x v="0"/>
    <x v="0"/>
    <n v="2236905756"/>
    <x v="3"/>
    <n v="89815"/>
    <x v="2"/>
    <x v="0"/>
    <x v="20"/>
    <x v="3"/>
    <x v="0"/>
    <x v="0"/>
    <x v="3"/>
    <x v="0"/>
  </r>
  <r>
    <x v="0"/>
    <x v="0"/>
    <n v="2236905757"/>
    <x v="6"/>
    <n v="3600"/>
    <x v="2"/>
    <x v="0"/>
    <x v="20"/>
    <x v="6"/>
    <x v="0"/>
    <x v="0"/>
    <x v="5"/>
    <x v="0"/>
  </r>
  <r>
    <x v="0"/>
    <x v="0"/>
    <n v="2236905757"/>
    <x v="7"/>
    <n v="400"/>
    <x v="2"/>
    <x v="0"/>
    <x v="20"/>
    <x v="7"/>
    <x v="0"/>
    <x v="0"/>
    <x v="1"/>
    <x v="0"/>
  </r>
  <r>
    <x v="0"/>
    <x v="0"/>
    <n v="2236905759"/>
    <x v="5"/>
    <n v="-100"/>
    <x v="2"/>
    <x v="0"/>
    <x v="20"/>
    <x v="5"/>
    <x v="0"/>
    <x v="0"/>
    <x v="5"/>
    <x v="0"/>
  </r>
  <r>
    <x v="0"/>
    <x v="0"/>
    <n v="2236905759"/>
    <x v="6"/>
    <n v="4000"/>
    <x v="2"/>
    <x v="0"/>
    <x v="20"/>
    <x v="6"/>
    <x v="0"/>
    <x v="0"/>
    <x v="5"/>
    <x v="0"/>
  </r>
  <r>
    <x v="0"/>
    <x v="0"/>
    <n v="2236905760"/>
    <x v="6"/>
    <n v="12400"/>
    <x v="2"/>
    <x v="0"/>
    <x v="20"/>
    <x v="6"/>
    <x v="0"/>
    <x v="0"/>
    <x v="5"/>
    <x v="0"/>
  </r>
  <r>
    <x v="0"/>
    <x v="0"/>
    <n v="2236905761"/>
    <x v="5"/>
    <n v="-46003"/>
    <x v="2"/>
    <x v="0"/>
    <x v="20"/>
    <x v="5"/>
    <x v="0"/>
    <x v="0"/>
    <x v="5"/>
    <x v="0"/>
  </r>
  <r>
    <x v="0"/>
    <x v="0"/>
    <n v="2236905761"/>
    <x v="4"/>
    <n v="50003"/>
    <x v="2"/>
    <x v="0"/>
    <x v="20"/>
    <x v="4"/>
    <x v="0"/>
    <x v="0"/>
    <x v="4"/>
    <x v="0"/>
  </r>
  <r>
    <x v="0"/>
    <x v="0"/>
    <n v="2236905762"/>
    <x v="5"/>
    <n v="-7040"/>
    <x v="2"/>
    <x v="0"/>
    <x v="20"/>
    <x v="5"/>
    <x v="0"/>
    <x v="0"/>
    <x v="5"/>
    <x v="0"/>
  </r>
  <r>
    <x v="0"/>
    <x v="0"/>
    <n v="2236905762"/>
    <x v="6"/>
    <n v="20000"/>
    <x v="2"/>
    <x v="0"/>
    <x v="20"/>
    <x v="6"/>
    <x v="0"/>
    <x v="0"/>
    <x v="5"/>
    <x v="0"/>
  </r>
  <r>
    <x v="0"/>
    <x v="0"/>
    <n v="2236905763"/>
    <x v="5"/>
    <n v="-8200"/>
    <x v="2"/>
    <x v="0"/>
    <x v="20"/>
    <x v="5"/>
    <x v="0"/>
    <x v="0"/>
    <x v="5"/>
    <x v="0"/>
  </r>
  <r>
    <x v="0"/>
    <x v="0"/>
    <n v="2236905763"/>
    <x v="6"/>
    <n v="10000"/>
    <x v="2"/>
    <x v="0"/>
    <x v="20"/>
    <x v="6"/>
    <x v="0"/>
    <x v="0"/>
    <x v="5"/>
    <x v="0"/>
  </r>
  <r>
    <x v="0"/>
    <x v="0"/>
    <n v="2236905764"/>
    <x v="2"/>
    <n v="7475"/>
    <x v="2"/>
    <x v="0"/>
    <x v="20"/>
    <x v="2"/>
    <x v="0"/>
    <x v="0"/>
    <x v="2"/>
    <x v="0"/>
  </r>
  <r>
    <x v="0"/>
    <x v="0"/>
    <n v="2236905765"/>
    <x v="5"/>
    <n v="-4700"/>
    <x v="2"/>
    <x v="0"/>
    <x v="20"/>
    <x v="5"/>
    <x v="0"/>
    <x v="0"/>
    <x v="5"/>
    <x v="0"/>
  </r>
  <r>
    <x v="0"/>
    <x v="0"/>
    <n v="2236905765"/>
    <x v="6"/>
    <n v="20000"/>
    <x v="2"/>
    <x v="0"/>
    <x v="20"/>
    <x v="6"/>
    <x v="0"/>
    <x v="0"/>
    <x v="5"/>
    <x v="0"/>
  </r>
  <r>
    <x v="0"/>
    <x v="0"/>
    <n v="2236905766"/>
    <x v="2"/>
    <n v="45540"/>
    <x v="2"/>
    <x v="0"/>
    <x v="20"/>
    <x v="2"/>
    <x v="0"/>
    <x v="0"/>
    <x v="2"/>
    <x v="0"/>
  </r>
  <r>
    <x v="0"/>
    <x v="0"/>
    <n v="2236905767"/>
    <x v="2"/>
    <n v="6417"/>
    <x v="2"/>
    <x v="0"/>
    <x v="20"/>
    <x v="2"/>
    <x v="0"/>
    <x v="0"/>
    <x v="2"/>
    <x v="0"/>
  </r>
  <r>
    <x v="0"/>
    <x v="0"/>
    <n v="2236905767"/>
    <x v="7"/>
    <n v="620"/>
    <x v="2"/>
    <x v="0"/>
    <x v="20"/>
    <x v="7"/>
    <x v="0"/>
    <x v="0"/>
    <x v="1"/>
    <x v="0"/>
  </r>
  <r>
    <x v="0"/>
    <x v="0"/>
    <n v="2236905768"/>
    <x v="2"/>
    <n v="36960"/>
    <x v="2"/>
    <x v="0"/>
    <x v="20"/>
    <x v="2"/>
    <x v="0"/>
    <x v="0"/>
    <x v="2"/>
    <x v="0"/>
  </r>
  <r>
    <x v="0"/>
    <x v="0"/>
    <n v="2236905769"/>
    <x v="5"/>
    <n v="-13280"/>
    <x v="2"/>
    <x v="0"/>
    <x v="20"/>
    <x v="5"/>
    <x v="0"/>
    <x v="0"/>
    <x v="5"/>
    <x v="0"/>
  </r>
  <r>
    <x v="0"/>
    <x v="0"/>
    <n v="2236905769"/>
    <x v="6"/>
    <n v="20000"/>
    <x v="2"/>
    <x v="0"/>
    <x v="20"/>
    <x v="6"/>
    <x v="0"/>
    <x v="0"/>
    <x v="5"/>
    <x v="0"/>
  </r>
  <r>
    <x v="0"/>
    <x v="0"/>
    <n v="2236905770"/>
    <x v="5"/>
    <n v="-240"/>
    <x v="2"/>
    <x v="0"/>
    <x v="22"/>
    <x v="5"/>
    <x v="0"/>
    <x v="0"/>
    <x v="5"/>
    <x v="0"/>
  </r>
  <r>
    <x v="0"/>
    <x v="0"/>
    <n v="2236905770"/>
    <x v="6"/>
    <n v="6000"/>
    <x v="2"/>
    <x v="0"/>
    <x v="22"/>
    <x v="6"/>
    <x v="0"/>
    <x v="0"/>
    <x v="5"/>
    <x v="0"/>
  </r>
  <r>
    <x v="0"/>
    <x v="0"/>
    <n v="2236905771"/>
    <x v="2"/>
    <n v="30426"/>
    <x v="2"/>
    <x v="0"/>
    <x v="20"/>
    <x v="2"/>
    <x v="0"/>
    <x v="0"/>
    <x v="2"/>
    <x v="0"/>
  </r>
  <r>
    <x v="0"/>
    <x v="0"/>
    <n v="2236905773"/>
    <x v="7"/>
    <n v="1500"/>
    <x v="2"/>
    <x v="0"/>
    <x v="20"/>
    <x v="7"/>
    <x v="0"/>
    <x v="0"/>
    <x v="1"/>
    <x v="0"/>
  </r>
  <r>
    <x v="0"/>
    <x v="0"/>
    <n v="2236905774"/>
    <x v="7"/>
    <n v="2900"/>
    <x v="2"/>
    <x v="0"/>
    <x v="20"/>
    <x v="7"/>
    <x v="0"/>
    <x v="0"/>
    <x v="1"/>
    <x v="0"/>
  </r>
  <r>
    <x v="0"/>
    <x v="0"/>
    <n v="2236905775"/>
    <x v="2"/>
    <n v="8160"/>
    <x v="2"/>
    <x v="0"/>
    <x v="20"/>
    <x v="2"/>
    <x v="0"/>
    <x v="0"/>
    <x v="2"/>
    <x v="0"/>
  </r>
  <r>
    <x v="0"/>
    <x v="0"/>
    <n v="2236905777"/>
    <x v="5"/>
    <n v="-14000"/>
    <x v="2"/>
    <x v="0"/>
    <x v="20"/>
    <x v="5"/>
    <x v="0"/>
    <x v="0"/>
    <x v="5"/>
    <x v="0"/>
  </r>
  <r>
    <x v="0"/>
    <x v="0"/>
    <n v="2236905777"/>
    <x v="6"/>
    <n v="20000"/>
    <x v="2"/>
    <x v="0"/>
    <x v="20"/>
    <x v="6"/>
    <x v="0"/>
    <x v="0"/>
    <x v="5"/>
    <x v="0"/>
  </r>
  <r>
    <x v="0"/>
    <x v="0"/>
    <n v="2236905779"/>
    <x v="5"/>
    <n v="-5000"/>
    <x v="2"/>
    <x v="0"/>
    <x v="20"/>
    <x v="5"/>
    <x v="0"/>
    <x v="0"/>
    <x v="5"/>
    <x v="0"/>
  </r>
  <r>
    <x v="0"/>
    <x v="0"/>
    <n v="2236905779"/>
    <x v="4"/>
    <n v="10000"/>
    <x v="2"/>
    <x v="0"/>
    <x v="20"/>
    <x v="4"/>
    <x v="0"/>
    <x v="0"/>
    <x v="4"/>
    <x v="0"/>
  </r>
  <r>
    <x v="0"/>
    <x v="0"/>
    <n v="2236905780"/>
    <x v="7"/>
    <n v="1500"/>
    <x v="2"/>
    <x v="0"/>
    <x v="20"/>
    <x v="7"/>
    <x v="0"/>
    <x v="0"/>
    <x v="1"/>
    <x v="0"/>
  </r>
  <r>
    <x v="0"/>
    <x v="0"/>
    <n v="2236905781"/>
    <x v="5"/>
    <n v="-4800"/>
    <x v="2"/>
    <x v="0"/>
    <x v="20"/>
    <x v="5"/>
    <x v="0"/>
    <x v="0"/>
    <x v="5"/>
    <x v="0"/>
  </r>
  <r>
    <x v="0"/>
    <x v="0"/>
    <n v="2236905781"/>
    <x v="4"/>
    <n v="10000"/>
    <x v="2"/>
    <x v="0"/>
    <x v="20"/>
    <x v="4"/>
    <x v="0"/>
    <x v="0"/>
    <x v="4"/>
    <x v="0"/>
  </r>
  <r>
    <x v="0"/>
    <x v="0"/>
    <n v="2236905783"/>
    <x v="5"/>
    <n v="-2800"/>
    <x v="2"/>
    <x v="0"/>
    <x v="20"/>
    <x v="5"/>
    <x v="0"/>
    <x v="0"/>
    <x v="5"/>
    <x v="0"/>
  </r>
  <r>
    <x v="0"/>
    <x v="0"/>
    <n v="2236905783"/>
    <x v="6"/>
    <n v="25000"/>
    <x v="2"/>
    <x v="0"/>
    <x v="20"/>
    <x v="6"/>
    <x v="0"/>
    <x v="0"/>
    <x v="5"/>
    <x v="0"/>
  </r>
  <r>
    <x v="0"/>
    <x v="0"/>
    <n v="2236905784"/>
    <x v="2"/>
    <n v="14076"/>
    <x v="2"/>
    <x v="0"/>
    <x v="20"/>
    <x v="2"/>
    <x v="0"/>
    <x v="0"/>
    <x v="2"/>
    <x v="0"/>
  </r>
  <r>
    <x v="0"/>
    <x v="0"/>
    <n v="2236905785"/>
    <x v="4"/>
    <n v="4000"/>
    <x v="2"/>
    <x v="0"/>
    <x v="20"/>
    <x v="4"/>
    <x v="0"/>
    <x v="0"/>
    <x v="4"/>
    <x v="0"/>
  </r>
  <r>
    <x v="0"/>
    <x v="0"/>
    <n v="2236905786"/>
    <x v="5"/>
    <n v="-3200"/>
    <x v="2"/>
    <x v="0"/>
    <x v="20"/>
    <x v="5"/>
    <x v="0"/>
    <x v="0"/>
    <x v="5"/>
    <x v="0"/>
  </r>
  <r>
    <x v="0"/>
    <x v="0"/>
    <n v="2236905786"/>
    <x v="6"/>
    <n v="10000"/>
    <x v="2"/>
    <x v="0"/>
    <x v="20"/>
    <x v="6"/>
    <x v="0"/>
    <x v="0"/>
    <x v="5"/>
    <x v="0"/>
  </r>
  <r>
    <x v="0"/>
    <x v="0"/>
    <n v="2236905787"/>
    <x v="3"/>
    <n v="6256"/>
    <x v="2"/>
    <x v="0"/>
    <x v="20"/>
    <x v="3"/>
    <x v="0"/>
    <x v="0"/>
    <x v="3"/>
    <x v="0"/>
  </r>
  <r>
    <x v="0"/>
    <x v="0"/>
    <n v="2236905788"/>
    <x v="0"/>
    <n v="4050"/>
    <x v="2"/>
    <x v="0"/>
    <x v="20"/>
    <x v="0"/>
    <x v="0"/>
    <x v="0"/>
    <x v="0"/>
    <x v="0"/>
  </r>
  <r>
    <x v="0"/>
    <x v="0"/>
    <n v="2236905789"/>
    <x v="2"/>
    <n v="5200"/>
    <x v="2"/>
    <x v="0"/>
    <x v="20"/>
    <x v="2"/>
    <x v="0"/>
    <x v="0"/>
    <x v="2"/>
    <x v="0"/>
  </r>
  <r>
    <x v="0"/>
    <x v="0"/>
    <n v="2236905790"/>
    <x v="5"/>
    <n v="-4400"/>
    <x v="2"/>
    <x v="0"/>
    <x v="20"/>
    <x v="5"/>
    <x v="0"/>
    <x v="0"/>
    <x v="5"/>
    <x v="0"/>
  </r>
  <r>
    <x v="0"/>
    <x v="0"/>
    <n v="2236905790"/>
    <x v="6"/>
    <n v="30000"/>
    <x v="2"/>
    <x v="0"/>
    <x v="20"/>
    <x v="6"/>
    <x v="0"/>
    <x v="0"/>
    <x v="5"/>
    <x v="0"/>
  </r>
  <r>
    <x v="0"/>
    <x v="0"/>
    <n v="2236905791"/>
    <x v="2"/>
    <n v="29700"/>
    <x v="2"/>
    <x v="0"/>
    <x v="20"/>
    <x v="2"/>
    <x v="0"/>
    <x v="0"/>
    <x v="2"/>
    <x v="0"/>
  </r>
  <r>
    <x v="0"/>
    <x v="0"/>
    <n v="2236905796"/>
    <x v="5"/>
    <n v="-400"/>
    <x v="2"/>
    <x v="0"/>
    <x v="22"/>
    <x v="5"/>
    <x v="0"/>
    <x v="0"/>
    <x v="5"/>
    <x v="0"/>
  </r>
  <r>
    <x v="0"/>
    <x v="0"/>
    <n v="2236905796"/>
    <x v="6"/>
    <n v="4000"/>
    <x v="2"/>
    <x v="0"/>
    <x v="22"/>
    <x v="6"/>
    <x v="0"/>
    <x v="0"/>
    <x v="5"/>
    <x v="0"/>
  </r>
  <r>
    <x v="0"/>
    <x v="0"/>
    <n v="2236905797"/>
    <x v="2"/>
    <n v="17490"/>
    <x v="2"/>
    <x v="0"/>
    <x v="22"/>
    <x v="2"/>
    <x v="0"/>
    <x v="0"/>
    <x v="2"/>
    <x v="0"/>
  </r>
  <r>
    <x v="0"/>
    <x v="0"/>
    <n v="2236905798"/>
    <x v="4"/>
    <n v="5000"/>
    <x v="2"/>
    <x v="0"/>
    <x v="22"/>
    <x v="4"/>
    <x v="0"/>
    <x v="0"/>
    <x v="4"/>
    <x v="0"/>
  </r>
  <r>
    <x v="0"/>
    <x v="0"/>
    <n v="2236905799"/>
    <x v="2"/>
    <n v="20350"/>
    <x v="2"/>
    <x v="0"/>
    <x v="22"/>
    <x v="2"/>
    <x v="0"/>
    <x v="0"/>
    <x v="2"/>
    <x v="0"/>
  </r>
  <r>
    <x v="0"/>
    <x v="0"/>
    <n v="2236905800"/>
    <x v="2"/>
    <n v="17952"/>
    <x v="2"/>
    <x v="0"/>
    <x v="22"/>
    <x v="2"/>
    <x v="0"/>
    <x v="0"/>
    <x v="2"/>
    <x v="0"/>
  </r>
  <r>
    <x v="0"/>
    <x v="0"/>
    <n v="2236905801"/>
    <x v="5"/>
    <n v="-68040"/>
    <x v="2"/>
    <x v="0"/>
    <x v="22"/>
    <x v="5"/>
    <x v="0"/>
    <x v="0"/>
    <x v="5"/>
    <x v="0"/>
  </r>
  <r>
    <x v="0"/>
    <x v="0"/>
    <n v="2236905801"/>
    <x v="6"/>
    <n v="100000"/>
    <x v="2"/>
    <x v="0"/>
    <x v="22"/>
    <x v="6"/>
    <x v="0"/>
    <x v="0"/>
    <x v="5"/>
    <x v="0"/>
  </r>
  <r>
    <x v="0"/>
    <x v="0"/>
    <n v="2236905816"/>
    <x v="5"/>
    <n v="-2100"/>
    <x v="2"/>
    <x v="0"/>
    <x v="22"/>
    <x v="5"/>
    <x v="0"/>
    <x v="0"/>
    <x v="5"/>
    <x v="0"/>
  </r>
  <r>
    <x v="0"/>
    <x v="0"/>
    <n v="2236905816"/>
    <x v="6"/>
    <n v="5000"/>
    <x v="2"/>
    <x v="0"/>
    <x v="22"/>
    <x v="6"/>
    <x v="0"/>
    <x v="0"/>
    <x v="5"/>
    <x v="0"/>
  </r>
  <r>
    <x v="0"/>
    <x v="0"/>
    <n v="2236905817"/>
    <x v="2"/>
    <n v="7020"/>
    <x v="2"/>
    <x v="0"/>
    <x v="22"/>
    <x v="2"/>
    <x v="0"/>
    <x v="0"/>
    <x v="2"/>
    <x v="0"/>
  </r>
  <r>
    <x v="0"/>
    <x v="0"/>
    <n v="2236905836"/>
    <x v="5"/>
    <n v="-7300"/>
    <x v="2"/>
    <x v="0"/>
    <x v="22"/>
    <x v="5"/>
    <x v="0"/>
    <x v="0"/>
    <x v="5"/>
    <x v="0"/>
  </r>
  <r>
    <x v="0"/>
    <x v="0"/>
    <n v="2236905836"/>
    <x v="6"/>
    <n v="10000"/>
    <x v="2"/>
    <x v="0"/>
    <x v="22"/>
    <x v="6"/>
    <x v="0"/>
    <x v="0"/>
    <x v="5"/>
    <x v="0"/>
  </r>
  <r>
    <x v="0"/>
    <x v="0"/>
    <n v="2236905837"/>
    <x v="6"/>
    <n v="1800"/>
    <x v="2"/>
    <x v="0"/>
    <x v="22"/>
    <x v="6"/>
    <x v="0"/>
    <x v="0"/>
    <x v="5"/>
    <x v="0"/>
  </r>
  <r>
    <x v="0"/>
    <x v="0"/>
    <n v="2236905838"/>
    <x v="5"/>
    <n v="-6000"/>
    <x v="2"/>
    <x v="0"/>
    <x v="22"/>
    <x v="5"/>
    <x v="0"/>
    <x v="0"/>
    <x v="5"/>
    <x v="0"/>
  </r>
  <r>
    <x v="0"/>
    <x v="0"/>
    <n v="2236905838"/>
    <x v="4"/>
    <n v="10000"/>
    <x v="2"/>
    <x v="0"/>
    <x v="22"/>
    <x v="4"/>
    <x v="0"/>
    <x v="0"/>
    <x v="4"/>
    <x v="0"/>
  </r>
  <r>
    <x v="0"/>
    <x v="0"/>
    <n v="2236905839"/>
    <x v="2"/>
    <n v="5580"/>
    <x v="2"/>
    <x v="0"/>
    <x v="22"/>
    <x v="2"/>
    <x v="0"/>
    <x v="0"/>
    <x v="2"/>
    <x v="0"/>
  </r>
  <r>
    <x v="0"/>
    <x v="0"/>
    <n v="2236905839"/>
    <x v="7"/>
    <n v="620"/>
    <x v="2"/>
    <x v="0"/>
    <x v="22"/>
    <x v="7"/>
    <x v="0"/>
    <x v="0"/>
    <x v="1"/>
    <x v="0"/>
  </r>
  <r>
    <x v="0"/>
    <x v="0"/>
    <n v="2236905840"/>
    <x v="6"/>
    <n v="3000"/>
    <x v="2"/>
    <x v="0"/>
    <x v="22"/>
    <x v="6"/>
    <x v="0"/>
    <x v="0"/>
    <x v="5"/>
    <x v="0"/>
  </r>
  <r>
    <x v="0"/>
    <x v="0"/>
    <n v="2236905856"/>
    <x v="2"/>
    <n v="11160"/>
    <x v="2"/>
    <x v="0"/>
    <x v="22"/>
    <x v="2"/>
    <x v="0"/>
    <x v="0"/>
    <x v="2"/>
    <x v="0"/>
  </r>
  <r>
    <x v="0"/>
    <x v="0"/>
    <n v="2236905856"/>
    <x v="7"/>
    <n v="1240"/>
    <x v="2"/>
    <x v="0"/>
    <x v="22"/>
    <x v="7"/>
    <x v="0"/>
    <x v="0"/>
    <x v="1"/>
    <x v="0"/>
  </r>
  <r>
    <x v="0"/>
    <x v="0"/>
    <n v="2236905857"/>
    <x v="5"/>
    <n v="-3800"/>
    <x v="2"/>
    <x v="0"/>
    <x v="22"/>
    <x v="5"/>
    <x v="0"/>
    <x v="0"/>
    <x v="5"/>
    <x v="0"/>
  </r>
  <r>
    <x v="0"/>
    <x v="0"/>
    <n v="2236905857"/>
    <x v="6"/>
    <n v="10000"/>
    <x v="2"/>
    <x v="0"/>
    <x v="22"/>
    <x v="6"/>
    <x v="0"/>
    <x v="0"/>
    <x v="5"/>
    <x v="0"/>
  </r>
  <r>
    <x v="0"/>
    <x v="0"/>
    <n v="2236905858"/>
    <x v="2"/>
    <n v="7810"/>
    <x v="2"/>
    <x v="0"/>
    <x v="22"/>
    <x v="2"/>
    <x v="0"/>
    <x v="0"/>
    <x v="2"/>
    <x v="0"/>
  </r>
  <r>
    <x v="0"/>
    <x v="0"/>
    <n v="2236905877"/>
    <x v="6"/>
    <n v="6120"/>
    <x v="2"/>
    <x v="0"/>
    <x v="22"/>
    <x v="6"/>
    <x v="0"/>
    <x v="0"/>
    <x v="5"/>
    <x v="0"/>
  </r>
  <r>
    <x v="0"/>
    <x v="0"/>
    <n v="2236905896"/>
    <x v="5"/>
    <n v="-14500"/>
    <x v="2"/>
    <x v="0"/>
    <x v="22"/>
    <x v="5"/>
    <x v="0"/>
    <x v="0"/>
    <x v="5"/>
    <x v="0"/>
  </r>
  <r>
    <x v="0"/>
    <x v="0"/>
    <n v="2236905896"/>
    <x v="6"/>
    <n v="22000"/>
    <x v="2"/>
    <x v="0"/>
    <x v="22"/>
    <x v="6"/>
    <x v="0"/>
    <x v="0"/>
    <x v="5"/>
    <x v="0"/>
  </r>
  <r>
    <x v="0"/>
    <x v="0"/>
    <n v="2236905897"/>
    <x v="3"/>
    <n v="6820"/>
    <x v="2"/>
    <x v="0"/>
    <x v="22"/>
    <x v="3"/>
    <x v="0"/>
    <x v="0"/>
    <x v="3"/>
    <x v="0"/>
  </r>
  <r>
    <x v="0"/>
    <x v="0"/>
    <n v="2236905937"/>
    <x v="2"/>
    <n v="19500"/>
    <x v="2"/>
    <x v="0"/>
    <x v="22"/>
    <x v="2"/>
    <x v="0"/>
    <x v="0"/>
    <x v="2"/>
    <x v="0"/>
  </r>
  <r>
    <x v="0"/>
    <x v="0"/>
    <n v="2236905938"/>
    <x v="2"/>
    <n v="59180"/>
    <x v="2"/>
    <x v="0"/>
    <x v="22"/>
    <x v="2"/>
    <x v="0"/>
    <x v="0"/>
    <x v="2"/>
    <x v="0"/>
  </r>
  <r>
    <x v="0"/>
    <x v="0"/>
    <n v="2236905940"/>
    <x v="5"/>
    <n v="-7100"/>
    <x v="2"/>
    <x v="0"/>
    <x v="22"/>
    <x v="5"/>
    <x v="0"/>
    <x v="0"/>
    <x v="5"/>
    <x v="0"/>
  </r>
  <r>
    <x v="0"/>
    <x v="0"/>
    <n v="2236905940"/>
    <x v="6"/>
    <n v="10000"/>
    <x v="2"/>
    <x v="0"/>
    <x v="22"/>
    <x v="6"/>
    <x v="0"/>
    <x v="0"/>
    <x v="5"/>
    <x v="0"/>
  </r>
  <r>
    <x v="0"/>
    <x v="0"/>
    <n v="2236905941"/>
    <x v="8"/>
    <n v="25190"/>
    <x v="2"/>
    <x v="0"/>
    <x v="22"/>
    <x v="8"/>
    <x v="0"/>
    <x v="0"/>
    <x v="3"/>
    <x v="0"/>
  </r>
  <r>
    <x v="0"/>
    <x v="0"/>
    <n v="2236905942"/>
    <x v="5"/>
    <n v="-4300"/>
    <x v="2"/>
    <x v="0"/>
    <x v="22"/>
    <x v="5"/>
    <x v="0"/>
    <x v="0"/>
    <x v="5"/>
    <x v="0"/>
  </r>
  <r>
    <x v="0"/>
    <x v="0"/>
    <n v="2236905942"/>
    <x v="6"/>
    <n v="10500"/>
    <x v="2"/>
    <x v="0"/>
    <x v="22"/>
    <x v="6"/>
    <x v="0"/>
    <x v="0"/>
    <x v="5"/>
    <x v="0"/>
  </r>
  <r>
    <x v="0"/>
    <x v="0"/>
    <n v="2236905943"/>
    <x v="5"/>
    <n v="-2000"/>
    <x v="2"/>
    <x v="0"/>
    <x v="22"/>
    <x v="5"/>
    <x v="0"/>
    <x v="0"/>
    <x v="5"/>
    <x v="0"/>
  </r>
  <r>
    <x v="0"/>
    <x v="0"/>
    <n v="2236905943"/>
    <x v="6"/>
    <n v="10000"/>
    <x v="2"/>
    <x v="0"/>
    <x v="22"/>
    <x v="6"/>
    <x v="0"/>
    <x v="0"/>
    <x v="5"/>
    <x v="0"/>
  </r>
  <r>
    <x v="0"/>
    <x v="0"/>
    <n v="2236905945"/>
    <x v="5"/>
    <n v="-7000"/>
    <x v="2"/>
    <x v="0"/>
    <x v="22"/>
    <x v="5"/>
    <x v="0"/>
    <x v="0"/>
    <x v="5"/>
    <x v="0"/>
  </r>
  <r>
    <x v="0"/>
    <x v="0"/>
    <n v="2236905945"/>
    <x v="6"/>
    <n v="20000"/>
    <x v="2"/>
    <x v="0"/>
    <x v="22"/>
    <x v="6"/>
    <x v="0"/>
    <x v="0"/>
    <x v="5"/>
    <x v="0"/>
  </r>
  <r>
    <x v="0"/>
    <x v="0"/>
    <n v="2236905946"/>
    <x v="5"/>
    <n v="-4000"/>
    <x v="2"/>
    <x v="0"/>
    <x v="22"/>
    <x v="5"/>
    <x v="0"/>
    <x v="0"/>
    <x v="5"/>
    <x v="0"/>
  </r>
  <r>
    <x v="0"/>
    <x v="0"/>
    <n v="2236905946"/>
    <x v="6"/>
    <n v="10000"/>
    <x v="2"/>
    <x v="0"/>
    <x v="22"/>
    <x v="6"/>
    <x v="0"/>
    <x v="0"/>
    <x v="5"/>
    <x v="0"/>
  </r>
  <r>
    <x v="0"/>
    <x v="0"/>
    <n v="2236905947"/>
    <x v="5"/>
    <n v="-17000"/>
    <x v="2"/>
    <x v="0"/>
    <x v="22"/>
    <x v="5"/>
    <x v="0"/>
    <x v="0"/>
    <x v="5"/>
    <x v="0"/>
  </r>
  <r>
    <x v="0"/>
    <x v="0"/>
    <n v="2236905947"/>
    <x v="6"/>
    <n v="20000"/>
    <x v="2"/>
    <x v="0"/>
    <x v="22"/>
    <x v="6"/>
    <x v="0"/>
    <x v="0"/>
    <x v="5"/>
    <x v="0"/>
  </r>
  <r>
    <x v="0"/>
    <x v="0"/>
    <n v="2236905948"/>
    <x v="5"/>
    <n v="-400"/>
    <x v="2"/>
    <x v="0"/>
    <x v="22"/>
    <x v="5"/>
    <x v="0"/>
    <x v="0"/>
    <x v="5"/>
    <x v="0"/>
  </r>
  <r>
    <x v="0"/>
    <x v="0"/>
    <n v="2236905948"/>
    <x v="4"/>
    <n v="5000"/>
    <x v="2"/>
    <x v="0"/>
    <x v="22"/>
    <x v="4"/>
    <x v="0"/>
    <x v="0"/>
    <x v="4"/>
    <x v="0"/>
  </r>
  <r>
    <x v="0"/>
    <x v="0"/>
    <n v="2236905949"/>
    <x v="5"/>
    <n v="-12500"/>
    <x v="2"/>
    <x v="0"/>
    <x v="22"/>
    <x v="5"/>
    <x v="0"/>
    <x v="0"/>
    <x v="5"/>
    <x v="0"/>
  </r>
  <r>
    <x v="0"/>
    <x v="0"/>
    <n v="2236905949"/>
    <x v="6"/>
    <n v="20000"/>
    <x v="2"/>
    <x v="0"/>
    <x v="22"/>
    <x v="6"/>
    <x v="0"/>
    <x v="0"/>
    <x v="5"/>
    <x v="0"/>
  </r>
  <r>
    <x v="0"/>
    <x v="0"/>
    <n v="2236905950"/>
    <x v="2"/>
    <n v="6600"/>
    <x v="2"/>
    <x v="0"/>
    <x v="22"/>
    <x v="2"/>
    <x v="0"/>
    <x v="0"/>
    <x v="2"/>
    <x v="0"/>
  </r>
  <r>
    <x v="0"/>
    <x v="0"/>
    <n v="2236905956"/>
    <x v="2"/>
    <n v="19600"/>
    <x v="2"/>
    <x v="0"/>
    <x v="22"/>
    <x v="2"/>
    <x v="0"/>
    <x v="0"/>
    <x v="2"/>
    <x v="0"/>
  </r>
  <r>
    <x v="0"/>
    <x v="0"/>
    <n v="2236905957"/>
    <x v="5"/>
    <n v="-3000"/>
    <x v="2"/>
    <x v="0"/>
    <x v="22"/>
    <x v="5"/>
    <x v="0"/>
    <x v="0"/>
    <x v="5"/>
    <x v="0"/>
  </r>
  <r>
    <x v="0"/>
    <x v="0"/>
    <n v="2236905957"/>
    <x v="6"/>
    <n v="10000"/>
    <x v="2"/>
    <x v="0"/>
    <x v="22"/>
    <x v="6"/>
    <x v="0"/>
    <x v="0"/>
    <x v="5"/>
    <x v="0"/>
  </r>
  <r>
    <x v="0"/>
    <x v="0"/>
    <n v="2236905958"/>
    <x v="4"/>
    <n v="5300"/>
    <x v="2"/>
    <x v="0"/>
    <x v="22"/>
    <x v="4"/>
    <x v="0"/>
    <x v="0"/>
    <x v="4"/>
    <x v="0"/>
  </r>
  <r>
    <x v="0"/>
    <x v="0"/>
    <n v="2236905959"/>
    <x v="3"/>
    <n v="14200"/>
    <x v="2"/>
    <x v="0"/>
    <x v="22"/>
    <x v="3"/>
    <x v="0"/>
    <x v="0"/>
    <x v="3"/>
    <x v="0"/>
  </r>
  <r>
    <x v="0"/>
    <x v="0"/>
    <n v="2236905960"/>
    <x v="5"/>
    <n v="-2600"/>
    <x v="2"/>
    <x v="0"/>
    <x v="22"/>
    <x v="5"/>
    <x v="0"/>
    <x v="0"/>
    <x v="5"/>
    <x v="0"/>
  </r>
  <r>
    <x v="0"/>
    <x v="0"/>
    <n v="2236905960"/>
    <x v="6"/>
    <n v="15000"/>
    <x v="2"/>
    <x v="0"/>
    <x v="22"/>
    <x v="6"/>
    <x v="0"/>
    <x v="0"/>
    <x v="5"/>
    <x v="0"/>
  </r>
  <r>
    <x v="0"/>
    <x v="0"/>
    <n v="2236905961"/>
    <x v="2"/>
    <n v="7100"/>
    <x v="2"/>
    <x v="0"/>
    <x v="22"/>
    <x v="2"/>
    <x v="0"/>
    <x v="0"/>
    <x v="2"/>
    <x v="0"/>
  </r>
  <r>
    <x v="0"/>
    <x v="0"/>
    <n v="2236905962"/>
    <x v="2"/>
    <n v="5900"/>
    <x v="2"/>
    <x v="0"/>
    <x v="22"/>
    <x v="2"/>
    <x v="0"/>
    <x v="0"/>
    <x v="2"/>
    <x v="0"/>
  </r>
  <r>
    <x v="0"/>
    <x v="0"/>
    <n v="2236905963"/>
    <x v="5"/>
    <n v="-951700"/>
    <x v="2"/>
    <x v="0"/>
    <x v="22"/>
    <x v="5"/>
    <x v="0"/>
    <x v="0"/>
    <x v="5"/>
    <x v="0"/>
  </r>
  <r>
    <x v="0"/>
    <x v="0"/>
    <n v="2236905963"/>
    <x v="6"/>
    <n v="1000000"/>
    <x v="2"/>
    <x v="0"/>
    <x v="22"/>
    <x v="6"/>
    <x v="0"/>
    <x v="0"/>
    <x v="5"/>
    <x v="0"/>
  </r>
  <r>
    <x v="0"/>
    <x v="0"/>
    <n v="2236905964"/>
    <x v="2"/>
    <n v="42570"/>
    <x v="2"/>
    <x v="0"/>
    <x v="22"/>
    <x v="2"/>
    <x v="0"/>
    <x v="0"/>
    <x v="2"/>
    <x v="0"/>
  </r>
  <r>
    <x v="0"/>
    <x v="0"/>
    <n v="2236905965"/>
    <x v="5"/>
    <n v="-9000"/>
    <x v="2"/>
    <x v="0"/>
    <x v="22"/>
    <x v="5"/>
    <x v="0"/>
    <x v="0"/>
    <x v="5"/>
    <x v="0"/>
  </r>
  <r>
    <x v="0"/>
    <x v="0"/>
    <n v="2236905965"/>
    <x v="6"/>
    <n v="50000"/>
    <x v="2"/>
    <x v="0"/>
    <x v="22"/>
    <x v="6"/>
    <x v="0"/>
    <x v="0"/>
    <x v="5"/>
    <x v="0"/>
  </r>
  <r>
    <x v="0"/>
    <x v="0"/>
    <n v="2236905968"/>
    <x v="2"/>
    <n v="6800"/>
    <x v="2"/>
    <x v="0"/>
    <x v="22"/>
    <x v="2"/>
    <x v="0"/>
    <x v="0"/>
    <x v="2"/>
    <x v="0"/>
  </r>
  <r>
    <x v="0"/>
    <x v="0"/>
    <n v="2236905969"/>
    <x v="2"/>
    <n v="35420"/>
    <x v="2"/>
    <x v="0"/>
    <x v="22"/>
    <x v="2"/>
    <x v="0"/>
    <x v="0"/>
    <x v="2"/>
    <x v="0"/>
  </r>
  <r>
    <x v="0"/>
    <x v="0"/>
    <n v="2236905971"/>
    <x v="2"/>
    <n v="10000"/>
    <x v="2"/>
    <x v="0"/>
    <x v="22"/>
    <x v="2"/>
    <x v="0"/>
    <x v="0"/>
    <x v="2"/>
    <x v="0"/>
  </r>
  <r>
    <x v="0"/>
    <x v="0"/>
    <n v="2236905976"/>
    <x v="2"/>
    <n v="4500"/>
    <x v="2"/>
    <x v="0"/>
    <x v="22"/>
    <x v="2"/>
    <x v="0"/>
    <x v="0"/>
    <x v="2"/>
    <x v="0"/>
  </r>
  <r>
    <x v="0"/>
    <x v="0"/>
    <n v="2236905977"/>
    <x v="2"/>
    <n v="3000"/>
    <x v="2"/>
    <x v="0"/>
    <x v="23"/>
    <x v="2"/>
    <x v="0"/>
    <x v="0"/>
    <x v="2"/>
    <x v="0"/>
  </r>
  <r>
    <x v="0"/>
    <x v="0"/>
    <n v="2236905979"/>
    <x v="2"/>
    <n v="11800"/>
    <x v="2"/>
    <x v="0"/>
    <x v="17"/>
    <x v="2"/>
    <x v="0"/>
    <x v="0"/>
    <x v="2"/>
    <x v="0"/>
  </r>
  <r>
    <x v="0"/>
    <x v="0"/>
    <n v="2236905980"/>
    <x v="2"/>
    <n v="41470"/>
    <x v="2"/>
    <x v="0"/>
    <x v="22"/>
    <x v="2"/>
    <x v="0"/>
    <x v="0"/>
    <x v="2"/>
    <x v="0"/>
  </r>
  <r>
    <x v="0"/>
    <x v="0"/>
    <n v="2236905981"/>
    <x v="5"/>
    <n v="-6980"/>
    <x v="2"/>
    <x v="0"/>
    <x v="22"/>
    <x v="5"/>
    <x v="0"/>
    <x v="0"/>
    <x v="5"/>
    <x v="0"/>
  </r>
  <r>
    <x v="0"/>
    <x v="0"/>
    <n v="2236905981"/>
    <x v="6"/>
    <n v="20000"/>
    <x v="2"/>
    <x v="0"/>
    <x v="22"/>
    <x v="6"/>
    <x v="0"/>
    <x v="0"/>
    <x v="5"/>
    <x v="0"/>
  </r>
  <r>
    <x v="0"/>
    <x v="0"/>
    <n v="2236905982"/>
    <x v="5"/>
    <n v="-12500"/>
    <x v="2"/>
    <x v="0"/>
    <x v="22"/>
    <x v="5"/>
    <x v="0"/>
    <x v="0"/>
    <x v="5"/>
    <x v="0"/>
  </r>
  <r>
    <x v="0"/>
    <x v="0"/>
    <n v="2236905982"/>
    <x v="6"/>
    <n v="20000"/>
    <x v="2"/>
    <x v="0"/>
    <x v="22"/>
    <x v="6"/>
    <x v="0"/>
    <x v="0"/>
    <x v="5"/>
    <x v="0"/>
  </r>
  <r>
    <x v="0"/>
    <x v="0"/>
    <n v="2236905984"/>
    <x v="2"/>
    <n v="800"/>
    <x v="2"/>
    <x v="0"/>
    <x v="22"/>
    <x v="2"/>
    <x v="0"/>
    <x v="0"/>
    <x v="2"/>
    <x v="0"/>
  </r>
  <r>
    <x v="0"/>
    <x v="0"/>
    <n v="2236905996"/>
    <x v="2"/>
    <n v="6200"/>
    <x v="2"/>
    <x v="0"/>
    <x v="22"/>
    <x v="2"/>
    <x v="0"/>
    <x v="0"/>
    <x v="2"/>
    <x v="0"/>
  </r>
  <r>
    <x v="0"/>
    <x v="0"/>
    <n v="2236905998"/>
    <x v="5"/>
    <n v="-7000"/>
    <x v="2"/>
    <x v="0"/>
    <x v="22"/>
    <x v="5"/>
    <x v="0"/>
    <x v="0"/>
    <x v="5"/>
    <x v="0"/>
  </r>
  <r>
    <x v="0"/>
    <x v="0"/>
    <n v="2236905998"/>
    <x v="6"/>
    <n v="10000"/>
    <x v="2"/>
    <x v="0"/>
    <x v="22"/>
    <x v="6"/>
    <x v="0"/>
    <x v="0"/>
    <x v="5"/>
    <x v="0"/>
  </r>
  <r>
    <x v="0"/>
    <x v="0"/>
    <n v="2236905999"/>
    <x v="5"/>
    <n v="-16400"/>
    <x v="2"/>
    <x v="0"/>
    <x v="22"/>
    <x v="5"/>
    <x v="0"/>
    <x v="0"/>
    <x v="5"/>
    <x v="0"/>
  </r>
  <r>
    <x v="0"/>
    <x v="0"/>
    <n v="2236905999"/>
    <x v="6"/>
    <n v="20000"/>
    <x v="2"/>
    <x v="0"/>
    <x v="22"/>
    <x v="6"/>
    <x v="0"/>
    <x v="0"/>
    <x v="5"/>
    <x v="0"/>
  </r>
  <r>
    <x v="0"/>
    <x v="0"/>
    <n v="2236906000"/>
    <x v="1"/>
    <n v="1050"/>
    <x v="2"/>
    <x v="0"/>
    <x v="22"/>
    <x v="1"/>
    <x v="0"/>
    <x v="0"/>
    <x v="1"/>
    <x v="0"/>
  </r>
  <r>
    <x v="0"/>
    <x v="0"/>
    <n v="2236906001"/>
    <x v="5"/>
    <n v="-1000"/>
    <x v="2"/>
    <x v="0"/>
    <x v="22"/>
    <x v="5"/>
    <x v="0"/>
    <x v="0"/>
    <x v="5"/>
    <x v="0"/>
  </r>
  <r>
    <x v="0"/>
    <x v="0"/>
    <n v="2236906001"/>
    <x v="6"/>
    <n v="40000"/>
    <x v="2"/>
    <x v="0"/>
    <x v="22"/>
    <x v="6"/>
    <x v="0"/>
    <x v="0"/>
    <x v="5"/>
    <x v="0"/>
  </r>
  <r>
    <x v="0"/>
    <x v="0"/>
    <n v="2236906005"/>
    <x v="2"/>
    <n v="7150"/>
    <x v="2"/>
    <x v="0"/>
    <x v="22"/>
    <x v="2"/>
    <x v="0"/>
    <x v="0"/>
    <x v="2"/>
    <x v="0"/>
  </r>
  <r>
    <x v="0"/>
    <x v="0"/>
    <n v="2236906006"/>
    <x v="1"/>
    <n v="2040"/>
    <x v="2"/>
    <x v="0"/>
    <x v="22"/>
    <x v="1"/>
    <x v="0"/>
    <x v="0"/>
    <x v="1"/>
    <x v="0"/>
  </r>
  <r>
    <x v="0"/>
    <x v="0"/>
    <n v="2236906007"/>
    <x v="2"/>
    <n v="8280"/>
    <x v="2"/>
    <x v="0"/>
    <x v="22"/>
    <x v="2"/>
    <x v="0"/>
    <x v="0"/>
    <x v="2"/>
    <x v="0"/>
  </r>
  <r>
    <x v="0"/>
    <x v="0"/>
    <n v="2236906009"/>
    <x v="2"/>
    <n v="8250"/>
    <x v="2"/>
    <x v="0"/>
    <x v="22"/>
    <x v="2"/>
    <x v="0"/>
    <x v="0"/>
    <x v="2"/>
    <x v="0"/>
  </r>
  <r>
    <x v="0"/>
    <x v="0"/>
    <n v="2236906010"/>
    <x v="2"/>
    <n v="19250"/>
    <x v="2"/>
    <x v="0"/>
    <x v="22"/>
    <x v="2"/>
    <x v="0"/>
    <x v="0"/>
    <x v="2"/>
    <x v="0"/>
  </r>
  <r>
    <x v="0"/>
    <x v="0"/>
    <n v="2236906016"/>
    <x v="5"/>
    <n v="-200"/>
    <x v="2"/>
    <x v="0"/>
    <x v="22"/>
    <x v="5"/>
    <x v="0"/>
    <x v="0"/>
    <x v="5"/>
    <x v="0"/>
  </r>
  <r>
    <x v="0"/>
    <x v="0"/>
    <n v="2236906016"/>
    <x v="6"/>
    <n v="7000"/>
    <x v="2"/>
    <x v="0"/>
    <x v="22"/>
    <x v="6"/>
    <x v="0"/>
    <x v="0"/>
    <x v="5"/>
    <x v="0"/>
  </r>
  <r>
    <x v="0"/>
    <x v="0"/>
    <n v="2236906017"/>
    <x v="2"/>
    <n v="6000"/>
    <x v="2"/>
    <x v="0"/>
    <x v="22"/>
    <x v="2"/>
    <x v="0"/>
    <x v="0"/>
    <x v="2"/>
    <x v="0"/>
  </r>
  <r>
    <x v="0"/>
    <x v="0"/>
    <n v="2236906018"/>
    <x v="5"/>
    <n v="-14800"/>
    <x v="2"/>
    <x v="0"/>
    <x v="22"/>
    <x v="5"/>
    <x v="0"/>
    <x v="0"/>
    <x v="5"/>
    <x v="0"/>
  </r>
  <r>
    <x v="0"/>
    <x v="0"/>
    <n v="2236906018"/>
    <x v="4"/>
    <n v="20000"/>
    <x v="2"/>
    <x v="0"/>
    <x v="22"/>
    <x v="4"/>
    <x v="0"/>
    <x v="0"/>
    <x v="4"/>
    <x v="0"/>
  </r>
  <r>
    <x v="0"/>
    <x v="0"/>
    <n v="2236906019"/>
    <x v="5"/>
    <n v="-2000"/>
    <x v="2"/>
    <x v="0"/>
    <x v="22"/>
    <x v="5"/>
    <x v="0"/>
    <x v="0"/>
    <x v="5"/>
    <x v="0"/>
  </r>
  <r>
    <x v="0"/>
    <x v="0"/>
    <n v="2236906019"/>
    <x v="6"/>
    <n v="20000"/>
    <x v="2"/>
    <x v="0"/>
    <x v="22"/>
    <x v="6"/>
    <x v="0"/>
    <x v="0"/>
    <x v="5"/>
    <x v="0"/>
  </r>
  <r>
    <x v="0"/>
    <x v="0"/>
    <n v="2236906020"/>
    <x v="4"/>
    <n v="5300"/>
    <x v="2"/>
    <x v="0"/>
    <x v="22"/>
    <x v="4"/>
    <x v="0"/>
    <x v="0"/>
    <x v="4"/>
    <x v="0"/>
  </r>
  <r>
    <x v="0"/>
    <x v="0"/>
    <n v="2236906021"/>
    <x v="1"/>
    <n v="3750"/>
    <x v="2"/>
    <x v="0"/>
    <x v="22"/>
    <x v="1"/>
    <x v="0"/>
    <x v="0"/>
    <x v="1"/>
    <x v="0"/>
  </r>
  <r>
    <x v="0"/>
    <x v="0"/>
    <n v="2236906022"/>
    <x v="5"/>
    <n v="-260"/>
    <x v="2"/>
    <x v="0"/>
    <x v="22"/>
    <x v="5"/>
    <x v="0"/>
    <x v="0"/>
    <x v="5"/>
    <x v="0"/>
  </r>
  <r>
    <x v="0"/>
    <x v="0"/>
    <n v="2236906022"/>
    <x v="6"/>
    <n v="12500"/>
    <x v="2"/>
    <x v="0"/>
    <x v="22"/>
    <x v="6"/>
    <x v="0"/>
    <x v="0"/>
    <x v="5"/>
    <x v="0"/>
  </r>
  <r>
    <x v="0"/>
    <x v="0"/>
    <n v="2236906023"/>
    <x v="4"/>
    <n v="5200"/>
    <x v="2"/>
    <x v="0"/>
    <x v="22"/>
    <x v="4"/>
    <x v="0"/>
    <x v="0"/>
    <x v="4"/>
    <x v="0"/>
  </r>
  <r>
    <x v="0"/>
    <x v="0"/>
    <n v="2236906025"/>
    <x v="5"/>
    <n v="-5200"/>
    <x v="2"/>
    <x v="0"/>
    <x v="22"/>
    <x v="5"/>
    <x v="0"/>
    <x v="0"/>
    <x v="5"/>
    <x v="0"/>
  </r>
  <r>
    <x v="0"/>
    <x v="0"/>
    <n v="2236906025"/>
    <x v="4"/>
    <n v="10500"/>
    <x v="2"/>
    <x v="0"/>
    <x v="22"/>
    <x v="4"/>
    <x v="0"/>
    <x v="0"/>
    <x v="4"/>
    <x v="0"/>
  </r>
  <r>
    <x v="0"/>
    <x v="0"/>
    <n v="2236906027"/>
    <x v="5"/>
    <n v="-46000"/>
    <x v="2"/>
    <x v="0"/>
    <x v="22"/>
    <x v="5"/>
    <x v="0"/>
    <x v="0"/>
    <x v="5"/>
    <x v="0"/>
  </r>
  <r>
    <x v="0"/>
    <x v="0"/>
    <n v="2236906027"/>
    <x v="4"/>
    <n v="50000"/>
    <x v="2"/>
    <x v="0"/>
    <x v="22"/>
    <x v="4"/>
    <x v="0"/>
    <x v="0"/>
    <x v="4"/>
    <x v="0"/>
  </r>
  <r>
    <x v="0"/>
    <x v="0"/>
    <n v="2236906028"/>
    <x v="2"/>
    <n v="19580"/>
    <x v="2"/>
    <x v="0"/>
    <x v="22"/>
    <x v="2"/>
    <x v="0"/>
    <x v="0"/>
    <x v="2"/>
    <x v="0"/>
  </r>
  <r>
    <x v="0"/>
    <x v="0"/>
    <n v="2236906029"/>
    <x v="1"/>
    <n v="2040"/>
    <x v="2"/>
    <x v="0"/>
    <x v="22"/>
    <x v="1"/>
    <x v="0"/>
    <x v="0"/>
    <x v="1"/>
    <x v="0"/>
  </r>
  <r>
    <x v="0"/>
    <x v="0"/>
    <n v="2236906030"/>
    <x v="5"/>
    <n v="-3500"/>
    <x v="2"/>
    <x v="0"/>
    <x v="22"/>
    <x v="5"/>
    <x v="0"/>
    <x v="0"/>
    <x v="5"/>
    <x v="0"/>
  </r>
  <r>
    <x v="0"/>
    <x v="0"/>
    <n v="2236906030"/>
    <x v="6"/>
    <n v="10000"/>
    <x v="2"/>
    <x v="0"/>
    <x v="22"/>
    <x v="6"/>
    <x v="0"/>
    <x v="0"/>
    <x v="5"/>
    <x v="0"/>
  </r>
  <r>
    <x v="0"/>
    <x v="0"/>
    <n v="2236906031"/>
    <x v="5"/>
    <n v="-7100"/>
    <x v="2"/>
    <x v="0"/>
    <x v="22"/>
    <x v="5"/>
    <x v="0"/>
    <x v="0"/>
    <x v="5"/>
    <x v="0"/>
  </r>
  <r>
    <x v="0"/>
    <x v="0"/>
    <n v="2236906031"/>
    <x v="6"/>
    <n v="10000"/>
    <x v="2"/>
    <x v="0"/>
    <x v="22"/>
    <x v="6"/>
    <x v="0"/>
    <x v="0"/>
    <x v="5"/>
    <x v="0"/>
  </r>
  <r>
    <x v="0"/>
    <x v="0"/>
    <n v="2236906032"/>
    <x v="1"/>
    <n v="1770"/>
    <x v="2"/>
    <x v="0"/>
    <x v="22"/>
    <x v="1"/>
    <x v="0"/>
    <x v="0"/>
    <x v="1"/>
    <x v="0"/>
  </r>
  <r>
    <x v="0"/>
    <x v="0"/>
    <n v="2236906034"/>
    <x v="2"/>
    <n v="6820"/>
    <x v="2"/>
    <x v="0"/>
    <x v="22"/>
    <x v="2"/>
    <x v="0"/>
    <x v="0"/>
    <x v="2"/>
    <x v="0"/>
  </r>
  <r>
    <x v="0"/>
    <x v="0"/>
    <n v="2236906035"/>
    <x v="2"/>
    <n v="17000"/>
    <x v="2"/>
    <x v="0"/>
    <x v="22"/>
    <x v="2"/>
    <x v="0"/>
    <x v="0"/>
    <x v="2"/>
    <x v="0"/>
  </r>
  <r>
    <x v="0"/>
    <x v="0"/>
    <n v="2236906037"/>
    <x v="5"/>
    <n v="-8700"/>
    <x v="2"/>
    <x v="0"/>
    <x v="22"/>
    <x v="5"/>
    <x v="0"/>
    <x v="0"/>
    <x v="5"/>
    <x v="0"/>
  </r>
  <r>
    <x v="0"/>
    <x v="0"/>
    <n v="2236906037"/>
    <x v="6"/>
    <n v="20000"/>
    <x v="2"/>
    <x v="0"/>
    <x v="22"/>
    <x v="6"/>
    <x v="0"/>
    <x v="0"/>
    <x v="5"/>
    <x v="0"/>
  </r>
  <r>
    <x v="0"/>
    <x v="0"/>
    <n v="2236906038"/>
    <x v="2"/>
    <n v="7935"/>
    <x v="2"/>
    <x v="0"/>
    <x v="22"/>
    <x v="2"/>
    <x v="0"/>
    <x v="0"/>
    <x v="2"/>
    <x v="0"/>
  </r>
  <r>
    <x v="0"/>
    <x v="0"/>
    <n v="2236906039"/>
    <x v="5"/>
    <n v="-800"/>
    <x v="2"/>
    <x v="0"/>
    <x v="22"/>
    <x v="5"/>
    <x v="0"/>
    <x v="0"/>
    <x v="5"/>
    <x v="0"/>
  </r>
  <r>
    <x v="0"/>
    <x v="0"/>
    <n v="2236906039"/>
    <x v="6"/>
    <n v="10000"/>
    <x v="2"/>
    <x v="0"/>
    <x v="22"/>
    <x v="6"/>
    <x v="0"/>
    <x v="0"/>
    <x v="5"/>
    <x v="0"/>
  </r>
  <r>
    <x v="0"/>
    <x v="0"/>
    <n v="2236906040"/>
    <x v="5"/>
    <n v="-167400"/>
    <x v="2"/>
    <x v="0"/>
    <x v="22"/>
    <x v="5"/>
    <x v="0"/>
    <x v="0"/>
    <x v="5"/>
    <x v="0"/>
  </r>
  <r>
    <x v="0"/>
    <x v="0"/>
    <n v="2236906040"/>
    <x v="7"/>
    <n v="186000"/>
    <x v="2"/>
    <x v="0"/>
    <x v="22"/>
    <x v="7"/>
    <x v="0"/>
    <x v="0"/>
    <x v="1"/>
    <x v="0"/>
  </r>
  <r>
    <x v="0"/>
    <x v="0"/>
    <n v="2236906041"/>
    <x v="5"/>
    <n v="-120"/>
    <x v="2"/>
    <x v="0"/>
    <x v="22"/>
    <x v="5"/>
    <x v="0"/>
    <x v="0"/>
    <x v="5"/>
    <x v="0"/>
  </r>
  <r>
    <x v="0"/>
    <x v="0"/>
    <n v="2236906041"/>
    <x v="6"/>
    <n v="11000"/>
    <x v="2"/>
    <x v="0"/>
    <x v="22"/>
    <x v="6"/>
    <x v="0"/>
    <x v="0"/>
    <x v="5"/>
    <x v="0"/>
  </r>
  <r>
    <x v="0"/>
    <x v="0"/>
    <n v="2236906043"/>
    <x v="2"/>
    <n v="11600"/>
    <x v="2"/>
    <x v="0"/>
    <x v="22"/>
    <x v="2"/>
    <x v="0"/>
    <x v="0"/>
    <x v="2"/>
    <x v="0"/>
  </r>
  <r>
    <x v="0"/>
    <x v="0"/>
    <n v="2236906044"/>
    <x v="5"/>
    <n v="-1000"/>
    <x v="2"/>
    <x v="0"/>
    <x v="22"/>
    <x v="5"/>
    <x v="0"/>
    <x v="0"/>
    <x v="5"/>
    <x v="0"/>
  </r>
  <r>
    <x v="0"/>
    <x v="0"/>
    <n v="2236906044"/>
    <x v="4"/>
    <n v="5000"/>
    <x v="2"/>
    <x v="0"/>
    <x v="22"/>
    <x v="4"/>
    <x v="0"/>
    <x v="0"/>
    <x v="4"/>
    <x v="0"/>
  </r>
  <r>
    <x v="0"/>
    <x v="0"/>
    <n v="2236906045"/>
    <x v="4"/>
    <n v="5000"/>
    <x v="2"/>
    <x v="0"/>
    <x v="22"/>
    <x v="4"/>
    <x v="0"/>
    <x v="0"/>
    <x v="4"/>
    <x v="0"/>
  </r>
  <r>
    <x v="0"/>
    <x v="0"/>
    <n v="2236906047"/>
    <x v="6"/>
    <n v="9800"/>
    <x v="2"/>
    <x v="0"/>
    <x v="22"/>
    <x v="6"/>
    <x v="0"/>
    <x v="0"/>
    <x v="5"/>
    <x v="0"/>
  </r>
  <r>
    <x v="0"/>
    <x v="0"/>
    <n v="2236906048"/>
    <x v="1"/>
    <n v="1080"/>
    <x v="2"/>
    <x v="0"/>
    <x v="22"/>
    <x v="1"/>
    <x v="0"/>
    <x v="0"/>
    <x v="1"/>
    <x v="0"/>
  </r>
  <r>
    <x v="0"/>
    <x v="0"/>
    <n v="2236906049"/>
    <x v="5"/>
    <n v="-18500"/>
    <x v="2"/>
    <x v="0"/>
    <x v="22"/>
    <x v="5"/>
    <x v="0"/>
    <x v="0"/>
    <x v="5"/>
    <x v="0"/>
  </r>
  <r>
    <x v="0"/>
    <x v="0"/>
    <n v="2236906049"/>
    <x v="6"/>
    <n v="25000"/>
    <x v="2"/>
    <x v="0"/>
    <x v="22"/>
    <x v="6"/>
    <x v="0"/>
    <x v="0"/>
    <x v="5"/>
    <x v="0"/>
  </r>
  <r>
    <x v="0"/>
    <x v="0"/>
    <n v="2236906050"/>
    <x v="5"/>
    <n v="-3500"/>
    <x v="2"/>
    <x v="0"/>
    <x v="22"/>
    <x v="5"/>
    <x v="0"/>
    <x v="0"/>
    <x v="5"/>
    <x v="0"/>
  </r>
  <r>
    <x v="0"/>
    <x v="0"/>
    <n v="2236906050"/>
    <x v="6"/>
    <n v="10000"/>
    <x v="2"/>
    <x v="0"/>
    <x v="22"/>
    <x v="6"/>
    <x v="0"/>
    <x v="0"/>
    <x v="5"/>
    <x v="0"/>
  </r>
  <r>
    <x v="0"/>
    <x v="0"/>
    <n v="2236906051"/>
    <x v="6"/>
    <n v="12180"/>
    <x v="2"/>
    <x v="0"/>
    <x v="22"/>
    <x v="6"/>
    <x v="0"/>
    <x v="0"/>
    <x v="5"/>
    <x v="0"/>
  </r>
  <r>
    <x v="0"/>
    <x v="0"/>
    <n v="2236906053"/>
    <x v="1"/>
    <n v="2160"/>
    <x v="2"/>
    <x v="0"/>
    <x v="22"/>
    <x v="1"/>
    <x v="0"/>
    <x v="0"/>
    <x v="1"/>
    <x v="0"/>
  </r>
  <r>
    <x v="0"/>
    <x v="0"/>
    <n v="2236906054"/>
    <x v="1"/>
    <n v="3540"/>
    <x v="2"/>
    <x v="0"/>
    <x v="22"/>
    <x v="1"/>
    <x v="0"/>
    <x v="0"/>
    <x v="1"/>
    <x v="0"/>
  </r>
  <r>
    <x v="0"/>
    <x v="0"/>
    <n v="2236906056"/>
    <x v="7"/>
    <n v="1500"/>
    <x v="2"/>
    <x v="0"/>
    <x v="22"/>
    <x v="7"/>
    <x v="0"/>
    <x v="0"/>
    <x v="1"/>
    <x v="0"/>
  </r>
  <r>
    <x v="0"/>
    <x v="0"/>
    <n v="2236906057"/>
    <x v="7"/>
    <n v="3500"/>
    <x v="2"/>
    <x v="0"/>
    <x v="22"/>
    <x v="7"/>
    <x v="0"/>
    <x v="0"/>
    <x v="1"/>
    <x v="0"/>
  </r>
  <r>
    <x v="0"/>
    <x v="0"/>
    <n v="2236906060"/>
    <x v="7"/>
    <n v="1500"/>
    <x v="2"/>
    <x v="0"/>
    <x v="22"/>
    <x v="7"/>
    <x v="0"/>
    <x v="0"/>
    <x v="1"/>
    <x v="0"/>
  </r>
  <r>
    <x v="0"/>
    <x v="0"/>
    <n v="2236906061"/>
    <x v="5"/>
    <n v="-100"/>
    <x v="2"/>
    <x v="0"/>
    <x v="22"/>
    <x v="5"/>
    <x v="0"/>
    <x v="0"/>
    <x v="5"/>
    <x v="0"/>
  </r>
  <r>
    <x v="0"/>
    <x v="0"/>
    <n v="2236906061"/>
    <x v="6"/>
    <n v="3000"/>
    <x v="2"/>
    <x v="0"/>
    <x v="22"/>
    <x v="6"/>
    <x v="0"/>
    <x v="0"/>
    <x v="5"/>
    <x v="0"/>
  </r>
  <r>
    <x v="0"/>
    <x v="0"/>
    <n v="2236906062"/>
    <x v="5"/>
    <n v="-200"/>
    <x v="2"/>
    <x v="0"/>
    <x v="22"/>
    <x v="5"/>
    <x v="0"/>
    <x v="0"/>
    <x v="5"/>
    <x v="0"/>
  </r>
  <r>
    <x v="0"/>
    <x v="0"/>
    <n v="2236906062"/>
    <x v="6"/>
    <n v="7000"/>
    <x v="2"/>
    <x v="0"/>
    <x v="22"/>
    <x v="6"/>
    <x v="0"/>
    <x v="0"/>
    <x v="5"/>
    <x v="0"/>
  </r>
  <r>
    <x v="0"/>
    <x v="0"/>
    <n v="2236906064"/>
    <x v="2"/>
    <n v="4500"/>
    <x v="2"/>
    <x v="0"/>
    <x v="22"/>
    <x v="2"/>
    <x v="0"/>
    <x v="0"/>
    <x v="2"/>
    <x v="0"/>
  </r>
  <r>
    <x v="0"/>
    <x v="0"/>
    <n v="2236906065"/>
    <x v="5"/>
    <n v="-5000"/>
    <x v="2"/>
    <x v="0"/>
    <x v="22"/>
    <x v="5"/>
    <x v="0"/>
    <x v="0"/>
    <x v="5"/>
    <x v="0"/>
  </r>
  <r>
    <x v="0"/>
    <x v="0"/>
    <n v="2236906065"/>
    <x v="4"/>
    <n v="10000"/>
    <x v="2"/>
    <x v="0"/>
    <x v="22"/>
    <x v="4"/>
    <x v="0"/>
    <x v="0"/>
    <x v="4"/>
    <x v="0"/>
  </r>
  <r>
    <x v="0"/>
    <x v="0"/>
    <n v="2236908136"/>
    <x v="2"/>
    <n v="7810"/>
    <x v="2"/>
    <x v="0"/>
    <x v="17"/>
    <x v="2"/>
    <x v="0"/>
    <x v="0"/>
    <x v="2"/>
    <x v="0"/>
  </r>
  <r>
    <x v="0"/>
    <x v="0"/>
    <n v="2236908138"/>
    <x v="2"/>
    <n v="5775"/>
    <x v="2"/>
    <x v="0"/>
    <x v="17"/>
    <x v="2"/>
    <x v="0"/>
    <x v="0"/>
    <x v="2"/>
    <x v="0"/>
  </r>
  <r>
    <x v="0"/>
    <x v="0"/>
    <n v="2236908139"/>
    <x v="7"/>
    <n v="1500"/>
    <x v="2"/>
    <x v="0"/>
    <x v="17"/>
    <x v="7"/>
    <x v="0"/>
    <x v="0"/>
    <x v="1"/>
    <x v="0"/>
  </r>
  <r>
    <x v="0"/>
    <x v="0"/>
    <n v="2236908140"/>
    <x v="5"/>
    <n v="-6600"/>
    <x v="2"/>
    <x v="0"/>
    <x v="17"/>
    <x v="5"/>
    <x v="0"/>
    <x v="0"/>
    <x v="5"/>
    <x v="0"/>
  </r>
  <r>
    <x v="0"/>
    <x v="0"/>
    <n v="2236908140"/>
    <x v="6"/>
    <n v="10000"/>
    <x v="2"/>
    <x v="0"/>
    <x v="17"/>
    <x v="6"/>
    <x v="0"/>
    <x v="0"/>
    <x v="5"/>
    <x v="0"/>
  </r>
  <r>
    <x v="0"/>
    <x v="0"/>
    <n v="2236908158"/>
    <x v="2"/>
    <n v="21285"/>
    <x v="2"/>
    <x v="0"/>
    <x v="17"/>
    <x v="2"/>
    <x v="0"/>
    <x v="0"/>
    <x v="2"/>
    <x v="0"/>
  </r>
  <r>
    <x v="0"/>
    <x v="0"/>
    <n v="2236908159"/>
    <x v="5"/>
    <n v="-920"/>
    <x v="2"/>
    <x v="0"/>
    <x v="17"/>
    <x v="5"/>
    <x v="0"/>
    <x v="0"/>
    <x v="5"/>
    <x v="0"/>
  </r>
  <r>
    <x v="0"/>
    <x v="0"/>
    <n v="2236908159"/>
    <x v="6"/>
    <n v="17000"/>
    <x v="2"/>
    <x v="0"/>
    <x v="17"/>
    <x v="6"/>
    <x v="0"/>
    <x v="0"/>
    <x v="5"/>
    <x v="0"/>
  </r>
  <r>
    <x v="0"/>
    <x v="0"/>
    <n v="2236908159"/>
    <x v="7"/>
    <n v="10720"/>
    <x v="2"/>
    <x v="0"/>
    <x v="17"/>
    <x v="7"/>
    <x v="0"/>
    <x v="0"/>
    <x v="1"/>
    <x v="0"/>
  </r>
  <r>
    <x v="0"/>
    <x v="0"/>
    <n v="2236908161"/>
    <x v="6"/>
    <n v="42650"/>
    <x v="2"/>
    <x v="0"/>
    <x v="17"/>
    <x v="6"/>
    <x v="0"/>
    <x v="0"/>
    <x v="5"/>
    <x v="0"/>
  </r>
  <r>
    <x v="0"/>
    <x v="0"/>
    <n v="2236908161"/>
    <x v="2"/>
    <n v="59500"/>
    <x v="2"/>
    <x v="0"/>
    <x v="17"/>
    <x v="2"/>
    <x v="0"/>
    <x v="0"/>
    <x v="2"/>
    <x v="0"/>
  </r>
  <r>
    <x v="0"/>
    <x v="0"/>
    <n v="2236908165"/>
    <x v="5"/>
    <n v="-4800"/>
    <x v="2"/>
    <x v="0"/>
    <x v="17"/>
    <x v="5"/>
    <x v="0"/>
    <x v="0"/>
    <x v="5"/>
    <x v="0"/>
  </r>
  <r>
    <x v="0"/>
    <x v="0"/>
    <n v="2236908165"/>
    <x v="4"/>
    <n v="10000"/>
    <x v="2"/>
    <x v="0"/>
    <x v="17"/>
    <x v="4"/>
    <x v="0"/>
    <x v="0"/>
    <x v="4"/>
    <x v="0"/>
  </r>
  <r>
    <x v="0"/>
    <x v="0"/>
    <n v="2236908167"/>
    <x v="5"/>
    <n v="-6600"/>
    <x v="2"/>
    <x v="0"/>
    <x v="17"/>
    <x v="5"/>
    <x v="0"/>
    <x v="0"/>
    <x v="5"/>
    <x v="0"/>
  </r>
  <r>
    <x v="0"/>
    <x v="0"/>
    <n v="2236908167"/>
    <x v="6"/>
    <n v="10000"/>
    <x v="2"/>
    <x v="0"/>
    <x v="17"/>
    <x v="6"/>
    <x v="0"/>
    <x v="0"/>
    <x v="5"/>
    <x v="0"/>
  </r>
  <r>
    <x v="0"/>
    <x v="0"/>
    <n v="2236908168"/>
    <x v="5"/>
    <n v="-900"/>
    <x v="2"/>
    <x v="0"/>
    <x v="17"/>
    <x v="5"/>
    <x v="0"/>
    <x v="0"/>
    <x v="5"/>
    <x v="0"/>
  </r>
  <r>
    <x v="0"/>
    <x v="0"/>
    <n v="2236908168"/>
    <x v="6"/>
    <n v="4000"/>
    <x v="2"/>
    <x v="0"/>
    <x v="17"/>
    <x v="6"/>
    <x v="0"/>
    <x v="0"/>
    <x v="5"/>
    <x v="0"/>
  </r>
  <r>
    <x v="0"/>
    <x v="0"/>
    <n v="2236908169"/>
    <x v="5"/>
    <n v="-900"/>
    <x v="2"/>
    <x v="0"/>
    <x v="17"/>
    <x v="5"/>
    <x v="0"/>
    <x v="0"/>
    <x v="5"/>
    <x v="0"/>
  </r>
  <r>
    <x v="0"/>
    <x v="0"/>
    <n v="2236908169"/>
    <x v="6"/>
    <n v="4000"/>
    <x v="2"/>
    <x v="0"/>
    <x v="17"/>
    <x v="6"/>
    <x v="0"/>
    <x v="0"/>
    <x v="5"/>
    <x v="0"/>
  </r>
  <r>
    <x v="0"/>
    <x v="0"/>
    <n v="2236908171"/>
    <x v="5"/>
    <n v="-1600"/>
    <x v="2"/>
    <x v="0"/>
    <x v="17"/>
    <x v="5"/>
    <x v="0"/>
    <x v="0"/>
    <x v="5"/>
    <x v="0"/>
  </r>
  <r>
    <x v="0"/>
    <x v="0"/>
    <n v="2236908171"/>
    <x v="4"/>
    <n v="10000"/>
    <x v="2"/>
    <x v="0"/>
    <x v="17"/>
    <x v="4"/>
    <x v="0"/>
    <x v="0"/>
    <x v="4"/>
    <x v="0"/>
  </r>
  <r>
    <x v="0"/>
    <x v="0"/>
    <n v="2236908176"/>
    <x v="5"/>
    <n v="-13800"/>
    <x v="2"/>
    <x v="0"/>
    <x v="17"/>
    <x v="5"/>
    <x v="0"/>
    <x v="0"/>
    <x v="5"/>
    <x v="0"/>
  </r>
  <r>
    <x v="0"/>
    <x v="0"/>
    <n v="2236908176"/>
    <x v="6"/>
    <n v="20000"/>
    <x v="2"/>
    <x v="0"/>
    <x v="17"/>
    <x v="6"/>
    <x v="0"/>
    <x v="0"/>
    <x v="5"/>
    <x v="0"/>
  </r>
  <r>
    <x v="0"/>
    <x v="0"/>
    <n v="2236908179"/>
    <x v="5"/>
    <n v="-5000"/>
    <x v="2"/>
    <x v="0"/>
    <x v="17"/>
    <x v="5"/>
    <x v="0"/>
    <x v="0"/>
    <x v="5"/>
    <x v="0"/>
  </r>
  <r>
    <x v="0"/>
    <x v="0"/>
    <n v="2236908179"/>
    <x v="4"/>
    <n v="10000"/>
    <x v="2"/>
    <x v="0"/>
    <x v="17"/>
    <x v="4"/>
    <x v="0"/>
    <x v="0"/>
    <x v="4"/>
    <x v="0"/>
  </r>
  <r>
    <x v="0"/>
    <x v="0"/>
    <n v="2236908180"/>
    <x v="7"/>
    <n v="9200"/>
    <x v="2"/>
    <x v="0"/>
    <x v="17"/>
    <x v="7"/>
    <x v="0"/>
    <x v="0"/>
    <x v="1"/>
    <x v="0"/>
  </r>
  <r>
    <x v="0"/>
    <x v="0"/>
    <n v="2236908181"/>
    <x v="5"/>
    <n v="-700"/>
    <x v="2"/>
    <x v="0"/>
    <x v="17"/>
    <x v="5"/>
    <x v="0"/>
    <x v="0"/>
    <x v="5"/>
    <x v="0"/>
  </r>
  <r>
    <x v="0"/>
    <x v="0"/>
    <n v="2236908181"/>
    <x v="4"/>
    <n v="6000"/>
    <x v="2"/>
    <x v="0"/>
    <x v="17"/>
    <x v="4"/>
    <x v="0"/>
    <x v="0"/>
    <x v="4"/>
    <x v="0"/>
  </r>
  <r>
    <x v="0"/>
    <x v="0"/>
    <n v="2236908182"/>
    <x v="5"/>
    <n v="-1000"/>
    <x v="2"/>
    <x v="0"/>
    <x v="17"/>
    <x v="5"/>
    <x v="0"/>
    <x v="0"/>
    <x v="5"/>
    <x v="0"/>
  </r>
  <r>
    <x v="0"/>
    <x v="0"/>
    <n v="2236908182"/>
    <x v="4"/>
    <n v="5000"/>
    <x v="2"/>
    <x v="0"/>
    <x v="17"/>
    <x v="4"/>
    <x v="0"/>
    <x v="0"/>
    <x v="4"/>
    <x v="0"/>
  </r>
  <r>
    <x v="0"/>
    <x v="0"/>
    <n v="2236908184"/>
    <x v="2"/>
    <n v="12408"/>
    <x v="2"/>
    <x v="0"/>
    <x v="17"/>
    <x v="2"/>
    <x v="0"/>
    <x v="0"/>
    <x v="2"/>
    <x v="0"/>
  </r>
  <r>
    <x v="0"/>
    <x v="0"/>
    <n v="2236908184"/>
    <x v="7"/>
    <n v="7520"/>
    <x v="2"/>
    <x v="0"/>
    <x v="17"/>
    <x v="7"/>
    <x v="0"/>
    <x v="0"/>
    <x v="1"/>
    <x v="0"/>
  </r>
  <r>
    <x v="0"/>
    <x v="0"/>
    <n v="2236908185"/>
    <x v="5"/>
    <n v="-4800"/>
    <x v="2"/>
    <x v="0"/>
    <x v="17"/>
    <x v="5"/>
    <x v="0"/>
    <x v="0"/>
    <x v="5"/>
    <x v="0"/>
  </r>
  <r>
    <x v="0"/>
    <x v="0"/>
    <n v="2236908185"/>
    <x v="4"/>
    <n v="10000"/>
    <x v="2"/>
    <x v="0"/>
    <x v="17"/>
    <x v="4"/>
    <x v="0"/>
    <x v="0"/>
    <x v="4"/>
    <x v="0"/>
  </r>
  <r>
    <x v="0"/>
    <x v="0"/>
    <n v="2236908187"/>
    <x v="7"/>
    <n v="7300"/>
    <x v="2"/>
    <x v="0"/>
    <x v="17"/>
    <x v="7"/>
    <x v="0"/>
    <x v="0"/>
    <x v="1"/>
    <x v="0"/>
  </r>
  <r>
    <x v="0"/>
    <x v="0"/>
    <n v="2236908188"/>
    <x v="5"/>
    <n v="-1500"/>
    <x v="2"/>
    <x v="0"/>
    <x v="17"/>
    <x v="5"/>
    <x v="0"/>
    <x v="0"/>
    <x v="5"/>
    <x v="0"/>
  </r>
  <r>
    <x v="0"/>
    <x v="0"/>
    <n v="2236908188"/>
    <x v="6"/>
    <n v="5000"/>
    <x v="2"/>
    <x v="0"/>
    <x v="17"/>
    <x v="6"/>
    <x v="0"/>
    <x v="0"/>
    <x v="5"/>
    <x v="0"/>
  </r>
  <r>
    <x v="0"/>
    <x v="0"/>
    <n v="2236908189"/>
    <x v="5"/>
    <n v="-400"/>
    <x v="2"/>
    <x v="0"/>
    <x v="17"/>
    <x v="5"/>
    <x v="0"/>
    <x v="0"/>
    <x v="5"/>
    <x v="0"/>
  </r>
  <r>
    <x v="0"/>
    <x v="0"/>
    <n v="2236908189"/>
    <x v="6"/>
    <n v="10000"/>
    <x v="2"/>
    <x v="0"/>
    <x v="17"/>
    <x v="6"/>
    <x v="0"/>
    <x v="0"/>
    <x v="5"/>
    <x v="0"/>
  </r>
  <r>
    <x v="0"/>
    <x v="0"/>
    <n v="2239039779"/>
    <x v="7"/>
    <n v="3000"/>
    <x v="0"/>
    <x v="0"/>
    <x v="24"/>
    <x v="7"/>
    <x v="0"/>
    <x v="0"/>
    <x v="1"/>
    <x v="0"/>
  </r>
  <r>
    <x v="0"/>
    <x v="0"/>
    <n v="2239039782"/>
    <x v="7"/>
    <n v="4800"/>
    <x v="0"/>
    <x v="0"/>
    <x v="24"/>
    <x v="7"/>
    <x v="0"/>
    <x v="0"/>
    <x v="1"/>
    <x v="0"/>
  </r>
  <r>
    <x v="0"/>
    <x v="0"/>
    <n v="2239039791"/>
    <x v="1"/>
    <n v="8990"/>
    <x v="0"/>
    <x v="0"/>
    <x v="24"/>
    <x v="1"/>
    <x v="0"/>
    <x v="0"/>
    <x v="1"/>
    <x v="0"/>
  </r>
  <r>
    <x v="0"/>
    <x v="0"/>
    <n v="2239039806"/>
    <x v="0"/>
    <n v="8100"/>
    <x v="0"/>
    <x v="0"/>
    <x v="24"/>
    <x v="0"/>
    <x v="0"/>
    <x v="0"/>
    <x v="0"/>
    <x v="0"/>
  </r>
  <r>
    <x v="0"/>
    <x v="0"/>
    <n v="2239039807"/>
    <x v="0"/>
    <n v="3000"/>
    <x v="0"/>
    <x v="0"/>
    <x v="24"/>
    <x v="0"/>
    <x v="0"/>
    <x v="0"/>
    <x v="0"/>
    <x v="0"/>
  </r>
  <r>
    <x v="0"/>
    <x v="0"/>
    <n v="2239039810"/>
    <x v="0"/>
    <n v="1050"/>
    <x v="0"/>
    <x v="0"/>
    <x v="24"/>
    <x v="0"/>
    <x v="0"/>
    <x v="0"/>
    <x v="0"/>
    <x v="0"/>
  </r>
  <r>
    <x v="0"/>
    <x v="0"/>
    <n v="2239039811"/>
    <x v="0"/>
    <n v="5820"/>
    <x v="0"/>
    <x v="0"/>
    <x v="24"/>
    <x v="0"/>
    <x v="0"/>
    <x v="0"/>
    <x v="0"/>
    <x v="0"/>
  </r>
  <r>
    <x v="0"/>
    <x v="0"/>
    <n v="2239039813"/>
    <x v="0"/>
    <n v="4650"/>
    <x v="0"/>
    <x v="0"/>
    <x v="24"/>
    <x v="0"/>
    <x v="0"/>
    <x v="0"/>
    <x v="0"/>
    <x v="0"/>
  </r>
  <r>
    <x v="0"/>
    <x v="0"/>
    <n v="2239039815"/>
    <x v="0"/>
    <n v="9240"/>
    <x v="0"/>
    <x v="0"/>
    <x v="24"/>
    <x v="0"/>
    <x v="0"/>
    <x v="0"/>
    <x v="0"/>
    <x v="0"/>
  </r>
  <r>
    <x v="0"/>
    <x v="0"/>
    <n v="2239039816"/>
    <x v="0"/>
    <n v="750"/>
    <x v="0"/>
    <x v="0"/>
    <x v="24"/>
    <x v="0"/>
    <x v="0"/>
    <x v="0"/>
    <x v="0"/>
    <x v="0"/>
  </r>
  <r>
    <x v="0"/>
    <x v="0"/>
    <n v="2239039817"/>
    <x v="0"/>
    <n v="2250"/>
    <x v="0"/>
    <x v="0"/>
    <x v="24"/>
    <x v="0"/>
    <x v="0"/>
    <x v="0"/>
    <x v="0"/>
    <x v="0"/>
  </r>
  <r>
    <x v="0"/>
    <x v="0"/>
    <n v="2239039818"/>
    <x v="0"/>
    <n v="72960"/>
    <x v="0"/>
    <x v="0"/>
    <x v="24"/>
    <x v="0"/>
    <x v="0"/>
    <x v="0"/>
    <x v="0"/>
    <x v="0"/>
  </r>
  <r>
    <x v="0"/>
    <x v="0"/>
    <n v="2239039819"/>
    <x v="0"/>
    <n v="5250"/>
    <x v="0"/>
    <x v="0"/>
    <x v="24"/>
    <x v="0"/>
    <x v="0"/>
    <x v="0"/>
    <x v="0"/>
    <x v="0"/>
  </r>
  <r>
    <x v="0"/>
    <x v="0"/>
    <n v="2239039820"/>
    <x v="0"/>
    <n v="900"/>
    <x v="0"/>
    <x v="0"/>
    <x v="24"/>
    <x v="0"/>
    <x v="0"/>
    <x v="0"/>
    <x v="0"/>
    <x v="0"/>
  </r>
  <r>
    <x v="0"/>
    <x v="0"/>
    <n v="2239039821"/>
    <x v="0"/>
    <n v="5400"/>
    <x v="0"/>
    <x v="0"/>
    <x v="24"/>
    <x v="0"/>
    <x v="0"/>
    <x v="0"/>
    <x v="0"/>
    <x v="0"/>
  </r>
  <r>
    <x v="0"/>
    <x v="0"/>
    <n v="2239039822"/>
    <x v="7"/>
    <n v="3000"/>
    <x v="0"/>
    <x v="0"/>
    <x v="24"/>
    <x v="7"/>
    <x v="0"/>
    <x v="0"/>
    <x v="1"/>
    <x v="0"/>
  </r>
  <r>
    <x v="0"/>
    <x v="0"/>
    <n v="2239039826"/>
    <x v="0"/>
    <n v="600"/>
    <x v="0"/>
    <x v="0"/>
    <x v="24"/>
    <x v="0"/>
    <x v="0"/>
    <x v="0"/>
    <x v="0"/>
    <x v="0"/>
  </r>
  <r>
    <x v="0"/>
    <x v="0"/>
    <n v="2239039828"/>
    <x v="0"/>
    <n v="2100"/>
    <x v="0"/>
    <x v="0"/>
    <x v="24"/>
    <x v="0"/>
    <x v="0"/>
    <x v="0"/>
    <x v="0"/>
    <x v="0"/>
  </r>
  <r>
    <x v="0"/>
    <x v="0"/>
    <n v="2239039829"/>
    <x v="0"/>
    <n v="750"/>
    <x v="0"/>
    <x v="0"/>
    <x v="24"/>
    <x v="0"/>
    <x v="0"/>
    <x v="0"/>
    <x v="0"/>
    <x v="0"/>
  </r>
  <r>
    <x v="0"/>
    <x v="0"/>
    <n v="2239039830"/>
    <x v="0"/>
    <n v="10900"/>
    <x v="0"/>
    <x v="0"/>
    <x v="24"/>
    <x v="0"/>
    <x v="0"/>
    <x v="0"/>
    <x v="0"/>
    <x v="0"/>
  </r>
  <r>
    <x v="0"/>
    <x v="0"/>
    <n v="2239039831"/>
    <x v="1"/>
    <n v="7470"/>
    <x v="0"/>
    <x v="0"/>
    <x v="24"/>
    <x v="1"/>
    <x v="0"/>
    <x v="0"/>
    <x v="1"/>
    <x v="0"/>
  </r>
  <r>
    <x v="0"/>
    <x v="0"/>
    <n v="2239039833"/>
    <x v="0"/>
    <n v="2550"/>
    <x v="0"/>
    <x v="0"/>
    <x v="24"/>
    <x v="0"/>
    <x v="0"/>
    <x v="0"/>
    <x v="0"/>
    <x v="0"/>
  </r>
  <r>
    <x v="0"/>
    <x v="0"/>
    <n v="2239039834"/>
    <x v="1"/>
    <n v="900"/>
    <x v="0"/>
    <x v="0"/>
    <x v="24"/>
    <x v="1"/>
    <x v="0"/>
    <x v="0"/>
    <x v="1"/>
    <x v="0"/>
  </r>
  <r>
    <x v="0"/>
    <x v="0"/>
    <n v="2239039835"/>
    <x v="1"/>
    <n v="12040"/>
    <x v="0"/>
    <x v="0"/>
    <x v="24"/>
    <x v="1"/>
    <x v="0"/>
    <x v="0"/>
    <x v="1"/>
    <x v="0"/>
  </r>
  <r>
    <x v="0"/>
    <x v="0"/>
    <n v="2239039836"/>
    <x v="1"/>
    <n v="38000"/>
    <x v="0"/>
    <x v="0"/>
    <x v="24"/>
    <x v="1"/>
    <x v="0"/>
    <x v="0"/>
    <x v="1"/>
    <x v="0"/>
  </r>
  <r>
    <x v="0"/>
    <x v="0"/>
    <n v="2239039837"/>
    <x v="1"/>
    <n v="4770"/>
    <x v="0"/>
    <x v="0"/>
    <x v="24"/>
    <x v="1"/>
    <x v="0"/>
    <x v="0"/>
    <x v="1"/>
    <x v="0"/>
  </r>
  <r>
    <x v="0"/>
    <x v="0"/>
    <n v="2239039838"/>
    <x v="1"/>
    <n v="5430"/>
    <x v="0"/>
    <x v="0"/>
    <x v="24"/>
    <x v="1"/>
    <x v="0"/>
    <x v="0"/>
    <x v="1"/>
    <x v="0"/>
  </r>
  <r>
    <x v="0"/>
    <x v="0"/>
    <n v="2239039839"/>
    <x v="1"/>
    <n v="4080"/>
    <x v="0"/>
    <x v="0"/>
    <x v="24"/>
    <x v="1"/>
    <x v="0"/>
    <x v="0"/>
    <x v="1"/>
    <x v="0"/>
  </r>
  <r>
    <x v="0"/>
    <x v="0"/>
    <n v="2239039840"/>
    <x v="1"/>
    <n v="1800"/>
    <x v="0"/>
    <x v="0"/>
    <x v="24"/>
    <x v="1"/>
    <x v="0"/>
    <x v="0"/>
    <x v="1"/>
    <x v="0"/>
  </r>
  <r>
    <x v="0"/>
    <x v="0"/>
    <n v="2239039841"/>
    <x v="0"/>
    <n v="2250"/>
    <x v="0"/>
    <x v="0"/>
    <x v="24"/>
    <x v="0"/>
    <x v="0"/>
    <x v="0"/>
    <x v="0"/>
    <x v="0"/>
  </r>
  <r>
    <x v="0"/>
    <x v="0"/>
    <n v="2239039842"/>
    <x v="0"/>
    <n v="12000"/>
    <x v="0"/>
    <x v="0"/>
    <x v="24"/>
    <x v="0"/>
    <x v="0"/>
    <x v="0"/>
    <x v="0"/>
    <x v="0"/>
  </r>
  <r>
    <x v="0"/>
    <x v="0"/>
    <n v="2239039843"/>
    <x v="1"/>
    <n v="2700"/>
    <x v="0"/>
    <x v="0"/>
    <x v="24"/>
    <x v="1"/>
    <x v="0"/>
    <x v="0"/>
    <x v="1"/>
    <x v="0"/>
  </r>
  <r>
    <x v="0"/>
    <x v="0"/>
    <n v="2239039844"/>
    <x v="1"/>
    <n v="33420"/>
    <x v="0"/>
    <x v="0"/>
    <x v="24"/>
    <x v="1"/>
    <x v="0"/>
    <x v="0"/>
    <x v="1"/>
    <x v="0"/>
  </r>
  <r>
    <x v="0"/>
    <x v="0"/>
    <n v="2239039845"/>
    <x v="0"/>
    <n v="9000"/>
    <x v="0"/>
    <x v="0"/>
    <x v="24"/>
    <x v="0"/>
    <x v="0"/>
    <x v="0"/>
    <x v="0"/>
    <x v="0"/>
  </r>
  <r>
    <x v="0"/>
    <x v="0"/>
    <n v="2239039846"/>
    <x v="1"/>
    <n v="6300"/>
    <x v="0"/>
    <x v="0"/>
    <x v="24"/>
    <x v="1"/>
    <x v="0"/>
    <x v="0"/>
    <x v="1"/>
    <x v="0"/>
  </r>
  <r>
    <x v="0"/>
    <x v="0"/>
    <n v="2239039847"/>
    <x v="1"/>
    <n v="15450"/>
    <x v="0"/>
    <x v="0"/>
    <x v="24"/>
    <x v="1"/>
    <x v="0"/>
    <x v="0"/>
    <x v="1"/>
    <x v="0"/>
  </r>
  <r>
    <x v="0"/>
    <x v="0"/>
    <n v="2239039849"/>
    <x v="1"/>
    <n v="3150"/>
    <x v="0"/>
    <x v="0"/>
    <x v="24"/>
    <x v="1"/>
    <x v="0"/>
    <x v="0"/>
    <x v="1"/>
    <x v="0"/>
  </r>
  <r>
    <x v="0"/>
    <x v="0"/>
    <n v="2239039850"/>
    <x v="0"/>
    <n v="1950"/>
    <x v="0"/>
    <x v="0"/>
    <x v="24"/>
    <x v="0"/>
    <x v="0"/>
    <x v="0"/>
    <x v="0"/>
    <x v="0"/>
  </r>
  <r>
    <x v="0"/>
    <x v="0"/>
    <n v="2239039851"/>
    <x v="0"/>
    <n v="1500"/>
    <x v="0"/>
    <x v="0"/>
    <x v="24"/>
    <x v="0"/>
    <x v="0"/>
    <x v="0"/>
    <x v="0"/>
    <x v="0"/>
  </r>
  <r>
    <x v="0"/>
    <x v="0"/>
    <n v="2239039852"/>
    <x v="6"/>
    <n v="6440"/>
    <x v="0"/>
    <x v="0"/>
    <x v="24"/>
    <x v="6"/>
    <x v="0"/>
    <x v="0"/>
    <x v="5"/>
    <x v="0"/>
  </r>
  <r>
    <x v="0"/>
    <x v="0"/>
    <n v="2239039853"/>
    <x v="2"/>
    <n v="14180"/>
    <x v="0"/>
    <x v="0"/>
    <x v="24"/>
    <x v="2"/>
    <x v="0"/>
    <x v="0"/>
    <x v="2"/>
    <x v="0"/>
  </r>
  <r>
    <x v="0"/>
    <x v="0"/>
    <n v="2239039854"/>
    <x v="6"/>
    <n v="24320"/>
    <x v="0"/>
    <x v="0"/>
    <x v="24"/>
    <x v="6"/>
    <x v="0"/>
    <x v="0"/>
    <x v="5"/>
    <x v="0"/>
  </r>
  <r>
    <x v="0"/>
    <x v="0"/>
    <n v="2239039855"/>
    <x v="2"/>
    <n v="21252"/>
    <x v="0"/>
    <x v="0"/>
    <x v="24"/>
    <x v="2"/>
    <x v="0"/>
    <x v="0"/>
    <x v="2"/>
    <x v="0"/>
  </r>
  <r>
    <x v="0"/>
    <x v="0"/>
    <n v="2239039856"/>
    <x v="1"/>
    <n v="13480"/>
    <x v="0"/>
    <x v="0"/>
    <x v="24"/>
    <x v="1"/>
    <x v="0"/>
    <x v="0"/>
    <x v="1"/>
    <x v="0"/>
  </r>
  <r>
    <x v="0"/>
    <x v="0"/>
    <n v="2239039857"/>
    <x v="7"/>
    <n v="1500"/>
    <x v="0"/>
    <x v="0"/>
    <x v="24"/>
    <x v="7"/>
    <x v="0"/>
    <x v="0"/>
    <x v="1"/>
    <x v="0"/>
  </r>
  <r>
    <x v="0"/>
    <x v="0"/>
    <n v="2239039858"/>
    <x v="6"/>
    <n v="3150"/>
    <x v="0"/>
    <x v="0"/>
    <x v="24"/>
    <x v="6"/>
    <x v="0"/>
    <x v="0"/>
    <x v="5"/>
    <x v="0"/>
  </r>
  <r>
    <x v="0"/>
    <x v="0"/>
    <n v="2239039858"/>
    <x v="7"/>
    <n v="1350"/>
    <x v="0"/>
    <x v="0"/>
    <x v="24"/>
    <x v="7"/>
    <x v="0"/>
    <x v="0"/>
    <x v="1"/>
    <x v="0"/>
  </r>
  <r>
    <x v="0"/>
    <x v="0"/>
    <n v="2239039859"/>
    <x v="3"/>
    <n v="2100"/>
    <x v="0"/>
    <x v="0"/>
    <x v="24"/>
    <x v="3"/>
    <x v="0"/>
    <x v="0"/>
    <x v="3"/>
    <x v="0"/>
  </r>
  <r>
    <x v="0"/>
    <x v="0"/>
    <n v="2239039859"/>
    <x v="7"/>
    <n v="900"/>
    <x v="0"/>
    <x v="0"/>
    <x v="24"/>
    <x v="7"/>
    <x v="0"/>
    <x v="0"/>
    <x v="1"/>
    <x v="0"/>
  </r>
  <r>
    <x v="0"/>
    <x v="0"/>
    <n v="2239039860"/>
    <x v="0"/>
    <n v="6000"/>
    <x v="0"/>
    <x v="0"/>
    <x v="24"/>
    <x v="0"/>
    <x v="0"/>
    <x v="0"/>
    <x v="0"/>
    <x v="0"/>
  </r>
  <r>
    <x v="0"/>
    <x v="0"/>
    <n v="2239039861"/>
    <x v="1"/>
    <n v="1350"/>
    <x v="0"/>
    <x v="0"/>
    <x v="24"/>
    <x v="1"/>
    <x v="0"/>
    <x v="0"/>
    <x v="1"/>
    <x v="0"/>
  </r>
  <r>
    <x v="0"/>
    <x v="0"/>
    <n v="2239039862"/>
    <x v="2"/>
    <n v="2100"/>
    <x v="0"/>
    <x v="0"/>
    <x v="24"/>
    <x v="2"/>
    <x v="0"/>
    <x v="0"/>
    <x v="2"/>
    <x v="0"/>
  </r>
  <r>
    <x v="0"/>
    <x v="0"/>
    <n v="2239039862"/>
    <x v="7"/>
    <n v="1400"/>
    <x v="0"/>
    <x v="0"/>
    <x v="24"/>
    <x v="7"/>
    <x v="0"/>
    <x v="0"/>
    <x v="1"/>
    <x v="0"/>
  </r>
  <r>
    <x v="0"/>
    <x v="0"/>
    <n v="2239039863"/>
    <x v="2"/>
    <n v="12100"/>
    <x v="0"/>
    <x v="0"/>
    <x v="24"/>
    <x v="2"/>
    <x v="0"/>
    <x v="0"/>
    <x v="2"/>
    <x v="0"/>
  </r>
  <r>
    <x v="0"/>
    <x v="0"/>
    <n v="2239039864"/>
    <x v="7"/>
    <n v="1500"/>
    <x v="0"/>
    <x v="0"/>
    <x v="24"/>
    <x v="7"/>
    <x v="0"/>
    <x v="0"/>
    <x v="1"/>
    <x v="0"/>
  </r>
  <r>
    <x v="0"/>
    <x v="0"/>
    <n v="2239039867"/>
    <x v="2"/>
    <n v="10730"/>
    <x v="0"/>
    <x v="0"/>
    <x v="24"/>
    <x v="2"/>
    <x v="0"/>
    <x v="0"/>
    <x v="2"/>
    <x v="0"/>
  </r>
  <r>
    <x v="0"/>
    <x v="0"/>
    <n v="2239039868"/>
    <x v="6"/>
    <n v="3250"/>
    <x v="0"/>
    <x v="0"/>
    <x v="24"/>
    <x v="6"/>
    <x v="0"/>
    <x v="0"/>
    <x v="5"/>
    <x v="0"/>
  </r>
  <r>
    <x v="0"/>
    <x v="0"/>
    <n v="2239039869"/>
    <x v="2"/>
    <n v="32560"/>
    <x v="0"/>
    <x v="0"/>
    <x v="24"/>
    <x v="2"/>
    <x v="0"/>
    <x v="0"/>
    <x v="2"/>
    <x v="0"/>
  </r>
  <r>
    <x v="0"/>
    <x v="0"/>
    <n v="2239039870"/>
    <x v="7"/>
    <n v="1500"/>
    <x v="0"/>
    <x v="0"/>
    <x v="24"/>
    <x v="7"/>
    <x v="0"/>
    <x v="0"/>
    <x v="1"/>
    <x v="0"/>
  </r>
  <r>
    <x v="0"/>
    <x v="0"/>
    <n v="2239039871"/>
    <x v="7"/>
    <n v="1500"/>
    <x v="0"/>
    <x v="0"/>
    <x v="24"/>
    <x v="7"/>
    <x v="0"/>
    <x v="0"/>
    <x v="1"/>
    <x v="0"/>
  </r>
  <r>
    <x v="0"/>
    <x v="0"/>
    <n v="2239039872"/>
    <x v="2"/>
    <n v="50490"/>
    <x v="0"/>
    <x v="0"/>
    <x v="24"/>
    <x v="2"/>
    <x v="0"/>
    <x v="0"/>
    <x v="2"/>
    <x v="0"/>
  </r>
  <r>
    <x v="0"/>
    <x v="0"/>
    <n v="2239039873"/>
    <x v="6"/>
    <n v="4000"/>
    <x v="0"/>
    <x v="0"/>
    <x v="24"/>
    <x v="6"/>
    <x v="0"/>
    <x v="0"/>
    <x v="5"/>
    <x v="0"/>
  </r>
  <r>
    <x v="0"/>
    <x v="0"/>
    <n v="2239039874"/>
    <x v="6"/>
    <n v="6500"/>
    <x v="0"/>
    <x v="0"/>
    <x v="24"/>
    <x v="6"/>
    <x v="0"/>
    <x v="0"/>
    <x v="5"/>
    <x v="0"/>
  </r>
  <r>
    <x v="0"/>
    <x v="0"/>
    <n v="2239039875"/>
    <x v="6"/>
    <n v="3000"/>
    <x v="0"/>
    <x v="0"/>
    <x v="24"/>
    <x v="6"/>
    <x v="0"/>
    <x v="0"/>
    <x v="5"/>
    <x v="0"/>
  </r>
  <r>
    <x v="0"/>
    <x v="0"/>
    <n v="2239039877"/>
    <x v="6"/>
    <n v="2500"/>
    <x v="0"/>
    <x v="0"/>
    <x v="24"/>
    <x v="6"/>
    <x v="0"/>
    <x v="0"/>
    <x v="5"/>
    <x v="0"/>
  </r>
  <r>
    <x v="0"/>
    <x v="0"/>
    <n v="2239039878"/>
    <x v="3"/>
    <n v="2400"/>
    <x v="0"/>
    <x v="0"/>
    <x v="24"/>
    <x v="3"/>
    <x v="0"/>
    <x v="0"/>
    <x v="3"/>
    <x v="0"/>
  </r>
  <r>
    <x v="0"/>
    <x v="0"/>
    <n v="2239039878"/>
    <x v="7"/>
    <n v="2400"/>
    <x v="0"/>
    <x v="0"/>
    <x v="24"/>
    <x v="7"/>
    <x v="0"/>
    <x v="0"/>
    <x v="1"/>
    <x v="0"/>
  </r>
  <r>
    <x v="0"/>
    <x v="0"/>
    <n v="2239039879"/>
    <x v="1"/>
    <n v="4350"/>
    <x v="0"/>
    <x v="0"/>
    <x v="24"/>
    <x v="1"/>
    <x v="0"/>
    <x v="0"/>
    <x v="1"/>
    <x v="0"/>
  </r>
  <r>
    <x v="0"/>
    <x v="0"/>
    <n v="2239039880"/>
    <x v="1"/>
    <n v="900"/>
    <x v="0"/>
    <x v="0"/>
    <x v="24"/>
    <x v="1"/>
    <x v="0"/>
    <x v="0"/>
    <x v="1"/>
    <x v="0"/>
  </r>
  <r>
    <x v="0"/>
    <x v="0"/>
    <n v="2239039881"/>
    <x v="2"/>
    <n v="4000"/>
    <x v="0"/>
    <x v="0"/>
    <x v="24"/>
    <x v="2"/>
    <x v="0"/>
    <x v="0"/>
    <x v="2"/>
    <x v="0"/>
  </r>
  <r>
    <x v="0"/>
    <x v="0"/>
    <n v="2239039883"/>
    <x v="2"/>
    <n v="3250"/>
    <x v="0"/>
    <x v="0"/>
    <x v="24"/>
    <x v="2"/>
    <x v="0"/>
    <x v="0"/>
    <x v="2"/>
    <x v="0"/>
  </r>
  <r>
    <x v="0"/>
    <x v="0"/>
    <n v="2239039884"/>
    <x v="2"/>
    <n v="46420"/>
    <x v="0"/>
    <x v="0"/>
    <x v="24"/>
    <x v="2"/>
    <x v="0"/>
    <x v="0"/>
    <x v="2"/>
    <x v="0"/>
  </r>
  <r>
    <x v="0"/>
    <x v="0"/>
    <n v="2239039886"/>
    <x v="2"/>
    <n v="2000"/>
    <x v="0"/>
    <x v="0"/>
    <x v="24"/>
    <x v="2"/>
    <x v="0"/>
    <x v="0"/>
    <x v="2"/>
    <x v="0"/>
  </r>
  <r>
    <x v="0"/>
    <x v="0"/>
    <n v="2239039887"/>
    <x v="6"/>
    <n v="3750"/>
    <x v="0"/>
    <x v="0"/>
    <x v="24"/>
    <x v="6"/>
    <x v="0"/>
    <x v="0"/>
    <x v="5"/>
    <x v="0"/>
  </r>
  <r>
    <x v="0"/>
    <x v="0"/>
    <n v="2239039888"/>
    <x v="7"/>
    <n v="1500"/>
    <x v="0"/>
    <x v="0"/>
    <x v="24"/>
    <x v="7"/>
    <x v="0"/>
    <x v="0"/>
    <x v="1"/>
    <x v="0"/>
  </r>
  <r>
    <x v="0"/>
    <x v="0"/>
    <n v="2239039889"/>
    <x v="6"/>
    <n v="5250"/>
    <x v="0"/>
    <x v="0"/>
    <x v="24"/>
    <x v="6"/>
    <x v="0"/>
    <x v="0"/>
    <x v="5"/>
    <x v="0"/>
  </r>
  <r>
    <x v="0"/>
    <x v="0"/>
    <n v="2239039890"/>
    <x v="2"/>
    <n v="2250"/>
    <x v="0"/>
    <x v="0"/>
    <x v="24"/>
    <x v="2"/>
    <x v="0"/>
    <x v="0"/>
    <x v="2"/>
    <x v="0"/>
  </r>
  <r>
    <x v="0"/>
    <x v="0"/>
    <n v="2239039890"/>
    <x v="7"/>
    <n v="2250"/>
    <x v="0"/>
    <x v="0"/>
    <x v="24"/>
    <x v="7"/>
    <x v="0"/>
    <x v="0"/>
    <x v="1"/>
    <x v="0"/>
  </r>
  <r>
    <x v="0"/>
    <x v="0"/>
    <n v="2239039893"/>
    <x v="2"/>
    <n v="4250"/>
    <x v="0"/>
    <x v="0"/>
    <x v="24"/>
    <x v="2"/>
    <x v="0"/>
    <x v="0"/>
    <x v="2"/>
    <x v="0"/>
  </r>
  <r>
    <x v="0"/>
    <x v="0"/>
    <n v="2239039895"/>
    <x v="2"/>
    <n v="57420"/>
    <x v="0"/>
    <x v="0"/>
    <x v="24"/>
    <x v="2"/>
    <x v="0"/>
    <x v="0"/>
    <x v="2"/>
    <x v="0"/>
  </r>
  <r>
    <x v="0"/>
    <x v="0"/>
    <n v="2239039896"/>
    <x v="4"/>
    <n v="43800"/>
    <x v="0"/>
    <x v="0"/>
    <x v="24"/>
    <x v="4"/>
    <x v="0"/>
    <x v="0"/>
    <x v="4"/>
    <x v="0"/>
  </r>
  <r>
    <x v="0"/>
    <x v="0"/>
    <n v="2239039898"/>
    <x v="2"/>
    <n v="4000"/>
    <x v="0"/>
    <x v="0"/>
    <x v="24"/>
    <x v="2"/>
    <x v="0"/>
    <x v="0"/>
    <x v="2"/>
    <x v="0"/>
  </r>
  <r>
    <x v="0"/>
    <x v="0"/>
    <n v="2239039899"/>
    <x v="2"/>
    <n v="4000"/>
    <x v="0"/>
    <x v="0"/>
    <x v="24"/>
    <x v="2"/>
    <x v="0"/>
    <x v="0"/>
    <x v="2"/>
    <x v="0"/>
  </r>
  <r>
    <x v="0"/>
    <x v="0"/>
    <n v="2239039901"/>
    <x v="5"/>
    <n v="-50"/>
    <x v="0"/>
    <x v="0"/>
    <x v="24"/>
    <x v="5"/>
    <x v="0"/>
    <x v="0"/>
    <x v="5"/>
    <x v="0"/>
  </r>
  <r>
    <x v="0"/>
    <x v="0"/>
    <n v="2239039901"/>
    <x v="6"/>
    <n v="10000"/>
    <x v="0"/>
    <x v="0"/>
    <x v="24"/>
    <x v="6"/>
    <x v="0"/>
    <x v="0"/>
    <x v="5"/>
    <x v="0"/>
  </r>
  <r>
    <x v="0"/>
    <x v="0"/>
    <n v="2239039902"/>
    <x v="7"/>
    <n v="7500"/>
    <x v="0"/>
    <x v="0"/>
    <x v="24"/>
    <x v="7"/>
    <x v="0"/>
    <x v="0"/>
    <x v="1"/>
    <x v="0"/>
  </r>
  <r>
    <x v="0"/>
    <x v="0"/>
    <n v="2239039905"/>
    <x v="2"/>
    <n v="8195"/>
    <x v="0"/>
    <x v="0"/>
    <x v="24"/>
    <x v="2"/>
    <x v="0"/>
    <x v="0"/>
    <x v="2"/>
    <x v="0"/>
  </r>
  <r>
    <x v="0"/>
    <x v="0"/>
    <n v="2239039905"/>
    <x v="7"/>
    <n v="5450"/>
    <x v="0"/>
    <x v="0"/>
    <x v="24"/>
    <x v="7"/>
    <x v="0"/>
    <x v="0"/>
    <x v="1"/>
    <x v="0"/>
  </r>
  <r>
    <x v="0"/>
    <x v="0"/>
    <n v="2239039906"/>
    <x v="2"/>
    <n v="6500"/>
    <x v="0"/>
    <x v="0"/>
    <x v="24"/>
    <x v="2"/>
    <x v="0"/>
    <x v="0"/>
    <x v="2"/>
    <x v="0"/>
  </r>
  <r>
    <x v="0"/>
    <x v="0"/>
    <n v="2239039907"/>
    <x v="5"/>
    <n v="-2950"/>
    <x v="0"/>
    <x v="0"/>
    <x v="24"/>
    <x v="5"/>
    <x v="0"/>
    <x v="0"/>
    <x v="5"/>
    <x v="0"/>
  </r>
  <r>
    <x v="0"/>
    <x v="0"/>
    <n v="2239039907"/>
    <x v="6"/>
    <n v="10000"/>
    <x v="0"/>
    <x v="0"/>
    <x v="24"/>
    <x v="6"/>
    <x v="0"/>
    <x v="0"/>
    <x v="5"/>
    <x v="0"/>
  </r>
  <r>
    <x v="0"/>
    <x v="0"/>
    <n v="2239039907"/>
    <x v="7"/>
    <n v="3800"/>
    <x v="0"/>
    <x v="0"/>
    <x v="24"/>
    <x v="7"/>
    <x v="0"/>
    <x v="0"/>
    <x v="1"/>
    <x v="0"/>
  </r>
  <r>
    <x v="0"/>
    <x v="0"/>
    <n v="2239039908"/>
    <x v="2"/>
    <n v="66660"/>
    <x v="0"/>
    <x v="0"/>
    <x v="24"/>
    <x v="2"/>
    <x v="0"/>
    <x v="0"/>
    <x v="2"/>
    <x v="0"/>
  </r>
  <r>
    <x v="0"/>
    <x v="0"/>
    <n v="2239039908"/>
    <x v="7"/>
    <n v="2000"/>
    <x v="0"/>
    <x v="0"/>
    <x v="24"/>
    <x v="7"/>
    <x v="0"/>
    <x v="0"/>
    <x v="1"/>
    <x v="0"/>
  </r>
  <r>
    <x v="0"/>
    <x v="0"/>
    <n v="2239039909"/>
    <x v="2"/>
    <n v="10725"/>
    <x v="0"/>
    <x v="0"/>
    <x v="24"/>
    <x v="2"/>
    <x v="0"/>
    <x v="0"/>
    <x v="2"/>
    <x v="0"/>
  </r>
  <r>
    <x v="0"/>
    <x v="0"/>
    <n v="2239039910"/>
    <x v="2"/>
    <n v="2100"/>
    <x v="0"/>
    <x v="0"/>
    <x v="24"/>
    <x v="2"/>
    <x v="0"/>
    <x v="0"/>
    <x v="2"/>
    <x v="0"/>
  </r>
  <r>
    <x v="0"/>
    <x v="0"/>
    <n v="2239039911"/>
    <x v="2"/>
    <n v="18645"/>
    <x v="0"/>
    <x v="0"/>
    <x v="24"/>
    <x v="2"/>
    <x v="0"/>
    <x v="0"/>
    <x v="2"/>
    <x v="0"/>
  </r>
  <r>
    <x v="0"/>
    <x v="0"/>
    <n v="2239039912"/>
    <x v="5"/>
    <n v="-7800"/>
    <x v="0"/>
    <x v="0"/>
    <x v="24"/>
    <x v="5"/>
    <x v="0"/>
    <x v="0"/>
    <x v="5"/>
    <x v="0"/>
  </r>
  <r>
    <x v="0"/>
    <x v="0"/>
    <n v="2239039912"/>
    <x v="6"/>
    <n v="20000"/>
    <x v="0"/>
    <x v="0"/>
    <x v="24"/>
    <x v="6"/>
    <x v="0"/>
    <x v="0"/>
    <x v="5"/>
    <x v="0"/>
  </r>
  <r>
    <x v="0"/>
    <x v="0"/>
    <n v="2239039913"/>
    <x v="2"/>
    <n v="21120"/>
    <x v="0"/>
    <x v="0"/>
    <x v="24"/>
    <x v="2"/>
    <x v="0"/>
    <x v="0"/>
    <x v="2"/>
    <x v="0"/>
  </r>
  <r>
    <x v="0"/>
    <x v="0"/>
    <n v="2239039914"/>
    <x v="1"/>
    <n v="3300"/>
    <x v="0"/>
    <x v="0"/>
    <x v="24"/>
    <x v="1"/>
    <x v="0"/>
    <x v="0"/>
    <x v="1"/>
    <x v="0"/>
  </r>
  <r>
    <x v="0"/>
    <x v="0"/>
    <n v="2239039915"/>
    <x v="5"/>
    <n v="-4550"/>
    <x v="0"/>
    <x v="0"/>
    <x v="24"/>
    <x v="5"/>
    <x v="0"/>
    <x v="0"/>
    <x v="5"/>
    <x v="0"/>
  </r>
  <r>
    <x v="0"/>
    <x v="0"/>
    <n v="2239039915"/>
    <x v="6"/>
    <n v="15000"/>
    <x v="0"/>
    <x v="0"/>
    <x v="24"/>
    <x v="6"/>
    <x v="0"/>
    <x v="0"/>
    <x v="5"/>
    <x v="0"/>
  </r>
  <r>
    <x v="0"/>
    <x v="0"/>
    <n v="2239039916"/>
    <x v="7"/>
    <n v="1500"/>
    <x v="0"/>
    <x v="0"/>
    <x v="24"/>
    <x v="7"/>
    <x v="0"/>
    <x v="0"/>
    <x v="1"/>
    <x v="0"/>
  </r>
  <r>
    <x v="0"/>
    <x v="0"/>
    <n v="2239039917"/>
    <x v="2"/>
    <n v="10450"/>
    <x v="0"/>
    <x v="0"/>
    <x v="24"/>
    <x v="2"/>
    <x v="0"/>
    <x v="0"/>
    <x v="2"/>
    <x v="0"/>
  </r>
  <r>
    <x v="0"/>
    <x v="0"/>
    <n v="2239039918"/>
    <x v="5"/>
    <n v="-550"/>
    <x v="0"/>
    <x v="0"/>
    <x v="24"/>
    <x v="5"/>
    <x v="0"/>
    <x v="0"/>
    <x v="5"/>
    <x v="0"/>
  </r>
  <r>
    <x v="0"/>
    <x v="0"/>
    <n v="2239039918"/>
    <x v="6"/>
    <n v="6000"/>
    <x v="0"/>
    <x v="0"/>
    <x v="24"/>
    <x v="6"/>
    <x v="0"/>
    <x v="0"/>
    <x v="5"/>
    <x v="0"/>
  </r>
  <r>
    <x v="0"/>
    <x v="0"/>
    <n v="2239039918"/>
    <x v="7"/>
    <n v="5450"/>
    <x v="0"/>
    <x v="0"/>
    <x v="24"/>
    <x v="7"/>
    <x v="0"/>
    <x v="0"/>
    <x v="1"/>
    <x v="0"/>
  </r>
  <r>
    <x v="0"/>
    <x v="0"/>
    <n v="2239039919"/>
    <x v="2"/>
    <n v="13640"/>
    <x v="0"/>
    <x v="0"/>
    <x v="24"/>
    <x v="2"/>
    <x v="0"/>
    <x v="0"/>
    <x v="2"/>
    <x v="0"/>
  </r>
  <r>
    <x v="0"/>
    <x v="0"/>
    <n v="2239039920"/>
    <x v="2"/>
    <n v="7150"/>
    <x v="0"/>
    <x v="0"/>
    <x v="24"/>
    <x v="2"/>
    <x v="0"/>
    <x v="0"/>
    <x v="2"/>
    <x v="0"/>
  </r>
  <r>
    <x v="0"/>
    <x v="0"/>
    <n v="2239039922"/>
    <x v="2"/>
    <n v="19250"/>
    <x v="0"/>
    <x v="0"/>
    <x v="24"/>
    <x v="2"/>
    <x v="0"/>
    <x v="0"/>
    <x v="2"/>
    <x v="0"/>
  </r>
  <r>
    <x v="0"/>
    <x v="0"/>
    <n v="2239039924"/>
    <x v="2"/>
    <n v="6000"/>
    <x v="0"/>
    <x v="0"/>
    <x v="24"/>
    <x v="2"/>
    <x v="0"/>
    <x v="0"/>
    <x v="2"/>
    <x v="0"/>
  </r>
  <r>
    <x v="0"/>
    <x v="0"/>
    <n v="2239039925"/>
    <x v="2"/>
    <n v="14905"/>
    <x v="0"/>
    <x v="0"/>
    <x v="24"/>
    <x v="2"/>
    <x v="0"/>
    <x v="0"/>
    <x v="2"/>
    <x v="0"/>
  </r>
  <r>
    <x v="0"/>
    <x v="0"/>
    <n v="2239039927"/>
    <x v="6"/>
    <n v="11040"/>
    <x v="0"/>
    <x v="0"/>
    <x v="24"/>
    <x v="6"/>
    <x v="0"/>
    <x v="0"/>
    <x v="5"/>
    <x v="0"/>
  </r>
  <r>
    <x v="0"/>
    <x v="0"/>
    <n v="2239039927"/>
    <x v="7"/>
    <n v="7360"/>
    <x v="0"/>
    <x v="0"/>
    <x v="24"/>
    <x v="7"/>
    <x v="0"/>
    <x v="0"/>
    <x v="1"/>
    <x v="0"/>
  </r>
  <r>
    <x v="0"/>
    <x v="0"/>
    <n v="2239039928"/>
    <x v="2"/>
    <n v="6500"/>
    <x v="0"/>
    <x v="0"/>
    <x v="24"/>
    <x v="2"/>
    <x v="0"/>
    <x v="0"/>
    <x v="2"/>
    <x v="0"/>
  </r>
  <r>
    <x v="0"/>
    <x v="0"/>
    <n v="2239039929"/>
    <x v="5"/>
    <n v="-5000"/>
    <x v="0"/>
    <x v="0"/>
    <x v="24"/>
    <x v="5"/>
    <x v="0"/>
    <x v="0"/>
    <x v="5"/>
    <x v="0"/>
  </r>
  <r>
    <x v="0"/>
    <x v="0"/>
    <n v="2239039929"/>
    <x v="4"/>
    <n v="10600"/>
    <x v="0"/>
    <x v="0"/>
    <x v="24"/>
    <x v="4"/>
    <x v="0"/>
    <x v="0"/>
    <x v="4"/>
    <x v="0"/>
  </r>
  <r>
    <x v="0"/>
    <x v="0"/>
    <n v="2239039930"/>
    <x v="2"/>
    <n v="1500"/>
    <x v="0"/>
    <x v="0"/>
    <x v="24"/>
    <x v="2"/>
    <x v="0"/>
    <x v="0"/>
    <x v="2"/>
    <x v="0"/>
  </r>
  <r>
    <x v="0"/>
    <x v="0"/>
    <n v="2239039931"/>
    <x v="2"/>
    <n v="41745"/>
    <x v="0"/>
    <x v="0"/>
    <x v="24"/>
    <x v="2"/>
    <x v="0"/>
    <x v="0"/>
    <x v="2"/>
    <x v="0"/>
  </r>
  <r>
    <x v="0"/>
    <x v="0"/>
    <n v="2239039933"/>
    <x v="2"/>
    <n v="3520"/>
    <x v="0"/>
    <x v="0"/>
    <x v="24"/>
    <x v="2"/>
    <x v="0"/>
    <x v="0"/>
    <x v="2"/>
    <x v="0"/>
  </r>
  <r>
    <x v="0"/>
    <x v="0"/>
    <n v="2239039934"/>
    <x v="2"/>
    <n v="8800"/>
    <x v="0"/>
    <x v="0"/>
    <x v="24"/>
    <x v="2"/>
    <x v="0"/>
    <x v="0"/>
    <x v="2"/>
    <x v="0"/>
  </r>
  <r>
    <x v="0"/>
    <x v="0"/>
    <n v="2239039935"/>
    <x v="2"/>
    <n v="12320"/>
    <x v="0"/>
    <x v="0"/>
    <x v="24"/>
    <x v="2"/>
    <x v="0"/>
    <x v="0"/>
    <x v="2"/>
    <x v="0"/>
  </r>
  <r>
    <x v="0"/>
    <x v="0"/>
    <n v="2239039936"/>
    <x v="2"/>
    <n v="4750"/>
    <x v="0"/>
    <x v="0"/>
    <x v="24"/>
    <x v="2"/>
    <x v="0"/>
    <x v="0"/>
    <x v="2"/>
    <x v="0"/>
  </r>
  <r>
    <x v="0"/>
    <x v="0"/>
    <n v="2239039937"/>
    <x v="2"/>
    <n v="3000"/>
    <x v="0"/>
    <x v="0"/>
    <x v="24"/>
    <x v="2"/>
    <x v="0"/>
    <x v="0"/>
    <x v="2"/>
    <x v="0"/>
  </r>
  <r>
    <x v="0"/>
    <x v="0"/>
    <n v="2239039938"/>
    <x v="5"/>
    <n v="-1250"/>
    <x v="0"/>
    <x v="0"/>
    <x v="24"/>
    <x v="5"/>
    <x v="0"/>
    <x v="0"/>
    <x v="5"/>
    <x v="0"/>
  </r>
  <r>
    <x v="0"/>
    <x v="0"/>
    <n v="2239039938"/>
    <x v="6"/>
    <n v="5000"/>
    <x v="0"/>
    <x v="0"/>
    <x v="24"/>
    <x v="6"/>
    <x v="0"/>
    <x v="0"/>
    <x v="5"/>
    <x v="0"/>
  </r>
  <r>
    <x v="0"/>
    <x v="0"/>
    <n v="2239039939"/>
    <x v="7"/>
    <n v="1500"/>
    <x v="0"/>
    <x v="0"/>
    <x v="24"/>
    <x v="7"/>
    <x v="0"/>
    <x v="0"/>
    <x v="1"/>
    <x v="0"/>
  </r>
  <r>
    <x v="0"/>
    <x v="0"/>
    <n v="2239039940"/>
    <x v="0"/>
    <n v="5400"/>
    <x v="0"/>
    <x v="0"/>
    <x v="24"/>
    <x v="0"/>
    <x v="0"/>
    <x v="0"/>
    <x v="0"/>
    <x v="0"/>
  </r>
  <r>
    <x v="0"/>
    <x v="0"/>
    <n v="2239039941"/>
    <x v="0"/>
    <n v="2850"/>
    <x v="0"/>
    <x v="0"/>
    <x v="24"/>
    <x v="0"/>
    <x v="0"/>
    <x v="0"/>
    <x v="0"/>
    <x v="0"/>
  </r>
  <r>
    <x v="0"/>
    <x v="0"/>
    <n v="2239039942"/>
    <x v="7"/>
    <n v="1500"/>
    <x v="0"/>
    <x v="0"/>
    <x v="24"/>
    <x v="7"/>
    <x v="0"/>
    <x v="0"/>
    <x v="1"/>
    <x v="0"/>
  </r>
  <r>
    <x v="0"/>
    <x v="0"/>
    <n v="2239039943"/>
    <x v="2"/>
    <n v="3575"/>
    <x v="0"/>
    <x v="0"/>
    <x v="24"/>
    <x v="2"/>
    <x v="0"/>
    <x v="0"/>
    <x v="2"/>
    <x v="0"/>
  </r>
  <r>
    <x v="0"/>
    <x v="0"/>
    <n v="2239039944"/>
    <x v="2"/>
    <n v="26400"/>
    <x v="0"/>
    <x v="0"/>
    <x v="24"/>
    <x v="2"/>
    <x v="0"/>
    <x v="0"/>
    <x v="2"/>
    <x v="0"/>
  </r>
  <r>
    <x v="0"/>
    <x v="0"/>
    <n v="2239039945"/>
    <x v="2"/>
    <n v="14850"/>
    <x v="0"/>
    <x v="0"/>
    <x v="24"/>
    <x v="2"/>
    <x v="0"/>
    <x v="0"/>
    <x v="2"/>
    <x v="0"/>
  </r>
  <r>
    <x v="0"/>
    <x v="0"/>
    <n v="2239039946"/>
    <x v="7"/>
    <n v="1500"/>
    <x v="0"/>
    <x v="0"/>
    <x v="24"/>
    <x v="7"/>
    <x v="0"/>
    <x v="0"/>
    <x v="1"/>
    <x v="0"/>
  </r>
  <r>
    <x v="0"/>
    <x v="0"/>
    <n v="2239039948"/>
    <x v="7"/>
    <n v="1500"/>
    <x v="0"/>
    <x v="0"/>
    <x v="24"/>
    <x v="7"/>
    <x v="0"/>
    <x v="0"/>
    <x v="1"/>
    <x v="0"/>
  </r>
  <r>
    <x v="0"/>
    <x v="0"/>
    <n v="2239039949"/>
    <x v="5"/>
    <n v="-5400"/>
    <x v="0"/>
    <x v="0"/>
    <x v="24"/>
    <x v="5"/>
    <x v="0"/>
    <x v="0"/>
    <x v="5"/>
    <x v="0"/>
  </r>
  <r>
    <x v="0"/>
    <x v="0"/>
    <n v="2239039949"/>
    <x v="4"/>
    <n v="11000"/>
    <x v="0"/>
    <x v="0"/>
    <x v="24"/>
    <x v="4"/>
    <x v="0"/>
    <x v="0"/>
    <x v="4"/>
    <x v="0"/>
  </r>
  <r>
    <x v="0"/>
    <x v="0"/>
    <n v="2239039950"/>
    <x v="7"/>
    <n v="7500"/>
    <x v="0"/>
    <x v="0"/>
    <x v="24"/>
    <x v="7"/>
    <x v="0"/>
    <x v="0"/>
    <x v="1"/>
    <x v="0"/>
  </r>
  <r>
    <x v="0"/>
    <x v="0"/>
    <n v="2239039951"/>
    <x v="7"/>
    <n v="1500"/>
    <x v="0"/>
    <x v="0"/>
    <x v="24"/>
    <x v="7"/>
    <x v="0"/>
    <x v="0"/>
    <x v="1"/>
    <x v="0"/>
  </r>
  <r>
    <x v="0"/>
    <x v="0"/>
    <n v="2239039952"/>
    <x v="6"/>
    <n v="5400"/>
    <x v="0"/>
    <x v="0"/>
    <x v="24"/>
    <x v="6"/>
    <x v="0"/>
    <x v="0"/>
    <x v="5"/>
    <x v="0"/>
  </r>
  <r>
    <x v="0"/>
    <x v="0"/>
    <n v="2239039953"/>
    <x v="2"/>
    <n v="19800"/>
    <x v="0"/>
    <x v="0"/>
    <x v="24"/>
    <x v="2"/>
    <x v="0"/>
    <x v="0"/>
    <x v="2"/>
    <x v="0"/>
  </r>
  <r>
    <x v="0"/>
    <x v="0"/>
    <n v="2239039955"/>
    <x v="3"/>
    <n v="7000"/>
    <x v="0"/>
    <x v="0"/>
    <x v="24"/>
    <x v="3"/>
    <x v="0"/>
    <x v="0"/>
    <x v="3"/>
    <x v="0"/>
  </r>
  <r>
    <x v="0"/>
    <x v="0"/>
    <n v="2239039958"/>
    <x v="2"/>
    <n v="13750"/>
    <x v="0"/>
    <x v="0"/>
    <x v="24"/>
    <x v="2"/>
    <x v="0"/>
    <x v="0"/>
    <x v="2"/>
    <x v="0"/>
  </r>
  <r>
    <x v="0"/>
    <x v="0"/>
    <n v="2239039960"/>
    <x v="7"/>
    <n v="1500"/>
    <x v="0"/>
    <x v="0"/>
    <x v="24"/>
    <x v="7"/>
    <x v="0"/>
    <x v="0"/>
    <x v="1"/>
    <x v="0"/>
  </r>
  <r>
    <x v="0"/>
    <x v="0"/>
    <n v="2239039961"/>
    <x v="2"/>
    <n v="7150"/>
    <x v="0"/>
    <x v="0"/>
    <x v="24"/>
    <x v="2"/>
    <x v="0"/>
    <x v="0"/>
    <x v="2"/>
    <x v="0"/>
  </r>
  <r>
    <x v="0"/>
    <x v="0"/>
    <n v="2239039963"/>
    <x v="0"/>
    <n v="900"/>
    <x v="0"/>
    <x v="0"/>
    <x v="24"/>
    <x v="0"/>
    <x v="0"/>
    <x v="0"/>
    <x v="0"/>
    <x v="0"/>
  </r>
  <r>
    <x v="0"/>
    <x v="0"/>
    <n v="2239039964"/>
    <x v="7"/>
    <n v="1500"/>
    <x v="0"/>
    <x v="0"/>
    <x v="24"/>
    <x v="7"/>
    <x v="0"/>
    <x v="0"/>
    <x v="1"/>
    <x v="0"/>
  </r>
  <r>
    <x v="0"/>
    <x v="0"/>
    <n v="2239039965"/>
    <x v="5"/>
    <n v="-5000"/>
    <x v="0"/>
    <x v="0"/>
    <x v="24"/>
    <x v="5"/>
    <x v="0"/>
    <x v="0"/>
    <x v="5"/>
    <x v="0"/>
  </r>
  <r>
    <x v="0"/>
    <x v="0"/>
    <n v="2239039965"/>
    <x v="6"/>
    <n v="30260"/>
    <x v="0"/>
    <x v="0"/>
    <x v="24"/>
    <x v="6"/>
    <x v="0"/>
    <x v="0"/>
    <x v="5"/>
    <x v="0"/>
  </r>
  <r>
    <x v="0"/>
    <x v="0"/>
    <n v="2239039965"/>
    <x v="7"/>
    <n v="16840"/>
    <x v="0"/>
    <x v="0"/>
    <x v="24"/>
    <x v="7"/>
    <x v="0"/>
    <x v="0"/>
    <x v="1"/>
    <x v="0"/>
  </r>
  <r>
    <x v="0"/>
    <x v="0"/>
    <n v="2239039966"/>
    <x v="5"/>
    <n v="-200"/>
    <x v="0"/>
    <x v="0"/>
    <x v="24"/>
    <x v="5"/>
    <x v="0"/>
    <x v="0"/>
    <x v="5"/>
    <x v="0"/>
  </r>
  <r>
    <x v="0"/>
    <x v="0"/>
    <n v="2239039966"/>
    <x v="6"/>
    <n v="2000"/>
    <x v="0"/>
    <x v="0"/>
    <x v="24"/>
    <x v="6"/>
    <x v="0"/>
    <x v="0"/>
    <x v="5"/>
    <x v="0"/>
  </r>
  <r>
    <x v="0"/>
    <x v="0"/>
    <n v="2239039967"/>
    <x v="7"/>
    <n v="1500"/>
    <x v="0"/>
    <x v="0"/>
    <x v="24"/>
    <x v="7"/>
    <x v="0"/>
    <x v="0"/>
    <x v="1"/>
    <x v="0"/>
  </r>
  <r>
    <x v="0"/>
    <x v="0"/>
    <n v="2239039968"/>
    <x v="2"/>
    <n v="19140"/>
    <x v="0"/>
    <x v="0"/>
    <x v="24"/>
    <x v="2"/>
    <x v="0"/>
    <x v="0"/>
    <x v="2"/>
    <x v="0"/>
  </r>
  <r>
    <x v="0"/>
    <x v="0"/>
    <n v="2239039969"/>
    <x v="2"/>
    <n v="6600"/>
    <x v="0"/>
    <x v="0"/>
    <x v="24"/>
    <x v="2"/>
    <x v="0"/>
    <x v="0"/>
    <x v="2"/>
    <x v="0"/>
  </r>
  <r>
    <x v="0"/>
    <x v="0"/>
    <n v="2239039970"/>
    <x v="0"/>
    <n v="1200"/>
    <x v="0"/>
    <x v="0"/>
    <x v="24"/>
    <x v="0"/>
    <x v="0"/>
    <x v="0"/>
    <x v="0"/>
    <x v="0"/>
  </r>
  <r>
    <x v="0"/>
    <x v="0"/>
    <n v="2239039971"/>
    <x v="5"/>
    <n v="-1800"/>
    <x v="0"/>
    <x v="0"/>
    <x v="24"/>
    <x v="5"/>
    <x v="0"/>
    <x v="0"/>
    <x v="5"/>
    <x v="0"/>
  </r>
  <r>
    <x v="0"/>
    <x v="0"/>
    <n v="2239039971"/>
    <x v="6"/>
    <n v="5000"/>
    <x v="0"/>
    <x v="0"/>
    <x v="24"/>
    <x v="6"/>
    <x v="0"/>
    <x v="0"/>
    <x v="5"/>
    <x v="0"/>
  </r>
  <r>
    <x v="0"/>
    <x v="0"/>
    <n v="2239039972"/>
    <x v="5"/>
    <n v="-520"/>
    <x v="0"/>
    <x v="0"/>
    <x v="24"/>
    <x v="5"/>
    <x v="0"/>
    <x v="0"/>
    <x v="5"/>
    <x v="0"/>
  </r>
  <r>
    <x v="0"/>
    <x v="0"/>
    <n v="2239039972"/>
    <x v="6"/>
    <n v="40000"/>
    <x v="0"/>
    <x v="0"/>
    <x v="24"/>
    <x v="6"/>
    <x v="0"/>
    <x v="0"/>
    <x v="5"/>
    <x v="0"/>
  </r>
  <r>
    <x v="0"/>
    <x v="0"/>
    <n v="2239039973"/>
    <x v="2"/>
    <n v="13200"/>
    <x v="0"/>
    <x v="0"/>
    <x v="24"/>
    <x v="2"/>
    <x v="0"/>
    <x v="0"/>
    <x v="2"/>
    <x v="0"/>
  </r>
  <r>
    <x v="0"/>
    <x v="0"/>
    <n v="2239039974"/>
    <x v="7"/>
    <n v="1500"/>
    <x v="0"/>
    <x v="0"/>
    <x v="24"/>
    <x v="7"/>
    <x v="0"/>
    <x v="0"/>
    <x v="1"/>
    <x v="0"/>
  </r>
  <r>
    <x v="0"/>
    <x v="0"/>
    <n v="2239039976"/>
    <x v="7"/>
    <n v="1500"/>
    <x v="0"/>
    <x v="0"/>
    <x v="24"/>
    <x v="7"/>
    <x v="0"/>
    <x v="0"/>
    <x v="1"/>
    <x v="0"/>
  </r>
  <r>
    <x v="0"/>
    <x v="0"/>
    <n v="2239039977"/>
    <x v="7"/>
    <n v="1500"/>
    <x v="0"/>
    <x v="0"/>
    <x v="24"/>
    <x v="7"/>
    <x v="0"/>
    <x v="0"/>
    <x v="1"/>
    <x v="0"/>
  </r>
  <r>
    <x v="0"/>
    <x v="0"/>
    <n v="2239039978"/>
    <x v="4"/>
    <n v="5300"/>
    <x v="0"/>
    <x v="0"/>
    <x v="24"/>
    <x v="4"/>
    <x v="0"/>
    <x v="0"/>
    <x v="4"/>
    <x v="0"/>
  </r>
  <r>
    <x v="0"/>
    <x v="0"/>
    <n v="2239039979"/>
    <x v="5"/>
    <n v="-6400"/>
    <x v="0"/>
    <x v="0"/>
    <x v="24"/>
    <x v="5"/>
    <x v="0"/>
    <x v="0"/>
    <x v="5"/>
    <x v="0"/>
  </r>
  <r>
    <x v="0"/>
    <x v="0"/>
    <n v="2239039979"/>
    <x v="6"/>
    <n v="10000"/>
    <x v="0"/>
    <x v="0"/>
    <x v="24"/>
    <x v="6"/>
    <x v="0"/>
    <x v="0"/>
    <x v="5"/>
    <x v="0"/>
  </r>
  <r>
    <x v="0"/>
    <x v="0"/>
    <n v="2239039980"/>
    <x v="2"/>
    <n v="61820"/>
    <x v="0"/>
    <x v="0"/>
    <x v="24"/>
    <x v="2"/>
    <x v="0"/>
    <x v="0"/>
    <x v="2"/>
    <x v="0"/>
  </r>
  <r>
    <x v="0"/>
    <x v="0"/>
    <n v="2239039981"/>
    <x v="7"/>
    <n v="7500"/>
    <x v="0"/>
    <x v="0"/>
    <x v="24"/>
    <x v="7"/>
    <x v="0"/>
    <x v="0"/>
    <x v="1"/>
    <x v="0"/>
  </r>
  <r>
    <x v="0"/>
    <x v="0"/>
    <n v="2239039982"/>
    <x v="2"/>
    <n v="56540"/>
    <x v="0"/>
    <x v="0"/>
    <x v="24"/>
    <x v="2"/>
    <x v="0"/>
    <x v="0"/>
    <x v="2"/>
    <x v="0"/>
  </r>
  <r>
    <x v="0"/>
    <x v="0"/>
    <n v="2239039983"/>
    <x v="5"/>
    <n v="-2000"/>
    <x v="0"/>
    <x v="0"/>
    <x v="24"/>
    <x v="5"/>
    <x v="0"/>
    <x v="0"/>
    <x v="5"/>
    <x v="0"/>
  </r>
  <r>
    <x v="0"/>
    <x v="0"/>
    <n v="2239039983"/>
    <x v="6"/>
    <n v="20000"/>
    <x v="0"/>
    <x v="0"/>
    <x v="24"/>
    <x v="6"/>
    <x v="0"/>
    <x v="0"/>
    <x v="5"/>
    <x v="0"/>
  </r>
  <r>
    <x v="0"/>
    <x v="0"/>
    <n v="2239039984"/>
    <x v="2"/>
    <n v="16720"/>
    <x v="0"/>
    <x v="0"/>
    <x v="24"/>
    <x v="2"/>
    <x v="0"/>
    <x v="0"/>
    <x v="2"/>
    <x v="0"/>
  </r>
  <r>
    <x v="0"/>
    <x v="0"/>
    <n v="2239039985"/>
    <x v="4"/>
    <n v="5300"/>
    <x v="0"/>
    <x v="0"/>
    <x v="24"/>
    <x v="4"/>
    <x v="0"/>
    <x v="0"/>
    <x v="4"/>
    <x v="0"/>
  </r>
  <r>
    <x v="0"/>
    <x v="0"/>
    <n v="2239039986"/>
    <x v="5"/>
    <n v="-6160"/>
    <x v="0"/>
    <x v="0"/>
    <x v="24"/>
    <x v="5"/>
    <x v="0"/>
    <x v="0"/>
    <x v="5"/>
    <x v="0"/>
  </r>
  <r>
    <x v="0"/>
    <x v="0"/>
    <n v="2239039986"/>
    <x v="6"/>
    <n v="40000"/>
    <x v="0"/>
    <x v="0"/>
    <x v="24"/>
    <x v="6"/>
    <x v="0"/>
    <x v="0"/>
    <x v="5"/>
    <x v="0"/>
  </r>
  <r>
    <x v="0"/>
    <x v="0"/>
    <n v="2239039988"/>
    <x v="2"/>
    <n v="9900"/>
    <x v="0"/>
    <x v="0"/>
    <x v="24"/>
    <x v="2"/>
    <x v="0"/>
    <x v="0"/>
    <x v="2"/>
    <x v="0"/>
  </r>
  <r>
    <x v="0"/>
    <x v="0"/>
    <n v="2239039988"/>
    <x v="7"/>
    <n v="1100"/>
    <x v="0"/>
    <x v="0"/>
    <x v="24"/>
    <x v="7"/>
    <x v="0"/>
    <x v="0"/>
    <x v="1"/>
    <x v="0"/>
  </r>
  <r>
    <x v="0"/>
    <x v="0"/>
    <n v="2239039989"/>
    <x v="2"/>
    <n v="8550"/>
    <x v="0"/>
    <x v="0"/>
    <x v="24"/>
    <x v="2"/>
    <x v="0"/>
    <x v="0"/>
    <x v="2"/>
    <x v="0"/>
  </r>
  <r>
    <x v="0"/>
    <x v="0"/>
    <n v="2239039989"/>
    <x v="7"/>
    <n v="950"/>
    <x v="0"/>
    <x v="0"/>
    <x v="24"/>
    <x v="7"/>
    <x v="0"/>
    <x v="0"/>
    <x v="1"/>
    <x v="0"/>
  </r>
  <r>
    <x v="0"/>
    <x v="0"/>
    <n v="2239039990"/>
    <x v="2"/>
    <n v="6300"/>
    <x v="0"/>
    <x v="0"/>
    <x v="24"/>
    <x v="2"/>
    <x v="0"/>
    <x v="0"/>
    <x v="2"/>
    <x v="0"/>
  </r>
  <r>
    <x v="0"/>
    <x v="0"/>
    <n v="2239039990"/>
    <x v="7"/>
    <n v="700"/>
    <x v="0"/>
    <x v="0"/>
    <x v="24"/>
    <x v="7"/>
    <x v="0"/>
    <x v="0"/>
    <x v="1"/>
    <x v="0"/>
  </r>
  <r>
    <x v="0"/>
    <x v="0"/>
    <n v="2239039991"/>
    <x v="2"/>
    <n v="24400"/>
    <x v="0"/>
    <x v="0"/>
    <x v="24"/>
    <x v="2"/>
    <x v="0"/>
    <x v="0"/>
    <x v="2"/>
    <x v="0"/>
  </r>
  <r>
    <x v="0"/>
    <x v="0"/>
    <n v="2239039992"/>
    <x v="5"/>
    <n v="-200"/>
    <x v="0"/>
    <x v="0"/>
    <x v="24"/>
    <x v="5"/>
    <x v="0"/>
    <x v="0"/>
    <x v="5"/>
    <x v="0"/>
  </r>
  <r>
    <x v="0"/>
    <x v="0"/>
    <n v="2239039992"/>
    <x v="6"/>
    <n v="5000"/>
    <x v="0"/>
    <x v="0"/>
    <x v="24"/>
    <x v="6"/>
    <x v="0"/>
    <x v="0"/>
    <x v="5"/>
    <x v="0"/>
  </r>
  <r>
    <x v="0"/>
    <x v="0"/>
    <n v="2239039992"/>
    <x v="7"/>
    <n v="1200"/>
    <x v="0"/>
    <x v="0"/>
    <x v="24"/>
    <x v="7"/>
    <x v="0"/>
    <x v="0"/>
    <x v="1"/>
    <x v="0"/>
  </r>
  <r>
    <x v="0"/>
    <x v="0"/>
    <n v="2239039993"/>
    <x v="5"/>
    <n v="-3070"/>
    <x v="0"/>
    <x v="0"/>
    <x v="24"/>
    <x v="5"/>
    <x v="0"/>
    <x v="0"/>
    <x v="5"/>
    <x v="0"/>
  </r>
  <r>
    <x v="0"/>
    <x v="0"/>
    <n v="2239039993"/>
    <x v="6"/>
    <n v="10000"/>
    <x v="0"/>
    <x v="0"/>
    <x v="24"/>
    <x v="6"/>
    <x v="0"/>
    <x v="0"/>
    <x v="5"/>
    <x v="0"/>
  </r>
  <r>
    <x v="0"/>
    <x v="0"/>
    <n v="2239039993"/>
    <x v="7"/>
    <n v="2970"/>
    <x v="0"/>
    <x v="0"/>
    <x v="24"/>
    <x v="7"/>
    <x v="0"/>
    <x v="0"/>
    <x v="1"/>
    <x v="0"/>
  </r>
  <r>
    <x v="0"/>
    <x v="0"/>
    <n v="2239039994"/>
    <x v="2"/>
    <n v="4400"/>
    <x v="0"/>
    <x v="0"/>
    <x v="24"/>
    <x v="2"/>
    <x v="0"/>
    <x v="0"/>
    <x v="2"/>
    <x v="0"/>
  </r>
  <r>
    <x v="0"/>
    <x v="0"/>
    <n v="2239039996"/>
    <x v="2"/>
    <n v="16500"/>
    <x v="0"/>
    <x v="0"/>
    <x v="24"/>
    <x v="2"/>
    <x v="0"/>
    <x v="0"/>
    <x v="2"/>
    <x v="0"/>
  </r>
  <r>
    <x v="0"/>
    <x v="0"/>
    <n v="2239039997"/>
    <x v="2"/>
    <n v="4000"/>
    <x v="0"/>
    <x v="0"/>
    <x v="24"/>
    <x v="2"/>
    <x v="0"/>
    <x v="0"/>
    <x v="2"/>
    <x v="0"/>
  </r>
  <r>
    <x v="0"/>
    <x v="0"/>
    <n v="2239039999"/>
    <x v="5"/>
    <n v="-300"/>
    <x v="0"/>
    <x v="0"/>
    <x v="24"/>
    <x v="5"/>
    <x v="0"/>
    <x v="0"/>
    <x v="5"/>
    <x v="0"/>
  </r>
  <r>
    <x v="0"/>
    <x v="0"/>
    <n v="2239039999"/>
    <x v="6"/>
    <n v="15000"/>
    <x v="0"/>
    <x v="0"/>
    <x v="24"/>
    <x v="6"/>
    <x v="0"/>
    <x v="0"/>
    <x v="5"/>
    <x v="0"/>
  </r>
  <r>
    <x v="0"/>
    <x v="0"/>
    <n v="2239040000"/>
    <x v="2"/>
    <n v="4180"/>
    <x v="0"/>
    <x v="0"/>
    <x v="24"/>
    <x v="2"/>
    <x v="0"/>
    <x v="0"/>
    <x v="2"/>
    <x v="0"/>
  </r>
  <r>
    <x v="0"/>
    <x v="0"/>
    <n v="2239040001"/>
    <x v="2"/>
    <n v="7500"/>
    <x v="0"/>
    <x v="0"/>
    <x v="24"/>
    <x v="2"/>
    <x v="0"/>
    <x v="0"/>
    <x v="2"/>
    <x v="0"/>
  </r>
  <r>
    <x v="0"/>
    <x v="0"/>
    <n v="2239040002"/>
    <x v="2"/>
    <n v="21945"/>
    <x v="0"/>
    <x v="0"/>
    <x v="24"/>
    <x v="2"/>
    <x v="0"/>
    <x v="0"/>
    <x v="2"/>
    <x v="0"/>
  </r>
  <r>
    <x v="0"/>
    <x v="0"/>
    <n v="2239040002"/>
    <x v="7"/>
    <n v="8550"/>
    <x v="0"/>
    <x v="0"/>
    <x v="24"/>
    <x v="7"/>
    <x v="0"/>
    <x v="0"/>
    <x v="1"/>
    <x v="0"/>
  </r>
  <r>
    <x v="0"/>
    <x v="0"/>
    <n v="2239040003"/>
    <x v="2"/>
    <n v="1500"/>
    <x v="0"/>
    <x v="0"/>
    <x v="24"/>
    <x v="2"/>
    <x v="0"/>
    <x v="0"/>
    <x v="2"/>
    <x v="0"/>
  </r>
  <r>
    <x v="0"/>
    <x v="0"/>
    <n v="2239040004"/>
    <x v="5"/>
    <n v="-14400"/>
    <x v="0"/>
    <x v="0"/>
    <x v="24"/>
    <x v="5"/>
    <x v="0"/>
    <x v="0"/>
    <x v="5"/>
    <x v="0"/>
  </r>
  <r>
    <x v="0"/>
    <x v="0"/>
    <n v="2239040004"/>
    <x v="6"/>
    <n v="20000"/>
    <x v="0"/>
    <x v="0"/>
    <x v="24"/>
    <x v="6"/>
    <x v="0"/>
    <x v="0"/>
    <x v="5"/>
    <x v="0"/>
  </r>
  <r>
    <x v="0"/>
    <x v="0"/>
    <n v="2239040004"/>
    <x v="7"/>
    <n v="2400"/>
    <x v="0"/>
    <x v="0"/>
    <x v="24"/>
    <x v="7"/>
    <x v="0"/>
    <x v="0"/>
    <x v="1"/>
    <x v="0"/>
  </r>
  <r>
    <x v="0"/>
    <x v="0"/>
    <n v="2239040005"/>
    <x v="5"/>
    <n v="-450"/>
    <x v="0"/>
    <x v="0"/>
    <x v="24"/>
    <x v="5"/>
    <x v="0"/>
    <x v="0"/>
    <x v="5"/>
    <x v="0"/>
  </r>
  <r>
    <x v="0"/>
    <x v="0"/>
    <n v="2239040005"/>
    <x v="6"/>
    <n v="5000"/>
    <x v="0"/>
    <x v="0"/>
    <x v="24"/>
    <x v="6"/>
    <x v="0"/>
    <x v="0"/>
    <x v="5"/>
    <x v="0"/>
  </r>
  <r>
    <x v="0"/>
    <x v="0"/>
    <n v="2239040005"/>
    <x v="7"/>
    <n v="1950"/>
    <x v="0"/>
    <x v="0"/>
    <x v="24"/>
    <x v="7"/>
    <x v="0"/>
    <x v="0"/>
    <x v="1"/>
    <x v="0"/>
  </r>
  <r>
    <x v="0"/>
    <x v="0"/>
    <n v="2239040006"/>
    <x v="2"/>
    <n v="4000"/>
    <x v="0"/>
    <x v="0"/>
    <x v="24"/>
    <x v="2"/>
    <x v="0"/>
    <x v="0"/>
    <x v="2"/>
    <x v="0"/>
  </r>
  <r>
    <x v="0"/>
    <x v="0"/>
    <n v="2239040007"/>
    <x v="2"/>
    <n v="21780"/>
    <x v="0"/>
    <x v="0"/>
    <x v="24"/>
    <x v="2"/>
    <x v="0"/>
    <x v="0"/>
    <x v="2"/>
    <x v="0"/>
  </r>
  <r>
    <x v="0"/>
    <x v="0"/>
    <n v="2239040007"/>
    <x v="7"/>
    <n v="2200"/>
    <x v="0"/>
    <x v="0"/>
    <x v="24"/>
    <x v="7"/>
    <x v="0"/>
    <x v="0"/>
    <x v="1"/>
    <x v="0"/>
  </r>
  <r>
    <x v="0"/>
    <x v="0"/>
    <n v="2239040008"/>
    <x v="2"/>
    <n v="14000"/>
    <x v="0"/>
    <x v="0"/>
    <x v="24"/>
    <x v="2"/>
    <x v="0"/>
    <x v="0"/>
    <x v="2"/>
    <x v="0"/>
  </r>
  <r>
    <x v="0"/>
    <x v="0"/>
    <n v="2239040010"/>
    <x v="2"/>
    <n v="18700"/>
    <x v="0"/>
    <x v="0"/>
    <x v="24"/>
    <x v="2"/>
    <x v="0"/>
    <x v="0"/>
    <x v="2"/>
    <x v="0"/>
  </r>
  <r>
    <x v="0"/>
    <x v="0"/>
    <n v="2239040011"/>
    <x v="5"/>
    <n v="-14700"/>
    <x v="0"/>
    <x v="0"/>
    <x v="24"/>
    <x v="5"/>
    <x v="0"/>
    <x v="0"/>
    <x v="5"/>
    <x v="0"/>
  </r>
  <r>
    <x v="0"/>
    <x v="0"/>
    <n v="2239040011"/>
    <x v="4"/>
    <n v="20000"/>
    <x v="0"/>
    <x v="0"/>
    <x v="24"/>
    <x v="4"/>
    <x v="0"/>
    <x v="0"/>
    <x v="4"/>
    <x v="0"/>
  </r>
  <r>
    <x v="0"/>
    <x v="0"/>
    <n v="2239040012"/>
    <x v="4"/>
    <n v="5600"/>
    <x v="0"/>
    <x v="0"/>
    <x v="24"/>
    <x v="4"/>
    <x v="0"/>
    <x v="0"/>
    <x v="4"/>
    <x v="0"/>
  </r>
  <r>
    <x v="0"/>
    <x v="0"/>
    <n v="2239040013"/>
    <x v="7"/>
    <n v="1500"/>
    <x v="0"/>
    <x v="0"/>
    <x v="24"/>
    <x v="7"/>
    <x v="0"/>
    <x v="0"/>
    <x v="1"/>
    <x v="0"/>
  </r>
  <r>
    <x v="0"/>
    <x v="0"/>
    <n v="2239040014"/>
    <x v="7"/>
    <n v="1500"/>
    <x v="0"/>
    <x v="0"/>
    <x v="24"/>
    <x v="7"/>
    <x v="0"/>
    <x v="0"/>
    <x v="1"/>
    <x v="0"/>
  </r>
  <r>
    <x v="0"/>
    <x v="0"/>
    <n v="2239040015"/>
    <x v="7"/>
    <n v="7500"/>
    <x v="0"/>
    <x v="0"/>
    <x v="24"/>
    <x v="7"/>
    <x v="0"/>
    <x v="0"/>
    <x v="1"/>
    <x v="0"/>
  </r>
  <r>
    <x v="0"/>
    <x v="0"/>
    <n v="2239040016"/>
    <x v="2"/>
    <n v="15000"/>
    <x v="0"/>
    <x v="0"/>
    <x v="24"/>
    <x v="2"/>
    <x v="0"/>
    <x v="0"/>
    <x v="2"/>
    <x v="0"/>
  </r>
  <r>
    <x v="0"/>
    <x v="0"/>
    <n v="2239040017"/>
    <x v="5"/>
    <n v="-400"/>
    <x v="0"/>
    <x v="0"/>
    <x v="24"/>
    <x v="5"/>
    <x v="0"/>
    <x v="0"/>
    <x v="5"/>
    <x v="0"/>
  </r>
  <r>
    <x v="0"/>
    <x v="0"/>
    <n v="2239040017"/>
    <x v="6"/>
    <n v="6000"/>
    <x v="0"/>
    <x v="0"/>
    <x v="24"/>
    <x v="6"/>
    <x v="0"/>
    <x v="0"/>
    <x v="5"/>
    <x v="0"/>
  </r>
  <r>
    <x v="0"/>
    <x v="0"/>
    <n v="2239040017"/>
    <x v="7"/>
    <n v="2400"/>
    <x v="0"/>
    <x v="0"/>
    <x v="24"/>
    <x v="7"/>
    <x v="0"/>
    <x v="0"/>
    <x v="1"/>
    <x v="0"/>
  </r>
  <r>
    <x v="0"/>
    <x v="0"/>
    <n v="2239040018"/>
    <x v="5"/>
    <n v="-14400"/>
    <x v="0"/>
    <x v="0"/>
    <x v="24"/>
    <x v="5"/>
    <x v="0"/>
    <x v="0"/>
    <x v="5"/>
    <x v="0"/>
  </r>
  <r>
    <x v="0"/>
    <x v="0"/>
    <n v="2239040018"/>
    <x v="4"/>
    <n v="20000"/>
    <x v="0"/>
    <x v="0"/>
    <x v="24"/>
    <x v="4"/>
    <x v="0"/>
    <x v="0"/>
    <x v="4"/>
    <x v="0"/>
  </r>
  <r>
    <x v="0"/>
    <x v="0"/>
    <n v="2239040019"/>
    <x v="2"/>
    <n v="19200"/>
    <x v="0"/>
    <x v="0"/>
    <x v="24"/>
    <x v="2"/>
    <x v="0"/>
    <x v="0"/>
    <x v="2"/>
    <x v="0"/>
  </r>
  <r>
    <x v="0"/>
    <x v="0"/>
    <n v="2239040020"/>
    <x v="2"/>
    <n v="6600"/>
    <x v="0"/>
    <x v="0"/>
    <x v="24"/>
    <x v="2"/>
    <x v="0"/>
    <x v="0"/>
    <x v="2"/>
    <x v="0"/>
  </r>
  <r>
    <x v="0"/>
    <x v="0"/>
    <n v="2239040021"/>
    <x v="2"/>
    <n v="4000"/>
    <x v="0"/>
    <x v="0"/>
    <x v="24"/>
    <x v="2"/>
    <x v="0"/>
    <x v="0"/>
    <x v="2"/>
    <x v="0"/>
  </r>
  <r>
    <x v="0"/>
    <x v="0"/>
    <n v="2239040023"/>
    <x v="5"/>
    <n v="-50"/>
    <x v="0"/>
    <x v="0"/>
    <x v="24"/>
    <x v="5"/>
    <x v="0"/>
    <x v="0"/>
    <x v="5"/>
    <x v="0"/>
  </r>
  <r>
    <x v="0"/>
    <x v="0"/>
    <n v="2239040023"/>
    <x v="6"/>
    <n v="20000"/>
    <x v="0"/>
    <x v="0"/>
    <x v="24"/>
    <x v="6"/>
    <x v="0"/>
    <x v="0"/>
    <x v="5"/>
    <x v="0"/>
  </r>
  <r>
    <x v="0"/>
    <x v="0"/>
    <n v="2239040024"/>
    <x v="5"/>
    <n v="-4400"/>
    <x v="0"/>
    <x v="0"/>
    <x v="24"/>
    <x v="5"/>
    <x v="0"/>
    <x v="0"/>
    <x v="5"/>
    <x v="0"/>
  </r>
  <r>
    <x v="0"/>
    <x v="0"/>
    <n v="2239040024"/>
    <x v="4"/>
    <n v="10000"/>
    <x v="0"/>
    <x v="0"/>
    <x v="24"/>
    <x v="4"/>
    <x v="0"/>
    <x v="0"/>
    <x v="4"/>
    <x v="0"/>
  </r>
  <r>
    <x v="0"/>
    <x v="0"/>
    <n v="2239040025"/>
    <x v="7"/>
    <n v="1500"/>
    <x v="0"/>
    <x v="0"/>
    <x v="24"/>
    <x v="7"/>
    <x v="0"/>
    <x v="0"/>
    <x v="1"/>
    <x v="0"/>
  </r>
  <r>
    <x v="0"/>
    <x v="0"/>
    <n v="2239040026"/>
    <x v="7"/>
    <n v="1500"/>
    <x v="0"/>
    <x v="0"/>
    <x v="24"/>
    <x v="7"/>
    <x v="0"/>
    <x v="0"/>
    <x v="1"/>
    <x v="0"/>
  </r>
  <r>
    <x v="0"/>
    <x v="0"/>
    <n v="2239040028"/>
    <x v="5"/>
    <n v="-1400"/>
    <x v="0"/>
    <x v="0"/>
    <x v="24"/>
    <x v="5"/>
    <x v="0"/>
    <x v="0"/>
    <x v="5"/>
    <x v="0"/>
  </r>
  <r>
    <x v="0"/>
    <x v="0"/>
    <n v="2239040028"/>
    <x v="6"/>
    <n v="5000"/>
    <x v="0"/>
    <x v="0"/>
    <x v="24"/>
    <x v="6"/>
    <x v="0"/>
    <x v="0"/>
    <x v="5"/>
    <x v="0"/>
  </r>
  <r>
    <x v="0"/>
    <x v="0"/>
    <n v="2239040028"/>
    <x v="7"/>
    <n v="900"/>
    <x v="0"/>
    <x v="0"/>
    <x v="24"/>
    <x v="7"/>
    <x v="0"/>
    <x v="0"/>
    <x v="1"/>
    <x v="0"/>
  </r>
  <r>
    <x v="0"/>
    <x v="0"/>
    <n v="2239040030"/>
    <x v="2"/>
    <n v="4000"/>
    <x v="0"/>
    <x v="0"/>
    <x v="24"/>
    <x v="2"/>
    <x v="0"/>
    <x v="0"/>
    <x v="2"/>
    <x v="0"/>
  </r>
  <r>
    <x v="0"/>
    <x v="0"/>
    <n v="2239040031"/>
    <x v="7"/>
    <n v="1500"/>
    <x v="0"/>
    <x v="0"/>
    <x v="24"/>
    <x v="7"/>
    <x v="0"/>
    <x v="0"/>
    <x v="1"/>
    <x v="0"/>
  </r>
  <r>
    <x v="0"/>
    <x v="0"/>
    <n v="2239040032"/>
    <x v="2"/>
    <n v="6083"/>
    <x v="0"/>
    <x v="0"/>
    <x v="24"/>
    <x v="2"/>
    <x v="0"/>
    <x v="0"/>
    <x v="2"/>
    <x v="0"/>
  </r>
  <r>
    <x v="0"/>
    <x v="0"/>
    <n v="2239040032"/>
    <x v="7"/>
    <n v="2370"/>
    <x v="0"/>
    <x v="0"/>
    <x v="24"/>
    <x v="7"/>
    <x v="0"/>
    <x v="0"/>
    <x v="1"/>
    <x v="0"/>
  </r>
  <r>
    <x v="0"/>
    <x v="0"/>
    <n v="2239040033"/>
    <x v="5"/>
    <n v="-5420"/>
    <x v="0"/>
    <x v="0"/>
    <x v="24"/>
    <x v="5"/>
    <x v="0"/>
    <x v="0"/>
    <x v="5"/>
    <x v="0"/>
  </r>
  <r>
    <x v="0"/>
    <x v="0"/>
    <n v="2239040033"/>
    <x v="6"/>
    <n v="40000"/>
    <x v="0"/>
    <x v="0"/>
    <x v="24"/>
    <x v="6"/>
    <x v="0"/>
    <x v="0"/>
    <x v="5"/>
    <x v="0"/>
  </r>
  <r>
    <x v="0"/>
    <x v="0"/>
    <n v="2239040034"/>
    <x v="7"/>
    <n v="4500"/>
    <x v="0"/>
    <x v="0"/>
    <x v="24"/>
    <x v="7"/>
    <x v="0"/>
    <x v="0"/>
    <x v="1"/>
    <x v="0"/>
  </r>
  <r>
    <x v="0"/>
    <x v="0"/>
    <n v="2239040035"/>
    <x v="5"/>
    <n v="-4400"/>
    <x v="0"/>
    <x v="0"/>
    <x v="24"/>
    <x v="5"/>
    <x v="0"/>
    <x v="0"/>
    <x v="5"/>
    <x v="0"/>
  </r>
  <r>
    <x v="0"/>
    <x v="0"/>
    <n v="2239040035"/>
    <x v="4"/>
    <n v="10000"/>
    <x v="0"/>
    <x v="0"/>
    <x v="24"/>
    <x v="4"/>
    <x v="0"/>
    <x v="0"/>
    <x v="4"/>
    <x v="0"/>
  </r>
  <r>
    <x v="0"/>
    <x v="0"/>
    <n v="2239040036"/>
    <x v="7"/>
    <n v="1500"/>
    <x v="0"/>
    <x v="0"/>
    <x v="24"/>
    <x v="7"/>
    <x v="0"/>
    <x v="0"/>
    <x v="1"/>
    <x v="0"/>
  </r>
  <r>
    <x v="0"/>
    <x v="0"/>
    <n v="2239043750"/>
    <x v="5"/>
    <n v="-4000"/>
    <x v="0"/>
    <x v="0"/>
    <x v="0"/>
    <x v="5"/>
    <x v="0"/>
    <x v="0"/>
    <x v="5"/>
    <x v="0"/>
  </r>
  <r>
    <x v="0"/>
    <x v="0"/>
    <n v="2239043750"/>
    <x v="6"/>
    <n v="10000"/>
    <x v="0"/>
    <x v="0"/>
    <x v="0"/>
    <x v="6"/>
    <x v="0"/>
    <x v="0"/>
    <x v="5"/>
    <x v="0"/>
  </r>
  <r>
    <x v="0"/>
    <x v="0"/>
    <n v="2239043751"/>
    <x v="1"/>
    <n v="13440"/>
    <x v="0"/>
    <x v="0"/>
    <x v="0"/>
    <x v="1"/>
    <x v="0"/>
    <x v="0"/>
    <x v="1"/>
    <x v="0"/>
  </r>
  <r>
    <x v="0"/>
    <x v="0"/>
    <n v="2239043752"/>
    <x v="1"/>
    <n v="27140"/>
    <x v="0"/>
    <x v="0"/>
    <x v="0"/>
    <x v="1"/>
    <x v="0"/>
    <x v="0"/>
    <x v="1"/>
    <x v="0"/>
  </r>
  <r>
    <x v="0"/>
    <x v="0"/>
    <n v="2239043753"/>
    <x v="1"/>
    <n v="16150"/>
    <x v="0"/>
    <x v="0"/>
    <x v="0"/>
    <x v="1"/>
    <x v="0"/>
    <x v="0"/>
    <x v="1"/>
    <x v="0"/>
  </r>
  <r>
    <x v="0"/>
    <x v="0"/>
    <n v="2239043754"/>
    <x v="1"/>
    <n v="1140"/>
    <x v="0"/>
    <x v="0"/>
    <x v="0"/>
    <x v="1"/>
    <x v="0"/>
    <x v="0"/>
    <x v="1"/>
    <x v="0"/>
  </r>
  <r>
    <x v="0"/>
    <x v="0"/>
    <n v="2239043755"/>
    <x v="1"/>
    <n v="6440"/>
    <x v="0"/>
    <x v="0"/>
    <x v="0"/>
    <x v="1"/>
    <x v="0"/>
    <x v="0"/>
    <x v="1"/>
    <x v="0"/>
  </r>
  <r>
    <x v="0"/>
    <x v="0"/>
    <n v="2239043756"/>
    <x v="1"/>
    <n v="2700"/>
    <x v="0"/>
    <x v="0"/>
    <x v="0"/>
    <x v="1"/>
    <x v="0"/>
    <x v="0"/>
    <x v="1"/>
    <x v="0"/>
  </r>
  <r>
    <x v="0"/>
    <x v="0"/>
    <n v="2239043757"/>
    <x v="1"/>
    <n v="2910"/>
    <x v="0"/>
    <x v="0"/>
    <x v="0"/>
    <x v="1"/>
    <x v="0"/>
    <x v="0"/>
    <x v="1"/>
    <x v="0"/>
  </r>
  <r>
    <x v="0"/>
    <x v="0"/>
    <n v="2239043758"/>
    <x v="1"/>
    <n v="1140"/>
    <x v="0"/>
    <x v="0"/>
    <x v="0"/>
    <x v="1"/>
    <x v="0"/>
    <x v="0"/>
    <x v="1"/>
    <x v="0"/>
  </r>
  <r>
    <x v="0"/>
    <x v="0"/>
    <n v="2239043759"/>
    <x v="1"/>
    <n v="12040"/>
    <x v="0"/>
    <x v="0"/>
    <x v="0"/>
    <x v="1"/>
    <x v="0"/>
    <x v="0"/>
    <x v="1"/>
    <x v="0"/>
  </r>
  <r>
    <x v="0"/>
    <x v="0"/>
    <n v="2239043760"/>
    <x v="1"/>
    <n v="4590"/>
    <x v="0"/>
    <x v="0"/>
    <x v="0"/>
    <x v="1"/>
    <x v="0"/>
    <x v="0"/>
    <x v="1"/>
    <x v="0"/>
  </r>
  <r>
    <x v="0"/>
    <x v="0"/>
    <n v="2239043761"/>
    <x v="1"/>
    <n v="900"/>
    <x v="0"/>
    <x v="0"/>
    <x v="0"/>
    <x v="1"/>
    <x v="0"/>
    <x v="0"/>
    <x v="1"/>
    <x v="0"/>
  </r>
  <r>
    <x v="0"/>
    <x v="0"/>
    <n v="2239043762"/>
    <x v="2"/>
    <n v="3465"/>
    <x v="0"/>
    <x v="0"/>
    <x v="0"/>
    <x v="2"/>
    <x v="0"/>
    <x v="0"/>
    <x v="2"/>
    <x v="0"/>
  </r>
  <r>
    <x v="0"/>
    <x v="0"/>
    <n v="2239043762"/>
    <x v="7"/>
    <n v="1350"/>
    <x v="0"/>
    <x v="0"/>
    <x v="0"/>
    <x v="7"/>
    <x v="0"/>
    <x v="0"/>
    <x v="1"/>
    <x v="0"/>
  </r>
  <r>
    <x v="0"/>
    <x v="0"/>
    <n v="2239043763"/>
    <x v="1"/>
    <n v="900"/>
    <x v="0"/>
    <x v="0"/>
    <x v="0"/>
    <x v="1"/>
    <x v="0"/>
    <x v="0"/>
    <x v="1"/>
    <x v="0"/>
  </r>
  <r>
    <x v="0"/>
    <x v="0"/>
    <n v="2239043764"/>
    <x v="1"/>
    <n v="1140"/>
    <x v="0"/>
    <x v="0"/>
    <x v="0"/>
    <x v="1"/>
    <x v="0"/>
    <x v="0"/>
    <x v="1"/>
    <x v="0"/>
  </r>
  <r>
    <x v="0"/>
    <x v="0"/>
    <n v="2239043765"/>
    <x v="1"/>
    <n v="900"/>
    <x v="0"/>
    <x v="0"/>
    <x v="0"/>
    <x v="1"/>
    <x v="0"/>
    <x v="0"/>
    <x v="1"/>
    <x v="0"/>
  </r>
  <r>
    <x v="0"/>
    <x v="0"/>
    <n v="2239043766"/>
    <x v="1"/>
    <n v="10620"/>
    <x v="0"/>
    <x v="0"/>
    <x v="0"/>
    <x v="1"/>
    <x v="0"/>
    <x v="0"/>
    <x v="1"/>
    <x v="0"/>
  </r>
  <r>
    <x v="0"/>
    <x v="0"/>
    <n v="2239043767"/>
    <x v="1"/>
    <n v="33920"/>
    <x v="0"/>
    <x v="0"/>
    <x v="0"/>
    <x v="1"/>
    <x v="0"/>
    <x v="0"/>
    <x v="1"/>
    <x v="0"/>
  </r>
  <r>
    <x v="0"/>
    <x v="0"/>
    <n v="2239043768"/>
    <x v="1"/>
    <n v="1800"/>
    <x v="0"/>
    <x v="0"/>
    <x v="0"/>
    <x v="1"/>
    <x v="0"/>
    <x v="0"/>
    <x v="1"/>
    <x v="0"/>
  </r>
  <r>
    <x v="0"/>
    <x v="0"/>
    <n v="2239043769"/>
    <x v="1"/>
    <n v="7500"/>
    <x v="0"/>
    <x v="0"/>
    <x v="0"/>
    <x v="1"/>
    <x v="0"/>
    <x v="0"/>
    <x v="1"/>
    <x v="0"/>
  </r>
  <r>
    <x v="0"/>
    <x v="0"/>
    <n v="2239043771"/>
    <x v="1"/>
    <n v="2100"/>
    <x v="0"/>
    <x v="0"/>
    <x v="0"/>
    <x v="1"/>
    <x v="0"/>
    <x v="0"/>
    <x v="1"/>
    <x v="0"/>
  </r>
  <r>
    <x v="0"/>
    <x v="0"/>
    <n v="2239043772"/>
    <x v="1"/>
    <n v="18000"/>
    <x v="0"/>
    <x v="0"/>
    <x v="0"/>
    <x v="1"/>
    <x v="0"/>
    <x v="0"/>
    <x v="1"/>
    <x v="0"/>
  </r>
  <r>
    <x v="0"/>
    <x v="0"/>
    <n v="2239043773"/>
    <x v="1"/>
    <n v="5700"/>
    <x v="0"/>
    <x v="0"/>
    <x v="0"/>
    <x v="1"/>
    <x v="0"/>
    <x v="0"/>
    <x v="1"/>
    <x v="0"/>
  </r>
  <r>
    <x v="0"/>
    <x v="0"/>
    <n v="2239043774"/>
    <x v="1"/>
    <n v="5700"/>
    <x v="0"/>
    <x v="0"/>
    <x v="0"/>
    <x v="1"/>
    <x v="0"/>
    <x v="0"/>
    <x v="1"/>
    <x v="0"/>
  </r>
  <r>
    <x v="0"/>
    <x v="0"/>
    <n v="2239043775"/>
    <x v="1"/>
    <n v="17380"/>
    <x v="0"/>
    <x v="0"/>
    <x v="0"/>
    <x v="1"/>
    <x v="0"/>
    <x v="0"/>
    <x v="1"/>
    <x v="0"/>
  </r>
  <r>
    <x v="0"/>
    <x v="0"/>
    <n v="2239043776"/>
    <x v="1"/>
    <n v="1140"/>
    <x v="0"/>
    <x v="0"/>
    <x v="0"/>
    <x v="1"/>
    <x v="0"/>
    <x v="0"/>
    <x v="1"/>
    <x v="0"/>
  </r>
  <r>
    <x v="0"/>
    <x v="0"/>
    <n v="2239043777"/>
    <x v="1"/>
    <n v="1140"/>
    <x v="0"/>
    <x v="0"/>
    <x v="0"/>
    <x v="1"/>
    <x v="0"/>
    <x v="0"/>
    <x v="1"/>
    <x v="0"/>
  </r>
  <r>
    <x v="0"/>
    <x v="0"/>
    <n v="2239043778"/>
    <x v="1"/>
    <n v="4740"/>
    <x v="0"/>
    <x v="0"/>
    <x v="0"/>
    <x v="1"/>
    <x v="0"/>
    <x v="0"/>
    <x v="1"/>
    <x v="0"/>
  </r>
  <r>
    <x v="0"/>
    <x v="0"/>
    <n v="2239043779"/>
    <x v="1"/>
    <n v="900"/>
    <x v="0"/>
    <x v="0"/>
    <x v="0"/>
    <x v="1"/>
    <x v="0"/>
    <x v="0"/>
    <x v="1"/>
    <x v="0"/>
  </r>
  <r>
    <x v="0"/>
    <x v="0"/>
    <n v="2239043780"/>
    <x v="1"/>
    <n v="1140"/>
    <x v="0"/>
    <x v="0"/>
    <x v="0"/>
    <x v="1"/>
    <x v="0"/>
    <x v="0"/>
    <x v="1"/>
    <x v="0"/>
  </r>
  <r>
    <x v="0"/>
    <x v="0"/>
    <n v="2239043781"/>
    <x v="1"/>
    <n v="2100"/>
    <x v="0"/>
    <x v="0"/>
    <x v="0"/>
    <x v="1"/>
    <x v="0"/>
    <x v="0"/>
    <x v="1"/>
    <x v="0"/>
  </r>
  <r>
    <x v="0"/>
    <x v="0"/>
    <n v="2239043782"/>
    <x v="1"/>
    <n v="8800"/>
    <x v="0"/>
    <x v="0"/>
    <x v="0"/>
    <x v="1"/>
    <x v="0"/>
    <x v="0"/>
    <x v="1"/>
    <x v="0"/>
  </r>
  <r>
    <x v="0"/>
    <x v="0"/>
    <n v="2239043783"/>
    <x v="1"/>
    <n v="2250"/>
    <x v="0"/>
    <x v="0"/>
    <x v="0"/>
    <x v="1"/>
    <x v="0"/>
    <x v="0"/>
    <x v="1"/>
    <x v="0"/>
  </r>
  <r>
    <x v="0"/>
    <x v="0"/>
    <n v="2239043784"/>
    <x v="1"/>
    <n v="2100"/>
    <x v="0"/>
    <x v="0"/>
    <x v="0"/>
    <x v="1"/>
    <x v="0"/>
    <x v="0"/>
    <x v="1"/>
    <x v="0"/>
  </r>
  <r>
    <x v="0"/>
    <x v="0"/>
    <n v="2239043785"/>
    <x v="1"/>
    <n v="11800"/>
    <x v="0"/>
    <x v="0"/>
    <x v="0"/>
    <x v="1"/>
    <x v="0"/>
    <x v="0"/>
    <x v="1"/>
    <x v="0"/>
  </r>
  <r>
    <x v="0"/>
    <x v="0"/>
    <n v="2239043786"/>
    <x v="2"/>
    <n v="7090"/>
    <x v="0"/>
    <x v="0"/>
    <x v="0"/>
    <x v="2"/>
    <x v="0"/>
    <x v="0"/>
    <x v="2"/>
    <x v="0"/>
  </r>
  <r>
    <x v="0"/>
    <x v="0"/>
    <n v="2239043787"/>
    <x v="2"/>
    <n v="14180"/>
    <x v="0"/>
    <x v="0"/>
    <x v="0"/>
    <x v="2"/>
    <x v="0"/>
    <x v="0"/>
    <x v="2"/>
    <x v="0"/>
  </r>
  <r>
    <x v="0"/>
    <x v="0"/>
    <n v="2239043788"/>
    <x v="2"/>
    <n v="18568"/>
    <x v="0"/>
    <x v="0"/>
    <x v="0"/>
    <x v="2"/>
    <x v="0"/>
    <x v="0"/>
    <x v="2"/>
    <x v="0"/>
  </r>
  <r>
    <x v="0"/>
    <x v="0"/>
    <n v="2239043789"/>
    <x v="2"/>
    <n v="7090"/>
    <x v="0"/>
    <x v="0"/>
    <x v="0"/>
    <x v="2"/>
    <x v="0"/>
    <x v="0"/>
    <x v="2"/>
    <x v="0"/>
  </r>
  <r>
    <x v="0"/>
    <x v="0"/>
    <n v="2239043790"/>
    <x v="2"/>
    <n v="7090"/>
    <x v="0"/>
    <x v="0"/>
    <x v="0"/>
    <x v="2"/>
    <x v="0"/>
    <x v="0"/>
    <x v="2"/>
    <x v="0"/>
  </r>
  <r>
    <x v="0"/>
    <x v="0"/>
    <n v="2239043791"/>
    <x v="2"/>
    <n v="14168"/>
    <x v="0"/>
    <x v="0"/>
    <x v="0"/>
    <x v="2"/>
    <x v="0"/>
    <x v="0"/>
    <x v="2"/>
    <x v="0"/>
  </r>
  <r>
    <x v="0"/>
    <x v="0"/>
    <n v="2239043792"/>
    <x v="5"/>
    <n v="-7120"/>
    <x v="0"/>
    <x v="0"/>
    <x v="0"/>
    <x v="5"/>
    <x v="0"/>
    <x v="0"/>
    <x v="5"/>
    <x v="0"/>
  </r>
  <r>
    <x v="0"/>
    <x v="0"/>
    <n v="2239043792"/>
    <x v="6"/>
    <n v="20000"/>
    <x v="0"/>
    <x v="0"/>
    <x v="0"/>
    <x v="6"/>
    <x v="0"/>
    <x v="0"/>
    <x v="5"/>
    <x v="0"/>
  </r>
  <r>
    <x v="0"/>
    <x v="0"/>
    <n v="2239043793"/>
    <x v="7"/>
    <n v="1500"/>
    <x v="0"/>
    <x v="0"/>
    <x v="0"/>
    <x v="7"/>
    <x v="0"/>
    <x v="0"/>
    <x v="1"/>
    <x v="0"/>
  </r>
  <r>
    <x v="0"/>
    <x v="0"/>
    <n v="2239043794"/>
    <x v="5"/>
    <n v="-6360"/>
    <x v="0"/>
    <x v="0"/>
    <x v="0"/>
    <x v="5"/>
    <x v="0"/>
    <x v="0"/>
    <x v="5"/>
    <x v="0"/>
  </r>
  <r>
    <x v="0"/>
    <x v="0"/>
    <n v="2239043794"/>
    <x v="6"/>
    <n v="30000"/>
    <x v="0"/>
    <x v="0"/>
    <x v="0"/>
    <x v="6"/>
    <x v="0"/>
    <x v="0"/>
    <x v="5"/>
    <x v="0"/>
  </r>
  <r>
    <x v="0"/>
    <x v="0"/>
    <n v="2239043794"/>
    <x v="7"/>
    <n v="15760"/>
    <x v="0"/>
    <x v="0"/>
    <x v="0"/>
    <x v="7"/>
    <x v="0"/>
    <x v="0"/>
    <x v="1"/>
    <x v="0"/>
  </r>
  <r>
    <x v="0"/>
    <x v="0"/>
    <n v="2239043795"/>
    <x v="7"/>
    <n v="1500"/>
    <x v="0"/>
    <x v="0"/>
    <x v="0"/>
    <x v="7"/>
    <x v="0"/>
    <x v="0"/>
    <x v="1"/>
    <x v="0"/>
  </r>
  <r>
    <x v="0"/>
    <x v="0"/>
    <n v="2239043796"/>
    <x v="7"/>
    <n v="1500"/>
    <x v="0"/>
    <x v="0"/>
    <x v="0"/>
    <x v="7"/>
    <x v="0"/>
    <x v="0"/>
    <x v="1"/>
    <x v="0"/>
  </r>
  <r>
    <x v="0"/>
    <x v="0"/>
    <n v="2239043797"/>
    <x v="7"/>
    <n v="1500"/>
    <x v="0"/>
    <x v="0"/>
    <x v="0"/>
    <x v="7"/>
    <x v="0"/>
    <x v="0"/>
    <x v="1"/>
    <x v="0"/>
  </r>
  <r>
    <x v="0"/>
    <x v="0"/>
    <n v="2239043798"/>
    <x v="7"/>
    <n v="1500"/>
    <x v="0"/>
    <x v="0"/>
    <x v="0"/>
    <x v="7"/>
    <x v="0"/>
    <x v="0"/>
    <x v="1"/>
    <x v="0"/>
  </r>
  <r>
    <x v="0"/>
    <x v="0"/>
    <n v="2239043799"/>
    <x v="7"/>
    <n v="1500"/>
    <x v="0"/>
    <x v="0"/>
    <x v="0"/>
    <x v="7"/>
    <x v="0"/>
    <x v="0"/>
    <x v="1"/>
    <x v="0"/>
  </r>
  <r>
    <x v="0"/>
    <x v="0"/>
    <n v="2239043801"/>
    <x v="5"/>
    <n v="-6250"/>
    <x v="0"/>
    <x v="0"/>
    <x v="0"/>
    <x v="5"/>
    <x v="0"/>
    <x v="0"/>
    <x v="5"/>
    <x v="0"/>
  </r>
  <r>
    <x v="0"/>
    <x v="0"/>
    <n v="2239043801"/>
    <x v="6"/>
    <n v="10000"/>
    <x v="0"/>
    <x v="0"/>
    <x v="0"/>
    <x v="6"/>
    <x v="0"/>
    <x v="0"/>
    <x v="5"/>
    <x v="0"/>
  </r>
  <r>
    <x v="0"/>
    <x v="0"/>
    <n v="2239043802"/>
    <x v="2"/>
    <n v="32010"/>
    <x v="0"/>
    <x v="0"/>
    <x v="0"/>
    <x v="2"/>
    <x v="0"/>
    <x v="0"/>
    <x v="2"/>
    <x v="0"/>
  </r>
  <r>
    <x v="0"/>
    <x v="0"/>
    <n v="2239043803"/>
    <x v="6"/>
    <n v="2400"/>
    <x v="0"/>
    <x v="0"/>
    <x v="0"/>
    <x v="6"/>
    <x v="0"/>
    <x v="0"/>
    <x v="5"/>
    <x v="0"/>
  </r>
  <r>
    <x v="0"/>
    <x v="0"/>
    <n v="2239043803"/>
    <x v="7"/>
    <n v="2400"/>
    <x v="0"/>
    <x v="0"/>
    <x v="0"/>
    <x v="7"/>
    <x v="0"/>
    <x v="0"/>
    <x v="1"/>
    <x v="0"/>
  </r>
  <r>
    <x v="0"/>
    <x v="0"/>
    <n v="2239043805"/>
    <x v="2"/>
    <n v="3850"/>
    <x v="0"/>
    <x v="0"/>
    <x v="0"/>
    <x v="2"/>
    <x v="0"/>
    <x v="0"/>
    <x v="2"/>
    <x v="0"/>
  </r>
  <r>
    <x v="0"/>
    <x v="0"/>
    <n v="2239043806"/>
    <x v="7"/>
    <n v="1500"/>
    <x v="0"/>
    <x v="0"/>
    <x v="0"/>
    <x v="7"/>
    <x v="0"/>
    <x v="0"/>
    <x v="1"/>
    <x v="0"/>
  </r>
  <r>
    <x v="0"/>
    <x v="0"/>
    <n v="2239043807"/>
    <x v="5"/>
    <n v="-3100"/>
    <x v="0"/>
    <x v="0"/>
    <x v="0"/>
    <x v="5"/>
    <x v="0"/>
    <x v="0"/>
    <x v="5"/>
    <x v="0"/>
  </r>
  <r>
    <x v="0"/>
    <x v="0"/>
    <n v="2239043807"/>
    <x v="6"/>
    <n v="20000"/>
    <x v="0"/>
    <x v="0"/>
    <x v="0"/>
    <x v="6"/>
    <x v="0"/>
    <x v="0"/>
    <x v="5"/>
    <x v="0"/>
  </r>
  <r>
    <x v="0"/>
    <x v="0"/>
    <n v="2239043809"/>
    <x v="1"/>
    <n v="5400"/>
    <x v="0"/>
    <x v="0"/>
    <x v="0"/>
    <x v="1"/>
    <x v="0"/>
    <x v="0"/>
    <x v="1"/>
    <x v="0"/>
  </r>
  <r>
    <x v="0"/>
    <x v="0"/>
    <n v="2239043810"/>
    <x v="2"/>
    <n v="35860"/>
    <x v="0"/>
    <x v="0"/>
    <x v="0"/>
    <x v="2"/>
    <x v="0"/>
    <x v="0"/>
    <x v="2"/>
    <x v="0"/>
  </r>
  <r>
    <x v="0"/>
    <x v="0"/>
    <n v="2239043811"/>
    <x v="5"/>
    <n v="-4150"/>
    <x v="0"/>
    <x v="0"/>
    <x v="0"/>
    <x v="5"/>
    <x v="0"/>
    <x v="0"/>
    <x v="5"/>
    <x v="0"/>
  </r>
  <r>
    <x v="0"/>
    <x v="0"/>
    <n v="2239043811"/>
    <x v="6"/>
    <n v="30000"/>
    <x v="0"/>
    <x v="0"/>
    <x v="0"/>
    <x v="6"/>
    <x v="0"/>
    <x v="0"/>
    <x v="5"/>
    <x v="0"/>
  </r>
  <r>
    <x v="0"/>
    <x v="0"/>
    <n v="2239043812"/>
    <x v="6"/>
    <n v="2000"/>
    <x v="0"/>
    <x v="0"/>
    <x v="0"/>
    <x v="6"/>
    <x v="0"/>
    <x v="0"/>
    <x v="5"/>
    <x v="0"/>
  </r>
  <r>
    <x v="0"/>
    <x v="0"/>
    <n v="2239043813"/>
    <x v="1"/>
    <n v="2100"/>
    <x v="0"/>
    <x v="0"/>
    <x v="0"/>
    <x v="1"/>
    <x v="0"/>
    <x v="0"/>
    <x v="1"/>
    <x v="0"/>
  </r>
  <r>
    <x v="0"/>
    <x v="0"/>
    <n v="2239043814"/>
    <x v="6"/>
    <n v="1000"/>
    <x v="0"/>
    <x v="0"/>
    <x v="0"/>
    <x v="6"/>
    <x v="0"/>
    <x v="0"/>
    <x v="5"/>
    <x v="0"/>
  </r>
  <r>
    <x v="0"/>
    <x v="0"/>
    <n v="2239043815"/>
    <x v="3"/>
    <n v="22484"/>
    <x v="0"/>
    <x v="0"/>
    <x v="0"/>
    <x v="3"/>
    <x v="0"/>
    <x v="0"/>
    <x v="3"/>
    <x v="0"/>
  </r>
  <r>
    <x v="0"/>
    <x v="0"/>
    <n v="2239043816"/>
    <x v="3"/>
    <n v="18865"/>
    <x v="0"/>
    <x v="0"/>
    <x v="0"/>
    <x v="3"/>
    <x v="0"/>
    <x v="0"/>
    <x v="3"/>
    <x v="0"/>
  </r>
  <r>
    <x v="0"/>
    <x v="0"/>
    <n v="2239043817"/>
    <x v="6"/>
    <n v="1900"/>
    <x v="0"/>
    <x v="0"/>
    <x v="0"/>
    <x v="6"/>
    <x v="0"/>
    <x v="0"/>
    <x v="5"/>
    <x v="0"/>
  </r>
  <r>
    <x v="0"/>
    <x v="0"/>
    <n v="2239043817"/>
    <x v="7"/>
    <n v="1900"/>
    <x v="0"/>
    <x v="0"/>
    <x v="0"/>
    <x v="7"/>
    <x v="0"/>
    <x v="0"/>
    <x v="1"/>
    <x v="0"/>
  </r>
  <r>
    <x v="0"/>
    <x v="0"/>
    <n v="2239043818"/>
    <x v="6"/>
    <n v="11400"/>
    <x v="0"/>
    <x v="0"/>
    <x v="0"/>
    <x v="6"/>
    <x v="0"/>
    <x v="0"/>
    <x v="5"/>
    <x v="0"/>
  </r>
  <r>
    <x v="0"/>
    <x v="0"/>
    <n v="2239043819"/>
    <x v="2"/>
    <n v="3000"/>
    <x v="0"/>
    <x v="0"/>
    <x v="0"/>
    <x v="2"/>
    <x v="0"/>
    <x v="0"/>
    <x v="2"/>
    <x v="0"/>
  </r>
  <r>
    <x v="0"/>
    <x v="0"/>
    <n v="2239043820"/>
    <x v="2"/>
    <n v="2000"/>
    <x v="0"/>
    <x v="0"/>
    <x v="0"/>
    <x v="2"/>
    <x v="0"/>
    <x v="0"/>
    <x v="2"/>
    <x v="0"/>
  </r>
  <r>
    <x v="0"/>
    <x v="0"/>
    <n v="2239043821"/>
    <x v="2"/>
    <n v="47685"/>
    <x v="0"/>
    <x v="0"/>
    <x v="0"/>
    <x v="2"/>
    <x v="0"/>
    <x v="0"/>
    <x v="2"/>
    <x v="0"/>
  </r>
  <r>
    <x v="0"/>
    <x v="0"/>
    <n v="2239043822"/>
    <x v="2"/>
    <n v="30910"/>
    <x v="0"/>
    <x v="0"/>
    <x v="0"/>
    <x v="2"/>
    <x v="0"/>
    <x v="0"/>
    <x v="2"/>
    <x v="0"/>
  </r>
  <r>
    <x v="0"/>
    <x v="0"/>
    <n v="2239043823"/>
    <x v="5"/>
    <n v="-2300"/>
    <x v="0"/>
    <x v="0"/>
    <x v="0"/>
    <x v="5"/>
    <x v="0"/>
    <x v="0"/>
    <x v="5"/>
    <x v="0"/>
  </r>
  <r>
    <x v="0"/>
    <x v="0"/>
    <n v="2239043823"/>
    <x v="6"/>
    <n v="50000"/>
    <x v="0"/>
    <x v="0"/>
    <x v="0"/>
    <x v="6"/>
    <x v="0"/>
    <x v="0"/>
    <x v="5"/>
    <x v="0"/>
  </r>
  <r>
    <x v="0"/>
    <x v="0"/>
    <n v="2239043824"/>
    <x v="2"/>
    <n v="27115"/>
    <x v="0"/>
    <x v="0"/>
    <x v="0"/>
    <x v="2"/>
    <x v="0"/>
    <x v="0"/>
    <x v="2"/>
    <x v="0"/>
  </r>
  <r>
    <x v="0"/>
    <x v="0"/>
    <n v="2239043825"/>
    <x v="2"/>
    <n v="65780"/>
    <x v="0"/>
    <x v="0"/>
    <x v="0"/>
    <x v="2"/>
    <x v="0"/>
    <x v="0"/>
    <x v="2"/>
    <x v="0"/>
  </r>
  <r>
    <x v="0"/>
    <x v="0"/>
    <n v="2239043826"/>
    <x v="6"/>
    <n v="1000"/>
    <x v="0"/>
    <x v="0"/>
    <x v="0"/>
    <x v="6"/>
    <x v="0"/>
    <x v="0"/>
    <x v="5"/>
    <x v="0"/>
  </r>
  <r>
    <x v="0"/>
    <x v="0"/>
    <n v="2239043827"/>
    <x v="1"/>
    <n v="55150"/>
    <x v="0"/>
    <x v="0"/>
    <x v="0"/>
    <x v="1"/>
    <x v="0"/>
    <x v="0"/>
    <x v="1"/>
    <x v="0"/>
  </r>
  <r>
    <x v="0"/>
    <x v="0"/>
    <n v="2239043829"/>
    <x v="1"/>
    <n v="5700"/>
    <x v="0"/>
    <x v="0"/>
    <x v="0"/>
    <x v="1"/>
    <x v="0"/>
    <x v="0"/>
    <x v="1"/>
    <x v="0"/>
  </r>
  <r>
    <x v="0"/>
    <x v="0"/>
    <n v="2239043831"/>
    <x v="3"/>
    <n v="28710"/>
    <x v="0"/>
    <x v="0"/>
    <x v="0"/>
    <x v="3"/>
    <x v="0"/>
    <x v="0"/>
    <x v="3"/>
    <x v="0"/>
  </r>
  <r>
    <x v="0"/>
    <x v="0"/>
    <n v="2239043833"/>
    <x v="7"/>
    <n v="1500"/>
    <x v="0"/>
    <x v="0"/>
    <x v="0"/>
    <x v="7"/>
    <x v="0"/>
    <x v="0"/>
    <x v="1"/>
    <x v="0"/>
  </r>
  <r>
    <x v="0"/>
    <x v="0"/>
    <n v="2239043834"/>
    <x v="1"/>
    <n v="3150"/>
    <x v="0"/>
    <x v="0"/>
    <x v="0"/>
    <x v="1"/>
    <x v="0"/>
    <x v="0"/>
    <x v="1"/>
    <x v="0"/>
  </r>
  <r>
    <x v="0"/>
    <x v="0"/>
    <n v="2239043835"/>
    <x v="4"/>
    <n v="5000"/>
    <x v="0"/>
    <x v="0"/>
    <x v="0"/>
    <x v="4"/>
    <x v="0"/>
    <x v="0"/>
    <x v="4"/>
    <x v="0"/>
  </r>
  <r>
    <x v="0"/>
    <x v="0"/>
    <n v="2239043836"/>
    <x v="5"/>
    <n v="-5400"/>
    <x v="0"/>
    <x v="0"/>
    <x v="0"/>
    <x v="5"/>
    <x v="0"/>
    <x v="0"/>
    <x v="5"/>
    <x v="0"/>
  </r>
  <r>
    <x v="0"/>
    <x v="0"/>
    <n v="2239043836"/>
    <x v="4"/>
    <n v="10000"/>
    <x v="0"/>
    <x v="0"/>
    <x v="0"/>
    <x v="4"/>
    <x v="0"/>
    <x v="0"/>
    <x v="4"/>
    <x v="0"/>
  </r>
  <r>
    <x v="0"/>
    <x v="0"/>
    <n v="2239043837"/>
    <x v="4"/>
    <n v="5000"/>
    <x v="0"/>
    <x v="0"/>
    <x v="0"/>
    <x v="4"/>
    <x v="0"/>
    <x v="0"/>
    <x v="4"/>
    <x v="0"/>
  </r>
  <r>
    <x v="0"/>
    <x v="0"/>
    <n v="2239043838"/>
    <x v="2"/>
    <n v="38335"/>
    <x v="0"/>
    <x v="0"/>
    <x v="0"/>
    <x v="2"/>
    <x v="0"/>
    <x v="0"/>
    <x v="2"/>
    <x v="0"/>
  </r>
  <r>
    <x v="0"/>
    <x v="0"/>
    <n v="2239043839"/>
    <x v="3"/>
    <n v="24640"/>
    <x v="0"/>
    <x v="0"/>
    <x v="0"/>
    <x v="3"/>
    <x v="0"/>
    <x v="0"/>
    <x v="3"/>
    <x v="0"/>
  </r>
  <r>
    <x v="0"/>
    <x v="0"/>
    <n v="2239043840"/>
    <x v="2"/>
    <n v="15345"/>
    <x v="0"/>
    <x v="0"/>
    <x v="0"/>
    <x v="2"/>
    <x v="0"/>
    <x v="0"/>
    <x v="2"/>
    <x v="0"/>
  </r>
  <r>
    <x v="0"/>
    <x v="0"/>
    <n v="2239043841"/>
    <x v="2"/>
    <n v="4950"/>
    <x v="0"/>
    <x v="0"/>
    <x v="0"/>
    <x v="2"/>
    <x v="0"/>
    <x v="0"/>
    <x v="2"/>
    <x v="0"/>
  </r>
  <r>
    <x v="0"/>
    <x v="0"/>
    <n v="2239043842"/>
    <x v="5"/>
    <n v="-1050"/>
    <x v="0"/>
    <x v="0"/>
    <x v="0"/>
    <x v="5"/>
    <x v="0"/>
    <x v="0"/>
    <x v="5"/>
    <x v="0"/>
  </r>
  <r>
    <x v="0"/>
    <x v="0"/>
    <n v="2239043842"/>
    <x v="6"/>
    <n v="20000"/>
    <x v="0"/>
    <x v="0"/>
    <x v="0"/>
    <x v="6"/>
    <x v="0"/>
    <x v="0"/>
    <x v="5"/>
    <x v="0"/>
  </r>
  <r>
    <x v="0"/>
    <x v="0"/>
    <n v="2239043843"/>
    <x v="2"/>
    <n v="15450"/>
    <x v="0"/>
    <x v="0"/>
    <x v="0"/>
    <x v="2"/>
    <x v="0"/>
    <x v="0"/>
    <x v="2"/>
    <x v="0"/>
  </r>
  <r>
    <x v="0"/>
    <x v="0"/>
    <n v="2239043844"/>
    <x v="2"/>
    <n v="13145"/>
    <x v="0"/>
    <x v="0"/>
    <x v="0"/>
    <x v="2"/>
    <x v="0"/>
    <x v="0"/>
    <x v="2"/>
    <x v="0"/>
  </r>
  <r>
    <x v="0"/>
    <x v="0"/>
    <n v="2239043845"/>
    <x v="1"/>
    <n v="25550"/>
    <x v="0"/>
    <x v="0"/>
    <x v="0"/>
    <x v="1"/>
    <x v="0"/>
    <x v="0"/>
    <x v="1"/>
    <x v="0"/>
  </r>
  <r>
    <x v="0"/>
    <x v="0"/>
    <n v="2239043846"/>
    <x v="2"/>
    <n v="9000"/>
    <x v="0"/>
    <x v="0"/>
    <x v="0"/>
    <x v="2"/>
    <x v="0"/>
    <x v="0"/>
    <x v="2"/>
    <x v="0"/>
  </r>
  <r>
    <x v="0"/>
    <x v="0"/>
    <n v="2239043847"/>
    <x v="2"/>
    <n v="30195"/>
    <x v="0"/>
    <x v="0"/>
    <x v="0"/>
    <x v="2"/>
    <x v="0"/>
    <x v="0"/>
    <x v="2"/>
    <x v="0"/>
  </r>
  <r>
    <x v="0"/>
    <x v="0"/>
    <n v="2239043848"/>
    <x v="2"/>
    <n v="11495"/>
    <x v="0"/>
    <x v="0"/>
    <x v="0"/>
    <x v="2"/>
    <x v="0"/>
    <x v="0"/>
    <x v="2"/>
    <x v="0"/>
  </r>
  <r>
    <x v="0"/>
    <x v="0"/>
    <n v="2239043849"/>
    <x v="2"/>
    <n v="6750"/>
    <x v="0"/>
    <x v="0"/>
    <x v="0"/>
    <x v="2"/>
    <x v="0"/>
    <x v="0"/>
    <x v="2"/>
    <x v="0"/>
  </r>
  <r>
    <x v="0"/>
    <x v="0"/>
    <n v="2239043850"/>
    <x v="3"/>
    <n v="10670"/>
    <x v="0"/>
    <x v="0"/>
    <x v="0"/>
    <x v="3"/>
    <x v="0"/>
    <x v="0"/>
    <x v="3"/>
    <x v="0"/>
  </r>
  <r>
    <x v="0"/>
    <x v="0"/>
    <n v="2239043850"/>
    <x v="2"/>
    <n v="10670"/>
    <x v="0"/>
    <x v="0"/>
    <x v="0"/>
    <x v="2"/>
    <x v="0"/>
    <x v="0"/>
    <x v="2"/>
    <x v="0"/>
  </r>
  <r>
    <x v="0"/>
    <x v="0"/>
    <n v="2239043851"/>
    <x v="2"/>
    <n v="17545"/>
    <x v="0"/>
    <x v="0"/>
    <x v="0"/>
    <x v="2"/>
    <x v="0"/>
    <x v="0"/>
    <x v="2"/>
    <x v="0"/>
  </r>
  <r>
    <x v="0"/>
    <x v="0"/>
    <n v="2239043852"/>
    <x v="5"/>
    <n v="-2400"/>
    <x v="0"/>
    <x v="0"/>
    <x v="0"/>
    <x v="5"/>
    <x v="0"/>
    <x v="0"/>
    <x v="5"/>
    <x v="0"/>
  </r>
  <r>
    <x v="0"/>
    <x v="0"/>
    <n v="2239043852"/>
    <x v="6"/>
    <n v="10000"/>
    <x v="0"/>
    <x v="0"/>
    <x v="0"/>
    <x v="6"/>
    <x v="0"/>
    <x v="0"/>
    <x v="5"/>
    <x v="0"/>
  </r>
  <r>
    <x v="0"/>
    <x v="0"/>
    <n v="2239043853"/>
    <x v="2"/>
    <n v="29095"/>
    <x v="0"/>
    <x v="0"/>
    <x v="0"/>
    <x v="2"/>
    <x v="0"/>
    <x v="0"/>
    <x v="2"/>
    <x v="0"/>
  </r>
  <r>
    <x v="0"/>
    <x v="0"/>
    <n v="2239043854"/>
    <x v="2"/>
    <n v="39325"/>
    <x v="0"/>
    <x v="0"/>
    <x v="0"/>
    <x v="2"/>
    <x v="0"/>
    <x v="0"/>
    <x v="2"/>
    <x v="0"/>
  </r>
  <r>
    <x v="0"/>
    <x v="0"/>
    <n v="2239043854"/>
    <x v="7"/>
    <n v="1900"/>
    <x v="0"/>
    <x v="0"/>
    <x v="0"/>
    <x v="7"/>
    <x v="0"/>
    <x v="0"/>
    <x v="1"/>
    <x v="0"/>
  </r>
  <r>
    <x v="0"/>
    <x v="0"/>
    <n v="2239043855"/>
    <x v="2"/>
    <n v="22440"/>
    <x v="0"/>
    <x v="0"/>
    <x v="0"/>
    <x v="2"/>
    <x v="0"/>
    <x v="0"/>
    <x v="2"/>
    <x v="0"/>
  </r>
  <r>
    <x v="0"/>
    <x v="0"/>
    <n v="2239043856"/>
    <x v="2"/>
    <n v="18450"/>
    <x v="0"/>
    <x v="0"/>
    <x v="0"/>
    <x v="2"/>
    <x v="0"/>
    <x v="0"/>
    <x v="2"/>
    <x v="0"/>
  </r>
  <r>
    <x v="0"/>
    <x v="0"/>
    <n v="2239043858"/>
    <x v="6"/>
    <n v="2000"/>
    <x v="0"/>
    <x v="0"/>
    <x v="0"/>
    <x v="6"/>
    <x v="0"/>
    <x v="0"/>
    <x v="5"/>
    <x v="0"/>
  </r>
  <r>
    <x v="0"/>
    <x v="0"/>
    <n v="2239043859"/>
    <x v="6"/>
    <n v="15450"/>
    <x v="0"/>
    <x v="0"/>
    <x v="0"/>
    <x v="6"/>
    <x v="0"/>
    <x v="0"/>
    <x v="5"/>
    <x v="0"/>
  </r>
  <r>
    <x v="0"/>
    <x v="0"/>
    <n v="2239043860"/>
    <x v="2"/>
    <n v="30250"/>
    <x v="0"/>
    <x v="0"/>
    <x v="0"/>
    <x v="2"/>
    <x v="0"/>
    <x v="0"/>
    <x v="2"/>
    <x v="0"/>
  </r>
  <r>
    <x v="0"/>
    <x v="0"/>
    <n v="2239043862"/>
    <x v="1"/>
    <n v="4500"/>
    <x v="0"/>
    <x v="0"/>
    <x v="0"/>
    <x v="1"/>
    <x v="0"/>
    <x v="0"/>
    <x v="1"/>
    <x v="0"/>
  </r>
  <r>
    <x v="0"/>
    <x v="0"/>
    <n v="2239043863"/>
    <x v="2"/>
    <n v="36740"/>
    <x v="0"/>
    <x v="0"/>
    <x v="0"/>
    <x v="2"/>
    <x v="0"/>
    <x v="0"/>
    <x v="2"/>
    <x v="0"/>
  </r>
  <r>
    <x v="0"/>
    <x v="0"/>
    <n v="2239043865"/>
    <x v="2"/>
    <n v="14520"/>
    <x v="0"/>
    <x v="0"/>
    <x v="0"/>
    <x v="2"/>
    <x v="0"/>
    <x v="0"/>
    <x v="2"/>
    <x v="0"/>
  </r>
  <r>
    <x v="0"/>
    <x v="0"/>
    <n v="2239043866"/>
    <x v="7"/>
    <n v="1500"/>
    <x v="0"/>
    <x v="0"/>
    <x v="0"/>
    <x v="7"/>
    <x v="0"/>
    <x v="0"/>
    <x v="1"/>
    <x v="0"/>
  </r>
  <r>
    <x v="0"/>
    <x v="0"/>
    <n v="2239043867"/>
    <x v="5"/>
    <n v="-2250"/>
    <x v="0"/>
    <x v="0"/>
    <x v="0"/>
    <x v="5"/>
    <x v="0"/>
    <x v="0"/>
    <x v="5"/>
    <x v="0"/>
  </r>
  <r>
    <x v="0"/>
    <x v="0"/>
    <n v="2239043867"/>
    <x v="6"/>
    <n v="60000"/>
    <x v="0"/>
    <x v="0"/>
    <x v="0"/>
    <x v="6"/>
    <x v="0"/>
    <x v="0"/>
    <x v="5"/>
    <x v="0"/>
  </r>
  <r>
    <x v="0"/>
    <x v="0"/>
    <n v="2239043867"/>
    <x v="7"/>
    <n v="21850"/>
    <x v="0"/>
    <x v="0"/>
    <x v="0"/>
    <x v="7"/>
    <x v="0"/>
    <x v="0"/>
    <x v="1"/>
    <x v="0"/>
  </r>
  <r>
    <x v="0"/>
    <x v="0"/>
    <n v="2239043868"/>
    <x v="5"/>
    <n v="-7000"/>
    <x v="0"/>
    <x v="0"/>
    <x v="0"/>
    <x v="5"/>
    <x v="0"/>
    <x v="0"/>
    <x v="5"/>
    <x v="0"/>
  </r>
  <r>
    <x v="0"/>
    <x v="0"/>
    <n v="2239043868"/>
    <x v="6"/>
    <n v="10500"/>
    <x v="0"/>
    <x v="0"/>
    <x v="0"/>
    <x v="6"/>
    <x v="0"/>
    <x v="0"/>
    <x v="5"/>
    <x v="0"/>
  </r>
  <r>
    <x v="0"/>
    <x v="0"/>
    <n v="2239043869"/>
    <x v="2"/>
    <n v="29480"/>
    <x v="0"/>
    <x v="0"/>
    <x v="0"/>
    <x v="2"/>
    <x v="0"/>
    <x v="0"/>
    <x v="2"/>
    <x v="0"/>
  </r>
  <r>
    <x v="0"/>
    <x v="0"/>
    <n v="2239043870"/>
    <x v="2"/>
    <n v="20845"/>
    <x v="0"/>
    <x v="0"/>
    <x v="0"/>
    <x v="2"/>
    <x v="0"/>
    <x v="0"/>
    <x v="2"/>
    <x v="0"/>
  </r>
  <r>
    <x v="0"/>
    <x v="0"/>
    <n v="2239043871"/>
    <x v="5"/>
    <n v="-4600"/>
    <x v="0"/>
    <x v="0"/>
    <x v="0"/>
    <x v="5"/>
    <x v="0"/>
    <x v="0"/>
    <x v="5"/>
    <x v="0"/>
  </r>
  <r>
    <x v="0"/>
    <x v="0"/>
    <n v="2239043871"/>
    <x v="6"/>
    <n v="20000"/>
    <x v="0"/>
    <x v="0"/>
    <x v="0"/>
    <x v="6"/>
    <x v="0"/>
    <x v="0"/>
    <x v="5"/>
    <x v="0"/>
  </r>
  <r>
    <x v="0"/>
    <x v="0"/>
    <n v="2239043873"/>
    <x v="2"/>
    <n v="44880"/>
    <x v="0"/>
    <x v="0"/>
    <x v="0"/>
    <x v="2"/>
    <x v="0"/>
    <x v="0"/>
    <x v="2"/>
    <x v="0"/>
  </r>
  <r>
    <x v="0"/>
    <x v="0"/>
    <n v="2239043874"/>
    <x v="2"/>
    <n v="11550"/>
    <x v="0"/>
    <x v="0"/>
    <x v="0"/>
    <x v="2"/>
    <x v="0"/>
    <x v="0"/>
    <x v="2"/>
    <x v="0"/>
  </r>
  <r>
    <x v="0"/>
    <x v="0"/>
    <n v="2239043875"/>
    <x v="5"/>
    <n v="-7000"/>
    <x v="0"/>
    <x v="0"/>
    <x v="0"/>
    <x v="5"/>
    <x v="0"/>
    <x v="0"/>
    <x v="5"/>
    <x v="0"/>
  </r>
  <r>
    <x v="0"/>
    <x v="0"/>
    <n v="2239043875"/>
    <x v="6"/>
    <n v="10500"/>
    <x v="0"/>
    <x v="0"/>
    <x v="0"/>
    <x v="6"/>
    <x v="0"/>
    <x v="0"/>
    <x v="5"/>
    <x v="0"/>
  </r>
  <r>
    <x v="0"/>
    <x v="0"/>
    <n v="2239043877"/>
    <x v="5"/>
    <n v="-6750"/>
    <x v="0"/>
    <x v="0"/>
    <x v="0"/>
    <x v="5"/>
    <x v="0"/>
    <x v="0"/>
    <x v="5"/>
    <x v="0"/>
  </r>
  <r>
    <x v="0"/>
    <x v="0"/>
    <n v="2239043877"/>
    <x v="6"/>
    <n v="20000"/>
    <x v="0"/>
    <x v="0"/>
    <x v="0"/>
    <x v="6"/>
    <x v="0"/>
    <x v="0"/>
    <x v="5"/>
    <x v="0"/>
  </r>
  <r>
    <x v="0"/>
    <x v="0"/>
    <n v="2239043878"/>
    <x v="1"/>
    <n v="6000"/>
    <x v="0"/>
    <x v="0"/>
    <x v="0"/>
    <x v="1"/>
    <x v="0"/>
    <x v="0"/>
    <x v="1"/>
    <x v="0"/>
  </r>
  <r>
    <x v="0"/>
    <x v="0"/>
    <n v="2239043879"/>
    <x v="7"/>
    <n v="4000"/>
    <x v="0"/>
    <x v="0"/>
    <x v="0"/>
    <x v="7"/>
    <x v="0"/>
    <x v="0"/>
    <x v="1"/>
    <x v="0"/>
  </r>
  <r>
    <x v="0"/>
    <x v="0"/>
    <n v="2239043880"/>
    <x v="6"/>
    <n v="2000"/>
    <x v="0"/>
    <x v="0"/>
    <x v="0"/>
    <x v="6"/>
    <x v="0"/>
    <x v="0"/>
    <x v="5"/>
    <x v="0"/>
  </r>
  <r>
    <x v="0"/>
    <x v="0"/>
    <n v="2239043881"/>
    <x v="2"/>
    <n v="3300"/>
    <x v="0"/>
    <x v="0"/>
    <x v="0"/>
    <x v="2"/>
    <x v="0"/>
    <x v="0"/>
    <x v="2"/>
    <x v="0"/>
  </r>
  <r>
    <x v="0"/>
    <x v="0"/>
    <n v="2239043882"/>
    <x v="5"/>
    <n v="-5550"/>
    <x v="0"/>
    <x v="0"/>
    <x v="0"/>
    <x v="5"/>
    <x v="0"/>
    <x v="0"/>
    <x v="5"/>
    <x v="0"/>
  </r>
  <r>
    <x v="0"/>
    <x v="0"/>
    <n v="2239043882"/>
    <x v="6"/>
    <n v="52000"/>
    <x v="0"/>
    <x v="0"/>
    <x v="0"/>
    <x v="6"/>
    <x v="0"/>
    <x v="0"/>
    <x v="5"/>
    <x v="0"/>
  </r>
  <r>
    <x v="0"/>
    <x v="0"/>
    <n v="2239043883"/>
    <x v="1"/>
    <n v="3750"/>
    <x v="0"/>
    <x v="0"/>
    <x v="0"/>
    <x v="1"/>
    <x v="0"/>
    <x v="0"/>
    <x v="1"/>
    <x v="0"/>
  </r>
  <r>
    <x v="0"/>
    <x v="0"/>
    <n v="2239043884"/>
    <x v="7"/>
    <n v="1500"/>
    <x v="0"/>
    <x v="0"/>
    <x v="0"/>
    <x v="7"/>
    <x v="0"/>
    <x v="0"/>
    <x v="1"/>
    <x v="0"/>
  </r>
  <r>
    <x v="0"/>
    <x v="0"/>
    <n v="2239043885"/>
    <x v="1"/>
    <n v="2700"/>
    <x v="0"/>
    <x v="0"/>
    <x v="0"/>
    <x v="1"/>
    <x v="0"/>
    <x v="0"/>
    <x v="1"/>
    <x v="0"/>
  </r>
  <r>
    <x v="0"/>
    <x v="0"/>
    <n v="2239043886"/>
    <x v="2"/>
    <n v="14795"/>
    <x v="0"/>
    <x v="0"/>
    <x v="0"/>
    <x v="2"/>
    <x v="0"/>
    <x v="0"/>
    <x v="2"/>
    <x v="0"/>
  </r>
  <r>
    <x v="0"/>
    <x v="0"/>
    <n v="2239043887"/>
    <x v="6"/>
    <n v="2000"/>
    <x v="0"/>
    <x v="0"/>
    <x v="0"/>
    <x v="6"/>
    <x v="0"/>
    <x v="0"/>
    <x v="5"/>
    <x v="0"/>
  </r>
  <r>
    <x v="0"/>
    <x v="0"/>
    <n v="2239043888"/>
    <x v="2"/>
    <n v="2200"/>
    <x v="0"/>
    <x v="0"/>
    <x v="0"/>
    <x v="2"/>
    <x v="0"/>
    <x v="0"/>
    <x v="2"/>
    <x v="0"/>
  </r>
  <r>
    <x v="0"/>
    <x v="0"/>
    <n v="2239043889"/>
    <x v="4"/>
    <n v="5700"/>
    <x v="0"/>
    <x v="0"/>
    <x v="0"/>
    <x v="4"/>
    <x v="0"/>
    <x v="0"/>
    <x v="4"/>
    <x v="0"/>
  </r>
  <r>
    <x v="0"/>
    <x v="0"/>
    <n v="2239043890"/>
    <x v="1"/>
    <n v="2850"/>
    <x v="0"/>
    <x v="0"/>
    <x v="0"/>
    <x v="1"/>
    <x v="0"/>
    <x v="0"/>
    <x v="1"/>
    <x v="0"/>
  </r>
  <r>
    <x v="0"/>
    <x v="0"/>
    <n v="2239043891"/>
    <x v="6"/>
    <n v="2000"/>
    <x v="0"/>
    <x v="0"/>
    <x v="0"/>
    <x v="6"/>
    <x v="0"/>
    <x v="0"/>
    <x v="5"/>
    <x v="0"/>
  </r>
  <r>
    <x v="0"/>
    <x v="0"/>
    <n v="2239043892"/>
    <x v="5"/>
    <n v="-700"/>
    <x v="0"/>
    <x v="0"/>
    <x v="0"/>
    <x v="5"/>
    <x v="0"/>
    <x v="0"/>
    <x v="5"/>
    <x v="0"/>
  </r>
  <r>
    <x v="0"/>
    <x v="0"/>
    <n v="2239043892"/>
    <x v="4"/>
    <n v="6000"/>
    <x v="0"/>
    <x v="0"/>
    <x v="0"/>
    <x v="4"/>
    <x v="0"/>
    <x v="0"/>
    <x v="4"/>
    <x v="0"/>
  </r>
  <r>
    <x v="0"/>
    <x v="0"/>
    <n v="2239043894"/>
    <x v="7"/>
    <n v="1500"/>
    <x v="0"/>
    <x v="0"/>
    <x v="0"/>
    <x v="7"/>
    <x v="0"/>
    <x v="0"/>
    <x v="1"/>
    <x v="0"/>
  </r>
  <r>
    <x v="0"/>
    <x v="0"/>
    <n v="2239043897"/>
    <x v="6"/>
    <n v="1000"/>
    <x v="0"/>
    <x v="0"/>
    <x v="0"/>
    <x v="6"/>
    <x v="0"/>
    <x v="0"/>
    <x v="5"/>
    <x v="0"/>
  </r>
  <r>
    <x v="0"/>
    <x v="0"/>
    <n v="2239043898"/>
    <x v="4"/>
    <n v="4600"/>
    <x v="0"/>
    <x v="0"/>
    <x v="0"/>
    <x v="4"/>
    <x v="0"/>
    <x v="0"/>
    <x v="4"/>
    <x v="0"/>
  </r>
  <r>
    <x v="0"/>
    <x v="0"/>
    <n v="2239043899"/>
    <x v="2"/>
    <n v="18975"/>
    <x v="0"/>
    <x v="0"/>
    <x v="0"/>
    <x v="2"/>
    <x v="0"/>
    <x v="0"/>
    <x v="2"/>
    <x v="0"/>
  </r>
  <r>
    <x v="0"/>
    <x v="0"/>
    <n v="2239043903"/>
    <x v="2"/>
    <n v="48015"/>
    <x v="0"/>
    <x v="0"/>
    <x v="0"/>
    <x v="2"/>
    <x v="0"/>
    <x v="0"/>
    <x v="2"/>
    <x v="0"/>
  </r>
  <r>
    <x v="0"/>
    <x v="0"/>
    <n v="2239043904"/>
    <x v="5"/>
    <n v="-1000"/>
    <x v="0"/>
    <x v="0"/>
    <x v="0"/>
    <x v="5"/>
    <x v="0"/>
    <x v="0"/>
    <x v="5"/>
    <x v="0"/>
  </r>
  <r>
    <x v="0"/>
    <x v="0"/>
    <n v="2239043904"/>
    <x v="6"/>
    <n v="20000"/>
    <x v="0"/>
    <x v="0"/>
    <x v="0"/>
    <x v="6"/>
    <x v="0"/>
    <x v="0"/>
    <x v="5"/>
    <x v="0"/>
  </r>
  <r>
    <x v="0"/>
    <x v="0"/>
    <n v="2239043905"/>
    <x v="2"/>
    <n v="5000"/>
    <x v="0"/>
    <x v="0"/>
    <x v="0"/>
    <x v="2"/>
    <x v="0"/>
    <x v="0"/>
    <x v="2"/>
    <x v="0"/>
  </r>
  <r>
    <x v="0"/>
    <x v="0"/>
    <n v="2239043906"/>
    <x v="1"/>
    <n v="2700"/>
    <x v="0"/>
    <x v="0"/>
    <x v="0"/>
    <x v="1"/>
    <x v="0"/>
    <x v="0"/>
    <x v="1"/>
    <x v="0"/>
  </r>
  <r>
    <x v="0"/>
    <x v="0"/>
    <n v="2239043907"/>
    <x v="5"/>
    <n v="-15000"/>
    <x v="0"/>
    <x v="0"/>
    <x v="0"/>
    <x v="5"/>
    <x v="0"/>
    <x v="0"/>
    <x v="5"/>
    <x v="0"/>
  </r>
  <r>
    <x v="0"/>
    <x v="0"/>
    <n v="2239043907"/>
    <x v="4"/>
    <n v="20700"/>
    <x v="0"/>
    <x v="0"/>
    <x v="0"/>
    <x v="4"/>
    <x v="0"/>
    <x v="0"/>
    <x v="4"/>
    <x v="0"/>
  </r>
  <r>
    <x v="0"/>
    <x v="0"/>
    <n v="2239043908"/>
    <x v="5"/>
    <n v="-2600"/>
    <x v="0"/>
    <x v="0"/>
    <x v="0"/>
    <x v="5"/>
    <x v="0"/>
    <x v="0"/>
    <x v="5"/>
    <x v="0"/>
  </r>
  <r>
    <x v="0"/>
    <x v="0"/>
    <n v="2239043908"/>
    <x v="6"/>
    <n v="5000"/>
    <x v="0"/>
    <x v="0"/>
    <x v="0"/>
    <x v="6"/>
    <x v="0"/>
    <x v="0"/>
    <x v="5"/>
    <x v="0"/>
  </r>
  <r>
    <x v="0"/>
    <x v="0"/>
    <n v="2239043910"/>
    <x v="4"/>
    <n v="5000"/>
    <x v="0"/>
    <x v="0"/>
    <x v="0"/>
    <x v="4"/>
    <x v="0"/>
    <x v="0"/>
    <x v="4"/>
    <x v="0"/>
  </r>
  <r>
    <x v="0"/>
    <x v="0"/>
    <n v="2239043911"/>
    <x v="5"/>
    <n v="-8800"/>
    <x v="0"/>
    <x v="0"/>
    <x v="0"/>
    <x v="5"/>
    <x v="0"/>
    <x v="0"/>
    <x v="5"/>
    <x v="0"/>
  </r>
  <r>
    <x v="0"/>
    <x v="0"/>
    <n v="2239043911"/>
    <x v="4"/>
    <n v="20000"/>
    <x v="0"/>
    <x v="0"/>
    <x v="0"/>
    <x v="4"/>
    <x v="0"/>
    <x v="0"/>
    <x v="4"/>
    <x v="0"/>
  </r>
  <r>
    <x v="0"/>
    <x v="0"/>
    <n v="2239043912"/>
    <x v="7"/>
    <n v="1500"/>
    <x v="0"/>
    <x v="0"/>
    <x v="0"/>
    <x v="7"/>
    <x v="0"/>
    <x v="0"/>
    <x v="1"/>
    <x v="0"/>
  </r>
  <r>
    <x v="0"/>
    <x v="0"/>
    <n v="2239043913"/>
    <x v="2"/>
    <n v="28600"/>
    <x v="0"/>
    <x v="0"/>
    <x v="0"/>
    <x v="2"/>
    <x v="0"/>
    <x v="0"/>
    <x v="2"/>
    <x v="0"/>
  </r>
  <r>
    <x v="0"/>
    <x v="0"/>
    <n v="2239043914"/>
    <x v="1"/>
    <n v="1140"/>
    <x v="0"/>
    <x v="0"/>
    <x v="0"/>
    <x v="1"/>
    <x v="0"/>
    <x v="0"/>
    <x v="1"/>
    <x v="0"/>
  </r>
  <r>
    <x v="0"/>
    <x v="0"/>
    <n v="2239043915"/>
    <x v="1"/>
    <n v="3390"/>
    <x v="0"/>
    <x v="0"/>
    <x v="0"/>
    <x v="1"/>
    <x v="0"/>
    <x v="0"/>
    <x v="1"/>
    <x v="0"/>
  </r>
  <r>
    <x v="0"/>
    <x v="0"/>
    <n v="2239043916"/>
    <x v="6"/>
    <n v="2000"/>
    <x v="0"/>
    <x v="0"/>
    <x v="0"/>
    <x v="6"/>
    <x v="0"/>
    <x v="0"/>
    <x v="5"/>
    <x v="0"/>
  </r>
  <r>
    <x v="0"/>
    <x v="0"/>
    <n v="2239043917"/>
    <x v="2"/>
    <n v="3300"/>
    <x v="0"/>
    <x v="0"/>
    <x v="0"/>
    <x v="2"/>
    <x v="0"/>
    <x v="0"/>
    <x v="2"/>
    <x v="0"/>
  </r>
  <r>
    <x v="0"/>
    <x v="0"/>
    <n v="2239043918"/>
    <x v="3"/>
    <n v="33385"/>
    <x v="0"/>
    <x v="0"/>
    <x v="0"/>
    <x v="3"/>
    <x v="0"/>
    <x v="0"/>
    <x v="3"/>
    <x v="0"/>
  </r>
  <r>
    <x v="0"/>
    <x v="0"/>
    <n v="2239043919"/>
    <x v="2"/>
    <n v="21670"/>
    <x v="0"/>
    <x v="0"/>
    <x v="0"/>
    <x v="2"/>
    <x v="0"/>
    <x v="0"/>
    <x v="2"/>
    <x v="0"/>
  </r>
  <r>
    <x v="0"/>
    <x v="0"/>
    <n v="2239043919"/>
    <x v="7"/>
    <n v="10000"/>
    <x v="0"/>
    <x v="0"/>
    <x v="0"/>
    <x v="7"/>
    <x v="0"/>
    <x v="0"/>
    <x v="1"/>
    <x v="0"/>
  </r>
  <r>
    <x v="0"/>
    <x v="0"/>
    <n v="2239043920"/>
    <x v="5"/>
    <n v="-8000"/>
    <x v="0"/>
    <x v="0"/>
    <x v="0"/>
    <x v="5"/>
    <x v="0"/>
    <x v="0"/>
    <x v="5"/>
    <x v="0"/>
  </r>
  <r>
    <x v="0"/>
    <x v="0"/>
    <n v="2239043920"/>
    <x v="6"/>
    <n v="10000"/>
    <x v="0"/>
    <x v="0"/>
    <x v="0"/>
    <x v="6"/>
    <x v="0"/>
    <x v="0"/>
    <x v="5"/>
    <x v="0"/>
  </r>
  <r>
    <x v="0"/>
    <x v="0"/>
    <n v="2239043921"/>
    <x v="5"/>
    <n v="-3500"/>
    <x v="0"/>
    <x v="0"/>
    <x v="0"/>
    <x v="5"/>
    <x v="0"/>
    <x v="0"/>
    <x v="5"/>
    <x v="0"/>
  </r>
  <r>
    <x v="0"/>
    <x v="0"/>
    <n v="2239043921"/>
    <x v="6"/>
    <n v="10000"/>
    <x v="0"/>
    <x v="0"/>
    <x v="0"/>
    <x v="6"/>
    <x v="0"/>
    <x v="0"/>
    <x v="5"/>
    <x v="0"/>
  </r>
  <r>
    <x v="0"/>
    <x v="0"/>
    <n v="2239043922"/>
    <x v="2"/>
    <n v="1000"/>
    <x v="0"/>
    <x v="0"/>
    <x v="0"/>
    <x v="2"/>
    <x v="0"/>
    <x v="0"/>
    <x v="2"/>
    <x v="0"/>
  </r>
  <r>
    <x v="0"/>
    <x v="0"/>
    <n v="2239043923"/>
    <x v="7"/>
    <n v="1500"/>
    <x v="0"/>
    <x v="0"/>
    <x v="0"/>
    <x v="7"/>
    <x v="0"/>
    <x v="0"/>
    <x v="1"/>
    <x v="0"/>
  </r>
  <r>
    <x v="0"/>
    <x v="0"/>
    <n v="2239043925"/>
    <x v="5"/>
    <n v="-4400"/>
    <x v="0"/>
    <x v="0"/>
    <x v="0"/>
    <x v="5"/>
    <x v="0"/>
    <x v="0"/>
    <x v="5"/>
    <x v="0"/>
  </r>
  <r>
    <x v="0"/>
    <x v="0"/>
    <n v="2239043925"/>
    <x v="4"/>
    <n v="10000"/>
    <x v="0"/>
    <x v="0"/>
    <x v="0"/>
    <x v="4"/>
    <x v="0"/>
    <x v="0"/>
    <x v="4"/>
    <x v="0"/>
  </r>
  <r>
    <x v="0"/>
    <x v="0"/>
    <n v="2239043926"/>
    <x v="2"/>
    <n v="4000"/>
    <x v="0"/>
    <x v="0"/>
    <x v="0"/>
    <x v="2"/>
    <x v="0"/>
    <x v="0"/>
    <x v="2"/>
    <x v="0"/>
  </r>
  <r>
    <x v="0"/>
    <x v="0"/>
    <n v="2239043927"/>
    <x v="2"/>
    <n v="25300"/>
    <x v="0"/>
    <x v="0"/>
    <x v="0"/>
    <x v="2"/>
    <x v="0"/>
    <x v="0"/>
    <x v="2"/>
    <x v="0"/>
  </r>
  <r>
    <x v="0"/>
    <x v="0"/>
    <n v="2239043929"/>
    <x v="1"/>
    <n v="5700"/>
    <x v="0"/>
    <x v="0"/>
    <x v="0"/>
    <x v="1"/>
    <x v="0"/>
    <x v="0"/>
    <x v="1"/>
    <x v="0"/>
  </r>
  <r>
    <x v="0"/>
    <x v="0"/>
    <n v="2239043930"/>
    <x v="5"/>
    <n v="-14700"/>
    <x v="0"/>
    <x v="0"/>
    <x v="0"/>
    <x v="5"/>
    <x v="0"/>
    <x v="0"/>
    <x v="5"/>
    <x v="0"/>
  </r>
  <r>
    <x v="0"/>
    <x v="0"/>
    <n v="2239043930"/>
    <x v="4"/>
    <n v="20000"/>
    <x v="0"/>
    <x v="0"/>
    <x v="0"/>
    <x v="4"/>
    <x v="0"/>
    <x v="0"/>
    <x v="4"/>
    <x v="0"/>
  </r>
  <r>
    <x v="0"/>
    <x v="0"/>
    <n v="2239043931"/>
    <x v="1"/>
    <n v="900"/>
    <x v="0"/>
    <x v="0"/>
    <x v="0"/>
    <x v="1"/>
    <x v="0"/>
    <x v="0"/>
    <x v="1"/>
    <x v="0"/>
  </r>
  <r>
    <x v="0"/>
    <x v="0"/>
    <n v="2239043932"/>
    <x v="2"/>
    <n v="12100"/>
    <x v="0"/>
    <x v="0"/>
    <x v="0"/>
    <x v="2"/>
    <x v="0"/>
    <x v="0"/>
    <x v="2"/>
    <x v="0"/>
  </r>
  <r>
    <x v="0"/>
    <x v="0"/>
    <n v="2239043933"/>
    <x v="2"/>
    <n v="8250"/>
    <x v="0"/>
    <x v="0"/>
    <x v="0"/>
    <x v="2"/>
    <x v="0"/>
    <x v="0"/>
    <x v="2"/>
    <x v="0"/>
  </r>
  <r>
    <x v="0"/>
    <x v="0"/>
    <n v="2239043934"/>
    <x v="2"/>
    <n v="10500"/>
    <x v="0"/>
    <x v="0"/>
    <x v="0"/>
    <x v="2"/>
    <x v="0"/>
    <x v="0"/>
    <x v="2"/>
    <x v="0"/>
  </r>
  <r>
    <x v="0"/>
    <x v="0"/>
    <n v="2239043935"/>
    <x v="2"/>
    <n v="3300"/>
    <x v="0"/>
    <x v="0"/>
    <x v="0"/>
    <x v="2"/>
    <x v="0"/>
    <x v="0"/>
    <x v="2"/>
    <x v="0"/>
  </r>
  <r>
    <x v="0"/>
    <x v="0"/>
    <n v="2239043936"/>
    <x v="2"/>
    <n v="15400"/>
    <x v="0"/>
    <x v="0"/>
    <x v="0"/>
    <x v="2"/>
    <x v="0"/>
    <x v="0"/>
    <x v="2"/>
    <x v="0"/>
  </r>
  <r>
    <x v="0"/>
    <x v="0"/>
    <n v="2239043937"/>
    <x v="5"/>
    <n v="-600"/>
    <x v="0"/>
    <x v="0"/>
    <x v="0"/>
    <x v="5"/>
    <x v="0"/>
    <x v="0"/>
    <x v="5"/>
    <x v="0"/>
  </r>
  <r>
    <x v="0"/>
    <x v="0"/>
    <n v="2239043937"/>
    <x v="6"/>
    <n v="3000"/>
    <x v="0"/>
    <x v="0"/>
    <x v="0"/>
    <x v="6"/>
    <x v="0"/>
    <x v="0"/>
    <x v="5"/>
    <x v="0"/>
  </r>
  <r>
    <x v="0"/>
    <x v="0"/>
    <n v="2239043938"/>
    <x v="2"/>
    <n v="80300"/>
    <x v="0"/>
    <x v="0"/>
    <x v="0"/>
    <x v="2"/>
    <x v="0"/>
    <x v="0"/>
    <x v="2"/>
    <x v="0"/>
  </r>
  <r>
    <x v="0"/>
    <x v="0"/>
    <n v="2239043939"/>
    <x v="1"/>
    <n v="900"/>
    <x v="0"/>
    <x v="0"/>
    <x v="0"/>
    <x v="1"/>
    <x v="0"/>
    <x v="0"/>
    <x v="1"/>
    <x v="0"/>
  </r>
  <r>
    <x v="0"/>
    <x v="0"/>
    <n v="2239043940"/>
    <x v="5"/>
    <n v="-500"/>
    <x v="0"/>
    <x v="0"/>
    <x v="0"/>
    <x v="5"/>
    <x v="0"/>
    <x v="0"/>
    <x v="5"/>
    <x v="0"/>
  </r>
  <r>
    <x v="0"/>
    <x v="0"/>
    <n v="2239043940"/>
    <x v="6"/>
    <n v="7000"/>
    <x v="0"/>
    <x v="0"/>
    <x v="0"/>
    <x v="6"/>
    <x v="0"/>
    <x v="0"/>
    <x v="5"/>
    <x v="0"/>
  </r>
  <r>
    <x v="0"/>
    <x v="0"/>
    <n v="2239043941"/>
    <x v="5"/>
    <n v="-500"/>
    <x v="0"/>
    <x v="0"/>
    <x v="0"/>
    <x v="5"/>
    <x v="0"/>
    <x v="0"/>
    <x v="5"/>
    <x v="0"/>
  </r>
  <r>
    <x v="0"/>
    <x v="0"/>
    <n v="2239043941"/>
    <x v="6"/>
    <n v="7000"/>
    <x v="0"/>
    <x v="0"/>
    <x v="0"/>
    <x v="6"/>
    <x v="0"/>
    <x v="0"/>
    <x v="5"/>
    <x v="0"/>
  </r>
  <r>
    <x v="0"/>
    <x v="0"/>
    <n v="2239043942"/>
    <x v="7"/>
    <n v="1500"/>
    <x v="0"/>
    <x v="0"/>
    <x v="0"/>
    <x v="7"/>
    <x v="0"/>
    <x v="0"/>
    <x v="1"/>
    <x v="0"/>
  </r>
  <r>
    <x v="0"/>
    <x v="0"/>
    <n v="2239043943"/>
    <x v="7"/>
    <n v="7000"/>
    <x v="0"/>
    <x v="0"/>
    <x v="0"/>
    <x v="7"/>
    <x v="0"/>
    <x v="0"/>
    <x v="1"/>
    <x v="0"/>
  </r>
  <r>
    <x v="0"/>
    <x v="0"/>
    <n v="2239043945"/>
    <x v="7"/>
    <n v="1500"/>
    <x v="0"/>
    <x v="0"/>
    <x v="0"/>
    <x v="7"/>
    <x v="0"/>
    <x v="0"/>
    <x v="1"/>
    <x v="0"/>
  </r>
  <r>
    <x v="0"/>
    <x v="0"/>
    <n v="2239043946"/>
    <x v="5"/>
    <n v="-4800"/>
    <x v="0"/>
    <x v="0"/>
    <x v="0"/>
    <x v="5"/>
    <x v="0"/>
    <x v="0"/>
    <x v="5"/>
    <x v="0"/>
  </r>
  <r>
    <x v="0"/>
    <x v="0"/>
    <n v="2239043946"/>
    <x v="6"/>
    <n v="10000"/>
    <x v="0"/>
    <x v="0"/>
    <x v="0"/>
    <x v="6"/>
    <x v="0"/>
    <x v="0"/>
    <x v="5"/>
    <x v="0"/>
  </r>
  <r>
    <x v="0"/>
    <x v="0"/>
    <n v="2239043946"/>
    <x v="7"/>
    <n v="1300"/>
    <x v="0"/>
    <x v="0"/>
    <x v="0"/>
    <x v="7"/>
    <x v="0"/>
    <x v="0"/>
    <x v="1"/>
    <x v="0"/>
  </r>
  <r>
    <x v="0"/>
    <x v="0"/>
    <n v="2239043947"/>
    <x v="5"/>
    <n v="-4700"/>
    <x v="0"/>
    <x v="0"/>
    <x v="0"/>
    <x v="5"/>
    <x v="0"/>
    <x v="0"/>
    <x v="5"/>
    <x v="0"/>
  </r>
  <r>
    <x v="0"/>
    <x v="0"/>
    <n v="2239043947"/>
    <x v="4"/>
    <n v="10000"/>
    <x v="0"/>
    <x v="0"/>
    <x v="0"/>
    <x v="4"/>
    <x v="0"/>
    <x v="0"/>
    <x v="4"/>
    <x v="0"/>
  </r>
  <r>
    <x v="0"/>
    <x v="0"/>
    <n v="2239043948"/>
    <x v="2"/>
    <n v="13000"/>
    <x v="0"/>
    <x v="0"/>
    <x v="0"/>
    <x v="2"/>
    <x v="0"/>
    <x v="0"/>
    <x v="2"/>
    <x v="0"/>
  </r>
  <r>
    <x v="0"/>
    <x v="0"/>
    <n v="2239043949"/>
    <x v="5"/>
    <n v="-7000"/>
    <x v="0"/>
    <x v="0"/>
    <x v="0"/>
    <x v="5"/>
    <x v="0"/>
    <x v="0"/>
    <x v="5"/>
    <x v="0"/>
  </r>
  <r>
    <x v="0"/>
    <x v="0"/>
    <n v="2239043949"/>
    <x v="6"/>
    <n v="20500"/>
    <x v="0"/>
    <x v="0"/>
    <x v="0"/>
    <x v="6"/>
    <x v="0"/>
    <x v="0"/>
    <x v="5"/>
    <x v="0"/>
  </r>
  <r>
    <x v="0"/>
    <x v="0"/>
    <n v="2239043950"/>
    <x v="1"/>
    <n v="3000"/>
    <x v="0"/>
    <x v="0"/>
    <x v="0"/>
    <x v="1"/>
    <x v="0"/>
    <x v="0"/>
    <x v="1"/>
    <x v="0"/>
  </r>
  <r>
    <x v="0"/>
    <x v="0"/>
    <n v="2239043951"/>
    <x v="2"/>
    <n v="7500"/>
    <x v="0"/>
    <x v="0"/>
    <x v="0"/>
    <x v="2"/>
    <x v="0"/>
    <x v="0"/>
    <x v="2"/>
    <x v="0"/>
  </r>
  <r>
    <x v="0"/>
    <x v="0"/>
    <n v="2239043952"/>
    <x v="5"/>
    <n v="-9000"/>
    <x v="0"/>
    <x v="0"/>
    <x v="0"/>
    <x v="5"/>
    <x v="0"/>
    <x v="0"/>
    <x v="5"/>
    <x v="0"/>
  </r>
  <r>
    <x v="0"/>
    <x v="0"/>
    <n v="2239043952"/>
    <x v="6"/>
    <n v="20000"/>
    <x v="0"/>
    <x v="0"/>
    <x v="0"/>
    <x v="6"/>
    <x v="0"/>
    <x v="0"/>
    <x v="5"/>
    <x v="0"/>
  </r>
  <r>
    <x v="0"/>
    <x v="0"/>
    <n v="2239043954"/>
    <x v="2"/>
    <n v="13500"/>
    <x v="0"/>
    <x v="0"/>
    <x v="0"/>
    <x v="2"/>
    <x v="0"/>
    <x v="0"/>
    <x v="2"/>
    <x v="0"/>
  </r>
  <r>
    <x v="0"/>
    <x v="0"/>
    <n v="2239043956"/>
    <x v="5"/>
    <n v="-300"/>
    <x v="0"/>
    <x v="0"/>
    <x v="0"/>
    <x v="5"/>
    <x v="0"/>
    <x v="0"/>
    <x v="5"/>
    <x v="0"/>
  </r>
  <r>
    <x v="0"/>
    <x v="0"/>
    <n v="2239043956"/>
    <x v="4"/>
    <n v="6000"/>
    <x v="0"/>
    <x v="0"/>
    <x v="0"/>
    <x v="4"/>
    <x v="0"/>
    <x v="0"/>
    <x v="4"/>
    <x v="0"/>
  </r>
  <r>
    <x v="0"/>
    <x v="0"/>
    <n v="2239043957"/>
    <x v="2"/>
    <n v="10450"/>
    <x v="0"/>
    <x v="0"/>
    <x v="0"/>
    <x v="2"/>
    <x v="0"/>
    <x v="0"/>
    <x v="2"/>
    <x v="0"/>
  </r>
  <r>
    <x v="0"/>
    <x v="0"/>
    <n v="2239043958"/>
    <x v="5"/>
    <n v="-500"/>
    <x v="0"/>
    <x v="0"/>
    <x v="0"/>
    <x v="5"/>
    <x v="0"/>
    <x v="0"/>
    <x v="5"/>
    <x v="0"/>
  </r>
  <r>
    <x v="0"/>
    <x v="0"/>
    <n v="2239043958"/>
    <x v="6"/>
    <n v="7000"/>
    <x v="0"/>
    <x v="0"/>
    <x v="0"/>
    <x v="6"/>
    <x v="0"/>
    <x v="0"/>
    <x v="5"/>
    <x v="0"/>
  </r>
  <r>
    <x v="0"/>
    <x v="0"/>
    <n v="2239043960"/>
    <x v="5"/>
    <n v="-1000"/>
    <x v="0"/>
    <x v="0"/>
    <x v="0"/>
    <x v="5"/>
    <x v="0"/>
    <x v="0"/>
    <x v="5"/>
    <x v="0"/>
  </r>
  <r>
    <x v="0"/>
    <x v="0"/>
    <n v="2239043960"/>
    <x v="6"/>
    <n v="20000"/>
    <x v="0"/>
    <x v="0"/>
    <x v="0"/>
    <x v="6"/>
    <x v="0"/>
    <x v="0"/>
    <x v="5"/>
    <x v="0"/>
  </r>
  <r>
    <x v="0"/>
    <x v="0"/>
    <n v="2239043961"/>
    <x v="5"/>
    <n v="-3500"/>
    <x v="0"/>
    <x v="0"/>
    <x v="0"/>
    <x v="5"/>
    <x v="0"/>
    <x v="0"/>
    <x v="5"/>
    <x v="0"/>
  </r>
  <r>
    <x v="0"/>
    <x v="0"/>
    <n v="2239043961"/>
    <x v="6"/>
    <n v="10000"/>
    <x v="0"/>
    <x v="0"/>
    <x v="0"/>
    <x v="6"/>
    <x v="0"/>
    <x v="0"/>
    <x v="5"/>
    <x v="0"/>
  </r>
  <r>
    <x v="0"/>
    <x v="0"/>
    <n v="2239043962"/>
    <x v="5"/>
    <n v="-4700"/>
    <x v="0"/>
    <x v="0"/>
    <x v="0"/>
    <x v="5"/>
    <x v="0"/>
    <x v="0"/>
    <x v="5"/>
    <x v="0"/>
  </r>
  <r>
    <x v="0"/>
    <x v="0"/>
    <n v="2239043962"/>
    <x v="4"/>
    <n v="10000"/>
    <x v="0"/>
    <x v="0"/>
    <x v="0"/>
    <x v="4"/>
    <x v="0"/>
    <x v="0"/>
    <x v="4"/>
    <x v="0"/>
  </r>
  <r>
    <x v="0"/>
    <x v="0"/>
    <n v="2239043964"/>
    <x v="1"/>
    <n v="2700"/>
    <x v="0"/>
    <x v="0"/>
    <x v="0"/>
    <x v="1"/>
    <x v="0"/>
    <x v="0"/>
    <x v="1"/>
    <x v="0"/>
  </r>
  <r>
    <x v="0"/>
    <x v="0"/>
    <n v="2239043965"/>
    <x v="2"/>
    <n v="4000"/>
    <x v="0"/>
    <x v="0"/>
    <x v="0"/>
    <x v="2"/>
    <x v="0"/>
    <x v="0"/>
    <x v="2"/>
    <x v="0"/>
  </r>
  <r>
    <x v="0"/>
    <x v="0"/>
    <n v="2239043966"/>
    <x v="7"/>
    <n v="1500"/>
    <x v="0"/>
    <x v="0"/>
    <x v="0"/>
    <x v="7"/>
    <x v="0"/>
    <x v="0"/>
    <x v="1"/>
    <x v="0"/>
  </r>
  <r>
    <x v="0"/>
    <x v="0"/>
    <n v="2239043967"/>
    <x v="7"/>
    <n v="8000"/>
    <x v="0"/>
    <x v="0"/>
    <x v="0"/>
    <x v="7"/>
    <x v="0"/>
    <x v="0"/>
    <x v="1"/>
    <x v="0"/>
  </r>
  <r>
    <x v="0"/>
    <x v="0"/>
    <n v="2239043968"/>
    <x v="7"/>
    <n v="7000"/>
    <x v="0"/>
    <x v="0"/>
    <x v="0"/>
    <x v="7"/>
    <x v="0"/>
    <x v="0"/>
    <x v="1"/>
    <x v="0"/>
  </r>
  <r>
    <x v="0"/>
    <x v="0"/>
    <n v="2239043969"/>
    <x v="5"/>
    <n v="-500"/>
    <x v="0"/>
    <x v="0"/>
    <x v="0"/>
    <x v="5"/>
    <x v="0"/>
    <x v="0"/>
    <x v="5"/>
    <x v="0"/>
  </r>
  <r>
    <x v="0"/>
    <x v="0"/>
    <n v="2239043969"/>
    <x v="6"/>
    <n v="7000"/>
    <x v="0"/>
    <x v="0"/>
    <x v="0"/>
    <x v="6"/>
    <x v="0"/>
    <x v="0"/>
    <x v="5"/>
    <x v="0"/>
  </r>
  <r>
    <x v="0"/>
    <x v="0"/>
    <n v="2239043970"/>
    <x v="2"/>
    <n v="20900"/>
    <x v="0"/>
    <x v="0"/>
    <x v="0"/>
    <x v="2"/>
    <x v="0"/>
    <x v="0"/>
    <x v="2"/>
    <x v="0"/>
  </r>
  <r>
    <x v="0"/>
    <x v="0"/>
    <n v="2239043971"/>
    <x v="6"/>
    <n v="13000"/>
    <x v="0"/>
    <x v="0"/>
    <x v="0"/>
    <x v="6"/>
    <x v="0"/>
    <x v="0"/>
    <x v="5"/>
    <x v="0"/>
  </r>
  <r>
    <x v="0"/>
    <x v="0"/>
    <n v="2239043972"/>
    <x v="2"/>
    <n v="4500"/>
    <x v="0"/>
    <x v="0"/>
    <x v="0"/>
    <x v="2"/>
    <x v="0"/>
    <x v="0"/>
    <x v="2"/>
    <x v="0"/>
  </r>
  <r>
    <x v="0"/>
    <x v="0"/>
    <n v="2239043973"/>
    <x v="2"/>
    <n v="6400"/>
    <x v="0"/>
    <x v="0"/>
    <x v="0"/>
    <x v="2"/>
    <x v="0"/>
    <x v="0"/>
    <x v="2"/>
    <x v="0"/>
  </r>
  <r>
    <x v="0"/>
    <x v="0"/>
    <n v="2239043973"/>
    <x v="7"/>
    <n v="1600"/>
    <x v="0"/>
    <x v="0"/>
    <x v="0"/>
    <x v="7"/>
    <x v="0"/>
    <x v="0"/>
    <x v="1"/>
    <x v="0"/>
  </r>
  <r>
    <x v="0"/>
    <x v="0"/>
    <n v="2239043974"/>
    <x v="6"/>
    <n v="3000"/>
    <x v="0"/>
    <x v="0"/>
    <x v="0"/>
    <x v="6"/>
    <x v="0"/>
    <x v="0"/>
    <x v="5"/>
    <x v="0"/>
  </r>
  <r>
    <x v="0"/>
    <x v="0"/>
    <n v="2239043975"/>
    <x v="2"/>
    <n v="7500"/>
    <x v="0"/>
    <x v="0"/>
    <x v="0"/>
    <x v="2"/>
    <x v="0"/>
    <x v="0"/>
    <x v="2"/>
    <x v="0"/>
  </r>
  <r>
    <x v="0"/>
    <x v="0"/>
    <n v="2239043976"/>
    <x v="5"/>
    <n v="-11500"/>
    <x v="0"/>
    <x v="0"/>
    <x v="0"/>
    <x v="5"/>
    <x v="0"/>
    <x v="0"/>
    <x v="5"/>
    <x v="0"/>
  </r>
  <r>
    <x v="0"/>
    <x v="0"/>
    <n v="2239043976"/>
    <x v="6"/>
    <n v="20000"/>
    <x v="0"/>
    <x v="0"/>
    <x v="0"/>
    <x v="6"/>
    <x v="0"/>
    <x v="0"/>
    <x v="5"/>
    <x v="0"/>
  </r>
  <r>
    <x v="0"/>
    <x v="0"/>
    <n v="2239043977"/>
    <x v="5"/>
    <n v="-15450"/>
    <x v="0"/>
    <x v="0"/>
    <x v="0"/>
    <x v="5"/>
    <x v="0"/>
    <x v="0"/>
    <x v="5"/>
    <x v="0"/>
  </r>
  <r>
    <x v="0"/>
    <x v="0"/>
    <n v="2239043977"/>
    <x v="6"/>
    <n v="40000"/>
    <x v="0"/>
    <x v="0"/>
    <x v="0"/>
    <x v="6"/>
    <x v="0"/>
    <x v="0"/>
    <x v="5"/>
    <x v="0"/>
  </r>
  <r>
    <x v="0"/>
    <x v="0"/>
    <n v="2239043978"/>
    <x v="6"/>
    <n v="5000"/>
    <x v="0"/>
    <x v="0"/>
    <x v="0"/>
    <x v="6"/>
    <x v="0"/>
    <x v="0"/>
    <x v="5"/>
    <x v="0"/>
  </r>
  <r>
    <x v="0"/>
    <x v="0"/>
    <n v="2239043979"/>
    <x v="5"/>
    <n v="-400"/>
    <x v="0"/>
    <x v="0"/>
    <x v="0"/>
    <x v="5"/>
    <x v="0"/>
    <x v="0"/>
    <x v="5"/>
    <x v="0"/>
  </r>
  <r>
    <x v="0"/>
    <x v="0"/>
    <n v="2239043979"/>
    <x v="4"/>
    <n v="5000"/>
    <x v="0"/>
    <x v="0"/>
    <x v="0"/>
    <x v="4"/>
    <x v="0"/>
    <x v="0"/>
    <x v="4"/>
    <x v="0"/>
  </r>
  <r>
    <x v="0"/>
    <x v="0"/>
    <n v="2239043980"/>
    <x v="1"/>
    <n v="6600"/>
    <x v="0"/>
    <x v="0"/>
    <x v="0"/>
    <x v="1"/>
    <x v="0"/>
    <x v="0"/>
    <x v="1"/>
    <x v="0"/>
  </r>
  <r>
    <x v="0"/>
    <x v="0"/>
    <n v="2239043981"/>
    <x v="7"/>
    <n v="1500"/>
    <x v="0"/>
    <x v="0"/>
    <x v="0"/>
    <x v="7"/>
    <x v="0"/>
    <x v="0"/>
    <x v="1"/>
    <x v="0"/>
  </r>
  <r>
    <x v="0"/>
    <x v="0"/>
    <n v="2239043982"/>
    <x v="2"/>
    <n v="11550"/>
    <x v="0"/>
    <x v="0"/>
    <x v="0"/>
    <x v="2"/>
    <x v="0"/>
    <x v="0"/>
    <x v="2"/>
    <x v="0"/>
  </r>
  <r>
    <x v="0"/>
    <x v="0"/>
    <n v="2239043983"/>
    <x v="5"/>
    <n v="-3500"/>
    <x v="0"/>
    <x v="0"/>
    <x v="0"/>
    <x v="5"/>
    <x v="0"/>
    <x v="0"/>
    <x v="5"/>
    <x v="0"/>
  </r>
  <r>
    <x v="0"/>
    <x v="0"/>
    <n v="2239043983"/>
    <x v="6"/>
    <n v="10000"/>
    <x v="0"/>
    <x v="0"/>
    <x v="0"/>
    <x v="6"/>
    <x v="0"/>
    <x v="0"/>
    <x v="5"/>
    <x v="0"/>
  </r>
  <r>
    <x v="0"/>
    <x v="0"/>
    <n v="2239043984"/>
    <x v="2"/>
    <n v="7500"/>
    <x v="0"/>
    <x v="0"/>
    <x v="0"/>
    <x v="2"/>
    <x v="0"/>
    <x v="0"/>
    <x v="2"/>
    <x v="0"/>
  </r>
  <r>
    <x v="0"/>
    <x v="0"/>
    <n v="2239043985"/>
    <x v="3"/>
    <n v="21450"/>
    <x v="0"/>
    <x v="0"/>
    <x v="0"/>
    <x v="3"/>
    <x v="0"/>
    <x v="0"/>
    <x v="3"/>
    <x v="0"/>
  </r>
  <r>
    <x v="0"/>
    <x v="0"/>
    <n v="2239043986"/>
    <x v="5"/>
    <n v="-6000"/>
    <x v="0"/>
    <x v="0"/>
    <x v="0"/>
    <x v="5"/>
    <x v="0"/>
    <x v="0"/>
    <x v="5"/>
    <x v="0"/>
  </r>
  <r>
    <x v="0"/>
    <x v="0"/>
    <n v="2239043986"/>
    <x v="4"/>
    <n v="10600"/>
    <x v="0"/>
    <x v="0"/>
    <x v="0"/>
    <x v="4"/>
    <x v="0"/>
    <x v="0"/>
    <x v="4"/>
    <x v="0"/>
  </r>
  <r>
    <x v="0"/>
    <x v="0"/>
    <n v="2239043987"/>
    <x v="5"/>
    <n v="-4400"/>
    <x v="0"/>
    <x v="0"/>
    <x v="0"/>
    <x v="5"/>
    <x v="0"/>
    <x v="0"/>
    <x v="5"/>
    <x v="0"/>
  </r>
  <r>
    <x v="0"/>
    <x v="0"/>
    <n v="2239043987"/>
    <x v="4"/>
    <n v="10000"/>
    <x v="0"/>
    <x v="0"/>
    <x v="0"/>
    <x v="4"/>
    <x v="0"/>
    <x v="0"/>
    <x v="4"/>
    <x v="0"/>
  </r>
  <r>
    <x v="0"/>
    <x v="0"/>
    <n v="2239043988"/>
    <x v="7"/>
    <n v="1500"/>
    <x v="0"/>
    <x v="0"/>
    <x v="0"/>
    <x v="7"/>
    <x v="0"/>
    <x v="0"/>
    <x v="1"/>
    <x v="0"/>
  </r>
  <r>
    <x v="0"/>
    <x v="0"/>
    <n v="2239043989"/>
    <x v="6"/>
    <n v="5000"/>
    <x v="0"/>
    <x v="0"/>
    <x v="0"/>
    <x v="6"/>
    <x v="0"/>
    <x v="0"/>
    <x v="5"/>
    <x v="0"/>
  </r>
  <r>
    <x v="0"/>
    <x v="0"/>
    <n v="2239043991"/>
    <x v="5"/>
    <n v="-800"/>
    <x v="0"/>
    <x v="0"/>
    <x v="0"/>
    <x v="5"/>
    <x v="0"/>
    <x v="0"/>
    <x v="5"/>
    <x v="0"/>
  </r>
  <r>
    <x v="0"/>
    <x v="0"/>
    <n v="2239043991"/>
    <x v="6"/>
    <n v="6000"/>
    <x v="0"/>
    <x v="0"/>
    <x v="0"/>
    <x v="6"/>
    <x v="0"/>
    <x v="0"/>
    <x v="5"/>
    <x v="0"/>
  </r>
  <r>
    <x v="0"/>
    <x v="0"/>
    <n v="2239043991"/>
    <x v="7"/>
    <n v="1300"/>
    <x v="0"/>
    <x v="0"/>
    <x v="0"/>
    <x v="7"/>
    <x v="0"/>
    <x v="0"/>
    <x v="1"/>
    <x v="0"/>
  </r>
  <r>
    <x v="0"/>
    <x v="0"/>
    <n v="2239043992"/>
    <x v="1"/>
    <n v="2250"/>
    <x v="0"/>
    <x v="0"/>
    <x v="0"/>
    <x v="1"/>
    <x v="0"/>
    <x v="0"/>
    <x v="1"/>
    <x v="0"/>
  </r>
  <r>
    <x v="0"/>
    <x v="0"/>
    <n v="2239043993"/>
    <x v="1"/>
    <n v="11800"/>
    <x v="0"/>
    <x v="0"/>
    <x v="0"/>
    <x v="1"/>
    <x v="0"/>
    <x v="0"/>
    <x v="1"/>
    <x v="0"/>
  </r>
  <r>
    <x v="0"/>
    <x v="0"/>
    <n v="2239043994"/>
    <x v="7"/>
    <n v="1500"/>
    <x v="0"/>
    <x v="0"/>
    <x v="0"/>
    <x v="7"/>
    <x v="0"/>
    <x v="0"/>
    <x v="1"/>
    <x v="0"/>
  </r>
  <r>
    <x v="0"/>
    <x v="0"/>
    <n v="2239043995"/>
    <x v="2"/>
    <n v="3000"/>
    <x v="0"/>
    <x v="0"/>
    <x v="0"/>
    <x v="2"/>
    <x v="0"/>
    <x v="0"/>
    <x v="2"/>
    <x v="0"/>
  </r>
  <r>
    <x v="0"/>
    <x v="0"/>
    <n v="2239043996"/>
    <x v="2"/>
    <n v="3200"/>
    <x v="0"/>
    <x v="0"/>
    <x v="0"/>
    <x v="2"/>
    <x v="0"/>
    <x v="0"/>
    <x v="2"/>
    <x v="0"/>
  </r>
  <r>
    <x v="0"/>
    <x v="0"/>
    <n v="2239043996"/>
    <x v="7"/>
    <n v="800"/>
    <x v="0"/>
    <x v="0"/>
    <x v="0"/>
    <x v="7"/>
    <x v="0"/>
    <x v="0"/>
    <x v="1"/>
    <x v="0"/>
  </r>
  <r>
    <x v="0"/>
    <x v="0"/>
    <n v="2239043997"/>
    <x v="5"/>
    <n v="-15000"/>
    <x v="0"/>
    <x v="0"/>
    <x v="0"/>
    <x v="5"/>
    <x v="0"/>
    <x v="0"/>
    <x v="5"/>
    <x v="0"/>
  </r>
  <r>
    <x v="0"/>
    <x v="0"/>
    <n v="2239043997"/>
    <x v="6"/>
    <n v="20000"/>
    <x v="0"/>
    <x v="0"/>
    <x v="0"/>
    <x v="6"/>
    <x v="0"/>
    <x v="0"/>
    <x v="5"/>
    <x v="0"/>
  </r>
  <r>
    <x v="0"/>
    <x v="0"/>
    <n v="2239043998"/>
    <x v="2"/>
    <n v="13000"/>
    <x v="0"/>
    <x v="0"/>
    <x v="0"/>
    <x v="2"/>
    <x v="0"/>
    <x v="0"/>
    <x v="2"/>
    <x v="0"/>
  </r>
  <r>
    <x v="0"/>
    <x v="0"/>
    <n v="2239043999"/>
    <x v="1"/>
    <n v="10900"/>
    <x v="0"/>
    <x v="0"/>
    <x v="0"/>
    <x v="1"/>
    <x v="0"/>
    <x v="0"/>
    <x v="1"/>
    <x v="0"/>
  </r>
  <r>
    <x v="0"/>
    <x v="0"/>
    <n v="2239044001"/>
    <x v="7"/>
    <n v="1500"/>
    <x v="0"/>
    <x v="0"/>
    <x v="0"/>
    <x v="7"/>
    <x v="0"/>
    <x v="0"/>
    <x v="1"/>
    <x v="0"/>
  </r>
  <r>
    <x v="0"/>
    <x v="0"/>
    <n v="2239044002"/>
    <x v="2"/>
    <n v="11000"/>
    <x v="0"/>
    <x v="0"/>
    <x v="0"/>
    <x v="2"/>
    <x v="0"/>
    <x v="0"/>
    <x v="2"/>
    <x v="0"/>
  </r>
  <r>
    <x v="0"/>
    <x v="0"/>
    <n v="2239044004"/>
    <x v="5"/>
    <n v="-4400"/>
    <x v="0"/>
    <x v="0"/>
    <x v="0"/>
    <x v="5"/>
    <x v="0"/>
    <x v="0"/>
    <x v="5"/>
    <x v="0"/>
  </r>
  <r>
    <x v="0"/>
    <x v="0"/>
    <n v="2239044004"/>
    <x v="4"/>
    <n v="10000"/>
    <x v="0"/>
    <x v="0"/>
    <x v="0"/>
    <x v="4"/>
    <x v="0"/>
    <x v="0"/>
    <x v="4"/>
    <x v="0"/>
  </r>
  <r>
    <x v="0"/>
    <x v="0"/>
    <n v="2239044005"/>
    <x v="7"/>
    <n v="7500"/>
    <x v="0"/>
    <x v="0"/>
    <x v="0"/>
    <x v="7"/>
    <x v="0"/>
    <x v="0"/>
    <x v="1"/>
    <x v="0"/>
  </r>
  <r>
    <x v="0"/>
    <x v="0"/>
    <n v="2239044006"/>
    <x v="5"/>
    <n v="-80"/>
    <x v="0"/>
    <x v="0"/>
    <x v="0"/>
    <x v="5"/>
    <x v="0"/>
    <x v="0"/>
    <x v="5"/>
    <x v="0"/>
  </r>
  <r>
    <x v="0"/>
    <x v="0"/>
    <n v="2239044006"/>
    <x v="6"/>
    <n v="17600"/>
    <x v="0"/>
    <x v="0"/>
    <x v="0"/>
    <x v="6"/>
    <x v="0"/>
    <x v="0"/>
    <x v="5"/>
    <x v="0"/>
  </r>
  <r>
    <x v="0"/>
    <x v="0"/>
    <n v="2239044006"/>
    <x v="7"/>
    <n v="4380"/>
    <x v="0"/>
    <x v="0"/>
    <x v="0"/>
    <x v="7"/>
    <x v="0"/>
    <x v="0"/>
    <x v="1"/>
    <x v="0"/>
  </r>
  <r>
    <x v="0"/>
    <x v="0"/>
    <n v="2239044008"/>
    <x v="7"/>
    <n v="1500"/>
    <x v="0"/>
    <x v="0"/>
    <x v="0"/>
    <x v="7"/>
    <x v="0"/>
    <x v="0"/>
    <x v="1"/>
    <x v="0"/>
  </r>
  <r>
    <x v="0"/>
    <x v="0"/>
    <n v="2239044009"/>
    <x v="7"/>
    <n v="1500"/>
    <x v="0"/>
    <x v="0"/>
    <x v="0"/>
    <x v="7"/>
    <x v="0"/>
    <x v="0"/>
    <x v="1"/>
    <x v="0"/>
  </r>
  <r>
    <x v="0"/>
    <x v="0"/>
    <n v="2239044010"/>
    <x v="7"/>
    <n v="1500"/>
    <x v="0"/>
    <x v="0"/>
    <x v="0"/>
    <x v="7"/>
    <x v="0"/>
    <x v="0"/>
    <x v="1"/>
    <x v="0"/>
  </r>
  <r>
    <x v="0"/>
    <x v="0"/>
    <n v="2239044011"/>
    <x v="7"/>
    <n v="1500"/>
    <x v="0"/>
    <x v="0"/>
    <x v="0"/>
    <x v="7"/>
    <x v="0"/>
    <x v="0"/>
    <x v="1"/>
    <x v="0"/>
  </r>
  <r>
    <x v="0"/>
    <x v="0"/>
    <n v="2239044013"/>
    <x v="2"/>
    <n v="4500"/>
    <x v="0"/>
    <x v="0"/>
    <x v="0"/>
    <x v="2"/>
    <x v="0"/>
    <x v="0"/>
    <x v="2"/>
    <x v="0"/>
  </r>
  <r>
    <x v="0"/>
    <x v="0"/>
    <n v="2239044014"/>
    <x v="2"/>
    <n v="14300"/>
    <x v="0"/>
    <x v="0"/>
    <x v="0"/>
    <x v="2"/>
    <x v="0"/>
    <x v="0"/>
    <x v="2"/>
    <x v="0"/>
  </r>
  <r>
    <x v="0"/>
    <x v="0"/>
    <n v="2239044015"/>
    <x v="2"/>
    <n v="22550"/>
    <x v="0"/>
    <x v="0"/>
    <x v="0"/>
    <x v="2"/>
    <x v="0"/>
    <x v="0"/>
    <x v="2"/>
    <x v="0"/>
  </r>
  <r>
    <x v="0"/>
    <x v="0"/>
    <n v="2239044017"/>
    <x v="2"/>
    <n v="10450"/>
    <x v="0"/>
    <x v="0"/>
    <x v="0"/>
    <x v="2"/>
    <x v="0"/>
    <x v="0"/>
    <x v="2"/>
    <x v="0"/>
  </r>
  <r>
    <x v="0"/>
    <x v="0"/>
    <n v="2239044018"/>
    <x v="2"/>
    <n v="7475"/>
    <x v="0"/>
    <x v="0"/>
    <x v="0"/>
    <x v="2"/>
    <x v="0"/>
    <x v="0"/>
    <x v="2"/>
    <x v="0"/>
  </r>
  <r>
    <x v="0"/>
    <x v="0"/>
    <n v="2239044019"/>
    <x v="2"/>
    <n v="7150"/>
    <x v="0"/>
    <x v="0"/>
    <x v="0"/>
    <x v="2"/>
    <x v="0"/>
    <x v="0"/>
    <x v="2"/>
    <x v="0"/>
  </r>
  <r>
    <x v="0"/>
    <x v="0"/>
    <n v="2239044020"/>
    <x v="2"/>
    <n v="8250"/>
    <x v="0"/>
    <x v="0"/>
    <x v="0"/>
    <x v="2"/>
    <x v="0"/>
    <x v="0"/>
    <x v="2"/>
    <x v="0"/>
  </r>
  <r>
    <x v="0"/>
    <x v="0"/>
    <n v="2239044022"/>
    <x v="5"/>
    <n v="-5720"/>
    <x v="0"/>
    <x v="0"/>
    <x v="0"/>
    <x v="5"/>
    <x v="0"/>
    <x v="0"/>
    <x v="5"/>
    <x v="0"/>
  </r>
  <r>
    <x v="0"/>
    <x v="0"/>
    <n v="2239044022"/>
    <x v="6"/>
    <n v="20000"/>
    <x v="0"/>
    <x v="0"/>
    <x v="0"/>
    <x v="6"/>
    <x v="0"/>
    <x v="0"/>
    <x v="5"/>
    <x v="0"/>
  </r>
  <r>
    <x v="0"/>
    <x v="0"/>
    <n v="2239044022"/>
    <x v="7"/>
    <n v="6120"/>
    <x v="0"/>
    <x v="0"/>
    <x v="0"/>
    <x v="7"/>
    <x v="0"/>
    <x v="0"/>
    <x v="1"/>
    <x v="0"/>
  </r>
  <r>
    <x v="0"/>
    <x v="0"/>
    <n v="2239044023"/>
    <x v="2"/>
    <n v="84030"/>
    <x v="0"/>
    <x v="0"/>
    <x v="0"/>
    <x v="2"/>
    <x v="0"/>
    <x v="0"/>
    <x v="2"/>
    <x v="0"/>
  </r>
  <r>
    <x v="0"/>
    <x v="0"/>
    <n v="2239044024"/>
    <x v="5"/>
    <n v="-6500"/>
    <x v="0"/>
    <x v="0"/>
    <x v="0"/>
    <x v="5"/>
    <x v="0"/>
    <x v="0"/>
    <x v="5"/>
    <x v="0"/>
  </r>
  <r>
    <x v="0"/>
    <x v="0"/>
    <n v="2239044024"/>
    <x v="6"/>
    <n v="10000"/>
    <x v="0"/>
    <x v="0"/>
    <x v="0"/>
    <x v="6"/>
    <x v="0"/>
    <x v="0"/>
    <x v="5"/>
    <x v="0"/>
  </r>
  <r>
    <x v="0"/>
    <x v="0"/>
    <n v="2239044025"/>
    <x v="2"/>
    <n v="7150"/>
    <x v="0"/>
    <x v="0"/>
    <x v="0"/>
    <x v="2"/>
    <x v="0"/>
    <x v="0"/>
    <x v="2"/>
    <x v="0"/>
  </r>
  <r>
    <x v="0"/>
    <x v="0"/>
    <n v="2239044026"/>
    <x v="5"/>
    <n v="-5900"/>
    <x v="0"/>
    <x v="0"/>
    <x v="0"/>
    <x v="5"/>
    <x v="0"/>
    <x v="0"/>
    <x v="5"/>
    <x v="0"/>
  </r>
  <r>
    <x v="0"/>
    <x v="0"/>
    <n v="2239044026"/>
    <x v="6"/>
    <n v="15000"/>
    <x v="0"/>
    <x v="0"/>
    <x v="0"/>
    <x v="6"/>
    <x v="0"/>
    <x v="0"/>
    <x v="5"/>
    <x v="0"/>
  </r>
  <r>
    <x v="0"/>
    <x v="0"/>
    <n v="2239044026"/>
    <x v="7"/>
    <n v="3900"/>
    <x v="0"/>
    <x v="0"/>
    <x v="0"/>
    <x v="7"/>
    <x v="0"/>
    <x v="0"/>
    <x v="1"/>
    <x v="0"/>
  </r>
  <r>
    <x v="0"/>
    <x v="0"/>
    <n v="2239044027"/>
    <x v="5"/>
    <n v="-17000"/>
    <x v="0"/>
    <x v="0"/>
    <x v="0"/>
    <x v="5"/>
    <x v="0"/>
    <x v="0"/>
    <x v="5"/>
    <x v="0"/>
  </r>
  <r>
    <x v="0"/>
    <x v="0"/>
    <n v="2239044027"/>
    <x v="6"/>
    <n v="20000"/>
    <x v="0"/>
    <x v="0"/>
    <x v="0"/>
    <x v="6"/>
    <x v="0"/>
    <x v="0"/>
    <x v="5"/>
    <x v="0"/>
  </r>
  <r>
    <x v="0"/>
    <x v="0"/>
    <n v="2239044028"/>
    <x v="2"/>
    <n v="12870"/>
    <x v="0"/>
    <x v="0"/>
    <x v="0"/>
    <x v="2"/>
    <x v="0"/>
    <x v="0"/>
    <x v="2"/>
    <x v="0"/>
  </r>
  <r>
    <x v="0"/>
    <x v="0"/>
    <n v="2239044029"/>
    <x v="5"/>
    <n v="-1850"/>
    <x v="0"/>
    <x v="0"/>
    <x v="0"/>
    <x v="5"/>
    <x v="0"/>
    <x v="0"/>
    <x v="5"/>
    <x v="0"/>
  </r>
  <r>
    <x v="0"/>
    <x v="0"/>
    <n v="2239044029"/>
    <x v="6"/>
    <n v="5000"/>
    <x v="0"/>
    <x v="0"/>
    <x v="0"/>
    <x v="6"/>
    <x v="0"/>
    <x v="0"/>
    <x v="5"/>
    <x v="0"/>
  </r>
  <r>
    <x v="0"/>
    <x v="0"/>
    <n v="2239044030"/>
    <x v="1"/>
    <n v="1140"/>
    <x v="0"/>
    <x v="0"/>
    <x v="0"/>
    <x v="1"/>
    <x v="0"/>
    <x v="0"/>
    <x v="1"/>
    <x v="0"/>
  </r>
  <r>
    <x v="0"/>
    <x v="0"/>
    <n v="2239044031"/>
    <x v="7"/>
    <n v="1500"/>
    <x v="0"/>
    <x v="0"/>
    <x v="0"/>
    <x v="7"/>
    <x v="0"/>
    <x v="0"/>
    <x v="1"/>
    <x v="0"/>
  </r>
  <r>
    <x v="0"/>
    <x v="0"/>
    <n v="2239044032"/>
    <x v="7"/>
    <n v="1500"/>
    <x v="0"/>
    <x v="0"/>
    <x v="0"/>
    <x v="7"/>
    <x v="0"/>
    <x v="0"/>
    <x v="1"/>
    <x v="0"/>
  </r>
  <r>
    <x v="0"/>
    <x v="0"/>
    <n v="2239044034"/>
    <x v="2"/>
    <n v="7150"/>
    <x v="0"/>
    <x v="0"/>
    <x v="0"/>
    <x v="2"/>
    <x v="0"/>
    <x v="0"/>
    <x v="2"/>
    <x v="0"/>
  </r>
  <r>
    <x v="0"/>
    <x v="0"/>
    <n v="2239044035"/>
    <x v="5"/>
    <n v="-900"/>
    <x v="0"/>
    <x v="0"/>
    <x v="0"/>
    <x v="5"/>
    <x v="0"/>
    <x v="0"/>
    <x v="5"/>
    <x v="0"/>
  </r>
  <r>
    <x v="0"/>
    <x v="0"/>
    <n v="2239044035"/>
    <x v="6"/>
    <n v="10000"/>
    <x v="0"/>
    <x v="0"/>
    <x v="0"/>
    <x v="6"/>
    <x v="0"/>
    <x v="0"/>
    <x v="5"/>
    <x v="0"/>
  </r>
  <r>
    <x v="0"/>
    <x v="0"/>
    <n v="2239044035"/>
    <x v="7"/>
    <n v="3900"/>
    <x v="0"/>
    <x v="0"/>
    <x v="0"/>
    <x v="7"/>
    <x v="0"/>
    <x v="0"/>
    <x v="1"/>
    <x v="0"/>
  </r>
  <r>
    <x v="0"/>
    <x v="0"/>
    <n v="2239044036"/>
    <x v="5"/>
    <n v="-1060"/>
    <x v="0"/>
    <x v="0"/>
    <x v="0"/>
    <x v="5"/>
    <x v="0"/>
    <x v="0"/>
    <x v="5"/>
    <x v="0"/>
  </r>
  <r>
    <x v="0"/>
    <x v="0"/>
    <n v="2239044036"/>
    <x v="6"/>
    <n v="10000"/>
    <x v="0"/>
    <x v="0"/>
    <x v="0"/>
    <x v="6"/>
    <x v="0"/>
    <x v="0"/>
    <x v="5"/>
    <x v="0"/>
  </r>
  <r>
    <x v="0"/>
    <x v="0"/>
    <n v="2239044037"/>
    <x v="2"/>
    <n v="4400"/>
    <x v="0"/>
    <x v="0"/>
    <x v="0"/>
    <x v="2"/>
    <x v="0"/>
    <x v="0"/>
    <x v="2"/>
    <x v="0"/>
  </r>
  <r>
    <x v="0"/>
    <x v="0"/>
    <n v="2239044040"/>
    <x v="5"/>
    <n v="-15900"/>
    <x v="0"/>
    <x v="0"/>
    <x v="0"/>
    <x v="5"/>
    <x v="0"/>
    <x v="0"/>
    <x v="5"/>
    <x v="0"/>
  </r>
  <r>
    <x v="0"/>
    <x v="0"/>
    <n v="2239044040"/>
    <x v="6"/>
    <n v="25000"/>
    <x v="0"/>
    <x v="0"/>
    <x v="0"/>
    <x v="6"/>
    <x v="0"/>
    <x v="0"/>
    <x v="5"/>
    <x v="0"/>
  </r>
  <r>
    <x v="0"/>
    <x v="0"/>
    <n v="2239044040"/>
    <x v="7"/>
    <n v="3900"/>
    <x v="0"/>
    <x v="0"/>
    <x v="0"/>
    <x v="7"/>
    <x v="0"/>
    <x v="0"/>
    <x v="1"/>
    <x v="0"/>
  </r>
  <r>
    <x v="0"/>
    <x v="0"/>
    <n v="2239044041"/>
    <x v="6"/>
    <n v="3000"/>
    <x v="0"/>
    <x v="0"/>
    <x v="0"/>
    <x v="6"/>
    <x v="0"/>
    <x v="0"/>
    <x v="5"/>
    <x v="0"/>
  </r>
  <r>
    <x v="0"/>
    <x v="0"/>
    <n v="2239044042"/>
    <x v="7"/>
    <n v="7500"/>
    <x v="0"/>
    <x v="0"/>
    <x v="0"/>
    <x v="7"/>
    <x v="0"/>
    <x v="0"/>
    <x v="1"/>
    <x v="0"/>
  </r>
  <r>
    <x v="0"/>
    <x v="0"/>
    <n v="2239044043"/>
    <x v="7"/>
    <n v="1500"/>
    <x v="0"/>
    <x v="0"/>
    <x v="0"/>
    <x v="7"/>
    <x v="0"/>
    <x v="0"/>
    <x v="1"/>
    <x v="0"/>
  </r>
  <r>
    <x v="0"/>
    <x v="0"/>
    <n v="2239050463"/>
    <x v="6"/>
    <n v="17900"/>
    <x v="0"/>
    <x v="0"/>
    <x v="2"/>
    <x v="6"/>
    <x v="0"/>
    <x v="0"/>
    <x v="5"/>
    <x v="0"/>
  </r>
  <r>
    <x v="0"/>
    <x v="0"/>
    <n v="2239050464"/>
    <x v="3"/>
    <n v="6440"/>
    <x v="0"/>
    <x v="0"/>
    <x v="2"/>
    <x v="3"/>
    <x v="0"/>
    <x v="0"/>
    <x v="3"/>
    <x v="0"/>
  </r>
  <r>
    <x v="0"/>
    <x v="0"/>
    <n v="2239050465"/>
    <x v="2"/>
    <n v="17112"/>
    <x v="0"/>
    <x v="0"/>
    <x v="2"/>
    <x v="2"/>
    <x v="0"/>
    <x v="0"/>
    <x v="2"/>
    <x v="0"/>
  </r>
  <r>
    <x v="0"/>
    <x v="0"/>
    <n v="2239050466"/>
    <x v="3"/>
    <n v="14168"/>
    <x v="0"/>
    <x v="0"/>
    <x v="2"/>
    <x v="3"/>
    <x v="0"/>
    <x v="0"/>
    <x v="3"/>
    <x v="0"/>
  </r>
  <r>
    <x v="0"/>
    <x v="0"/>
    <n v="2239050467"/>
    <x v="2"/>
    <n v="27852"/>
    <x v="0"/>
    <x v="0"/>
    <x v="2"/>
    <x v="2"/>
    <x v="0"/>
    <x v="0"/>
    <x v="2"/>
    <x v="0"/>
  </r>
  <r>
    <x v="0"/>
    <x v="0"/>
    <n v="2239050469"/>
    <x v="2"/>
    <n v="14168"/>
    <x v="0"/>
    <x v="0"/>
    <x v="2"/>
    <x v="2"/>
    <x v="0"/>
    <x v="0"/>
    <x v="2"/>
    <x v="0"/>
  </r>
  <r>
    <x v="0"/>
    <x v="0"/>
    <n v="2239050471"/>
    <x v="3"/>
    <n v="3850"/>
    <x v="0"/>
    <x v="0"/>
    <x v="2"/>
    <x v="3"/>
    <x v="0"/>
    <x v="0"/>
    <x v="3"/>
    <x v="0"/>
  </r>
  <r>
    <x v="0"/>
    <x v="0"/>
    <n v="2239050472"/>
    <x v="6"/>
    <n v="2000"/>
    <x v="0"/>
    <x v="0"/>
    <x v="2"/>
    <x v="6"/>
    <x v="0"/>
    <x v="0"/>
    <x v="5"/>
    <x v="0"/>
  </r>
  <r>
    <x v="0"/>
    <x v="0"/>
    <n v="2239050473"/>
    <x v="3"/>
    <n v="27996"/>
    <x v="0"/>
    <x v="0"/>
    <x v="2"/>
    <x v="3"/>
    <x v="0"/>
    <x v="0"/>
    <x v="3"/>
    <x v="0"/>
  </r>
  <r>
    <x v="0"/>
    <x v="0"/>
    <n v="2239050474"/>
    <x v="2"/>
    <n v="38670"/>
    <x v="0"/>
    <x v="0"/>
    <x v="2"/>
    <x v="2"/>
    <x v="0"/>
    <x v="0"/>
    <x v="2"/>
    <x v="0"/>
  </r>
  <r>
    <x v="0"/>
    <x v="0"/>
    <n v="2239050475"/>
    <x v="7"/>
    <n v="1500"/>
    <x v="0"/>
    <x v="0"/>
    <x v="2"/>
    <x v="7"/>
    <x v="0"/>
    <x v="0"/>
    <x v="1"/>
    <x v="0"/>
  </r>
  <r>
    <x v="0"/>
    <x v="0"/>
    <n v="2239050476"/>
    <x v="6"/>
    <n v="8950"/>
    <x v="0"/>
    <x v="0"/>
    <x v="2"/>
    <x v="6"/>
    <x v="0"/>
    <x v="0"/>
    <x v="5"/>
    <x v="0"/>
  </r>
  <r>
    <x v="0"/>
    <x v="0"/>
    <n v="2239050477"/>
    <x v="2"/>
    <n v="37620"/>
    <x v="0"/>
    <x v="0"/>
    <x v="2"/>
    <x v="2"/>
    <x v="0"/>
    <x v="0"/>
    <x v="2"/>
    <x v="0"/>
  </r>
  <r>
    <x v="0"/>
    <x v="0"/>
    <n v="2239050478"/>
    <x v="2"/>
    <n v="6600"/>
    <x v="0"/>
    <x v="0"/>
    <x v="2"/>
    <x v="2"/>
    <x v="0"/>
    <x v="0"/>
    <x v="2"/>
    <x v="0"/>
  </r>
  <r>
    <x v="0"/>
    <x v="0"/>
    <n v="2239050480"/>
    <x v="6"/>
    <n v="2000"/>
    <x v="0"/>
    <x v="0"/>
    <x v="2"/>
    <x v="6"/>
    <x v="0"/>
    <x v="0"/>
    <x v="5"/>
    <x v="0"/>
  </r>
  <r>
    <x v="0"/>
    <x v="0"/>
    <n v="2239050481"/>
    <x v="7"/>
    <n v="1500"/>
    <x v="0"/>
    <x v="0"/>
    <x v="2"/>
    <x v="7"/>
    <x v="0"/>
    <x v="0"/>
    <x v="1"/>
    <x v="0"/>
  </r>
  <r>
    <x v="0"/>
    <x v="0"/>
    <n v="2239050482"/>
    <x v="5"/>
    <n v="-18000"/>
    <x v="0"/>
    <x v="0"/>
    <x v="2"/>
    <x v="5"/>
    <x v="0"/>
    <x v="0"/>
    <x v="5"/>
    <x v="0"/>
  </r>
  <r>
    <x v="0"/>
    <x v="0"/>
    <n v="2239050482"/>
    <x v="6"/>
    <n v="20000"/>
    <x v="0"/>
    <x v="0"/>
    <x v="2"/>
    <x v="6"/>
    <x v="0"/>
    <x v="0"/>
    <x v="5"/>
    <x v="0"/>
  </r>
  <r>
    <x v="0"/>
    <x v="0"/>
    <n v="2239050483"/>
    <x v="5"/>
    <n v="-6100"/>
    <x v="0"/>
    <x v="0"/>
    <x v="2"/>
    <x v="5"/>
    <x v="0"/>
    <x v="0"/>
    <x v="5"/>
    <x v="0"/>
  </r>
  <r>
    <x v="0"/>
    <x v="0"/>
    <n v="2239050483"/>
    <x v="6"/>
    <n v="40000"/>
    <x v="0"/>
    <x v="0"/>
    <x v="2"/>
    <x v="6"/>
    <x v="0"/>
    <x v="0"/>
    <x v="5"/>
    <x v="0"/>
  </r>
  <r>
    <x v="0"/>
    <x v="0"/>
    <n v="2239050484"/>
    <x v="2"/>
    <n v="17000"/>
    <x v="0"/>
    <x v="0"/>
    <x v="2"/>
    <x v="2"/>
    <x v="0"/>
    <x v="0"/>
    <x v="2"/>
    <x v="0"/>
  </r>
  <r>
    <x v="0"/>
    <x v="0"/>
    <n v="2239050486"/>
    <x v="3"/>
    <n v="23160"/>
    <x v="0"/>
    <x v="0"/>
    <x v="2"/>
    <x v="3"/>
    <x v="0"/>
    <x v="0"/>
    <x v="3"/>
    <x v="0"/>
  </r>
  <r>
    <x v="0"/>
    <x v="0"/>
    <n v="2239050490"/>
    <x v="7"/>
    <n v="1500"/>
    <x v="0"/>
    <x v="0"/>
    <x v="2"/>
    <x v="7"/>
    <x v="0"/>
    <x v="0"/>
    <x v="1"/>
    <x v="0"/>
  </r>
  <r>
    <x v="0"/>
    <x v="0"/>
    <n v="2239050491"/>
    <x v="5"/>
    <n v="-5000"/>
    <x v="0"/>
    <x v="0"/>
    <x v="2"/>
    <x v="5"/>
    <x v="0"/>
    <x v="0"/>
    <x v="5"/>
    <x v="0"/>
  </r>
  <r>
    <x v="0"/>
    <x v="0"/>
    <n v="2239050491"/>
    <x v="6"/>
    <n v="10000"/>
    <x v="0"/>
    <x v="0"/>
    <x v="2"/>
    <x v="6"/>
    <x v="0"/>
    <x v="0"/>
    <x v="5"/>
    <x v="0"/>
  </r>
  <r>
    <x v="0"/>
    <x v="0"/>
    <n v="2239050492"/>
    <x v="5"/>
    <n v="-400"/>
    <x v="0"/>
    <x v="0"/>
    <x v="2"/>
    <x v="5"/>
    <x v="0"/>
    <x v="0"/>
    <x v="5"/>
    <x v="0"/>
  </r>
  <r>
    <x v="0"/>
    <x v="0"/>
    <n v="2239050492"/>
    <x v="4"/>
    <n v="6000"/>
    <x v="0"/>
    <x v="0"/>
    <x v="2"/>
    <x v="4"/>
    <x v="0"/>
    <x v="0"/>
    <x v="4"/>
    <x v="0"/>
  </r>
  <r>
    <x v="0"/>
    <x v="0"/>
    <n v="2239050493"/>
    <x v="2"/>
    <n v="3400"/>
    <x v="0"/>
    <x v="0"/>
    <x v="2"/>
    <x v="2"/>
    <x v="0"/>
    <x v="0"/>
    <x v="2"/>
    <x v="0"/>
  </r>
  <r>
    <x v="0"/>
    <x v="0"/>
    <n v="2239050493"/>
    <x v="7"/>
    <n v="1900"/>
    <x v="0"/>
    <x v="0"/>
    <x v="2"/>
    <x v="7"/>
    <x v="0"/>
    <x v="0"/>
    <x v="1"/>
    <x v="0"/>
  </r>
  <r>
    <x v="0"/>
    <x v="0"/>
    <n v="2239050494"/>
    <x v="5"/>
    <n v="-700"/>
    <x v="0"/>
    <x v="0"/>
    <x v="2"/>
    <x v="5"/>
    <x v="0"/>
    <x v="0"/>
    <x v="5"/>
    <x v="0"/>
  </r>
  <r>
    <x v="0"/>
    <x v="0"/>
    <n v="2239050494"/>
    <x v="4"/>
    <n v="6000"/>
    <x v="0"/>
    <x v="0"/>
    <x v="2"/>
    <x v="4"/>
    <x v="0"/>
    <x v="0"/>
    <x v="4"/>
    <x v="0"/>
  </r>
  <r>
    <x v="0"/>
    <x v="0"/>
    <n v="2239050495"/>
    <x v="3"/>
    <n v="27230"/>
    <x v="0"/>
    <x v="0"/>
    <x v="2"/>
    <x v="3"/>
    <x v="0"/>
    <x v="0"/>
    <x v="3"/>
    <x v="0"/>
  </r>
  <r>
    <x v="0"/>
    <x v="0"/>
    <n v="2239050496"/>
    <x v="2"/>
    <n v="4500"/>
    <x v="0"/>
    <x v="0"/>
    <x v="2"/>
    <x v="2"/>
    <x v="0"/>
    <x v="0"/>
    <x v="2"/>
    <x v="0"/>
  </r>
  <r>
    <x v="0"/>
    <x v="0"/>
    <n v="2239050497"/>
    <x v="7"/>
    <n v="1500"/>
    <x v="0"/>
    <x v="0"/>
    <x v="2"/>
    <x v="7"/>
    <x v="0"/>
    <x v="0"/>
    <x v="1"/>
    <x v="0"/>
  </r>
  <r>
    <x v="0"/>
    <x v="0"/>
    <n v="2239050498"/>
    <x v="7"/>
    <n v="1500"/>
    <x v="0"/>
    <x v="0"/>
    <x v="2"/>
    <x v="7"/>
    <x v="0"/>
    <x v="0"/>
    <x v="1"/>
    <x v="0"/>
  </r>
  <r>
    <x v="0"/>
    <x v="0"/>
    <n v="2239050499"/>
    <x v="2"/>
    <n v="37840"/>
    <x v="0"/>
    <x v="0"/>
    <x v="2"/>
    <x v="2"/>
    <x v="0"/>
    <x v="0"/>
    <x v="2"/>
    <x v="0"/>
  </r>
  <r>
    <x v="0"/>
    <x v="0"/>
    <n v="2239050500"/>
    <x v="2"/>
    <n v="73200"/>
    <x v="0"/>
    <x v="0"/>
    <x v="2"/>
    <x v="2"/>
    <x v="0"/>
    <x v="0"/>
    <x v="2"/>
    <x v="0"/>
  </r>
  <r>
    <x v="0"/>
    <x v="0"/>
    <n v="2239050501"/>
    <x v="5"/>
    <n v="-14700"/>
    <x v="0"/>
    <x v="0"/>
    <x v="2"/>
    <x v="5"/>
    <x v="0"/>
    <x v="0"/>
    <x v="5"/>
    <x v="0"/>
  </r>
  <r>
    <x v="0"/>
    <x v="0"/>
    <n v="2239050501"/>
    <x v="4"/>
    <n v="20000"/>
    <x v="0"/>
    <x v="0"/>
    <x v="2"/>
    <x v="4"/>
    <x v="0"/>
    <x v="0"/>
    <x v="4"/>
    <x v="0"/>
  </r>
  <r>
    <x v="0"/>
    <x v="0"/>
    <n v="2239050502"/>
    <x v="3"/>
    <n v="16100"/>
    <x v="0"/>
    <x v="0"/>
    <x v="2"/>
    <x v="3"/>
    <x v="0"/>
    <x v="0"/>
    <x v="3"/>
    <x v="0"/>
  </r>
  <r>
    <x v="0"/>
    <x v="0"/>
    <n v="2239050503"/>
    <x v="2"/>
    <n v="11550"/>
    <x v="0"/>
    <x v="0"/>
    <x v="2"/>
    <x v="2"/>
    <x v="0"/>
    <x v="0"/>
    <x v="2"/>
    <x v="0"/>
  </r>
  <r>
    <x v="0"/>
    <x v="0"/>
    <n v="2239050504"/>
    <x v="2"/>
    <n v="6000"/>
    <x v="0"/>
    <x v="0"/>
    <x v="2"/>
    <x v="2"/>
    <x v="0"/>
    <x v="0"/>
    <x v="2"/>
    <x v="0"/>
  </r>
  <r>
    <x v="0"/>
    <x v="0"/>
    <n v="2239050505"/>
    <x v="7"/>
    <n v="1500"/>
    <x v="0"/>
    <x v="0"/>
    <x v="2"/>
    <x v="7"/>
    <x v="0"/>
    <x v="0"/>
    <x v="1"/>
    <x v="0"/>
  </r>
  <r>
    <x v="0"/>
    <x v="0"/>
    <n v="2239050506"/>
    <x v="5"/>
    <n v="-1250"/>
    <x v="0"/>
    <x v="0"/>
    <x v="2"/>
    <x v="5"/>
    <x v="0"/>
    <x v="0"/>
    <x v="5"/>
    <x v="0"/>
  </r>
  <r>
    <x v="0"/>
    <x v="0"/>
    <n v="2239050506"/>
    <x v="6"/>
    <n v="5000"/>
    <x v="0"/>
    <x v="0"/>
    <x v="2"/>
    <x v="6"/>
    <x v="0"/>
    <x v="0"/>
    <x v="5"/>
    <x v="0"/>
  </r>
  <r>
    <x v="0"/>
    <x v="0"/>
    <n v="2239050507"/>
    <x v="2"/>
    <n v="19470"/>
    <x v="0"/>
    <x v="0"/>
    <x v="2"/>
    <x v="2"/>
    <x v="0"/>
    <x v="0"/>
    <x v="2"/>
    <x v="0"/>
  </r>
  <r>
    <x v="0"/>
    <x v="0"/>
    <n v="2239050507"/>
    <x v="7"/>
    <n v="17700"/>
    <x v="0"/>
    <x v="0"/>
    <x v="2"/>
    <x v="7"/>
    <x v="0"/>
    <x v="0"/>
    <x v="1"/>
    <x v="0"/>
  </r>
  <r>
    <x v="0"/>
    <x v="0"/>
    <n v="2239050508"/>
    <x v="2"/>
    <n v="19700"/>
    <x v="0"/>
    <x v="0"/>
    <x v="2"/>
    <x v="2"/>
    <x v="0"/>
    <x v="0"/>
    <x v="2"/>
    <x v="0"/>
  </r>
  <r>
    <x v="0"/>
    <x v="0"/>
    <n v="2239050508"/>
    <x v="7"/>
    <n v="5250"/>
    <x v="0"/>
    <x v="0"/>
    <x v="2"/>
    <x v="7"/>
    <x v="0"/>
    <x v="0"/>
    <x v="1"/>
    <x v="0"/>
  </r>
  <r>
    <x v="0"/>
    <x v="0"/>
    <n v="2239050509"/>
    <x v="5"/>
    <n v="-5000"/>
    <x v="0"/>
    <x v="0"/>
    <x v="2"/>
    <x v="5"/>
    <x v="0"/>
    <x v="0"/>
    <x v="5"/>
    <x v="0"/>
  </r>
  <r>
    <x v="0"/>
    <x v="0"/>
    <n v="2239050509"/>
    <x v="4"/>
    <n v="10600"/>
    <x v="0"/>
    <x v="0"/>
    <x v="2"/>
    <x v="4"/>
    <x v="0"/>
    <x v="0"/>
    <x v="4"/>
    <x v="0"/>
  </r>
  <r>
    <x v="0"/>
    <x v="0"/>
    <n v="2239050510"/>
    <x v="2"/>
    <n v="9000"/>
    <x v="0"/>
    <x v="0"/>
    <x v="2"/>
    <x v="2"/>
    <x v="0"/>
    <x v="0"/>
    <x v="2"/>
    <x v="0"/>
  </r>
  <r>
    <x v="0"/>
    <x v="0"/>
    <n v="2239050512"/>
    <x v="4"/>
    <n v="5600"/>
    <x v="0"/>
    <x v="0"/>
    <x v="2"/>
    <x v="4"/>
    <x v="0"/>
    <x v="0"/>
    <x v="4"/>
    <x v="0"/>
  </r>
  <r>
    <x v="0"/>
    <x v="0"/>
    <n v="2239050513"/>
    <x v="4"/>
    <n v="5300"/>
    <x v="0"/>
    <x v="0"/>
    <x v="2"/>
    <x v="4"/>
    <x v="0"/>
    <x v="0"/>
    <x v="4"/>
    <x v="0"/>
  </r>
  <r>
    <x v="0"/>
    <x v="0"/>
    <n v="2239050514"/>
    <x v="2"/>
    <n v="41580"/>
    <x v="0"/>
    <x v="0"/>
    <x v="2"/>
    <x v="2"/>
    <x v="0"/>
    <x v="0"/>
    <x v="2"/>
    <x v="0"/>
  </r>
  <r>
    <x v="0"/>
    <x v="0"/>
    <n v="2239050515"/>
    <x v="5"/>
    <n v="-17800"/>
    <x v="0"/>
    <x v="0"/>
    <x v="2"/>
    <x v="5"/>
    <x v="0"/>
    <x v="0"/>
    <x v="5"/>
    <x v="0"/>
  </r>
  <r>
    <x v="0"/>
    <x v="0"/>
    <n v="2239050515"/>
    <x v="6"/>
    <n v="40000"/>
    <x v="0"/>
    <x v="0"/>
    <x v="2"/>
    <x v="6"/>
    <x v="0"/>
    <x v="0"/>
    <x v="5"/>
    <x v="0"/>
  </r>
  <r>
    <x v="0"/>
    <x v="0"/>
    <n v="2239050515"/>
    <x v="7"/>
    <n v="22200"/>
    <x v="0"/>
    <x v="0"/>
    <x v="2"/>
    <x v="7"/>
    <x v="0"/>
    <x v="0"/>
    <x v="1"/>
    <x v="0"/>
  </r>
  <r>
    <x v="0"/>
    <x v="0"/>
    <n v="2239050516"/>
    <x v="2"/>
    <n v="23450"/>
    <x v="0"/>
    <x v="0"/>
    <x v="2"/>
    <x v="2"/>
    <x v="0"/>
    <x v="0"/>
    <x v="2"/>
    <x v="0"/>
  </r>
  <r>
    <x v="0"/>
    <x v="0"/>
    <n v="2239050517"/>
    <x v="2"/>
    <n v="32065"/>
    <x v="0"/>
    <x v="0"/>
    <x v="2"/>
    <x v="2"/>
    <x v="0"/>
    <x v="0"/>
    <x v="2"/>
    <x v="0"/>
  </r>
  <r>
    <x v="0"/>
    <x v="0"/>
    <n v="2239050517"/>
    <x v="7"/>
    <n v="26150"/>
    <x v="0"/>
    <x v="0"/>
    <x v="2"/>
    <x v="7"/>
    <x v="0"/>
    <x v="0"/>
    <x v="1"/>
    <x v="0"/>
  </r>
  <r>
    <x v="0"/>
    <x v="0"/>
    <n v="2239050519"/>
    <x v="5"/>
    <n v="-4400"/>
    <x v="0"/>
    <x v="0"/>
    <x v="2"/>
    <x v="5"/>
    <x v="0"/>
    <x v="0"/>
    <x v="5"/>
    <x v="0"/>
  </r>
  <r>
    <x v="0"/>
    <x v="0"/>
    <n v="2239050519"/>
    <x v="4"/>
    <n v="10000"/>
    <x v="0"/>
    <x v="0"/>
    <x v="2"/>
    <x v="4"/>
    <x v="0"/>
    <x v="0"/>
    <x v="4"/>
    <x v="0"/>
  </r>
  <r>
    <x v="0"/>
    <x v="0"/>
    <n v="2239050521"/>
    <x v="7"/>
    <n v="1500"/>
    <x v="0"/>
    <x v="0"/>
    <x v="2"/>
    <x v="7"/>
    <x v="0"/>
    <x v="0"/>
    <x v="1"/>
    <x v="0"/>
  </r>
  <r>
    <x v="0"/>
    <x v="0"/>
    <n v="2239050522"/>
    <x v="7"/>
    <n v="1500"/>
    <x v="0"/>
    <x v="0"/>
    <x v="2"/>
    <x v="7"/>
    <x v="0"/>
    <x v="0"/>
    <x v="1"/>
    <x v="0"/>
  </r>
  <r>
    <x v="0"/>
    <x v="0"/>
    <n v="2239050523"/>
    <x v="2"/>
    <n v="35283"/>
    <x v="0"/>
    <x v="0"/>
    <x v="2"/>
    <x v="2"/>
    <x v="0"/>
    <x v="0"/>
    <x v="2"/>
    <x v="0"/>
  </r>
  <r>
    <x v="0"/>
    <x v="0"/>
    <n v="2239050523"/>
    <x v="7"/>
    <n v="32075"/>
    <x v="0"/>
    <x v="0"/>
    <x v="2"/>
    <x v="7"/>
    <x v="0"/>
    <x v="0"/>
    <x v="1"/>
    <x v="0"/>
  </r>
  <r>
    <x v="0"/>
    <x v="0"/>
    <n v="2239050524"/>
    <x v="1"/>
    <n v="4650"/>
    <x v="0"/>
    <x v="0"/>
    <x v="2"/>
    <x v="1"/>
    <x v="0"/>
    <x v="0"/>
    <x v="1"/>
    <x v="0"/>
  </r>
  <r>
    <x v="0"/>
    <x v="0"/>
    <n v="2239050525"/>
    <x v="7"/>
    <n v="1500"/>
    <x v="0"/>
    <x v="0"/>
    <x v="2"/>
    <x v="7"/>
    <x v="0"/>
    <x v="0"/>
    <x v="1"/>
    <x v="0"/>
  </r>
  <r>
    <x v="0"/>
    <x v="0"/>
    <n v="2239050526"/>
    <x v="3"/>
    <n v="11550"/>
    <x v="0"/>
    <x v="0"/>
    <x v="2"/>
    <x v="3"/>
    <x v="0"/>
    <x v="0"/>
    <x v="3"/>
    <x v="0"/>
  </r>
  <r>
    <x v="0"/>
    <x v="0"/>
    <n v="2239050527"/>
    <x v="2"/>
    <n v="32890"/>
    <x v="0"/>
    <x v="0"/>
    <x v="2"/>
    <x v="2"/>
    <x v="0"/>
    <x v="0"/>
    <x v="2"/>
    <x v="0"/>
  </r>
  <r>
    <x v="0"/>
    <x v="0"/>
    <n v="2239050528"/>
    <x v="2"/>
    <n v="21395"/>
    <x v="0"/>
    <x v="0"/>
    <x v="2"/>
    <x v="2"/>
    <x v="0"/>
    <x v="0"/>
    <x v="2"/>
    <x v="0"/>
  </r>
  <r>
    <x v="0"/>
    <x v="0"/>
    <n v="2239050529"/>
    <x v="2"/>
    <n v="23045"/>
    <x v="0"/>
    <x v="0"/>
    <x v="2"/>
    <x v="2"/>
    <x v="0"/>
    <x v="0"/>
    <x v="2"/>
    <x v="0"/>
  </r>
  <r>
    <x v="0"/>
    <x v="0"/>
    <n v="2239050529"/>
    <x v="7"/>
    <n v="3500"/>
    <x v="0"/>
    <x v="0"/>
    <x v="2"/>
    <x v="7"/>
    <x v="0"/>
    <x v="0"/>
    <x v="1"/>
    <x v="0"/>
  </r>
  <r>
    <x v="0"/>
    <x v="0"/>
    <n v="2239050530"/>
    <x v="2"/>
    <n v="33193"/>
    <x v="0"/>
    <x v="0"/>
    <x v="2"/>
    <x v="2"/>
    <x v="0"/>
    <x v="0"/>
    <x v="2"/>
    <x v="0"/>
  </r>
  <r>
    <x v="0"/>
    <x v="0"/>
    <n v="2239050532"/>
    <x v="1"/>
    <n v="3150"/>
    <x v="0"/>
    <x v="0"/>
    <x v="2"/>
    <x v="1"/>
    <x v="0"/>
    <x v="0"/>
    <x v="1"/>
    <x v="0"/>
  </r>
  <r>
    <x v="0"/>
    <x v="0"/>
    <n v="2239050533"/>
    <x v="2"/>
    <n v="9750"/>
    <x v="0"/>
    <x v="0"/>
    <x v="2"/>
    <x v="2"/>
    <x v="0"/>
    <x v="0"/>
    <x v="2"/>
    <x v="0"/>
  </r>
  <r>
    <x v="0"/>
    <x v="0"/>
    <n v="2239050534"/>
    <x v="5"/>
    <n v="-4400"/>
    <x v="0"/>
    <x v="0"/>
    <x v="2"/>
    <x v="5"/>
    <x v="0"/>
    <x v="0"/>
    <x v="5"/>
    <x v="0"/>
  </r>
  <r>
    <x v="0"/>
    <x v="0"/>
    <n v="2239050534"/>
    <x v="4"/>
    <n v="10000"/>
    <x v="0"/>
    <x v="0"/>
    <x v="2"/>
    <x v="4"/>
    <x v="0"/>
    <x v="0"/>
    <x v="4"/>
    <x v="0"/>
  </r>
  <r>
    <x v="0"/>
    <x v="0"/>
    <n v="2239050535"/>
    <x v="5"/>
    <n v="-2050"/>
    <x v="0"/>
    <x v="0"/>
    <x v="2"/>
    <x v="5"/>
    <x v="0"/>
    <x v="0"/>
    <x v="5"/>
    <x v="0"/>
  </r>
  <r>
    <x v="0"/>
    <x v="0"/>
    <n v="2239050535"/>
    <x v="6"/>
    <n v="21000"/>
    <x v="0"/>
    <x v="0"/>
    <x v="2"/>
    <x v="6"/>
    <x v="0"/>
    <x v="0"/>
    <x v="5"/>
    <x v="0"/>
  </r>
  <r>
    <x v="0"/>
    <x v="0"/>
    <n v="2239050536"/>
    <x v="3"/>
    <n v="3300"/>
    <x v="0"/>
    <x v="0"/>
    <x v="2"/>
    <x v="3"/>
    <x v="0"/>
    <x v="0"/>
    <x v="3"/>
    <x v="0"/>
  </r>
  <r>
    <x v="0"/>
    <x v="0"/>
    <n v="2239050537"/>
    <x v="2"/>
    <n v="38940"/>
    <x v="0"/>
    <x v="0"/>
    <x v="2"/>
    <x v="2"/>
    <x v="0"/>
    <x v="0"/>
    <x v="2"/>
    <x v="0"/>
  </r>
  <r>
    <x v="0"/>
    <x v="0"/>
    <n v="2239050538"/>
    <x v="2"/>
    <n v="61710"/>
    <x v="0"/>
    <x v="0"/>
    <x v="2"/>
    <x v="2"/>
    <x v="0"/>
    <x v="0"/>
    <x v="2"/>
    <x v="0"/>
  </r>
  <r>
    <x v="0"/>
    <x v="0"/>
    <n v="2239050538"/>
    <x v="7"/>
    <n v="56100"/>
    <x v="0"/>
    <x v="0"/>
    <x v="2"/>
    <x v="7"/>
    <x v="0"/>
    <x v="0"/>
    <x v="1"/>
    <x v="0"/>
  </r>
  <r>
    <x v="0"/>
    <x v="0"/>
    <n v="2239050540"/>
    <x v="2"/>
    <n v="29920"/>
    <x v="0"/>
    <x v="0"/>
    <x v="2"/>
    <x v="2"/>
    <x v="0"/>
    <x v="0"/>
    <x v="2"/>
    <x v="0"/>
  </r>
  <r>
    <x v="0"/>
    <x v="0"/>
    <n v="2239050541"/>
    <x v="2"/>
    <n v="97900"/>
    <x v="0"/>
    <x v="0"/>
    <x v="2"/>
    <x v="2"/>
    <x v="0"/>
    <x v="0"/>
    <x v="2"/>
    <x v="0"/>
  </r>
  <r>
    <x v="0"/>
    <x v="0"/>
    <n v="2239050541"/>
    <x v="7"/>
    <n v="17000"/>
    <x v="0"/>
    <x v="0"/>
    <x v="2"/>
    <x v="7"/>
    <x v="0"/>
    <x v="0"/>
    <x v="1"/>
    <x v="0"/>
  </r>
  <r>
    <x v="0"/>
    <x v="0"/>
    <n v="2239050542"/>
    <x v="2"/>
    <n v="51645"/>
    <x v="0"/>
    <x v="0"/>
    <x v="2"/>
    <x v="2"/>
    <x v="0"/>
    <x v="0"/>
    <x v="2"/>
    <x v="0"/>
  </r>
  <r>
    <x v="0"/>
    <x v="0"/>
    <n v="2239050543"/>
    <x v="2"/>
    <n v="57640"/>
    <x v="0"/>
    <x v="0"/>
    <x v="2"/>
    <x v="2"/>
    <x v="0"/>
    <x v="0"/>
    <x v="2"/>
    <x v="0"/>
  </r>
  <r>
    <x v="0"/>
    <x v="0"/>
    <n v="2239050544"/>
    <x v="2"/>
    <n v="2250"/>
    <x v="0"/>
    <x v="0"/>
    <x v="2"/>
    <x v="2"/>
    <x v="0"/>
    <x v="0"/>
    <x v="2"/>
    <x v="0"/>
  </r>
  <r>
    <x v="0"/>
    <x v="0"/>
    <n v="2239050545"/>
    <x v="2"/>
    <n v="6500"/>
    <x v="0"/>
    <x v="0"/>
    <x v="2"/>
    <x v="2"/>
    <x v="0"/>
    <x v="0"/>
    <x v="2"/>
    <x v="0"/>
  </r>
  <r>
    <x v="0"/>
    <x v="0"/>
    <n v="2239050547"/>
    <x v="3"/>
    <n v="13000"/>
    <x v="0"/>
    <x v="0"/>
    <x v="2"/>
    <x v="3"/>
    <x v="0"/>
    <x v="0"/>
    <x v="3"/>
    <x v="0"/>
  </r>
  <r>
    <x v="0"/>
    <x v="0"/>
    <n v="2239050548"/>
    <x v="2"/>
    <n v="21340"/>
    <x v="0"/>
    <x v="0"/>
    <x v="2"/>
    <x v="2"/>
    <x v="0"/>
    <x v="0"/>
    <x v="2"/>
    <x v="0"/>
  </r>
  <r>
    <x v="0"/>
    <x v="0"/>
    <n v="2239050551"/>
    <x v="2"/>
    <n v="32560"/>
    <x v="0"/>
    <x v="0"/>
    <x v="2"/>
    <x v="2"/>
    <x v="0"/>
    <x v="0"/>
    <x v="2"/>
    <x v="0"/>
  </r>
  <r>
    <x v="0"/>
    <x v="0"/>
    <n v="2239050553"/>
    <x v="2"/>
    <n v="14500"/>
    <x v="0"/>
    <x v="0"/>
    <x v="2"/>
    <x v="2"/>
    <x v="0"/>
    <x v="0"/>
    <x v="2"/>
    <x v="0"/>
  </r>
  <r>
    <x v="0"/>
    <x v="0"/>
    <n v="2239050554"/>
    <x v="5"/>
    <n v="-2800"/>
    <x v="0"/>
    <x v="0"/>
    <x v="2"/>
    <x v="5"/>
    <x v="0"/>
    <x v="0"/>
    <x v="5"/>
    <x v="0"/>
  </r>
  <r>
    <x v="0"/>
    <x v="0"/>
    <n v="2239050554"/>
    <x v="6"/>
    <n v="15000"/>
    <x v="0"/>
    <x v="0"/>
    <x v="2"/>
    <x v="6"/>
    <x v="0"/>
    <x v="0"/>
    <x v="5"/>
    <x v="0"/>
  </r>
  <r>
    <x v="0"/>
    <x v="0"/>
    <n v="2239050555"/>
    <x v="2"/>
    <n v="13200"/>
    <x v="0"/>
    <x v="0"/>
    <x v="2"/>
    <x v="2"/>
    <x v="0"/>
    <x v="0"/>
    <x v="2"/>
    <x v="0"/>
  </r>
  <r>
    <x v="0"/>
    <x v="0"/>
    <n v="2239050556"/>
    <x v="2"/>
    <n v="3738"/>
    <x v="0"/>
    <x v="0"/>
    <x v="2"/>
    <x v="2"/>
    <x v="0"/>
    <x v="0"/>
    <x v="2"/>
    <x v="0"/>
  </r>
  <r>
    <x v="0"/>
    <x v="0"/>
    <n v="2239050557"/>
    <x v="2"/>
    <n v="12100"/>
    <x v="0"/>
    <x v="0"/>
    <x v="2"/>
    <x v="2"/>
    <x v="0"/>
    <x v="0"/>
    <x v="2"/>
    <x v="0"/>
  </r>
  <r>
    <x v="0"/>
    <x v="0"/>
    <n v="2239050558"/>
    <x v="2"/>
    <n v="17545"/>
    <x v="0"/>
    <x v="0"/>
    <x v="2"/>
    <x v="2"/>
    <x v="0"/>
    <x v="0"/>
    <x v="2"/>
    <x v="0"/>
  </r>
  <r>
    <x v="0"/>
    <x v="0"/>
    <n v="2239050559"/>
    <x v="2"/>
    <n v="8250"/>
    <x v="0"/>
    <x v="0"/>
    <x v="2"/>
    <x v="2"/>
    <x v="0"/>
    <x v="0"/>
    <x v="2"/>
    <x v="0"/>
  </r>
  <r>
    <x v="0"/>
    <x v="0"/>
    <n v="2239050560"/>
    <x v="2"/>
    <n v="17000"/>
    <x v="0"/>
    <x v="0"/>
    <x v="2"/>
    <x v="2"/>
    <x v="0"/>
    <x v="0"/>
    <x v="2"/>
    <x v="0"/>
  </r>
  <r>
    <x v="0"/>
    <x v="0"/>
    <n v="2239050561"/>
    <x v="2"/>
    <n v="21450"/>
    <x v="0"/>
    <x v="0"/>
    <x v="2"/>
    <x v="2"/>
    <x v="0"/>
    <x v="0"/>
    <x v="2"/>
    <x v="0"/>
  </r>
  <r>
    <x v="0"/>
    <x v="0"/>
    <n v="2239050561"/>
    <x v="7"/>
    <n v="3000"/>
    <x v="0"/>
    <x v="0"/>
    <x v="2"/>
    <x v="7"/>
    <x v="0"/>
    <x v="0"/>
    <x v="1"/>
    <x v="0"/>
  </r>
  <r>
    <x v="0"/>
    <x v="0"/>
    <n v="2239050562"/>
    <x v="2"/>
    <n v="33660"/>
    <x v="0"/>
    <x v="0"/>
    <x v="2"/>
    <x v="2"/>
    <x v="0"/>
    <x v="0"/>
    <x v="2"/>
    <x v="0"/>
  </r>
  <r>
    <x v="0"/>
    <x v="0"/>
    <n v="2239050563"/>
    <x v="2"/>
    <n v="65120"/>
    <x v="0"/>
    <x v="0"/>
    <x v="2"/>
    <x v="2"/>
    <x v="0"/>
    <x v="0"/>
    <x v="2"/>
    <x v="0"/>
  </r>
  <r>
    <x v="0"/>
    <x v="0"/>
    <n v="2239050564"/>
    <x v="5"/>
    <n v="-4700"/>
    <x v="0"/>
    <x v="0"/>
    <x v="2"/>
    <x v="5"/>
    <x v="0"/>
    <x v="0"/>
    <x v="5"/>
    <x v="0"/>
  </r>
  <r>
    <x v="0"/>
    <x v="0"/>
    <n v="2239050564"/>
    <x v="4"/>
    <n v="10000"/>
    <x v="0"/>
    <x v="0"/>
    <x v="2"/>
    <x v="4"/>
    <x v="0"/>
    <x v="0"/>
    <x v="4"/>
    <x v="0"/>
  </r>
  <r>
    <x v="0"/>
    <x v="0"/>
    <n v="2239050565"/>
    <x v="2"/>
    <n v="17820"/>
    <x v="0"/>
    <x v="0"/>
    <x v="2"/>
    <x v="2"/>
    <x v="0"/>
    <x v="0"/>
    <x v="2"/>
    <x v="0"/>
  </r>
  <r>
    <x v="0"/>
    <x v="0"/>
    <n v="2239050566"/>
    <x v="5"/>
    <n v="-3500"/>
    <x v="0"/>
    <x v="0"/>
    <x v="2"/>
    <x v="5"/>
    <x v="0"/>
    <x v="0"/>
    <x v="5"/>
    <x v="0"/>
  </r>
  <r>
    <x v="0"/>
    <x v="0"/>
    <n v="2239050566"/>
    <x v="6"/>
    <n v="20000"/>
    <x v="0"/>
    <x v="0"/>
    <x v="2"/>
    <x v="6"/>
    <x v="0"/>
    <x v="0"/>
    <x v="5"/>
    <x v="0"/>
  </r>
  <r>
    <x v="0"/>
    <x v="0"/>
    <n v="2239050567"/>
    <x v="4"/>
    <n v="5600"/>
    <x v="0"/>
    <x v="0"/>
    <x v="2"/>
    <x v="4"/>
    <x v="0"/>
    <x v="0"/>
    <x v="4"/>
    <x v="0"/>
  </r>
  <r>
    <x v="0"/>
    <x v="0"/>
    <n v="2239050568"/>
    <x v="1"/>
    <n v="1200"/>
    <x v="0"/>
    <x v="0"/>
    <x v="2"/>
    <x v="1"/>
    <x v="0"/>
    <x v="0"/>
    <x v="1"/>
    <x v="0"/>
  </r>
  <r>
    <x v="0"/>
    <x v="0"/>
    <n v="2239050569"/>
    <x v="2"/>
    <n v="13500"/>
    <x v="0"/>
    <x v="0"/>
    <x v="2"/>
    <x v="2"/>
    <x v="0"/>
    <x v="0"/>
    <x v="2"/>
    <x v="0"/>
  </r>
  <r>
    <x v="0"/>
    <x v="0"/>
    <n v="2239050570"/>
    <x v="5"/>
    <n v="-700"/>
    <x v="0"/>
    <x v="0"/>
    <x v="2"/>
    <x v="5"/>
    <x v="0"/>
    <x v="0"/>
    <x v="5"/>
    <x v="0"/>
  </r>
  <r>
    <x v="0"/>
    <x v="0"/>
    <n v="2239050570"/>
    <x v="6"/>
    <n v="45000"/>
    <x v="0"/>
    <x v="0"/>
    <x v="2"/>
    <x v="6"/>
    <x v="0"/>
    <x v="0"/>
    <x v="5"/>
    <x v="0"/>
  </r>
  <r>
    <x v="0"/>
    <x v="0"/>
    <n v="2239050571"/>
    <x v="2"/>
    <n v="7500"/>
    <x v="0"/>
    <x v="0"/>
    <x v="2"/>
    <x v="2"/>
    <x v="0"/>
    <x v="0"/>
    <x v="2"/>
    <x v="0"/>
  </r>
  <r>
    <x v="0"/>
    <x v="0"/>
    <n v="2239050572"/>
    <x v="5"/>
    <n v="-5000"/>
    <x v="0"/>
    <x v="0"/>
    <x v="2"/>
    <x v="5"/>
    <x v="0"/>
    <x v="0"/>
    <x v="5"/>
    <x v="0"/>
  </r>
  <r>
    <x v="0"/>
    <x v="0"/>
    <n v="2239050572"/>
    <x v="6"/>
    <n v="20000"/>
    <x v="0"/>
    <x v="0"/>
    <x v="2"/>
    <x v="6"/>
    <x v="0"/>
    <x v="0"/>
    <x v="5"/>
    <x v="0"/>
  </r>
  <r>
    <x v="0"/>
    <x v="0"/>
    <n v="2239050573"/>
    <x v="5"/>
    <n v="-12000"/>
    <x v="0"/>
    <x v="0"/>
    <x v="2"/>
    <x v="5"/>
    <x v="0"/>
    <x v="0"/>
    <x v="5"/>
    <x v="0"/>
  </r>
  <r>
    <x v="0"/>
    <x v="0"/>
    <n v="2239050573"/>
    <x v="6"/>
    <n v="20000"/>
    <x v="0"/>
    <x v="0"/>
    <x v="2"/>
    <x v="6"/>
    <x v="0"/>
    <x v="0"/>
    <x v="5"/>
    <x v="0"/>
  </r>
  <r>
    <x v="0"/>
    <x v="0"/>
    <n v="2239050574"/>
    <x v="2"/>
    <n v="3750"/>
    <x v="0"/>
    <x v="0"/>
    <x v="2"/>
    <x v="2"/>
    <x v="0"/>
    <x v="0"/>
    <x v="2"/>
    <x v="0"/>
  </r>
  <r>
    <x v="0"/>
    <x v="0"/>
    <n v="2239050575"/>
    <x v="2"/>
    <n v="6038"/>
    <x v="0"/>
    <x v="0"/>
    <x v="2"/>
    <x v="2"/>
    <x v="0"/>
    <x v="0"/>
    <x v="2"/>
    <x v="0"/>
  </r>
  <r>
    <x v="0"/>
    <x v="0"/>
    <n v="2239050576"/>
    <x v="2"/>
    <n v="16720"/>
    <x v="0"/>
    <x v="0"/>
    <x v="2"/>
    <x v="2"/>
    <x v="0"/>
    <x v="0"/>
    <x v="2"/>
    <x v="0"/>
  </r>
  <r>
    <x v="0"/>
    <x v="0"/>
    <n v="2239050577"/>
    <x v="5"/>
    <n v="-5000"/>
    <x v="0"/>
    <x v="0"/>
    <x v="2"/>
    <x v="5"/>
    <x v="0"/>
    <x v="0"/>
    <x v="5"/>
    <x v="0"/>
  </r>
  <r>
    <x v="0"/>
    <x v="0"/>
    <n v="2239050577"/>
    <x v="6"/>
    <n v="10250"/>
    <x v="0"/>
    <x v="0"/>
    <x v="2"/>
    <x v="6"/>
    <x v="0"/>
    <x v="0"/>
    <x v="5"/>
    <x v="0"/>
  </r>
  <r>
    <x v="0"/>
    <x v="0"/>
    <n v="2239050579"/>
    <x v="2"/>
    <n v="13000"/>
    <x v="0"/>
    <x v="0"/>
    <x v="2"/>
    <x v="2"/>
    <x v="0"/>
    <x v="0"/>
    <x v="2"/>
    <x v="0"/>
  </r>
  <r>
    <x v="0"/>
    <x v="0"/>
    <n v="2239050580"/>
    <x v="5"/>
    <n v="-5000"/>
    <x v="0"/>
    <x v="0"/>
    <x v="2"/>
    <x v="5"/>
    <x v="0"/>
    <x v="0"/>
    <x v="5"/>
    <x v="0"/>
  </r>
  <r>
    <x v="0"/>
    <x v="0"/>
    <n v="2239050580"/>
    <x v="4"/>
    <n v="10300"/>
    <x v="0"/>
    <x v="0"/>
    <x v="2"/>
    <x v="4"/>
    <x v="0"/>
    <x v="0"/>
    <x v="4"/>
    <x v="0"/>
  </r>
  <r>
    <x v="0"/>
    <x v="0"/>
    <n v="2239050581"/>
    <x v="2"/>
    <n v="7500"/>
    <x v="0"/>
    <x v="0"/>
    <x v="2"/>
    <x v="2"/>
    <x v="0"/>
    <x v="0"/>
    <x v="2"/>
    <x v="0"/>
  </r>
  <r>
    <x v="0"/>
    <x v="0"/>
    <n v="2239050582"/>
    <x v="7"/>
    <n v="4200"/>
    <x v="0"/>
    <x v="0"/>
    <x v="2"/>
    <x v="7"/>
    <x v="0"/>
    <x v="0"/>
    <x v="1"/>
    <x v="0"/>
  </r>
  <r>
    <x v="0"/>
    <x v="0"/>
    <n v="2239050583"/>
    <x v="8"/>
    <n v="18000"/>
    <x v="0"/>
    <x v="0"/>
    <x v="2"/>
    <x v="8"/>
    <x v="0"/>
    <x v="0"/>
    <x v="3"/>
    <x v="0"/>
  </r>
  <r>
    <x v="0"/>
    <x v="0"/>
    <n v="2239050584"/>
    <x v="2"/>
    <n v="7500"/>
    <x v="0"/>
    <x v="0"/>
    <x v="2"/>
    <x v="2"/>
    <x v="0"/>
    <x v="0"/>
    <x v="2"/>
    <x v="0"/>
  </r>
  <r>
    <x v="0"/>
    <x v="0"/>
    <n v="2239050585"/>
    <x v="2"/>
    <n v="9900"/>
    <x v="0"/>
    <x v="0"/>
    <x v="2"/>
    <x v="2"/>
    <x v="0"/>
    <x v="0"/>
    <x v="2"/>
    <x v="0"/>
  </r>
  <r>
    <x v="0"/>
    <x v="0"/>
    <n v="2239050586"/>
    <x v="2"/>
    <n v="13200"/>
    <x v="0"/>
    <x v="0"/>
    <x v="2"/>
    <x v="2"/>
    <x v="0"/>
    <x v="0"/>
    <x v="2"/>
    <x v="0"/>
  </r>
  <r>
    <x v="0"/>
    <x v="0"/>
    <n v="2239050587"/>
    <x v="3"/>
    <n v="10000"/>
    <x v="0"/>
    <x v="0"/>
    <x v="2"/>
    <x v="3"/>
    <x v="0"/>
    <x v="0"/>
    <x v="3"/>
    <x v="0"/>
  </r>
  <r>
    <x v="0"/>
    <x v="0"/>
    <n v="2239050588"/>
    <x v="2"/>
    <n v="10890"/>
    <x v="0"/>
    <x v="0"/>
    <x v="2"/>
    <x v="2"/>
    <x v="0"/>
    <x v="0"/>
    <x v="2"/>
    <x v="0"/>
  </r>
  <r>
    <x v="0"/>
    <x v="0"/>
    <n v="2239050589"/>
    <x v="3"/>
    <n v="15500"/>
    <x v="0"/>
    <x v="0"/>
    <x v="2"/>
    <x v="3"/>
    <x v="0"/>
    <x v="0"/>
    <x v="3"/>
    <x v="0"/>
  </r>
  <r>
    <x v="0"/>
    <x v="0"/>
    <n v="2239050590"/>
    <x v="5"/>
    <n v="-400"/>
    <x v="0"/>
    <x v="0"/>
    <x v="2"/>
    <x v="5"/>
    <x v="0"/>
    <x v="0"/>
    <x v="5"/>
    <x v="0"/>
  </r>
  <r>
    <x v="0"/>
    <x v="0"/>
    <n v="2239050590"/>
    <x v="4"/>
    <n v="6000"/>
    <x v="0"/>
    <x v="0"/>
    <x v="2"/>
    <x v="4"/>
    <x v="0"/>
    <x v="0"/>
    <x v="4"/>
    <x v="0"/>
  </r>
  <r>
    <x v="0"/>
    <x v="0"/>
    <n v="2239050591"/>
    <x v="2"/>
    <n v="7475"/>
    <x v="0"/>
    <x v="0"/>
    <x v="2"/>
    <x v="2"/>
    <x v="0"/>
    <x v="0"/>
    <x v="2"/>
    <x v="0"/>
  </r>
  <r>
    <x v="0"/>
    <x v="0"/>
    <n v="2239050592"/>
    <x v="2"/>
    <n v="24090"/>
    <x v="0"/>
    <x v="0"/>
    <x v="2"/>
    <x v="2"/>
    <x v="0"/>
    <x v="0"/>
    <x v="2"/>
    <x v="0"/>
  </r>
  <r>
    <x v="0"/>
    <x v="0"/>
    <n v="2239050593"/>
    <x v="7"/>
    <n v="1500"/>
    <x v="0"/>
    <x v="0"/>
    <x v="2"/>
    <x v="7"/>
    <x v="0"/>
    <x v="0"/>
    <x v="1"/>
    <x v="0"/>
  </r>
  <r>
    <x v="0"/>
    <x v="0"/>
    <n v="2239050594"/>
    <x v="2"/>
    <n v="19800"/>
    <x v="0"/>
    <x v="0"/>
    <x v="2"/>
    <x v="2"/>
    <x v="0"/>
    <x v="0"/>
    <x v="2"/>
    <x v="0"/>
  </r>
  <r>
    <x v="0"/>
    <x v="0"/>
    <n v="2239050595"/>
    <x v="2"/>
    <n v="7700"/>
    <x v="0"/>
    <x v="0"/>
    <x v="2"/>
    <x v="2"/>
    <x v="0"/>
    <x v="0"/>
    <x v="2"/>
    <x v="0"/>
  </r>
  <r>
    <x v="0"/>
    <x v="0"/>
    <n v="2239050596"/>
    <x v="2"/>
    <n v="11500"/>
    <x v="0"/>
    <x v="0"/>
    <x v="2"/>
    <x v="2"/>
    <x v="0"/>
    <x v="0"/>
    <x v="2"/>
    <x v="0"/>
  </r>
  <r>
    <x v="0"/>
    <x v="0"/>
    <n v="2239050597"/>
    <x v="3"/>
    <n v="8250"/>
    <x v="0"/>
    <x v="0"/>
    <x v="2"/>
    <x v="3"/>
    <x v="0"/>
    <x v="0"/>
    <x v="3"/>
    <x v="0"/>
  </r>
  <r>
    <x v="0"/>
    <x v="0"/>
    <n v="2239050599"/>
    <x v="2"/>
    <n v="14000"/>
    <x v="0"/>
    <x v="0"/>
    <x v="2"/>
    <x v="2"/>
    <x v="0"/>
    <x v="0"/>
    <x v="2"/>
    <x v="0"/>
  </r>
  <r>
    <x v="0"/>
    <x v="0"/>
    <n v="2239050601"/>
    <x v="2"/>
    <n v="59730"/>
    <x v="0"/>
    <x v="0"/>
    <x v="2"/>
    <x v="2"/>
    <x v="0"/>
    <x v="0"/>
    <x v="2"/>
    <x v="0"/>
  </r>
  <r>
    <x v="0"/>
    <x v="0"/>
    <n v="2239050602"/>
    <x v="2"/>
    <n v="14850"/>
    <x v="0"/>
    <x v="0"/>
    <x v="2"/>
    <x v="2"/>
    <x v="0"/>
    <x v="0"/>
    <x v="2"/>
    <x v="0"/>
  </r>
  <r>
    <x v="0"/>
    <x v="0"/>
    <n v="2239050603"/>
    <x v="3"/>
    <n v="12100"/>
    <x v="0"/>
    <x v="0"/>
    <x v="2"/>
    <x v="3"/>
    <x v="0"/>
    <x v="0"/>
    <x v="3"/>
    <x v="0"/>
  </r>
  <r>
    <x v="0"/>
    <x v="0"/>
    <n v="2239050604"/>
    <x v="2"/>
    <n v="22300"/>
    <x v="0"/>
    <x v="0"/>
    <x v="2"/>
    <x v="2"/>
    <x v="0"/>
    <x v="0"/>
    <x v="2"/>
    <x v="0"/>
  </r>
  <r>
    <x v="0"/>
    <x v="0"/>
    <n v="2239050606"/>
    <x v="2"/>
    <n v="12000"/>
    <x v="0"/>
    <x v="0"/>
    <x v="2"/>
    <x v="2"/>
    <x v="0"/>
    <x v="0"/>
    <x v="2"/>
    <x v="0"/>
  </r>
  <r>
    <x v="0"/>
    <x v="0"/>
    <n v="2239050607"/>
    <x v="4"/>
    <n v="5600"/>
    <x v="0"/>
    <x v="0"/>
    <x v="2"/>
    <x v="4"/>
    <x v="0"/>
    <x v="0"/>
    <x v="4"/>
    <x v="0"/>
  </r>
  <r>
    <x v="0"/>
    <x v="0"/>
    <n v="2239050608"/>
    <x v="6"/>
    <n v="40000"/>
    <x v="0"/>
    <x v="0"/>
    <x v="2"/>
    <x v="6"/>
    <x v="0"/>
    <x v="0"/>
    <x v="5"/>
    <x v="0"/>
  </r>
  <r>
    <x v="0"/>
    <x v="0"/>
    <n v="2239050609"/>
    <x v="2"/>
    <n v="24000"/>
    <x v="0"/>
    <x v="0"/>
    <x v="2"/>
    <x v="2"/>
    <x v="0"/>
    <x v="0"/>
    <x v="2"/>
    <x v="0"/>
  </r>
  <r>
    <x v="0"/>
    <x v="0"/>
    <n v="2239050610"/>
    <x v="2"/>
    <n v="17490"/>
    <x v="0"/>
    <x v="0"/>
    <x v="2"/>
    <x v="2"/>
    <x v="0"/>
    <x v="0"/>
    <x v="2"/>
    <x v="0"/>
  </r>
  <r>
    <x v="0"/>
    <x v="0"/>
    <n v="2239050611"/>
    <x v="2"/>
    <n v="31790"/>
    <x v="0"/>
    <x v="0"/>
    <x v="2"/>
    <x v="2"/>
    <x v="0"/>
    <x v="0"/>
    <x v="2"/>
    <x v="0"/>
  </r>
  <r>
    <x v="0"/>
    <x v="0"/>
    <n v="2239050612"/>
    <x v="2"/>
    <n v="94243"/>
    <x v="0"/>
    <x v="0"/>
    <x v="2"/>
    <x v="2"/>
    <x v="0"/>
    <x v="0"/>
    <x v="2"/>
    <x v="0"/>
  </r>
  <r>
    <x v="0"/>
    <x v="0"/>
    <n v="2239050615"/>
    <x v="2"/>
    <n v="7500"/>
    <x v="0"/>
    <x v="0"/>
    <x v="2"/>
    <x v="2"/>
    <x v="0"/>
    <x v="0"/>
    <x v="2"/>
    <x v="0"/>
  </r>
  <r>
    <x v="0"/>
    <x v="0"/>
    <n v="2239050616"/>
    <x v="2"/>
    <n v="3000"/>
    <x v="0"/>
    <x v="0"/>
    <x v="2"/>
    <x v="2"/>
    <x v="0"/>
    <x v="0"/>
    <x v="2"/>
    <x v="0"/>
  </r>
  <r>
    <x v="0"/>
    <x v="0"/>
    <n v="2239050617"/>
    <x v="2"/>
    <n v="37950"/>
    <x v="0"/>
    <x v="0"/>
    <x v="2"/>
    <x v="2"/>
    <x v="0"/>
    <x v="0"/>
    <x v="2"/>
    <x v="0"/>
  </r>
  <r>
    <x v="0"/>
    <x v="0"/>
    <n v="2239050619"/>
    <x v="2"/>
    <n v="13300"/>
    <x v="0"/>
    <x v="0"/>
    <x v="2"/>
    <x v="2"/>
    <x v="0"/>
    <x v="0"/>
    <x v="2"/>
    <x v="0"/>
  </r>
  <r>
    <x v="0"/>
    <x v="0"/>
    <n v="2239050620"/>
    <x v="2"/>
    <n v="10890"/>
    <x v="0"/>
    <x v="0"/>
    <x v="2"/>
    <x v="2"/>
    <x v="0"/>
    <x v="0"/>
    <x v="2"/>
    <x v="0"/>
  </r>
  <r>
    <x v="0"/>
    <x v="0"/>
    <n v="2239050621"/>
    <x v="2"/>
    <n v="9500"/>
    <x v="0"/>
    <x v="0"/>
    <x v="2"/>
    <x v="2"/>
    <x v="0"/>
    <x v="0"/>
    <x v="2"/>
    <x v="0"/>
  </r>
  <r>
    <x v="0"/>
    <x v="0"/>
    <n v="2239050622"/>
    <x v="2"/>
    <n v="29590"/>
    <x v="0"/>
    <x v="0"/>
    <x v="2"/>
    <x v="2"/>
    <x v="0"/>
    <x v="0"/>
    <x v="2"/>
    <x v="0"/>
  </r>
  <r>
    <x v="0"/>
    <x v="0"/>
    <n v="2239050623"/>
    <x v="2"/>
    <n v="6500"/>
    <x v="0"/>
    <x v="0"/>
    <x v="2"/>
    <x v="2"/>
    <x v="0"/>
    <x v="0"/>
    <x v="2"/>
    <x v="0"/>
  </r>
  <r>
    <x v="0"/>
    <x v="0"/>
    <n v="2239050624"/>
    <x v="2"/>
    <n v="10450"/>
    <x v="0"/>
    <x v="0"/>
    <x v="2"/>
    <x v="2"/>
    <x v="0"/>
    <x v="0"/>
    <x v="2"/>
    <x v="0"/>
  </r>
  <r>
    <x v="0"/>
    <x v="0"/>
    <n v="2239050625"/>
    <x v="2"/>
    <n v="7000"/>
    <x v="0"/>
    <x v="0"/>
    <x v="2"/>
    <x v="2"/>
    <x v="0"/>
    <x v="0"/>
    <x v="2"/>
    <x v="0"/>
  </r>
  <r>
    <x v="0"/>
    <x v="0"/>
    <n v="2239050626"/>
    <x v="2"/>
    <n v="16280"/>
    <x v="0"/>
    <x v="0"/>
    <x v="2"/>
    <x v="2"/>
    <x v="0"/>
    <x v="0"/>
    <x v="2"/>
    <x v="0"/>
  </r>
  <r>
    <x v="0"/>
    <x v="0"/>
    <n v="2239050627"/>
    <x v="2"/>
    <n v="13000"/>
    <x v="0"/>
    <x v="0"/>
    <x v="2"/>
    <x v="2"/>
    <x v="0"/>
    <x v="0"/>
    <x v="2"/>
    <x v="0"/>
  </r>
  <r>
    <x v="0"/>
    <x v="0"/>
    <n v="2239050629"/>
    <x v="2"/>
    <n v="12000"/>
    <x v="0"/>
    <x v="0"/>
    <x v="2"/>
    <x v="2"/>
    <x v="0"/>
    <x v="0"/>
    <x v="2"/>
    <x v="0"/>
  </r>
  <r>
    <x v="0"/>
    <x v="0"/>
    <n v="2239050630"/>
    <x v="2"/>
    <n v="50590"/>
    <x v="0"/>
    <x v="0"/>
    <x v="2"/>
    <x v="2"/>
    <x v="0"/>
    <x v="0"/>
    <x v="2"/>
    <x v="0"/>
  </r>
  <r>
    <x v="0"/>
    <x v="0"/>
    <n v="2239050631"/>
    <x v="2"/>
    <n v="16500"/>
    <x v="0"/>
    <x v="0"/>
    <x v="2"/>
    <x v="2"/>
    <x v="0"/>
    <x v="0"/>
    <x v="2"/>
    <x v="0"/>
  </r>
  <r>
    <x v="0"/>
    <x v="0"/>
    <n v="2239050632"/>
    <x v="2"/>
    <n v="28490"/>
    <x v="0"/>
    <x v="0"/>
    <x v="2"/>
    <x v="2"/>
    <x v="0"/>
    <x v="0"/>
    <x v="2"/>
    <x v="0"/>
  </r>
  <r>
    <x v="0"/>
    <x v="0"/>
    <n v="2239050633"/>
    <x v="3"/>
    <n v="13475"/>
    <x v="0"/>
    <x v="0"/>
    <x v="2"/>
    <x v="3"/>
    <x v="0"/>
    <x v="0"/>
    <x v="3"/>
    <x v="0"/>
  </r>
  <r>
    <x v="0"/>
    <x v="0"/>
    <n v="2239050634"/>
    <x v="2"/>
    <n v="31790"/>
    <x v="0"/>
    <x v="0"/>
    <x v="2"/>
    <x v="2"/>
    <x v="0"/>
    <x v="0"/>
    <x v="2"/>
    <x v="0"/>
  </r>
  <r>
    <x v="0"/>
    <x v="0"/>
    <n v="2239050635"/>
    <x v="5"/>
    <n v="-14400"/>
    <x v="0"/>
    <x v="0"/>
    <x v="2"/>
    <x v="5"/>
    <x v="0"/>
    <x v="0"/>
    <x v="5"/>
    <x v="0"/>
  </r>
  <r>
    <x v="0"/>
    <x v="0"/>
    <n v="2239050635"/>
    <x v="4"/>
    <n v="20000"/>
    <x v="0"/>
    <x v="0"/>
    <x v="2"/>
    <x v="4"/>
    <x v="0"/>
    <x v="0"/>
    <x v="4"/>
    <x v="0"/>
  </r>
  <r>
    <x v="0"/>
    <x v="0"/>
    <n v="2239050636"/>
    <x v="2"/>
    <n v="8250"/>
    <x v="0"/>
    <x v="0"/>
    <x v="2"/>
    <x v="2"/>
    <x v="0"/>
    <x v="0"/>
    <x v="2"/>
    <x v="0"/>
  </r>
  <r>
    <x v="0"/>
    <x v="0"/>
    <n v="2239050637"/>
    <x v="2"/>
    <n v="43890"/>
    <x v="0"/>
    <x v="0"/>
    <x v="2"/>
    <x v="2"/>
    <x v="0"/>
    <x v="0"/>
    <x v="2"/>
    <x v="0"/>
  </r>
  <r>
    <x v="0"/>
    <x v="0"/>
    <n v="2239050638"/>
    <x v="2"/>
    <n v="13750"/>
    <x v="0"/>
    <x v="0"/>
    <x v="2"/>
    <x v="2"/>
    <x v="0"/>
    <x v="0"/>
    <x v="2"/>
    <x v="0"/>
  </r>
  <r>
    <x v="0"/>
    <x v="0"/>
    <n v="2239050639"/>
    <x v="2"/>
    <n v="10010"/>
    <x v="0"/>
    <x v="0"/>
    <x v="2"/>
    <x v="2"/>
    <x v="0"/>
    <x v="0"/>
    <x v="2"/>
    <x v="0"/>
  </r>
  <r>
    <x v="0"/>
    <x v="0"/>
    <n v="2239050640"/>
    <x v="2"/>
    <n v="14400"/>
    <x v="0"/>
    <x v="0"/>
    <x v="2"/>
    <x v="2"/>
    <x v="0"/>
    <x v="0"/>
    <x v="2"/>
    <x v="0"/>
  </r>
  <r>
    <x v="0"/>
    <x v="0"/>
    <n v="2239050640"/>
    <x v="7"/>
    <n v="9600"/>
    <x v="0"/>
    <x v="0"/>
    <x v="2"/>
    <x v="7"/>
    <x v="0"/>
    <x v="0"/>
    <x v="1"/>
    <x v="0"/>
  </r>
  <r>
    <x v="0"/>
    <x v="0"/>
    <n v="2239050641"/>
    <x v="2"/>
    <n v="12980"/>
    <x v="0"/>
    <x v="0"/>
    <x v="2"/>
    <x v="2"/>
    <x v="0"/>
    <x v="0"/>
    <x v="2"/>
    <x v="0"/>
  </r>
  <r>
    <x v="0"/>
    <x v="0"/>
    <n v="2239050642"/>
    <x v="5"/>
    <n v="-4000"/>
    <x v="0"/>
    <x v="0"/>
    <x v="2"/>
    <x v="5"/>
    <x v="0"/>
    <x v="0"/>
    <x v="5"/>
    <x v="0"/>
  </r>
  <r>
    <x v="0"/>
    <x v="0"/>
    <n v="2239050642"/>
    <x v="6"/>
    <n v="10000"/>
    <x v="0"/>
    <x v="0"/>
    <x v="2"/>
    <x v="6"/>
    <x v="0"/>
    <x v="0"/>
    <x v="5"/>
    <x v="0"/>
  </r>
  <r>
    <x v="0"/>
    <x v="0"/>
    <n v="2239050644"/>
    <x v="5"/>
    <n v="-4000"/>
    <x v="0"/>
    <x v="0"/>
    <x v="2"/>
    <x v="5"/>
    <x v="0"/>
    <x v="0"/>
    <x v="5"/>
    <x v="0"/>
  </r>
  <r>
    <x v="0"/>
    <x v="0"/>
    <n v="2239050644"/>
    <x v="6"/>
    <n v="10000"/>
    <x v="0"/>
    <x v="0"/>
    <x v="2"/>
    <x v="6"/>
    <x v="0"/>
    <x v="0"/>
    <x v="5"/>
    <x v="0"/>
  </r>
  <r>
    <x v="0"/>
    <x v="0"/>
    <n v="2239050645"/>
    <x v="2"/>
    <n v="22990"/>
    <x v="0"/>
    <x v="0"/>
    <x v="2"/>
    <x v="2"/>
    <x v="0"/>
    <x v="0"/>
    <x v="2"/>
    <x v="0"/>
  </r>
  <r>
    <x v="0"/>
    <x v="0"/>
    <n v="2239050646"/>
    <x v="2"/>
    <n v="14850"/>
    <x v="0"/>
    <x v="0"/>
    <x v="2"/>
    <x v="2"/>
    <x v="0"/>
    <x v="0"/>
    <x v="2"/>
    <x v="0"/>
  </r>
  <r>
    <x v="0"/>
    <x v="0"/>
    <n v="2239050647"/>
    <x v="2"/>
    <n v="16500"/>
    <x v="0"/>
    <x v="0"/>
    <x v="2"/>
    <x v="2"/>
    <x v="0"/>
    <x v="0"/>
    <x v="2"/>
    <x v="0"/>
  </r>
  <r>
    <x v="0"/>
    <x v="0"/>
    <n v="2239050649"/>
    <x v="2"/>
    <n v="4000"/>
    <x v="0"/>
    <x v="0"/>
    <x v="2"/>
    <x v="2"/>
    <x v="0"/>
    <x v="0"/>
    <x v="2"/>
    <x v="0"/>
  </r>
  <r>
    <x v="0"/>
    <x v="0"/>
    <n v="2239050650"/>
    <x v="5"/>
    <n v="-13000"/>
    <x v="0"/>
    <x v="0"/>
    <x v="2"/>
    <x v="5"/>
    <x v="0"/>
    <x v="0"/>
    <x v="5"/>
    <x v="0"/>
  </r>
  <r>
    <x v="0"/>
    <x v="0"/>
    <n v="2239050650"/>
    <x v="6"/>
    <n v="20000"/>
    <x v="0"/>
    <x v="0"/>
    <x v="2"/>
    <x v="6"/>
    <x v="0"/>
    <x v="0"/>
    <x v="5"/>
    <x v="0"/>
  </r>
  <r>
    <x v="0"/>
    <x v="0"/>
    <n v="2239050651"/>
    <x v="2"/>
    <n v="27500"/>
    <x v="0"/>
    <x v="0"/>
    <x v="2"/>
    <x v="2"/>
    <x v="0"/>
    <x v="0"/>
    <x v="2"/>
    <x v="0"/>
  </r>
  <r>
    <x v="0"/>
    <x v="0"/>
    <n v="2239050652"/>
    <x v="2"/>
    <n v="9500"/>
    <x v="0"/>
    <x v="0"/>
    <x v="2"/>
    <x v="2"/>
    <x v="0"/>
    <x v="0"/>
    <x v="2"/>
    <x v="0"/>
  </r>
  <r>
    <x v="0"/>
    <x v="0"/>
    <n v="2239050653"/>
    <x v="2"/>
    <n v="36080"/>
    <x v="0"/>
    <x v="0"/>
    <x v="2"/>
    <x v="2"/>
    <x v="0"/>
    <x v="0"/>
    <x v="2"/>
    <x v="0"/>
  </r>
  <r>
    <x v="0"/>
    <x v="0"/>
    <n v="2239050654"/>
    <x v="2"/>
    <n v="12100"/>
    <x v="0"/>
    <x v="0"/>
    <x v="2"/>
    <x v="2"/>
    <x v="0"/>
    <x v="0"/>
    <x v="2"/>
    <x v="0"/>
  </r>
  <r>
    <x v="0"/>
    <x v="0"/>
    <n v="2239050655"/>
    <x v="2"/>
    <n v="15000"/>
    <x v="0"/>
    <x v="0"/>
    <x v="2"/>
    <x v="2"/>
    <x v="0"/>
    <x v="0"/>
    <x v="2"/>
    <x v="0"/>
  </r>
  <r>
    <x v="0"/>
    <x v="0"/>
    <n v="2239050656"/>
    <x v="2"/>
    <n v="8000"/>
    <x v="0"/>
    <x v="0"/>
    <x v="2"/>
    <x v="2"/>
    <x v="0"/>
    <x v="0"/>
    <x v="2"/>
    <x v="0"/>
  </r>
  <r>
    <x v="0"/>
    <x v="0"/>
    <n v="2239050657"/>
    <x v="2"/>
    <n v="6000"/>
    <x v="0"/>
    <x v="0"/>
    <x v="2"/>
    <x v="2"/>
    <x v="0"/>
    <x v="0"/>
    <x v="2"/>
    <x v="0"/>
  </r>
  <r>
    <x v="0"/>
    <x v="0"/>
    <n v="2239050658"/>
    <x v="2"/>
    <n v="6000"/>
    <x v="0"/>
    <x v="0"/>
    <x v="2"/>
    <x v="2"/>
    <x v="0"/>
    <x v="0"/>
    <x v="2"/>
    <x v="0"/>
  </r>
  <r>
    <x v="0"/>
    <x v="0"/>
    <n v="2239050659"/>
    <x v="3"/>
    <n v="10890"/>
    <x v="0"/>
    <x v="0"/>
    <x v="2"/>
    <x v="3"/>
    <x v="0"/>
    <x v="0"/>
    <x v="3"/>
    <x v="0"/>
  </r>
  <r>
    <x v="0"/>
    <x v="0"/>
    <n v="2239050661"/>
    <x v="2"/>
    <n v="21890"/>
    <x v="0"/>
    <x v="0"/>
    <x v="2"/>
    <x v="2"/>
    <x v="0"/>
    <x v="0"/>
    <x v="2"/>
    <x v="0"/>
  </r>
  <r>
    <x v="0"/>
    <x v="0"/>
    <n v="2239050662"/>
    <x v="2"/>
    <n v="14190"/>
    <x v="0"/>
    <x v="0"/>
    <x v="2"/>
    <x v="2"/>
    <x v="0"/>
    <x v="0"/>
    <x v="2"/>
    <x v="0"/>
  </r>
  <r>
    <x v="0"/>
    <x v="0"/>
    <n v="2239050664"/>
    <x v="2"/>
    <n v="13200"/>
    <x v="0"/>
    <x v="0"/>
    <x v="2"/>
    <x v="2"/>
    <x v="0"/>
    <x v="0"/>
    <x v="2"/>
    <x v="0"/>
  </r>
  <r>
    <x v="0"/>
    <x v="0"/>
    <n v="2239050666"/>
    <x v="2"/>
    <n v="10000"/>
    <x v="0"/>
    <x v="0"/>
    <x v="2"/>
    <x v="2"/>
    <x v="0"/>
    <x v="0"/>
    <x v="2"/>
    <x v="0"/>
  </r>
  <r>
    <x v="0"/>
    <x v="0"/>
    <n v="2239050667"/>
    <x v="2"/>
    <n v="6000"/>
    <x v="0"/>
    <x v="0"/>
    <x v="2"/>
    <x v="2"/>
    <x v="0"/>
    <x v="0"/>
    <x v="2"/>
    <x v="0"/>
  </r>
  <r>
    <x v="0"/>
    <x v="0"/>
    <n v="2239050669"/>
    <x v="2"/>
    <n v="8500"/>
    <x v="0"/>
    <x v="0"/>
    <x v="2"/>
    <x v="2"/>
    <x v="0"/>
    <x v="0"/>
    <x v="2"/>
    <x v="0"/>
  </r>
  <r>
    <x v="0"/>
    <x v="0"/>
    <n v="2239050671"/>
    <x v="2"/>
    <n v="7500"/>
    <x v="0"/>
    <x v="0"/>
    <x v="2"/>
    <x v="2"/>
    <x v="0"/>
    <x v="0"/>
    <x v="2"/>
    <x v="0"/>
  </r>
  <r>
    <x v="0"/>
    <x v="0"/>
    <n v="2239050672"/>
    <x v="5"/>
    <n v="-4400"/>
    <x v="0"/>
    <x v="0"/>
    <x v="2"/>
    <x v="5"/>
    <x v="0"/>
    <x v="0"/>
    <x v="5"/>
    <x v="0"/>
  </r>
  <r>
    <x v="0"/>
    <x v="0"/>
    <n v="2239050672"/>
    <x v="4"/>
    <n v="10000"/>
    <x v="0"/>
    <x v="0"/>
    <x v="2"/>
    <x v="4"/>
    <x v="0"/>
    <x v="0"/>
    <x v="4"/>
    <x v="0"/>
  </r>
  <r>
    <x v="0"/>
    <x v="0"/>
    <n v="2239050673"/>
    <x v="2"/>
    <n v="13000"/>
    <x v="0"/>
    <x v="0"/>
    <x v="2"/>
    <x v="2"/>
    <x v="0"/>
    <x v="0"/>
    <x v="2"/>
    <x v="0"/>
  </r>
  <r>
    <x v="0"/>
    <x v="0"/>
    <n v="2239050674"/>
    <x v="2"/>
    <n v="13500"/>
    <x v="0"/>
    <x v="0"/>
    <x v="2"/>
    <x v="2"/>
    <x v="0"/>
    <x v="0"/>
    <x v="2"/>
    <x v="0"/>
  </r>
  <r>
    <x v="0"/>
    <x v="0"/>
    <n v="2239050675"/>
    <x v="2"/>
    <n v="22440"/>
    <x v="0"/>
    <x v="0"/>
    <x v="2"/>
    <x v="2"/>
    <x v="0"/>
    <x v="0"/>
    <x v="2"/>
    <x v="0"/>
  </r>
  <r>
    <x v="0"/>
    <x v="0"/>
    <n v="2239050677"/>
    <x v="5"/>
    <n v="-3500"/>
    <x v="0"/>
    <x v="0"/>
    <x v="2"/>
    <x v="5"/>
    <x v="0"/>
    <x v="0"/>
    <x v="5"/>
    <x v="0"/>
  </r>
  <r>
    <x v="0"/>
    <x v="0"/>
    <n v="2239050677"/>
    <x v="6"/>
    <n v="10000"/>
    <x v="0"/>
    <x v="0"/>
    <x v="2"/>
    <x v="6"/>
    <x v="0"/>
    <x v="0"/>
    <x v="5"/>
    <x v="0"/>
  </r>
  <r>
    <x v="0"/>
    <x v="0"/>
    <n v="2239050678"/>
    <x v="2"/>
    <n v="3000"/>
    <x v="0"/>
    <x v="0"/>
    <x v="2"/>
    <x v="2"/>
    <x v="0"/>
    <x v="0"/>
    <x v="2"/>
    <x v="0"/>
  </r>
  <r>
    <x v="0"/>
    <x v="0"/>
    <n v="2239050679"/>
    <x v="2"/>
    <n v="13000"/>
    <x v="0"/>
    <x v="0"/>
    <x v="2"/>
    <x v="2"/>
    <x v="0"/>
    <x v="0"/>
    <x v="2"/>
    <x v="0"/>
  </r>
  <r>
    <x v="0"/>
    <x v="0"/>
    <n v="2239050680"/>
    <x v="2"/>
    <n v="30140"/>
    <x v="0"/>
    <x v="0"/>
    <x v="2"/>
    <x v="2"/>
    <x v="0"/>
    <x v="0"/>
    <x v="2"/>
    <x v="0"/>
  </r>
  <r>
    <x v="0"/>
    <x v="0"/>
    <n v="2239050681"/>
    <x v="5"/>
    <n v="-4000"/>
    <x v="0"/>
    <x v="0"/>
    <x v="2"/>
    <x v="5"/>
    <x v="0"/>
    <x v="0"/>
    <x v="5"/>
    <x v="0"/>
  </r>
  <r>
    <x v="0"/>
    <x v="0"/>
    <n v="2239050681"/>
    <x v="6"/>
    <n v="10500"/>
    <x v="0"/>
    <x v="0"/>
    <x v="2"/>
    <x v="6"/>
    <x v="0"/>
    <x v="0"/>
    <x v="5"/>
    <x v="0"/>
  </r>
  <r>
    <x v="0"/>
    <x v="0"/>
    <n v="2239050682"/>
    <x v="5"/>
    <n v="-460"/>
    <x v="0"/>
    <x v="0"/>
    <x v="2"/>
    <x v="5"/>
    <x v="0"/>
    <x v="0"/>
    <x v="5"/>
    <x v="0"/>
  </r>
  <r>
    <x v="0"/>
    <x v="0"/>
    <n v="2239050682"/>
    <x v="6"/>
    <n v="40000"/>
    <x v="0"/>
    <x v="0"/>
    <x v="2"/>
    <x v="6"/>
    <x v="0"/>
    <x v="0"/>
    <x v="5"/>
    <x v="0"/>
  </r>
  <r>
    <x v="0"/>
    <x v="0"/>
    <n v="2239050682"/>
    <x v="7"/>
    <n v="26360"/>
    <x v="0"/>
    <x v="0"/>
    <x v="2"/>
    <x v="7"/>
    <x v="0"/>
    <x v="0"/>
    <x v="1"/>
    <x v="0"/>
  </r>
  <r>
    <x v="0"/>
    <x v="0"/>
    <n v="2239050683"/>
    <x v="2"/>
    <n v="31900"/>
    <x v="0"/>
    <x v="0"/>
    <x v="2"/>
    <x v="2"/>
    <x v="0"/>
    <x v="0"/>
    <x v="2"/>
    <x v="0"/>
  </r>
  <r>
    <x v="0"/>
    <x v="0"/>
    <n v="2239050684"/>
    <x v="2"/>
    <n v="6500"/>
    <x v="0"/>
    <x v="0"/>
    <x v="2"/>
    <x v="2"/>
    <x v="0"/>
    <x v="0"/>
    <x v="2"/>
    <x v="0"/>
  </r>
  <r>
    <x v="0"/>
    <x v="0"/>
    <n v="2239050685"/>
    <x v="2"/>
    <n v="81765"/>
    <x v="0"/>
    <x v="0"/>
    <x v="2"/>
    <x v="2"/>
    <x v="0"/>
    <x v="0"/>
    <x v="2"/>
    <x v="0"/>
  </r>
  <r>
    <x v="0"/>
    <x v="0"/>
    <n v="2239050687"/>
    <x v="7"/>
    <n v="1500"/>
    <x v="0"/>
    <x v="0"/>
    <x v="2"/>
    <x v="7"/>
    <x v="0"/>
    <x v="0"/>
    <x v="1"/>
    <x v="0"/>
  </r>
  <r>
    <x v="0"/>
    <x v="0"/>
    <n v="2239050688"/>
    <x v="2"/>
    <n v="20500"/>
    <x v="0"/>
    <x v="0"/>
    <x v="2"/>
    <x v="2"/>
    <x v="0"/>
    <x v="0"/>
    <x v="2"/>
    <x v="0"/>
  </r>
  <r>
    <x v="0"/>
    <x v="0"/>
    <n v="2239050689"/>
    <x v="2"/>
    <n v="14500"/>
    <x v="0"/>
    <x v="0"/>
    <x v="2"/>
    <x v="2"/>
    <x v="0"/>
    <x v="0"/>
    <x v="2"/>
    <x v="0"/>
  </r>
  <r>
    <x v="0"/>
    <x v="0"/>
    <n v="2239050690"/>
    <x v="2"/>
    <n v="35640"/>
    <x v="0"/>
    <x v="0"/>
    <x v="2"/>
    <x v="2"/>
    <x v="0"/>
    <x v="0"/>
    <x v="2"/>
    <x v="0"/>
  </r>
  <r>
    <x v="0"/>
    <x v="0"/>
    <n v="2239050691"/>
    <x v="2"/>
    <n v="20790"/>
    <x v="0"/>
    <x v="0"/>
    <x v="2"/>
    <x v="2"/>
    <x v="0"/>
    <x v="0"/>
    <x v="2"/>
    <x v="0"/>
  </r>
  <r>
    <x v="0"/>
    <x v="0"/>
    <n v="2239050692"/>
    <x v="2"/>
    <n v="17600"/>
    <x v="0"/>
    <x v="0"/>
    <x v="2"/>
    <x v="2"/>
    <x v="0"/>
    <x v="0"/>
    <x v="2"/>
    <x v="0"/>
  </r>
  <r>
    <x v="0"/>
    <x v="0"/>
    <n v="2239050693"/>
    <x v="2"/>
    <n v="13200"/>
    <x v="0"/>
    <x v="0"/>
    <x v="2"/>
    <x v="2"/>
    <x v="0"/>
    <x v="0"/>
    <x v="2"/>
    <x v="0"/>
  </r>
  <r>
    <x v="0"/>
    <x v="0"/>
    <n v="2239050694"/>
    <x v="2"/>
    <n v="7500"/>
    <x v="0"/>
    <x v="0"/>
    <x v="2"/>
    <x v="2"/>
    <x v="0"/>
    <x v="0"/>
    <x v="2"/>
    <x v="0"/>
  </r>
  <r>
    <x v="0"/>
    <x v="0"/>
    <n v="2239050695"/>
    <x v="5"/>
    <n v="-2960"/>
    <x v="0"/>
    <x v="0"/>
    <x v="2"/>
    <x v="5"/>
    <x v="0"/>
    <x v="0"/>
    <x v="5"/>
    <x v="0"/>
  </r>
  <r>
    <x v="0"/>
    <x v="0"/>
    <n v="2239050695"/>
    <x v="6"/>
    <n v="20000"/>
    <x v="0"/>
    <x v="0"/>
    <x v="2"/>
    <x v="6"/>
    <x v="0"/>
    <x v="0"/>
    <x v="5"/>
    <x v="0"/>
  </r>
  <r>
    <x v="0"/>
    <x v="0"/>
    <n v="2239050696"/>
    <x v="2"/>
    <n v="12100"/>
    <x v="0"/>
    <x v="0"/>
    <x v="2"/>
    <x v="2"/>
    <x v="0"/>
    <x v="0"/>
    <x v="2"/>
    <x v="0"/>
  </r>
  <r>
    <x v="0"/>
    <x v="0"/>
    <n v="2239050697"/>
    <x v="2"/>
    <n v="13000"/>
    <x v="0"/>
    <x v="0"/>
    <x v="2"/>
    <x v="2"/>
    <x v="0"/>
    <x v="0"/>
    <x v="2"/>
    <x v="0"/>
  </r>
  <r>
    <x v="0"/>
    <x v="0"/>
    <n v="2239050698"/>
    <x v="2"/>
    <n v="13750"/>
    <x v="0"/>
    <x v="0"/>
    <x v="2"/>
    <x v="2"/>
    <x v="0"/>
    <x v="0"/>
    <x v="2"/>
    <x v="0"/>
  </r>
  <r>
    <x v="0"/>
    <x v="0"/>
    <n v="2239050700"/>
    <x v="7"/>
    <n v="7500"/>
    <x v="0"/>
    <x v="0"/>
    <x v="2"/>
    <x v="7"/>
    <x v="0"/>
    <x v="0"/>
    <x v="1"/>
    <x v="0"/>
  </r>
  <r>
    <x v="0"/>
    <x v="0"/>
    <n v="2239050701"/>
    <x v="2"/>
    <n v="14000"/>
    <x v="0"/>
    <x v="0"/>
    <x v="2"/>
    <x v="2"/>
    <x v="0"/>
    <x v="0"/>
    <x v="2"/>
    <x v="0"/>
  </r>
  <r>
    <x v="0"/>
    <x v="0"/>
    <n v="2239050702"/>
    <x v="2"/>
    <n v="31790"/>
    <x v="0"/>
    <x v="0"/>
    <x v="2"/>
    <x v="2"/>
    <x v="0"/>
    <x v="0"/>
    <x v="2"/>
    <x v="0"/>
  </r>
  <r>
    <x v="0"/>
    <x v="0"/>
    <n v="2239050703"/>
    <x v="2"/>
    <n v="39545"/>
    <x v="0"/>
    <x v="0"/>
    <x v="2"/>
    <x v="2"/>
    <x v="0"/>
    <x v="0"/>
    <x v="2"/>
    <x v="0"/>
  </r>
  <r>
    <x v="0"/>
    <x v="0"/>
    <n v="2239050704"/>
    <x v="2"/>
    <n v="10725"/>
    <x v="0"/>
    <x v="0"/>
    <x v="2"/>
    <x v="2"/>
    <x v="0"/>
    <x v="0"/>
    <x v="2"/>
    <x v="0"/>
  </r>
  <r>
    <x v="0"/>
    <x v="0"/>
    <n v="2239050705"/>
    <x v="7"/>
    <n v="7500"/>
    <x v="0"/>
    <x v="0"/>
    <x v="2"/>
    <x v="7"/>
    <x v="0"/>
    <x v="0"/>
    <x v="1"/>
    <x v="0"/>
  </r>
  <r>
    <x v="0"/>
    <x v="0"/>
    <n v="2239050707"/>
    <x v="5"/>
    <n v="-2500"/>
    <x v="0"/>
    <x v="0"/>
    <x v="2"/>
    <x v="5"/>
    <x v="0"/>
    <x v="0"/>
    <x v="5"/>
    <x v="0"/>
  </r>
  <r>
    <x v="0"/>
    <x v="0"/>
    <n v="2239050707"/>
    <x v="6"/>
    <n v="10000"/>
    <x v="0"/>
    <x v="0"/>
    <x v="2"/>
    <x v="6"/>
    <x v="0"/>
    <x v="0"/>
    <x v="5"/>
    <x v="0"/>
  </r>
  <r>
    <x v="0"/>
    <x v="0"/>
    <n v="2239050708"/>
    <x v="2"/>
    <n v="12000"/>
    <x v="0"/>
    <x v="0"/>
    <x v="2"/>
    <x v="2"/>
    <x v="0"/>
    <x v="0"/>
    <x v="2"/>
    <x v="0"/>
  </r>
  <r>
    <x v="0"/>
    <x v="0"/>
    <n v="2239050709"/>
    <x v="2"/>
    <n v="6300"/>
    <x v="0"/>
    <x v="0"/>
    <x v="2"/>
    <x v="2"/>
    <x v="0"/>
    <x v="0"/>
    <x v="2"/>
    <x v="0"/>
  </r>
  <r>
    <x v="0"/>
    <x v="0"/>
    <n v="2239050710"/>
    <x v="2"/>
    <n v="33550"/>
    <x v="0"/>
    <x v="0"/>
    <x v="2"/>
    <x v="2"/>
    <x v="0"/>
    <x v="0"/>
    <x v="2"/>
    <x v="0"/>
  </r>
  <r>
    <x v="0"/>
    <x v="0"/>
    <n v="2239050711"/>
    <x v="5"/>
    <n v="-1800"/>
    <x v="0"/>
    <x v="0"/>
    <x v="2"/>
    <x v="5"/>
    <x v="0"/>
    <x v="0"/>
    <x v="5"/>
    <x v="0"/>
  </r>
  <r>
    <x v="0"/>
    <x v="0"/>
    <n v="2239050711"/>
    <x v="6"/>
    <n v="15000"/>
    <x v="0"/>
    <x v="0"/>
    <x v="2"/>
    <x v="6"/>
    <x v="0"/>
    <x v="0"/>
    <x v="5"/>
    <x v="0"/>
  </r>
  <r>
    <x v="0"/>
    <x v="0"/>
    <n v="2239050712"/>
    <x v="3"/>
    <n v="3300"/>
    <x v="0"/>
    <x v="0"/>
    <x v="2"/>
    <x v="3"/>
    <x v="0"/>
    <x v="0"/>
    <x v="3"/>
    <x v="0"/>
  </r>
  <r>
    <x v="0"/>
    <x v="0"/>
    <n v="2239050714"/>
    <x v="2"/>
    <n v="12000"/>
    <x v="0"/>
    <x v="0"/>
    <x v="2"/>
    <x v="2"/>
    <x v="0"/>
    <x v="0"/>
    <x v="2"/>
    <x v="0"/>
  </r>
  <r>
    <x v="0"/>
    <x v="0"/>
    <n v="2239050715"/>
    <x v="2"/>
    <n v="71940"/>
    <x v="0"/>
    <x v="0"/>
    <x v="2"/>
    <x v="2"/>
    <x v="0"/>
    <x v="0"/>
    <x v="2"/>
    <x v="0"/>
  </r>
  <r>
    <x v="0"/>
    <x v="0"/>
    <n v="2239050716"/>
    <x v="2"/>
    <n v="6500"/>
    <x v="0"/>
    <x v="0"/>
    <x v="2"/>
    <x v="2"/>
    <x v="0"/>
    <x v="0"/>
    <x v="2"/>
    <x v="0"/>
  </r>
  <r>
    <x v="0"/>
    <x v="0"/>
    <n v="2239050717"/>
    <x v="2"/>
    <n v="44440"/>
    <x v="0"/>
    <x v="0"/>
    <x v="2"/>
    <x v="2"/>
    <x v="0"/>
    <x v="0"/>
    <x v="2"/>
    <x v="0"/>
  </r>
  <r>
    <x v="0"/>
    <x v="0"/>
    <n v="2239050718"/>
    <x v="2"/>
    <n v="7150"/>
    <x v="0"/>
    <x v="0"/>
    <x v="2"/>
    <x v="2"/>
    <x v="0"/>
    <x v="0"/>
    <x v="2"/>
    <x v="0"/>
  </r>
  <r>
    <x v="0"/>
    <x v="0"/>
    <n v="2239050719"/>
    <x v="5"/>
    <n v="-6000"/>
    <x v="0"/>
    <x v="0"/>
    <x v="2"/>
    <x v="5"/>
    <x v="0"/>
    <x v="0"/>
    <x v="5"/>
    <x v="0"/>
  </r>
  <r>
    <x v="0"/>
    <x v="0"/>
    <n v="2239050719"/>
    <x v="6"/>
    <n v="10000"/>
    <x v="0"/>
    <x v="0"/>
    <x v="2"/>
    <x v="6"/>
    <x v="0"/>
    <x v="0"/>
    <x v="5"/>
    <x v="0"/>
  </r>
  <r>
    <x v="0"/>
    <x v="0"/>
    <n v="2239050720"/>
    <x v="2"/>
    <n v="17490"/>
    <x v="0"/>
    <x v="0"/>
    <x v="2"/>
    <x v="2"/>
    <x v="0"/>
    <x v="0"/>
    <x v="2"/>
    <x v="0"/>
  </r>
  <r>
    <x v="0"/>
    <x v="0"/>
    <n v="2239050721"/>
    <x v="2"/>
    <n v="18700"/>
    <x v="0"/>
    <x v="0"/>
    <x v="2"/>
    <x v="2"/>
    <x v="0"/>
    <x v="0"/>
    <x v="2"/>
    <x v="0"/>
  </r>
  <r>
    <x v="0"/>
    <x v="0"/>
    <n v="2239050722"/>
    <x v="2"/>
    <n v="7500"/>
    <x v="0"/>
    <x v="0"/>
    <x v="2"/>
    <x v="2"/>
    <x v="0"/>
    <x v="0"/>
    <x v="2"/>
    <x v="0"/>
  </r>
  <r>
    <x v="0"/>
    <x v="0"/>
    <n v="2239050723"/>
    <x v="2"/>
    <n v="20350"/>
    <x v="0"/>
    <x v="0"/>
    <x v="2"/>
    <x v="2"/>
    <x v="0"/>
    <x v="0"/>
    <x v="2"/>
    <x v="0"/>
  </r>
  <r>
    <x v="0"/>
    <x v="0"/>
    <n v="2239050724"/>
    <x v="2"/>
    <n v="59235"/>
    <x v="0"/>
    <x v="0"/>
    <x v="2"/>
    <x v="2"/>
    <x v="0"/>
    <x v="0"/>
    <x v="2"/>
    <x v="0"/>
  </r>
  <r>
    <x v="0"/>
    <x v="0"/>
    <n v="2239050725"/>
    <x v="7"/>
    <n v="1500"/>
    <x v="0"/>
    <x v="0"/>
    <x v="2"/>
    <x v="7"/>
    <x v="0"/>
    <x v="0"/>
    <x v="1"/>
    <x v="0"/>
  </r>
  <r>
    <x v="0"/>
    <x v="0"/>
    <n v="2239050728"/>
    <x v="2"/>
    <n v="5400"/>
    <x v="0"/>
    <x v="0"/>
    <x v="2"/>
    <x v="2"/>
    <x v="0"/>
    <x v="0"/>
    <x v="2"/>
    <x v="0"/>
  </r>
  <r>
    <x v="0"/>
    <x v="0"/>
    <n v="2239050729"/>
    <x v="2"/>
    <n v="7500"/>
    <x v="0"/>
    <x v="0"/>
    <x v="2"/>
    <x v="2"/>
    <x v="0"/>
    <x v="0"/>
    <x v="2"/>
    <x v="0"/>
  </r>
  <r>
    <x v="0"/>
    <x v="0"/>
    <n v="2239050730"/>
    <x v="6"/>
    <n v="6500"/>
    <x v="0"/>
    <x v="0"/>
    <x v="2"/>
    <x v="6"/>
    <x v="0"/>
    <x v="0"/>
    <x v="5"/>
    <x v="0"/>
  </r>
  <r>
    <x v="0"/>
    <x v="0"/>
    <n v="2239050732"/>
    <x v="2"/>
    <n v="9900"/>
    <x v="0"/>
    <x v="0"/>
    <x v="2"/>
    <x v="2"/>
    <x v="0"/>
    <x v="0"/>
    <x v="2"/>
    <x v="0"/>
  </r>
  <r>
    <x v="0"/>
    <x v="0"/>
    <n v="2239050733"/>
    <x v="2"/>
    <n v="12100"/>
    <x v="0"/>
    <x v="0"/>
    <x v="2"/>
    <x v="2"/>
    <x v="0"/>
    <x v="0"/>
    <x v="2"/>
    <x v="0"/>
  </r>
  <r>
    <x v="0"/>
    <x v="0"/>
    <n v="2239050734"/>
    <x v="2"/>
    <n v="11550"/>
    <x v="0"/>
    <x v="0"/>
    <x v="2"/>
    <x v="2"/>
    <x v="0"/>
    <x v="0"/>
    <x v="2"/>
    <x v="0"/>
  </r>
  <r>
    <x v="0"/>
    <x v="0"/>
    <n v="2239050735"/>
    <x v="2"/>
    <n v="18700"/>
    <x v="0"/>
    <x v="0"/>
    <x v="2"/>
    <x v="2"/>
    <x v="0"/>
    <x v="0"/>
    <x v="2"/>
    <x v="0"/>
  </r>
  <r>
    <x v="0"/>
    <x v="0"/>
    <n v="2239050737"/>
    <x v="2"/>
    <n v="22000"/>
    <x v="0"/>
    <x v="0"/>
    <x v="2"/>
    <x v="2"/>
    <x v="0"/>
    <x v="0"/>
    <x v="2"/>
    <x v="0"/>
  </r>
  <r>
    <x v="0"/>
    <x v="0"/>
    <n v="2239050738"/>
    <x v="5"/>
    <n v="-700"/>
    <x v="0"/>
    <x v="0"/>
    <x v="2"/>
    <x v="5"/>
    <x v="0"/>
    <x v="0"/>
    <x v="5"/>
    <x v="0"/>
  </r>
  <r>
    <x v="0"/>
    <x v="0"/>
    <n v="2239050738"/>
    <x v="6"/>
    <n v="13000"/>
    <x v="0"/>
    <x v="0"/>
    <x v="2"/>
    <x v="6"/>
    <x v="0"/>
    <x v="0"/>
    <x v="5"/>
    <x v="0"/>
  </r>
  <r>
    <x v="0"/>
    <x v="0"/>
    <n v="2239050739"/>
    <x v="2"/>
    <n v="14850"/>
    <x v="0"/>
    <x v="0"/>
    <x v="2"/>
    <x v="2"/>
    <x v="0"/>
    <x v="0"/>
    <x v="2"/>
    <x v="0"/>
  </r>
  <r>
    <x v="0"/>
    <x v="0"/>
    <n v="2239050740"/>
    <x v="5"/>
    <n v="-3500"/>
    <x v="0"/>
    <x v="0"/>
    <x v="2"/>
    <x v="5"/>
    <x v="0"/>
    <x v="0"/>
    <x v="5"/>
    <x v="0"/>
  </r>
  <r>
    <x v="0"/>
    <x v="0"/>
    <n v="2239050740"/>
    <x v="6"/>
    <n v="10000"/>
    <x v="0"/>
    <x v="0"/>
    <x v="2"/>
    <x v="6"/>
    <x v="0"/>
    <x v="0"/>
    <x v="5"/>
    <x v="0"/>
  </r>
  <r>
    <x v="0"/>
    <x v="0"/>
    <n v="2239050742"/>
    <x v="2"/>
    <n v="6500"/>
    <x v="0"/>
    <x v="0"/>
    <x v="2"/>
    <x v="2"/>
    <x v="0"/>
    <x v="0"/>
    <x v="2"/>
    <x v="0"/>
  </r>
  <r>
    <x v="0"/>
    <x v="0"/>
    <n v="2239050745"/>
    <x v="2"/>
    <n v="6500"/>
    <x v="0"/>
    <x v="0"/>
    <x v="2"/>
    <x v="2"/>
    <x v="0"/>
    <x v="0"/>
    <x v="2"/>
    <x v="0"/>
  </r>
  <r>
    <x v="0"/>
    <x v="0"/>
    <n v="2239050747"/>
    <x v="3"/>
    <n v="12100"/>
    <x v="0"/>
    <x v="0"/>
    <x v="2"/>
    <x v="3"/>
    <x v="0"/>
    <x v="0"/>
    <x v="3"/>
    <x v="0"/>
  </r>
  <r>
    <x v="0"/>
    <x v="0"/>
    <n v="2239050748"/>
    <x v="2"/>
    <n v="20000"/>
    <x v="0"/>
    <x v="0"/>
    <x v="2"/>
    <x v="2"/>
    <x v="0"/>
    <x v="0"/>
    <x v="2"/>
    <x v="0"/>
  </r>
  <r>
    <x v="0"/>
    <x v="0"/>
    <n v="2239050750"/>
    <x v="2"/>
    <n v="6500"/>
    <x v="0"/>
    <x v="0"/>
    <x v="2"/>
    <x v="2"/>
    <x v="0"/>
    <x v="0"/>
    <x v="2"/>
    <x v="0"/>
  </r>
  <r>
    <x v="0"/>
    <x v="0"/>
    <n v="2239050751"/>
    <x v="2"/>
    <n v="3500"/>
    <x v="0"/>
    <x v="0"/>
    <x v="2"/>
    <x v="2"/>
    <x v="0"/>
    <x v="0"/>
    <x v="2"/>
    <x v="0"/>
  </r>
  <r>
    <x v="0"/>
    <x v="0"/>
    <n v="2239050752"/>
    <x v="5"/>
    <n v="-4250"/>
    <x v="0"/>
    <x v="0"/>
    <x v="2"/>
    <x v="5"/>
    <x v="0"/>
    <x v="0"/>
    <x v="5"/>
    <x v="0"/>
  </r>
  <r>
    <x v="0"/>
    <x v="0"/>
    <n v="2239050752"/>
    <x v="6"/>
    <n v="20000"/>
    <x v="0"/>
    <x v="0"/>
    <x v="2"/>
    <x v="6"/>
    <x v="0"/>
    <x v="0"/>
    <x v="5"/>
    <x v="0"/>
  </r>
  <r>
    <x v="0"/>
    <x v="0"/>
    <n v="2239050752"/>
    <x v="7"/>
    <n v="6750"/>
    <x v="0"/>
    <x v="0"/>
    <x v="2"/>
    <x v="7"/>
    <x v="0"/>
    <x v="0"/>
    <x v="1"/>
    <x v="0"/>
  </r>
  <r>
    <x v="0"/>
    <x v="0"/>
    <n v="2239050753"/>
    <x v="5"/>
    <n v="-5500"/>
    <x v="0"/>
    <x v="0"/>
    <x v="2"/>
    <x v="5"/>
    <x v="0"/>
    <x v="0"/>
    <x v="5"/>
    <x v="0"/>
  </r>
  <r>
    <x v="0"/>
    <x v="0"/>
    <n v="2239050753"/>
    <x v="6"/>
    <n v="25000"/>
    <x v="0"/>
    <x v="0"/>
    <x v="2"/>
    <x v="6"/>
    <x v="0"/>
    <x v="0"/>
    <x v="5"/>
    <x v="0"/>
  </r>
  <r>
    <x v="0"/>
    <x v="0"/>
    <n v="2239050754"/>
    <x v="2"/>
    <n v="7150"/>
    <x v="0"/>
    <x v="0"/>
    <x v="2"/>
    <x v="2"/>
    <x v="0"/>
    <x v="0"/>
    <x v="2"/>
    <x v="0"/>
  </r>
  <r>
    <x v="0"/>
    <x v="0"/>
    <n v="2239050755"/>
    <x v="6"/>
    <n v="6000"/>
    <x v="0"/>
    <x v="0"/>
    <x v="2"/>
    <x v="6"/>
    <x v="0"/>
    <x v="0"/>
    <x v="5"/>
    <x v="0"/>
  </r>
  <r>
    <x v="0"/>
    <x v="0"/>
    <n v="2239050757"/>
    <x v="2"/>
    <n v="46640"/>
    <x v="0"/>
    <x v="0"/>
    <x v="2"/>
    <x v="2"/>
    <x v="0"/>
    <x v="0"/>
    <x v="2"/>
    <x v="0"/>
  </r>
  <r>
    <x v="0"/>
    <x v="0"/>
    <n v="2239050759"/>
    <x v="2"/>
    <n v="6500"/>
    <x v="0"/>
    <x v="0"/>
    <x v="2"/>
    <x v="2"/>
    <x v="0"/>
    <x v="0"/>
    <x v="2"/>
    <x v="0"/>
  </r>
  <r>
    <x v="0"/>
    <x v="0"/>
    <n v="2239050760"/>
    <x v="2"/>
    <n v="5500"/>
    <x v="0"/>
    <x v="0"/>
    <x v="2"/>
    <x v="2"/>
    <x v="0"/>
    <x v="0"/>
    <x v="2"/>
    <x v="0"/>
  </r>
  <r>
    <x v="0"/>
    <x v="0"/>
    <n v="2239050761"/>
    <x v="2"/>
    <n v="3000"/>
    <x v="0"/>
    <x v="0"/>
    <x v="2"/>
    <x v="2"/>
    <x v="0"/>
    <x v="0"/>
    <x v="2"/>
    <x v="0"/>
  </r>
  <r>
    <x v="0"/>
    <x v="0"/>
    <n v="2239050762"/>
    <x v="2"/>
    <n v="23100"/>
    <x v="0"/>
    <x v="0"/>
    <x v="2"/>
    <x v="2"/>
    <x v="0"/>
    <x v="0"/>
    <x v="2"/>
    <x v="0"/>
  </r>
  <r>
    <x v="0"/>
    <x v="0"/>
    <n v="2239050763"/>
    <x v="5"/>
    <n v="-8000"/>
    <x v="0"/>
    <x v="0"/>
    <x v="2"/>
    <x v="5"/>
    <x v="0"/>
    <x v="0"/>
    <x v="5"/>
    <x v="0"/>
  </r>
  <r>
    <x v="0"/>
    <x v="0"/>
    <n v="2239050763"/>
    <x v="6"/>
    <n v="20000"/>
    <x v="0"/>
    <x v="0"/>
    <x v="2"/>
    <x v="6"/>
    <x v="0"/>
    <x v="0"/>
    <x v="5"/>
    <x v="0"/>
  </r>
  <r>
    <x v="0"/>
    <x v="0"/>
    <n v="2239050764"/>
    <x v="2"/>
    <n v="16000"/>
    <x v="0"/>
    <x v="0"/>
    <x v="2"/>
    <x v="2"/>
    <x v="0"/>
    <x v="0"/>
    <x v="2"/>
    <x v="0"/>
  </r>
  <r>
    <x v="0"/>
    <x v="0"/>
    <n v="2239050765"/>
    <x v="2"/>
    <n v="16500"/>
    <x v="0"/>
    <x v="0"/>
    <x v="2"/>
    <x v="2"/>
    <x v="0"/>
    <x v="0"/>
    <x v="2"/>
    <x v="0"/>
  </r>
  <r>
    <x v="0"/>
    <x v="0"/>
    <n v="2239050768"/>
    <x v="6"/>
    <n v="6000"/>
    <x v="0"/>
    <x v="0"/>
    <x v="2"/>
    <x v="6"/>
    <x v="0"/>
    <x v="0"/>
    <x v="5"/>
    <x v="0"/>
  </r>
  <r>
    <x v="0"/>
    <x v="0"/>
    <n v="2239050770"/>
    <x v="3"/>
    <n v="6500"/>
    <x v="0"/>
    <x v="0"/>
    <x v="2"/>
    <x v="3"/>
    <x v="0"/>
    <x v="0"/>
    <x v="3"/>
    <x v="0"/>
  </r>
  <r>
    <x v="0"/>
    <x v="0"/>
    <n v="2239050771"/>
    <x v="2"/>
    <n v="7500"/>
    <x v="0"/>
    <x v="0"/>
    <x v="2"/>
    <x v="2"/>
    <x v="0"/>
    <x v="0"/>
    <x v="2"/>
    <x v="0"/>
  </r>
  <r>
    <x v="0"/>
    <x v="0"/>
    <n v="2239050772"/>
    <x v="2"/>
    <n v="14000"/>
    <x v="0"/>
    <x v="0"/>
    <x v="2"/>
    <x v="2"/>
    <x v="0"/>
    <x v="0"/>
    <x v="2"/>
    <x v="0"/>
  </r>
  <r>
    <x v="0"/>
    <x v="0"/>
    <n v="2239050773"/>
    <x v="7"/>
    <n v="1500"/>
    <x v="0"/>
    <x v="0"/>
    <x v="2"/>
    <x v="7"/>
    <x v="0"/>
    <x v="0"/>
    <x v="1"/>
    <x v="0"/>
  </r>
  <r>
    <x v="0"/>
    <x v="0"/>
    <n v="2239050777"/>
    <x v="3"/>
    <n v="4500"/>
    <x v="0"/>
    <x v="0"/>
    <x v="2"/>
    <x v="3"/>
    <x v="0"/>
    <x v="0"/>
    <x v="3"/>
    <x v="0"/>
  </r>
  <r>
    <x v="0"/>
    <x v="0"/>
    <n v="2239050778"/>
    <x v="2"/>
    <n v="6600"/>
    <x v="0"/>
    <x v="0"/>
    <x v="2"/>
    <x v="2"/>
    <x v="0"/>
    <x v="0"/>
    <x v="2"/>
    <x v="0"/>
  </r>
  <r>
    <x v="0"/>
    <x v="0"/>
    <n v="2239050779"/>
    <x v="2"/>
    <n v="32626"/>
    <x v="0"/>
    <x v="0"/>
    <x v="2"/>
    <x v="2"/>
    <x v="0"/>
    <x v="0"/>
    <x v="2"/>
    <x v="0"/>
  </r>
  <r>
    <x v="0"/>
    <x v="0"/>
    <n v="2239050780"/>
    <x v="2"/>
    <n v="7500"/>
    <x v="0"/>
    <x v="0"/>
    <x v="2"/>
    <x v="2"/>
    <x v="0"/>
    <x v="0"/>
    <x v="2"/>
    <x v="0"/>
  </r>
  <r>
    <x v="0"/>
    <x v="0"/>
    <n v="2239050781"/>
    <x v="2"/>
    <n v="13000"/>
    <x v="0"/>
    <x v="0"/>
    <x v="2"/>
    <x v="2"/>
    <x v="0"/>
    <x v="0"/>
    <x v="2"/>
    <x v="0"/>
  </r>
  <r>
    <x v="0"/>
    <x v="0"/>
    <n v="2239050782"/>
    <x v="2"/>
    <n v="13000"/>
    <x v="0"/>
    <x v="0"/>
    <x v="2"/>
    <x v="2"/>
    <x v="0"/>
    <x v="0"/>
    <x v="2"/>
    <x v="0"/>
  </r>
  <r>
    <x v="0"/>
    <x v="0"/>
    <n v="2239050783"/>
    <x v="2"/>
    <n v="36850"/>
    <x v="0"/>
    <x v="0"/>
    <x v="2"/>
    <x v="2"/>
    <x v="0"/>
    <x v="0"/>
    <x v="2"/>
    <x v="0"/>
  </r>
  <r>
    <x v="0"/>
    <x v="0"/>
    <n v="2239050784"/>
    <x v="3"/>
    <n v="6600"/>
    <x v="0"/>
    <x v="0"/>
    <x v="2"/>
    <x v="3"/>
    <x v="0"/>
    <x v="0"/>
    <x v="3"/>
    <x v="0"/>
  </r>
  <r>
    <x v="0"/>
    <x v="0"/>
    <n v="2239050785"/>
    <x v="5"/>
    <n v="-2500"/>
    <x v="0"/>
    <x v="0"/>
    <x v="2"/>
    <x v="5"/>
    <x v="0"/>
    <x v="0"/>
    <x v="5"/>
    <x v="0"/>
  </r>
  <r>
    <x v="0"/>
    <x v="0"/>
    <n v="2239050785"/>
    <x v="6"/>
    <n v="10000"/>
    <x v="0"/>
    <x v="0"/>
    <x v="2"/>
    <x v="6"/>
    <x v="0"/>
    <x v="0"/>
    <x v="5"/>
    <x v="0"/>
  </r>
  <r>
    <x v="0"/>
    <x v="0"/>
    <n v="2239050786"/>
    <x v="5"/>
    <n v="-14300"/>
    <x v="0"/>
    <x v="0"/>
    <x v="2"/>
    <x v="5"/>
    <x v="0"/>
    <x v="0"/>
    <x v="5"/>
    <x v="0"/>
  </r>
  <r>
    <x v="0"/>
    <x v="0"/>
    <n v="2239050786"/>
    <x v="4"/>
    <n v="20000"/>
    <x v="0"/>
    <x v="0"/>
    <x v="2"/>
    <x v="4"/>
    <x v="0"/>
    <x v="0"/>
    <x v="4"/>
    <x v="0"/>
  </r>
  <r>
    <x v="0"/>
    <x v="0"/>
    <n v="2239050788"/>
    <x v="2"/>
    <n v="31240"/>
    <x v="0"/>
    <x v="0"/>
    <x v="2"/>
    <x v="2"/>
    <x v="0"/>
    <x v="0"/>
    <x v="2"/>
    <x v="0"/>
  </r>
  <r>
    <x v="0"/>
    <x v="0"/>
    <n v="2239050789"/>
    <x v="2"/>
    <n v="7500"/>
    <x v="0"/>
    <x v="0"/>
    <x v="2"/>
    <x v="2"/>
    <x v="0"/>
    <x v="0"/>
    <x v="2"/>
    <x v="0"/>
  </r>
  <r>
    <x v="0"/>
    <x v="0"/>
    <n v="2239050790"/>
    <x v="7"/>
    <n v="7500"/>
    <x v="0"/>
    <x v="0"/>
    <x v="2"/>
    <x v="7"/>
    <x v="0"/>
    <x v="0"/>
    <x v="1"/>
    <x v="0"/>
  </r>
  <r>
    <x v="0"/>
    <x v="0"/>
    <n v="2239050791"/>
    <x v="5"/>
    <n v="-8000"/>
    <x v="0"/>
    <x v="0"/>
    <x v="2"/>
    <x v="5"/>
    <x v="0"/>
    <x v="0"/>
    <x v="5"/>
    <x v="0"/>
  </r>
  <r>
    <x v="0"/>
    <x v="0"/>
    <n v="2239050791"/>
    <x v="6"/>
    <n v="20000"/>
    <x v="0"/>
    <x v="0"/>
    <x v="2"/>
    <x v="6"/>
    <x v="0"/>
    <x v="0"/>
    <x v="5"/>
    <x v="0"/>
  </r>
  <r>
    <x v="0"/>
    <x v="0"/>
    <n v="2239050793"/>
    <x v="2"/>
    <n v="19500"/>
    <x v="0"/>
    <x v="0"/>
    <x v="2"/>
    <x v="2"/>
    <x v="0"/>
    <x v="0"/>
    <x v="2"/>
    <x v="0"/>
  </r>
  <r>
    <x v="0"/>
    <x v="0"/>
    <n v="2239050794"/>
    <x v="2"/>
    <n v="6000"/>
    <x v="0"/>
    <x v="0"/>
    <x v="2"/>
    <x v="2"/>
    <x v="0"/>
    <x v="0"/>
    <x v="2"/>
    <x v="0"/>
  </r>
  <r>
    <x v="0"/>
    <x v="0"/>
    <n v="2239050795"/>
    <x v="2"/>
    <n v="14300"/>
    <x v="0"/>
    <x v="0"/>
    <x v="2"/>
    <x v="2"/>
    <x v="0"/>
    <x v="0"/>
    <x v="2"/>
    <x v="0"/>
  </r>
  <r>
    <x v="0"/>
    <x v="0"/>
    <n v="2239050796"/>
    <x v="3"/>
    <n v="13000"/>
    <x v="0"/>
    <x v="0"/>
    <x v="2"/>
    <x v="3"/>
    <x v="0"/>
    <x v="0"/>
    <x v="3"/>
    <x v="0"/>
  </r>
  <r>
    <x v="0"/>
    <x v="0"/>
    <n v="2239050797"/>
    <x v="5"/>
    <n v="-3500"/>
    <x v="0"/>
    <x v="0"/>
    <x v="2"/>
    <x v="5"/>
    <x v="0"/>
    <x v="0"/>
    <x v="5"/>
    <x v="0"/>
  </r>
  <r>
    <x v="0"/>
    <x v="0"/>
    <n v="2239050797"/>
    <x v="6"/>
    <n v="10000"/>
    <x v="0"/>
    <x v="0"/>
    <x v="2"/>
    <x v="6"/>
    <x v="0"/>
    <x v="0"/>
    <x v="5"/>
    <x v="0"/>
  </r>
  <r>
    <x v="0"/>
    <x v="0"/>
    <n v="2239050798"/>
    <x v="2"/>
    <n v="12100"/>
    <x v="0"/>
    <x v="0"/>
    <x v="2"/>
    <x v="2"/>
    <x v="0"/>
    <x v="0"/>
    <x v="2"/>
    <x v="0"/>
  </r>
  <r>
    <x v="0"/>
    <x v="0"/>
    <n v="2239050799"/>
    <x v="2"/>
    <n v="16500"/>
    <x v="0"/>
    <x v="0"/>
    <x v="2"/>
    <x v="2"/>
    <x v="0"/>
    <x v="0"/>
    <x v="2"/>
    <x v="0"/>
  </r>
  <r>
    <x v="0"/>
    <x v="0"/>
    <n v="2239050800"/>
    <x v="2"/>
    <n v="13750"/>
    <x v="0"/>
    <x v="0"/>
    <x v="2"/>
    <x v="2"/>
    <x v="0"/>
    <x v="0"/>
    <x v="2"/>
    <x v="0"/>
  </r>
  <r>
    <x v="0"/>
    <x v="0"/>
    <n v="2239050801"/>
    <x v="7"/>
    <n v="6500"/>
    <x v="0"/>
    <x v="0"/>
    <x v="2"/>
    <x v="7"/>
    <x v="0"/>
    <x v="0"/>
    <x v="1"/>
    <x v="0"/>
  </r>
  <r>
    <x v="0"/>
    <x v="0"/>
    <n v="2239050802"/>
    <x v="2"/>
    <n v="13000"/>
    <x v="0"/>
    <x v="0"/>
    <x v="2"/>
    <x v="2"/>
    <x v="0"/>
    <x v="0"/>
    <x v="2"/>
    <x v="0"/>
  </r>
  <r>
    <x v="0"/>
    <x v="0"/>
    <n v="2239050803"/>
    <x v="2"/>
    <n v="6500"/>
    <x v="0"/>
    <x v="0"/>
    <x v="2"/>
    <x v="2"/>
    <x v="0"/>
    <x v="0"/>
    <x v="2"/>
    <x v="0"/>
  </r>
  <r>
    <x v="0"/>
    <x v="0"/>
    <n v="2239050804"/>
    <x v="2"/>
    <n v="22550"/>
    <x v="0"/>
    <x v="0"/>
    <x v="2"/>
    <x v="2"/>
    <x v="0"/>
    <x v="0"/>
    <x v="2"/>
    <x v="0"/>
  </r>
  <r>
    <x v="0"/>
    <x v="0"/>
    <n v="2239050805"/>
    <x v="2"/>
    <n v="24750"/>
    <x v="0"/>
    <x v="0"/>
    <x v="2"/>
    <x v="2"/>
    <x v="0"/>
    <x v="0"/>
    <x v="2"/>
    <x v="0"/>
  </r>
  <r>
    <x v="0"/>
    <x v="0"/>
    <n v="2239050806"/>
    <x v="5"/>
    <n v="-3500"/>
    <x v="0"/>
    <x v="0"/>
    <x v="2"/>
    <x v="5"/>
    <x v="0"/>
    <x v="0"/>
    <x v="5"/>
    <x v="0"/>
  </r>
  <r>
    <x v="0"/>
    <x v="0"/>
    <n v="2239050806"/>
    <x v="6"/>
    <n v="10000"/>
    <x v="0"/>
    <x v="0"/>
    <x v="2"/>
    <x v="6"/>
    <x v="0"/>
    <x v="0"/>
    <x v="5"/>
    <x v="0"/>
  </r>
  <r>
    <x v="0"/>
    <x v="0"/>
    <n v="2239050808"/>
    <x v="2"/>
    <n v="20790"/>
    <x v="0"/>
    <x v="0"/>
    <x v="2"/>
    <x v="2"/>
    <x v="0"/>
    <x v="0"/>
    <x v="2"/>
    <x v="0"/>
  </r>
  <r>
    <x v="0"/>
    <x v="0"/>
    <n v="2239050809"/>
    <x v="2"/>
    <n v="19800"/>
    <x v="0"/>
    <x v="0"/>
    <x v="2"/>
    <x v="2"/>
    <x v="0"/>
    <x v="0"/>
    <x v="2"/>
    <x v="0"/>
  </r>
  <r>
    <x v="0"/>
    <x v="0"/>
    <n v="2239050811"/>
    <x v="3"/>
    <n v="10000"/>
    <x v="0"/>
    <x v="0"/>
    <x v="2"/>
    <x v="3"/>
    <x v="0"/>
    <x v="0"/>
    <x v="3"/>
    <x v="0"/>
  </r>
  <r>
    <x v="0"/>
    <x v="0"/>
    <n v="2239050812"/>
    <x v="2"/>
    <n v="8250"/>
    <x v="0"/>
    <x v="0"/>
    <x v="2"/>
    <x v="2"/>
    <x v="0"/>
    <x v="0"/>
    <x v="2"/>
    <x v="0"/>
  </r>
  <r>
    <x v="0"/>
    <x v="0"/>
    <n v="2239050813"/>
    <x v="2"/>
    <n v="12000"/>
    <x v="0"/>
    <x v="0"/>
    <x v="2"/>
    <x v="2"/>
    <x v="0"/>
    <x v="0"/>
    <x v="2"/>
    <x v="0"/>
  </r>
  <r>
    <x v="0"/>
    <x v="0"/>
    <n v="2239050814"/>
    <x v="6"/>
    <n v="3000"/>
    <x v="0"/>
    <x v="0"/>
    <x v="2"/>
    <x v="6"/>
    <x v="0"/>
    <x v="0"/>
    <x v="5"/>
    <x v="0"/>
  </r>
  <r>
    <x v="0"/>
    <x v="0"/>
    <n v="2239050816"/>
    <x v="2"/>
    <n v="18590"/>
    <x v="0"/>
    <x v="0"/>
    <x v="2"/>
    <x v="2"/>
    <x v="0"/>
    <x v="0"/>
    <x v="2"/>
    <x v="0"/>
  </r>
  <r>
    <x v="0"/>
    <x v="0"/>
    <n v="2239050817"/>
    <x v="4"/>
    <n v="5300"/>
    <x v="0"/>
    <x v="0"/>
    <x v="2"/>
    <x v="4"/>
    <x v="0"/>
    <x v="0"/>
    <x v="4"/>
    <x v="0"/>
  </r>
  <r>
    <x v="0"/>
    <x v="0"/>
    <n v="2239050818"/>
    <x v="2"/>
    <n v="39490"/>
    <x v="0"/>
    <x v="0"/>
    <x v="2"/>
    <x v="2"/>
    <x v="0"/>
    <x v="0"/>
    <x v="2"/>
    <x v="0"/>
  </r>
  <r>
    <x v="0"/>
    <x v="0"/>
    <n v="2239050819"/>
    <x v="5"/>
    <n v="-2000"/>
    <x v="0"/>
    <x v="0"/>
    <x v="2"/>
    <x v="5"/>
    <x v="0"/>
    <x v="0"/>
    <x v="5"/>
    <x v="0"/>
  </r>
  <r>
    <x v="0"/>
    <x v="0"/>
    <n v="2239050819"/>
    <x v="6"/>
    <n v="5000"/>
    <x v="0"/>
    <x v="0"/>
    <x v="2"/>
    <x v="6"/>
    <x v="0"/>
    <x v="0"/>
    <x v="5"/>
    <x v="0"/>
  </r>
  <r>
    <x v="0"/>
    <x v="0"/>
    <n v="2239050820"/>
    <x v="2"/>
    <n v="7000"/>
    <x v="0"/>
    <x v="0"/>
    <x v="2"/>
    <x v="2"/>
    <x v="0"/>
    <x v="0"/>
    <x v="2"/>
    <x v="0"/>
  </r>
  <r>
    <x v="0"/>
    <x v="0"/>
    <n v="2239050821"/>
    <x v="5"/>
    <n v="-4400"/>
    <x v="0"/>
    <x v="0"/>
    <x v="2"/>
    <x v="5"/>
    <x v="0"/>
    <x v="0"/>
    <x v="5"/>
    <x v="0"/>
  </r>
  <r>
    <x v="0"/>
    <x v="0"/>
    <n v="2239050821"/>
    <x v="4"/>
    <n v="10000"/>
    <x v="0"/>
    <x v="0"/>
    <x v="2"/>
    <x v="4"/>
    <x v="0"/>
    <x v="0"/>
    <x v="4"/>
    <x v="0"/>
  </r>
  <r>
    <x v="0"/>
    <x v="0"/>
    <n v="2239050822"/>
    <x v="5"/>
    <n v="-5400"/>
    <x v="0"/>
    <x v="0"/>
    <x v="2"/>
    <x v="5"/>
    <x v="0"/>
    <x v="0"/>
    <x v="5"/>
    <x v="0"/>
  </r>
  <r>
    <x v="0"/>
    <x v="0"/>
    <n v="2239050822"/>
    <x v="4"/>
    <n v="10000"/>
    <x v="0"/>
    <x v="0"/>
    <x v="2"/>
    <x v="4"/>
    <x v="0"/>
    <x v="0"/>
    <x v="4"/>
    <x v="0"/>
  </r>
  <r>
    <x v="0"/>
    <x v="0"/>
    <n v="2239050823"/>
    <x v="5"/>
    <n v="-11000"/>
    <x v="0"/>
    <x v="0"/>
    <x v="2"/>
    <x v="5"/>
    <x v="0"/>
    <x v="0"/>
    <x v="5"/>
    <x v="0"/>
  </r>
  <r>
    <x v="0"/>
    <x v="0"/>
    <n v="2239050823"/>
    <x v="6"/>
    <n v="20000"/>
    <x v="0"/>
    <x v="0"/>
    <x v="2"/>
    <x v="6"/>
    <x v="0"/>
    <x v="0"/>
    <x v="5"/>
    <x v="0"/>
  </r>
  <r>
    <x v="0"/>
    <x v="0"/>
    <n v="2239050824"/>
    <x v="2"/>
    <n v="7150"/>
    <x v="0"/>
    <x v="0"/>
    <x v="2"/>
    <x v="2"/>
    <x v="0"/>
    <x v="0"/>
    <x v="2"/>
    <x v="0"/>
  </r>
  <r>
    <x v="0"/>
    <x v="0"/>
    <n v="2239050825"/>
    <x v="5"/>
    <n v="-13400"/>
    <x v="0"/>
    <x v="0"/>
    <x v="2"/>
    <x v="5"/>
    <x v="0"/>
    <x v="0"/>
    <x v="5"/>
    <x v="0"/>
  </r>
  <r>
    <x v="0"/>
    <x v="0"/>
    <n v="2239050825"/>
    <x v="6"/>
    <n v="20000"/>
    <x v="0"/>
    <x v="0"/>
    <x v="2"/>
    <x v="6"/>
    <x v="0"/>
    <x v="0"/>
    <x v="5"/>
    <x v="0"/>
  </r>
  <r>
    <x v="0"/>
    <x v="0"/>
    <n v="2239050826"/>
    <x v="2"/>
    <n v="11550"/>
    <x v="0"/>
    <x v="0"/>
    <x v="2"/>
    <x v="2"/>
    <x v="0"/>
    <x v="0"/>
    <x v="2"/>
    <x v="0"/>
  </r>
  <r>
    <x v="0"/>
    <x v="0"/>
    <n v="2239050827"/>
    <x v="2"/>
    <n v="28600"/>
    <x v="0"/>
    <x v="0"/>
    <x v="2"/>
    <x v="2"/>
    <x v="0"/>
    <x v="0"/>
    <x v="2"/>
    <x v="0"/>
  </r>
  <r>
    <x v="0"/>
    <x v="0"/>
    <n v="2239050828"/>
    <x v="2"/>
    <n v="21000"/>
    <x v="0"/>
    <x v="0"/>
    <x v="2"/>
    <x v="2"/>
    <x v="0"/>
    <x v="0"/>
    <x v="2"/>
    <x v="0"/>
  </r>
  <r>
    <x v="0"/>
    <x v="0"/>
    <n v="2239050829"/>
    <x v="6"/>
    <n v="5200"/>
    <x v="0"/>
    <x v="0"/>
    <x v="2"/>
    <x v="6"/>
    <x v="0"/>
    <x v="0"/>
    <x v="5"/>
    <x v="0"/>
  </r>
  <r>
    <x v="0"/>
    <x v="0"/>
    <n v="2239050829"/>
    <x v="7"/>
    <n v="1300"/>
    <x v="0"/>
    <x v="0"/>
    <x v="2"/>
    <x v="7"/>
    <x v="0"/>
    <x v="0"/>
    <x v="1"/>
    <x v="0"/>
  </r>
  <r>
    <x v="0"/>
    <x v="0"/>
    <n v="2239050830"/>
    <x v="2"/>
    <n v="41305"/>
    <x v="0"/>
    <x v="0"/>
    <x v="2"/>
    <x v="2"/>
    <x v="0"/>
    <x v="0"/>
    <x v="2"/>
    <x v="0"/>
  </r>
  <r>
    <x v="0"/>
    <x v="0"/>
    <n v="2239050831"/>
    <x v="2"/>
    <n v="24090"/>
    <x v="0"/>
    <x v="0"/>
    <x v="2"/>
    <x v="2"/>
    <x v="0"/>
    <x v="0"/>
    <x v="2"/>
    <x v="0"/>
  </r>
  <r>
    <x v="0"/>
    <x v="0"/>
    <n v="2239050832"/>
    <x v="2"/>
    <n v="16000"/>
    <x v="0"/>
    <x v="0"/>
    <x v="2"/>
    <x v="2"/>
    <x v="0"/>
    <x v="0"/>
    <x v="2"/>
    <x v="0"/>
  </r>
  <r>
    <x v="0"/>
    <x v="0"/>
    <n v="2239050833"/>
    <x v="1"/>
    <n v="900"/>
    <x v="0"/>
    <x v="0"/>
    <x v="2"/>
    <x v="1"/>
    <x v="0"/>
    <x v="0"/>
    <x v="1"/>
    <x v="0"/>
  </r>
  <r>
    <x v="0"/>
    <x v="0"/>
    <n v="2239050834"/>
    <x v="3"/>
    <n v="8250"/>
    <x v="0"/>
    <x v="0"/>
    <x v="2"/>
    <x v="3"/>
    <x v="0"/>
    <x v="0"/>
    <x v="3"/>
    <x v="0"/>
  </r>
  <r>
    <x v="0"/>
    <x v="0"/>
    <n v="2239050835"/>
    <x v="5"/>
    <n v="-12000"/>
    <x v="0"/>
    <x v="0"/>
    <x v="2"/>
    <x v="5"/>
    <x v="0"/>
    <x v="0"/>
    <x v="5"/>
    <x v="0"/>
  </r>
  <r>
    <x v="0"/>
    <x v="0"/>
    <n v="2239050835"/>
    <x v="6"/>
    <n v="20000"/>
    <x v="0"/>
    <x v="0"/>
    <x v="2"/>
    <x v="6"/>
    <x v="0"/>
    <x v="0"/>
    <x v="5"/>
    <x v="0"/>
  </r>
  <r>
    <x v="0"/>
    <x v="0"/>
    <n v="2239050837"/>
    <x v="2"/>
    <n v="6500"/>
    <x v="0"/>
    <x v="0"/>
    <x v="2"/>
    <x v="2"/>
    <x v="0"/>
    <x v="0"/>
    <x v="2"/>
    <x v="0"/>
  </r>
  <r>
    <x v="0"/>
    <x v="0"/>
    <n v="2239050838"/>
    <x v="5"/>
    <n v="-500"/>
    <x v="0"/>
    <x v="0"/>
    <x v="2"/>
    <x v="5"/>
    <x v="0"/>
    <x v="0"/>
    <x v="5"/>
    <x v="0"/>
  </r>
  <r>
    <x v="0"/>
    <x v="0"/>
    <n v="2239050838"/>
    <x v="6"/>
    <n v="5000"/>
    <x v="0"/>
    <x v="0"/>
    <x v="2"/>
    <x v="6"/>
    <x v="0"/>
    <x v="0"/>
    <x v="5"/>
    <x v="0"/>
  </r>
  <r>
    <x v="0"/>
    <x v="0"/>
    <n v="2239050839"/>
    <x v="5"/>
    <n v="-4000"/>
    <x v="0"/>
    <x v="0"/>
    <x v="2"/>
    <x v="5"/>
    <x v="0"/>
    <x v="0"/>
    <x v="5"/>
    <x v="0"/>
  </r>
  <r>
    <x v="0"/>
    <x v="0"/>
    <n v="2239050839"/>
    <x v="6"/>
    <n v="10000"/>
    <x v="0"/>
    <x v="0"/>
    <x v="2"/>
    <x v="6"/>
    <x v="0"/>
    <x v="0"/>
    <x v="5"/>
    <x v="0"/>
  </r>
  <r>
    <x v="0"/>
    <x v="0"/>
    <n v="2239050840"/>
    <x v="3"/>
    <n v="6000"/>
    <x v="0"/>
    <x v="0"/>
    <x v="2"/>
    <x v="3"/>
    <x v="0"/>
    <x v="0"/>
    <x v="3"/>
    <x v="0"/>
  </r>
  <r>
    <x v="0"/>
    <x v="0"/>
    <n v="2239050841"/>
    <x v="5"/>
    <n v="-8800"/>
    <x v="0"/>
    <x v="0"/>
    <x v="2"/>
    <x v="5"/>
    <x v="0"/>
    <x v="0"/>
    <x v="5"/>
    <x v="0"/>
  </r>
  <r>
    <x v="0"/>
    <x v="0"/>
    <n v="2239050841"/>
    <x v="4"/>
    <n v="20000"/>
    <x v="0"/>
    <x v="0"/>
    <x v="2"/>
    <x v="4"/>
    <x v="0"/>
    <x v="0"/>
    <x v="4"/>
    <x v="0"/>
  </r>
  <r>
    <x v="0"/>
    <x v="0"/>
    <n v="2239050842"/>
    <x v="2"/>
    <n v="19500"/>
    <x v="0"/>
    <x v="0"/>
    <x v="2"/>
    <x v="2"/>
    <x v="0"/>
    <x v="0"/>
    <x v="2"/>
    <x v="0"/>
  </r>
  <r>
    <x v="0"/>
    <x v="0"/>
    <n v="2239050843"/>
    <x v="2"/>
    <n v="10350"/>
    <x v="0"/>
    <x v="0"/>
    <x v="2"/>
    <x v="2"/>
    <x v="0"/>
    <x v="0"/>
    <x v="2"/>
    <x v="0"/>
  </r>
  <r>
    <x v="0"/>
    <x v="0"/>
    <n v="2239050844"/>
    <x v="5"/>
    <n v="-2500"/>
    <x v="0"/>
    <x v="0"/>
    <x v="2"/>
    <x v="5"/>
    <x v="0"/>
    <x v="0"/>
    <x v="5"/>
    <x v="0"/>
  </r>
  <r>
    <x v="0"/>
    <x v="0"/>
    <n v="2239050844"/>
    <x v="6"/>
    <n v="10000"/>
    <x v="0"/>
    <x v="0"/>
    <x v="2"/>
    <x v="6"/>
    <x v="0"/>
    <x v="0"/>
    <x v="5"/>
    <x v="0"/>
  </r>
  <r>
    <x v="0"/>
    <x v="0"/>
    <n v="2239050845"/>
    <x v="5"/>
    <n v="-12500"/>
    <x v="0"/>
    <x v="0"/>
    <x v="2"/>
    <x v="5"/>
    <x v="0"/>
    <x v="0"/>
    <x v="5"/>
    <x v="0"/>
  </r>
  <r>
    <x v="0"/>
    <x v="0"/>
    <n v="2239050845"/>
    <x v="6"/>
    <n v="20000"/>
    <x v="0"/>
    <x v="0"/>
    <x v="2"/>
    <x v="6"/>
    <x v="0"/>
    <x v="0"/>
    <x v="5"/>
    <x v="0"/>
  </r>
  <r>
    <x v="0"/>
    <x v="0"/>
    <n v="2239050846"/>
    <x v="3"/>
    <n v="13750"/>
    <x v="0"/>
    <x v="0"/>
    <x v="2"/>
    <x v="3"/>
    <x v="0"/>
    <x v="0"/>
    <x v="3"/>
    <x v="0"/>
  </r>
  <r>
    <x v="0"/>
    <x v="0"/>
    <n v="2239050847"/>
    <x v="2"/>
    <n v="7500"/>
    <x v="0"/>
    <x v="0"/>
    <x v="2"/>
    <x v="2"/>
    <x v="0"/>
    <x v="0"/>
    <x v="2"/>
    <x v="0"/>
  </r>
  <r>
    <x v="0"/>
    <x v="0"/>
    <n v="2239050848"/>
    <x v="5"/>
    <n v="-5000"/>
    <x v="0"/>
    <x v="0"/>
    <x v="2"/>
    <x v="5"/>
    <x v="0"/>
    <x v="0"/>
    <x v="5"/>
    <x v="0"/>
  </r>
  <r>
    <x v="0"/>
    <x v="0"/>
    <n v="2239050848"/>
    <x v="6"/>
    <n v="20000"/>
    <x v="0"/>
    <x v="0"/>
    <x v="2"/>
    <x v="6"/>
    <x v="0"/>
    <x v="0"/>
    <x v="5"/>
    <x v="0"/>
  </r>
  <r>
    <x v="0"/>
    <x v="0"/>
    <n v="2239050849"/>
    <x v="6"/>
    <n v="6000"/>
    <x v="0"/>
    <x v="0"/>
    <x v="2"/>
    <x v="6"/>
    <x v="0"/>
    <x v="0"/>
    <x v="5"/>
    <x v="0"/>
  </r>
  <r>
    <x v="0"/>
    <x v="0"/>
    <n v="2239050850"/>
    <x v="2"/>
    <n v="3500"/>
    <x v="0"/>
    <x v="0"/>
    <x v="2"/>
    <x v="2"/>
    <x v="0"/>
    <x v="0"/>
    <x v="2"/>
    <x v="0"/>
  </r>
  <r>
    <x v="0"/>
    <x v="0"/>
    <n v="2239050851"/>
    <x v="3"/>
    <n v="31680"/>
    <x v="0"/>
    <x v="0"/>
    <x v="2"/>
    <x v="3"/>
    <x v="0"/>
    <x v="0"/>
    <x v="3"/>
    <x v="0"/>
  </r>
  <r>
    <x v="0"/>
    <x v="0"/>
    <n v="2239050852"/>
    <x v="5"/>
    <n v="-2500"/>
    <x v="0"/>
    <x v="0"/>
    <x v="2"/>
    <x v="5"/>
    <x v="0"/>
    <x v="0"/>
    <x v="5"/>
    <x v="0"/>
  </r>
  <r>
    <x v="0"/>
    <x v="0"/>
    <n v="2239050852"/>
    <x v="6"/>
    <n v="10000"/>
    <x v="0"/>
    <x v="0"/>
    <x v="2"/>
    <x v="6"/>
    <x v="0"/>
    <x v="0"/>
    <x v="5"/>
    <x v="0"/>
  </r>
  <r>
    <x v="0"/>
    <x v="0"/>
    <n v="2239050853"/>
    <x v="5"/>
    <n v="-6000"/>
    <x v="0"/>
    <x v="0"/>
    <x v="2"/>
    <x v="5"/>
    <x v="0"/>
    <x v="0"/>
    <x v="5"/>
    <x v="0"/>
  </r>
  <r>
    <x v="0"/>
    <x v="0"/>
    <n v="2239050853"/>
    <x v="4"/>
    <n v="10600"/>
    <x v="0"/>
    <x v="0"/>
    <x v="2"/>
    <x v="4"/>
    <x v="0"/>
    <x v="0"/>
    <x v="4"/>
    <x v="0"/>
  </r>
  <r>
    <x v="0"/>
    <x v="0"/>
    <n v="2239050854"/>
    <x v="2"/>
    <n v="7600"/>
    <x v="0"/>
    <x v="0"/>
    <x v="2"/>
    <x v="2"/>
    <x v="0"/>
    <x v="0"/>
    <x v="2"/>
    <x v="0"/>
  </r>
  <r>
    <x v="0"/>
    <x v="0"/>
    <n v="2239050855"/>
    <x v="2"/>
    <n v="4500"/>
    <x v="0"/>
    <x v="0"/>
    <x v="2"/>
    <x v="2"/>
    <x v="0"/>
    <x v="0"/>
    <x v="2"/>
    <x v="0"/>
  </r>
  <r>
    <x v="0"/>
    <x v="0"/>
    <n v="2239050856"/>
    <x v="5"/>
    <n v="-9570"/>
    <x v="0"/>
    <x v="0"/>
    <x v="2"/>
    <x v="5"/>
    <x v="0"/>
    <x v="0"/>
    <x v="5"/>
    <x v="0"/>
  </r>
  <r>
    <x v="0"/>
    <x v="0"/>
    <n v="2239050856"/>
    <x v="6"/>
    <n v="20000"/>
    <x v="0"/>
    <x v="0"/>
    <x v="2"/>
    <x v="6"/>
    <x v="0"/>
    <x v="0"/>
    <x v="5"/>
    <x v="0"/>
  </r>
  <r>
    <x v="0"/>
    <x v="0"/>
    <n v="2239050856"/>
    <x v="7"/>
    <n v="4470"/>
    <x v="0"/>
    <x v="0"/>
    <x v="2"/>
    <x v="7"/>
    <x v="0"/>
    <x v="0"/>
    <x v="1"/>
    <x v="0"/>
  </r>
  <r>
    <x v="0"/>
    <x v="0"/>
    <n v="2239050857"/>
    <x v="2"/>
    <n v="9500"/>
    <x v="0"/>
    <x v="0"/>
    <x v="2"/>
    <x v="2"/>
    <x v="0"/>
    <x v="0"/>
    <x v="2"/>
    <x v="0"/>
  </r>
  <r>
    <x v="0"/>
    <x v="0"/>
    <n v="2239050859"/>
    <x v="5"/>
    <n v="-200"/>
    <x v="0"/>
    <x v="0"/>
    <x v="2"/>
    <x v="5"/>
    <x v="0"/>
    <x v="0"/>
    <x v="5"/>
    <x v="0"/>
  </r>
  <r>
    <x v="0"/>
    <x v="0"/>
    <n v="2239050859"/>
    <x v="6"/>
    <n v="10000"/>
    <x v="0"/>
    <x v="0"/>
    <x v="2"/>
    <x v="6"/>
    <x v="0"/>
    <x v="0"/>
    <x v="5"/>
    <x v="0"/>
  </r>
  <r>
    <x v="0"/>
    <x v="0"/>
    <n v="2239050860"/>
    <x v="2"/>
    <n v="19000"/>
    <x v="0"/>
    <x v="0"/>
    <x v="2"/>
    <x v="2"/>
    <x v="0"/>
    <x v="0"/>
    <x v="2"/>
    <x v="0"/>
  </r>
  <r>
    <x v="0"/>
    <x v="0"/>
    <n v="2239050861"/>
    <x v="2"/>
    <n v="35750"/>
    <x v="0"/>
    <x v="0"/>
    <x v="2"/>
    <x v="2"/>
    <x v="0"/>
    <x v="0"/>
    <x v="2"/>
    <x v="0"/>
  </r>
  <r>
    <x v="0"/>
    <x v="0"/>
    <n v="2239050862"/>
    <x v="2"/>
    <n v="14000"/>
    <x v="0"/>
    <x v="0"/>
    <x v="2"/>
    <x v="2"/>
    <x v="0"/>
    <x v="0"/>
    <x v="2"/>
    <x v="0"/>
  </r>
  <r>
    <x v="0"/>
    <x v="0"/>
    <n v="2239050863"/>
    <x v="2"/>
    <n v="7150"/>
    <x v="0"/>
    <x v="0"/>
    <x v="2"/>
    <x v="2"/>
    <x v="0"/>
    <x v="0"/>
    <x v="2"/>
    <x v="0"/>
  </r>
  <r>
    <x v="0"/>
    <x v="0"/>
    <n v="2239050864"/>
    <x v="5"/>
    <n v="-7000"/>
    <x v="0"/>
    <x v="0"/>
    <x v="2"/>
    <x v="5"/>
    <x v="0"/>
    <x v="0"/>
    <x v="5"/>
    <x v="0"/>
  </r>
  <r>
    <x v="0"/>
    <x v="0"/>
    <n v="2239050864"/>
    <x v="6"/>
    <n v="10000"/>
    <x v="0"/>
    <x v="0"/>
    <x v="2"/>
    <x v="6"/>
    <x v="0"/>
    <x v="0"/>
    <x v="5"/>
    <x v="0"/>
  </r>
  <r>
    <x v="0"/>
    <x v="0"/>
    <n v="2239050865"/>
    <x v="2"/>
    <n v="7500"/>
    <x v="0"/>
    <x v="0"/>
    <x v="2"/>
    <x v="2"/>
    <x v="0"/>
    <x v="0"/>
    <x v="2"/>
    <x v="0"/>
  </r>
  <r>
    <x v="0"/>
    <x v="0"/>
    <n v="2239050867"/>
    <x v="5"/>
    <n v="-5600"/>
    <x v="0"/>
    <x v="0"/>
    <x v="2"/>
    <x v="5"/>
    <x v="0"/>
    <x v="0"/>
    <x v="5"/>
    <x v="0"/>
  </r>
  <r>
    <x v="0"/>
    <x v="0"/>
    <n v="2239050867"/>
    <x v="4"/>
    <n v="10000"/>
    <x v="0"/>
    <x v="0"/>
    <x v="2"/>
    <x v="4"/>
    <x v="0"/>
    <x v="0"/>
    <x v="4"/>
    <x v="0"/>
  </r>
  <r>
    <x v="0"/>
    <x v="0"/>
    <n v="2239050868"/>
    <x v="2"/>
    <n v="7150"/>
    <x v="0"/>
    <x v="0"/>
    <x v="2"/>
    <x v="2"/>
    <x v="0"/>
    <x v="0"/>
    <x v="2"/>
    <x v="0"/>
  </r>
  <r>
    <x v="0"/>
    <x v="0"/>
    <n v="2239050869"/>
    <x v="2"/>
    <n v="19800"/>
    <x v="0"/>
    <x v="0"/>
    <x v="2"/>
    <x v="2"/>
    <x v="0"/>
    <x v="0"/>
    <x v="2"/>
    <x v="0"/>
  </r>
  <r>
    <x v="0"/>
    <x v="0"/>
    <n v="2239050871"/>
    <x v="5"/>
    <n v="-100"/>
    <x v="0"/>
    <x v="0"/>
    <x v="2"/>
    <x v="5"/>
    <x v="0"/>
    <x v="0"/>
    <x v="5"/>
    <x v="0"/>
  </r>
  <r>
    <x v="0"/>
    <x v="0"/>
    <n v="2239050871"/>
    <x v="4"/>
    <n v="4500"/>
    <x v="0"/>
    <x v="0"/>
    <x v="2"/>
    <x v="4"/>
    <x v="0"/>
    <x v="0"/>
    <x v="4"/>
    <x v="0"/>
  </r>
  <r>
    <x v="0"/>
    <x v="0"/>
    <n v="2239050872"/>
    <x v="2"/>
    <n v="13000"/>
    <x v="0"/>
    <x v="0"/>
    <x v="2"/>
    <x v="2"/>
    <x v="0"/>
    <x v="0"/>
    <x v="2"/>
    <x v="0"/>
  </r>
  <r>
    <x v="0"/>
    <x v="0"/>
    <n v="2239050873"/>
    <x v="2"/>
    <n v="6500"/>
    <x v="0"/>
    <x v="0"/>
    <x v="2"/>
    <x v="2"/>
    <x v="0"/>
    <x v="0"/>
    <x v="2"/>
    <x v="0"/>
  </r>
  <r>
    <x v="0"/>
    <x v="0"/>
    <n v="2239050874"/>
    <x v="2"/>
    <n v="7500"/>
    <x v="0"/>
    <x v="0"/>
    <x v="2"/>
    <x v="2"/>
    <x v="0"/>
    <x v="0"/>
    <x v="2"/>
    <x v="0"/>
  </r>
  <r>
    <x v="0"/>
    <x v="0"/>
    <n v="2239050875"/>
    <x v="5"/>
    <n v="-500"/>
    <x v="0"/>
    <x v="0"/>
    <x v="2"/>
    <x v="5"/>
    <x v="0"/>
    <x v="0"/>
    <x v="5"/>
    <x v="0"/>
  </r>
  <r>
    <x v="0"/>
    <x v="0"/>
    <n v="2239050875"/>
    <x v="6"/>
    <n v="10000"/>
    <x v="0"/>
    <x v="0"/>
    <x v="2"/>
    <x v="6"/>
    <x v="0"/>
    <x v="0"/>
    <x v="5"/>
    <x v="0"/>
  </r>
  <r>
    <x v="0"/>
    <x v="0"/>
    <n v="2239050876"/>
    <x v="2"/>
    <n v="96250"/>
    <x v="0"/>
    <x v="0"/>
    <x v="2"/>
    <x v="2"/>
    <x v="0"/>
    <x v="0"/>
    <x v="2"/>
    <x v="0"/>
  </r>
  <r>
    <x v="0"/>
    <x v="0"/>
    <n v="2239050877"/>
    <x v="2"/>
    <n v="7475"/>
    <x v="0"/>
    <x v="0"/>
    <x v="2"/>
    <x v="2"/>
    <x v="0"/>
    <x v="0"/>
    <x v="2"/>
    <x v="0"/>
  </r>
  <r>
    <x v="0"/>
    <x v="0"/>
    <n v="2239050878"/>
    <x v="2"/>
    <n v="13000"/>
    <x v="0"/>
    <x v="0"/>
    <x v="2"/>
    <x v="2"/>
    <x v="0"/>
    <x v="0"/>
    <x v="2"/>
    <x v="0"/>
  </r>
  <r>
    <x v="0"/>
    <x v="0"/>
    <n v="2239050879"/>
    <x v="2"/>
    <n v="24640"/>
    <x v="0"/>
    <x v="0"/>
    <x v="2"/>
    <x v="2"/>
    <x v="0"/>
    <x v="0"/>
    <x v="2"/>
    <x v="0"/>
  </r>
  <r>
    <x v="0"/>
    <x v="0"/>
    <n v="2239050879"/>
    <x v="7"/>
    <n v="2600"/>
    <x v="0"/>
    <x v="0"/>
    <x v="2"/>
    <x v="7"/>
    <x v="0"/>
    <x v="0"/>
    <x v="1"/>
    <x v="0"/>
  </r>
  <r>
    <x v="0"/>
    <x v="0"/>
    <n v="2239050880"/>
    <x v="2"/>
    <n v="39215"/>
    <x v="0"/>
    <x v="0"/>
    <x v="2"/>
    <x v="2"/>
    <x v="0"/>
    <x v="0"/>
    <x v="2"/>
    <x v="0"/>
  </r>
  <r>
    <x v="0"/>
    <x v="0"/>
    <n v="2239050881"/>
    <x v="2"/>
    <n v="7150"/>
    <x v="0"/>
    <x v="0"/>
    <x v="2"/>
    <x v="2"/>
    <x v="0"/>
    <x v="0"/>
    <x v="2"/>
    <x v="0"/>
  </r>
  <r>
    <x v="0"/>
    <x v="0"/>
    <n v="2239050882"/>
    <x v="2"/>
    <n v="9500"/>
    <x v="0"/>
    <x v="0"/>
    <x v="2"/>
    <x v="2"/>
    <x v="0"/>
    <x v="0"/>
    <x v="2"/>
    <x v="0"/>
  </r>
  <r>
    <x v="0"/>
    <x v="0"/>
    <n v="2239050883"/>
    <x v="2"/>
    <n v="22990"/>
    <x v="0"/>
    <x v="0"/>
    <x v="2"/>
    <x v="2"/>
    <x v="0"/>
    <x v="0"/>
    <x v="2"/>
    <x v="0"/>
  </r>
  <r>
    <x v="0"/>
    <x v="0"/>
    <n v="2239050884"/>
    <x v="2"/>
    <n v="10450"/>
    <x v="0"/>
    <x v="0"/>
    <x v="2"/>
    <x v="2"/>
    <x v="0"/>
    <x v="0"/>
    <x v="2"/>
    <x v="0"/>
  </r>
  <r>
    <x v="0"/>
    <x v="0"/>
    <n v="2239050885"/>
    <x v="2"/>
    <n v="8250"/>
    <x v="0"/>
    <x v="0"/>
    <x v="2"/>
    <x v="2"/>
    <x v="0"/>
    <x v="0"/>
    <x v="2"/>
    <x v="0"/>
  </r>
  <r>
    <x v="0"/>
    <x v="0"/>
    <n v="2239050886"/>
    <x v="2"/>
    <n v="11000"/>
    <x v="0"/>
    <x v="0"/>
    <x v="2"/>
    <x v="2"/>
    <x v="0"/>
    <x v="0"/>
    <x v="2"/>
    <x v="0"/>
  </r>
  <r>
    <x v="0"/>
    <x v="0"/>
    <n v="2239050888"/>
    <x v="7"/>
    <n v="1500"/>
    <x v="0"/>
    <x v="0"/>
    <x v="2"/>
    <x v="7"/>
    <x v="0"/>
    <x v="0"/>
    <x v="1"/>
    <x v="0"/>
  </r>
  <r>
    <x v="0"/>
    <x v="0"/>
    <n v="2239050889"/>
    <x v="7"/>
    <n v="1500"/>
    <x v="0"/>
    <x v="0"/>
    <x v="2"/>
    <x v="7"/>
    <x v="0"/>
    <x v="0"/>
    <x v="1"/>
    <x v="0"/>
  </r>
  <r>
    <x v="0"/>
    <x v="0"/>
    <n v="2239050890"/>
    <x v="5"/>
    <n v="-400"/>
    <x v="0"/>
    <x v="0"/>
    <x v="2"/>
    <x v="5"/>
    <x v="0"/>
    <x v="0"/>
    <x v="5"/>
    <x v="0"/>
  </r>
  <r>
    <x v="0"/>
    <x v="0"/>
    <n v="2239050890"/>
    <x v="4"/>
    <n v="5000"/>
    <x v="0"/>
    <x v="0"/>
    <x v="2"/>
    <x v="4"/>
    <x v="0"/>
    <x v="0"/>
    <x v="4"/>
    <x v="0"/>
  </r>
  <r>
    <x v="0"/>
    <x v="0"/>
    <n v="2239050891"/>
    <x v="2"/>
    <n v="10400"/>
    <x v="0"/>
    <x v="0"/>
    <x v="2"/>
    <x v="2"/>
    <x v="0"/>
    <x v="0"/>
    <x v="2"/>
    <x v="0"/>
  </r>
  <r>
    <x v="0"/>
    <x v="0"/>
    <n v="2239050891"/>
    <x v="7"/>
    <n v="2600"/>
    <x v="0"/>
    <x v="0"/>
    <x v="2"/>
    <x v="7"/>
    <x v="0"/>
    <x v="0"/>
    <x v="1"/>
    <x v="0"/>
  </r>
  <r>
    <x v="0"/>
    <x v="0"/>
    <n v="2239050892"/>
    <x v="2"/>
    <n v="3500"/>
    <x v="0"/>
    <x v="0"/>
    <x v="2"/>
    <x v="2"/>
    <x v="0"/>
    <x v="0"/>
    <x v="2"/>
    <x v="0"/>
  </r>
  <r>
    <x v="0"/>
    <x v="0"/>
    <n v="2239050893"/>
    <x v="5"/>
    <n v="-3000"/>
    <x v="0"/>
    <x v="0"/>
    <x v="2"/>
    <x v="5"/>
    <x v="0"/>
    <x v="0"/>
    <x v="5"/>
    <x v="0"/>
  </r>
  <r>
    <x v="0"/>
    <x v="0"/>
    <n v="2239050893"/>
    <x v="6"/>
    <n v="10000"/>
    <x v="0"/>
    <x v="0"/>
    <x v="2"/>
    <x v="6"/>
    <x v="0"/>
    <x v="0"/>
    <x v="5"/>
    <x v="0"/>
  </r>
  <r>
    <x v="0"/>
    <x v="0"/>
    <n v="2239050894"/>
    <x v="2"/>
    <n v="15000"/>
    <x v="0"/>
    <x v="0"/>
    <x v="2"/>
    <x v="2"/>
    <x v="0"/>
    <x v="0"/>
    <x v="2"/>
    <x v="0"/>
  </r>
  <r>
    <x v="0"/>
    <x v="0"/>
    <n v="2239050895"/>
    <x v="2"/>
    <n v="18590"/>
    <x v="0"/>
    <x v="0"/>
    <x v="2"/>
    <x v="2"/>
    <x v="0"/>
    <x v="0"/>
    <x v="2"/>
    <x v="0"/>
  </r>
  <r>
    <x v="0"/>
    <x v="0"/>
    <n v="2239050896"/>
    <x v="5"/>
    <n v="-4400"/>
    <x v="0"/>
    <x v="0"/>
    <x v="2"/>
    <x v="5"/>
    <x v="0"/>
    <x v="0"/>
    <x v="5"/>
    <x v="0"/>
  </r>
  <r>
    <x v="0"/>
    <x v="0"/>
    <n v="2239050896"/>
    <x v="6"/>
    <n v="20000"/>
    <x v="0"/>
    <x v="0"/>
    <x v="2"/>
    <x v="6"/>
    <x v="0"/>
    <x v="0"/>
    <x v="5"/>
    <x v="0"/>
  </r>
  <r>
    <x v="0"/>
    <x v="0"/>
    <n v="2239050897"/>
    <x v="7"/>
    <n v="1500"/>
    <x v="0"/>
    <x v="0"/>
    <x v="2"/>
    <x v="7"/>
    <x v="0"/>
    <x v="0"/>
    <x v="1"/>
    <x v="0"/>
  </r>
  <r>
    <x v="0"/>
    <x v="0"/>
    <n v="2239050898"/>
    <x v="2"/>
    <n v="18000"/>
    <x v="0"/>
    <x v="0"/>
    <x v="2"/>
    <x v="2"/>
    <x v="0"/>
    <x v="0"/>
    <x v="2"/>
    <x v="0"/>
  </r>
  <r>
    <x v="0"/>
    <x v="0"/>
    <n v="2239050899"/>
    <x v="7"/>
    <n v="1500"/>
    <x v="0"/>
    <x v="0"/>
    <x v="2"/>
    <x v="7"/>
    <x v="0"/>
    <x v="0"/>
    <x v="1"/>
    <x v="0"/>
  </r>
  <r>
    <x v="0"/>
    <x v="0"/>
    <n v="2239050901"/>
    <x v="2"/>
    <n v="8250"/>
    <x v="0"/>
    <x v="0"/>
    <x v="2"/>
    <x v="2"/>
    <x v="0"/>
    <x v="0"/>
    <x v="2"/>
    <x v="0"/>
  </r>
  <r>
    <x v="0"/>
    <x v="0"/>
    <n v="2239050903"/>
    <x v="2"/>
    <n v="7500"/>
    <x v="0"/>
    <x v="0"/>
    <x v="2"/>
    <x v="2"/>
    <x v="0"/>
    <x v="0"/>
    <x v="2"/>
    <x v="0"/>
  </r>
  <r>
    <x v="0"/>
    <x v="0"/>
    <n v="2239050904"/>
    <x v="3"/>
    <n v="3000"/>
    <x v="0"/>
    <x v="0"/>
    <x v="2"/>
    <x v="3"/>
    <x v="0"/>
    <x v="0"/>
    <x v="3"/>
    <x v="0"/>
  </r>
  <r>
    <x v="0"/>
    <x v="0"/>
    <n v="2239050905"/>
    <x v="2"/>
    <n v="8400"/>
    <x v="0"/>
    <x v="0"/>
    <x v="2"/>
    <x v="2"/>
    <x v="0"/>
    <x v="0"/>
    <x v="2"/>
    <x v="0"/>
  </r>
  <r>
    <x v="0"/>
    <x v="0"/>
    <n v="2239050905"/>
    <x v="7"/>
    <n v="600"/>
    <x v="0"/>
    <x v="0"/>
    <x v="2"/>
    <x v="7"/>
    <x v="0"/>
    <x v="0"/>
    <x v="1"/>
    <x v="0"/>
  </r>
  <r>
    <x v="0"/>
    <x v="0"/>
    <n v="2239050907"/>
    <x v="5"/>
    <n v="-500"/>
    <x v="0"/>
    <x v="0"/>
    <x v="2"/>
    <x v="5"/>
    <x v="0"/>
    <x v="0"/>
    <x v="5"/>
    <x v="0"/>
  </r>
  <r>
    <x v="0"/>
    <x v="0"/>
    <n v="2239050907"/>
    <x v="6"/>
    <n v="20000"/>
    <x v="0"/>
    <x v="0"/>
    <x v="2"/>
    <x v="6"/>
    <x v="0"/>
    <x v="0"/>
    <x v="5"/>
    <x v="0"/>
  </r>
  <r>
    <x v="0"/>
    <x v="0"/>
    <n v="2239050908"/>
    <x v="2"/>
    <n v="14300"/>
    <x v="0"/>
    <x v="0"/>
    <x v="2"/>
    <x v="2"/>
    <x v="0"/>
    <x v="0"/>
    <x v="2"/>
    <x v="0"/>
  </r>
  <r>
    <x v="0"/>
    <x v="0"/>
    <n v="2239050909"/>
    <x v="5"/>
    <n v="-7000"/>
    <x v="0"/>
    <x v="0"/>
    <x v="2"/>
    <x v="5"/>
    <x v="0"/>
    <x v="0"/>
    <x v="5"/>
    <x v="0"/>
  </r>
  <r>
    <x v="0"/>
    <x v="0"/>
    <n v="2239050909"/>
    <x v="6"/>
    <n v="10000"/>
    <x v="0"/>
    <x v="0"/>
    <x v="2"/>
    <x v="6"/>
    <x v="0"/>
    <x v="0"/>
    <x v="5"/>
    <x v="0"/>
  </r>
  <r>
    <x v="0"/>
    <x v="0"/>
    <n v="2239050910"/>
    <x v="2"/>
    <n v="6500"/>
    <x v="0"/>
    <x v="0"/>
    <x v="2"/>
    <x v="2"/>
    <x v="0"/>
    <x v="0"/>
    <x v="2"/>
    <x v="0"/>
  </r>
  <r>
    <x v="0"/>
    <x v="0"/>
    <n v="2239050911"/>
    <x v="2"/>
    <n v="5300"/>
    <x v="0"/>
    <x v="0"/>
    <x v="2"/>
    <x v="2"/>
    <x v="0"/>
    <x v="0"/>
    <x v="2"/>
    <x v="0"/>
  </r>
  <r>
    <x v="0"/>
    <x v="0"/>
    <n v="2239050912"/>
    <x v="2"/>
    <n v="40590"/>
    <x v="0"/>
    <x v="0"/>
    <x v="2"/>
    <x v="2"/>
    <x v="0"/>
    <x v="0"/>
    <x v="2"/>
    <x v="0"/>
  </r>
  <r>
    <x v="0"/>
    <x v="0"/>
    <n v="2239050913"/>
    <x v="5"/>
    <n v="-1000"/>
    <x v="0"/>
    <x v="0"/>
    <x v="2"/>
    <x v="5"/>
    <x v="0"/>
    <x v="0"/>
    <x v="5"/>
    <x v="0"/>
  </r>
  <r>
    <x v="0"/>
    <x v="0"/>
    <n v="2239050913"/>
    <x v="6"/>
    <n v="10000"/>
    <x v="0"/>
    <x v="0"/>
    <x v="2"/>
    <x v="6"/>
    <x v="0"/>
    <x v="0"/>
    <x v="5"/>
    <x v="0"/>
  </r>
  <r>
    <x v="0"/>
    <x v="0"/>
    <n v="2239050914"/>
    <x v="2"/>
    <n v="8300"/>
    <x v="0"/>
    <x v="0"/>
    <x v="2"/>
    <x v="2"/>
    <x v="0"/>
    <x v="0"/>
    <x v="2"/>
    <x v="0"/>
  </r>
  <r>
    <x v="0"/>
    <x v="0"/>
    <n v="2239050915"/>
    <x v="8"/>
    <n v="6000"/>
    <x v="0"/>
    <x v="0"/>
    <x v="2"/>
    <x v="8"/>
    <x v="0"/>
    <x v="0"/>
    <x v="3"/>
    <x v="0"/>
  </r>
  <r>
    <x v="0"/>
    <x v="0"/>
    <n v="2239050916"/>
    <x v="2"/>
    <n v="18150"/>
    <x v="0"/>
    <x v="0"/>
    <x v="2"/>
    <x v="2"/>
    <x v="0"/>
    <x v="0"/>
    <x v="2"/>
    <x v="0"/>
  </r>
  <r>
    <x v="0"/>
    <x v="0"/>
    <n v="2239050917"/>
    <x v="3"/>
    <n v="13000"/>
    <x v="0"/>
    <x v="0"/>
    <x v="2"/>
    <x v="3"/>
    <x v="0"/>
    <x v="0"/>
    <x v="3"/>
    <x v="0"/>
  </r>
  <r>
    <x v="0"/>
    <x v="0"/>
    <n v="2239050918"/>
    <x v="5"/>
    <n v="-8300"/>
    <x v="0"/>
    <x v="0"/>
    <x v="2"/>
    <x v="5"/>
    <x v="0"/>
    <x v="0"/>
    <x v="5"/>
    <x v="0"/>
  </r>
  <r>
    <x v="0"/>
    <x v="0"/>
    <n v="2239050918"/>
    <x v="6"/>
    <n v="20000"/>
    <x v="0"/>
    <x v="0"/>
    <x v="2"/>
    <x v="6"/>
    <x v="0"/>
    <x v="0"/>
    <x v="5"/>
    <x v="0"/>
  </r>
  <r>
    <x v="0"/>
    <x v="0"/>
    <n v="2239050919"/>
    <x v="2"/>
    <n v="12000"/>
    <x v="0"/>
    <x v="0"/>
    <x v="2"/>
    <x v="2"/>
    <x v="0"/>
    <x v="0"/>
    <x v="2"/>
    <x v="0"/>
  </r>
  <r>
    <x v="0"/>
    <x v="0"/>
    <n v="2239050920"/>
    <x v="2"/>
    <n v="6600"/>
    <x v="0"/>
    <x v="0"/>
    <x v="2"/>
    <x v="2"/>
    <x v="0"/>
    <x v="0"/>
    <x v="2"/>
    <x v="0"/>
  </r>
  <r>
    <x v="0"/>
    <x v="0"/>
    <n v="2239050921"/>
    <x v="2"/>
    <n v="12500"/>
    <x v="0"/>
    <x v="0"/>
    <x v="2"/>
    <x v="2"/>
    <x v="0"/>
    <x v="0"/>
    <x v="2"/>
    <x v="0"/>
  </r>
  <r>
    <x v="0"/>
    <x v="0"/>
    <n v="2239050922"/>
    <x v="2"/>
    <n v="14300"/>
    <x v="0"/>
    <x v="0"/>
    <x v="2"/>
    <x v="2"/>
    <x v="0"/>
    <x v="0"/>
    <x v="2"/>
    <x v="0"/>
  </r>
  <r>
    <x v="0"/>
    <x v="0"/>
    <n v="2239050923"/>
    <x v="2"/>
    <n v="19800"/>
    <x v="0"/>
    <x v="0"/>
    <x v="2"/>
    <x v="2"/>
    <x v="0"/>
    <x v="0"/>
    <x v="2"/>
    <x v="0"/>
  </r>
  <r>
    <x v="0"/>
    <x v="0"/>
    <n v="2239050924"/>
    <x v="3"/>
    <n v="9500"/>
    <x v="0"/>
    <x v="0"/>
    <x v="2"/>
    <x v="3"/>
    <x v="0"/>
    <x v="0"/>
    <x v="3"/>
    <x v="0"/>
  </r>
  <r>
    <x v="0"/>
    <x v="0"/>
    <n v="2239050925"/>
    <x v="2"/>
    <n v="5400"/>
    <x v="0"/>
    <x v="0"/>
    <x v="2"/>
    <x v="2"/>
    <x v="0"/>
    <x v="0"/>
    <x v="2"/>
    <x v="0"/>
  </r>
  <r>
    <x v="0"/>
    <x v="0"/>
    <n v="2239050926"/>
    <x v="5"/>
    <n v="-2300"/>
    <x v="0"/>
    <x v="0"/>
    <x v="2"/>
    <x v="5"/>
    <x v="0"/>
    <x v="0"/>
    <x v="5"/>
    <x v="0"/>
  </r>
  <r>
    <x v="0"/>
    <x v="0"/>
    <n v="2239050926"/>
    <x v="6"/>
    <n v="10000"/>
    <x v="0"/>
    <x v="0"/>
    <x v="2"/>
    <x v="6"/>
    <x v="0"/>
    <x v="0"/>
    <x v="5"/>
    <x v="0"/>
  </r>
  <r>
    <x v="0"/>
    <x v="0"/>
    <n v="2239050927"/>
    <x v="2"/>
    <n v="14300"/>
    <x v="0"/>
    <x v="0"/>
    <x v="2"/>
    <x v="2"/>
    <x v="0"/>
    <x v="0"/>
    <x v="2"/>
    <x v="0"/>
  </r>
  <r>
    <x v="0"/>
    <x v="0"/>
    <n v="2239050928"/>
    <x v="3"/>
    <n v="7500"/>
    <x v="0"/>
    <x v="0"/>
    <x v="2"/>
    <x v="3"/>
    <x v="0"/>
    <x v="0"/>
    <x v="3"/>
    <x v="0"/>
  </r>
  <r>
    <x v="0"/>
    <x v="0"/>
    <n v="2239050929"/>
    <x v="2"/>
    <n v="20900"/>
    <x v="0"/>
    <x v="0"/>
    <x v="2"/>
    <x v="2"/>
    <x v="0"/>
    <x v="0"/>
    <x v="2"/>
    <x v="0"/>
  </r>
  <r>
    <x v="0"/>
    <x v="0"/>
    <n v="2239050930"/>
    <x v="2"/>
    <n v="8400"/>
    <x v="0"/>
    <x v="0"/>
    <x v="2"/>
    <x v="2"/>
    <x v="0"/>
    <x v="0"/>
    <x v="2"/>
    <x v="0"/>
  </r>
  <r>
    <x v="0"/>
    <x v="0"/>
    <n v="2239050931"/>
    <x v="2"/>
    <n v="15000"/>
    <x v="0"/>
    <x v="0"/>
    <x v="2"/>
    <x v="2"/>
    <x v="0"/>
    <x v="0"/>
    <x v="2"/>
    <x v="0"/>
  </r>
  <r>
    <x v="0"/>
    <x v="0"/>
    <n v="2239050932"/>
    <x v="5"/>
    <n v="-600"/>
    <x v="0"/>
    <x v="0"/>
    <x v="2"/>
    <x v="5"/>
    <x v="0"/>
    <x v="0"/>
    <x v="5"/>
    <x v="0"/>
  </r>
  <r>
    <x v="0"/>
    <x v="0"/>
    <n v="2239050932"/>
    <x v="4"/>
    <n v="5000"/>
    <x v="0"/>
    <x v="0"/>
    <x v="2"/>
    <x v="4"/>
    <x v="0"/>
    <x v="0"/>
    <x v="4"/>
    <x v="0"/>
  </r>
  <r>
    <x v="0"/>
    <x v="0"/>
    <n v="2239050933"/>
    <x v="3"/>
    <n v="12000"/>
    <x v="0"/>
    <x v="0"/>
    <x v="2"/>
    <x v="3"/>
    <x v="0"/>
    <x v="0"/>
    <x v="3"/>
    <x v="0"/>
  </r>
  <r>
    <x v="0"/>
    <x v="0"/>
    <n v="2239050933"/>
    <x v="7"/>
    <n v="1500"/>
    <x v="0"/>
    <x v="0"/>
    <x v="2"/>
    <x v="7"/>
    <x v="0"/>
    <x v="0"/>
    <x v="1"/>
    <x v="0"/>
  </r>
  <r>
    <x v="0"/>
    <x v="0"/>
    <n v="2239050934"/>
    <x v="5"/>
    <n v="-2500"/>
    <x v="0"/>
    <x v="0"/>
    <x v="2"/>
    <x v="5"/>
    <x v="0"/>
    <x v="0"/>
    <x v="5"/>
    <x v="0"/>
  </r>
  <r>
    <x v="0"/>
    <x v="0"/>
    <n v="2239050934"/>
    <x v="6"/>
    <n v="10000"/>
    <x v="0"/>
    <x v="0"/>
    <x v="2"/>
    <x v="6"/>
    <x v="0"/>
    <x v="0"/>
    <x v="5"/>
    <x v="0"/>
  </r>
  <r>
    <x v="0"/>
    <x v="0"/>
    <n v="2239050935"/>
    <x v="2"/>
    <n v="6500"/>
    <x v="0"/>
    <x v="0"/>
    <x v="2"/>
    <x v="2"/>
    <x v="0"/>
    <x v="0"/>
    <x v="2"/>
    <x v="0"/>
  </r>
  <r>
    <x v="0"/>
    <x v="0"/>
    <n v="2239050937"/>
    <x v="2"/>
    <n v="13000"/>
    <x v="0"/>
    <x v="0"/>
    <x v="2"/>
    <x v="2"/>
    <x v="0"/>
    <x v="0"/>
    <x v="2"/>
    <x v="0"/>
  </r>
  <r>
    <x v="0"/>
    <x v="0"/>
    <n v="2239050938"/>
    <x v="2"/>
    <n v="34650"/>
    <x v="0"/>
    <x v="0"/>
    <x v="2"/>
    <x v="2"/>
    <x v="0"/>
    <x v="0"/>
    <x v="2"/>
    <x v="0"/>
  </r>
  <r>
    <x v="0"/>
    <x v="0"/>
    <n v="2239050939"/>
    <x v="2"/>
    <n v="8500"/>
    <x v="0"/>
    <x v="0"/>
    <x v="2"/>
    <x v="2"/>
    <x v="0"/>
    <x v="0"/>
    <x v="2"/>
    <x v="0"/>
  </r>
  <r>
    <x v="0"/>
    <x v="0"/>
    <n v="2239050939"/>
    <x v="7"/>
    <n v="2000"/>
    <x v="0"/>
    <x v="0"/>
    <x v="2"/>
    <x v="7"/>
    <x v="0"/>
    <x v="0"/>
    <x v="1"/>
    <x v="0"/>
  </r>
  <r>
    <x v="0"/>
    <x v="0"/>
    <n v="2239050940"/>
    <x v="2"/>
    <n v="24640"/>
    <x v="0"/>
    <x v="0"/>
    <x v="2"/>
    <x v="2"/>
    <x v="0"/>
    <x v="0"/>
    <x v="2"/>
    <x v="0"/>
  </r>
  <r>
    <x v="0"/>
    <x v="0"/>
    <n v="2239050941"/>
    <x v="7"/>
    <n v="1500"/>
    <x v="0"/>
    <x v="0"/>
    <x v="2"/>
    <x v="7"/>
    <x v="0"/>
    <x v="0"/>
    <x v="1"/>
    <x v="0"/>
  </r>
  <r>
    <x v="0"/>
    <x v="0"/>
    <n v="2239050942"/>
    <x v="5"/>
    <n v="-4300"/>
    <x v="0"/>
    <x v="0"/>
    <x v="2"/>
    <x v="5"/>
    <x v="0"/>
    <x v="0"/>
    <x v="5"/>
    <x v="0"/>
  </r>
  <r>
    <x v="0"/>
    <x v="0"/>
    <n v="2239050942"/>
    <x v="4"/>
    <n v="10000"/>
    <x v="0"/>
    <x v="0"/>
    <x v="2"/>
    <x v="4"/>
    <x v="0"/>
    <x v="0"/>
    <x v="4"/>
    <x v="0"/>
  </r>
  <r>
    <x v="0"/>
    <x v="0"/>
    <n v="2239050943"/>
    <x v="5"/>
    <n v="-3500"/>
    <x v="0"/>
    <x v="0"/>
    <x v="2"/>
    <x v="5"/>
    <x v="0"/>
    <x v="0"/>
    <x v="5"/>
    <x v="0"/>
  </r>
  <r>
    <x v="0"/>
    <x v="0"/>
    <n v="2239050943"/>
    <x v="6"/>
    <n v="10000"/>
    <x v="0"/>
    <x v="0"/>
    <x v="2"/>
    <x v="6"/>
    <x v="0"/>
    <x v="0"/>
    <x v="5"/>
    <x v="0"/>
  </r>
  <r>
    <x v="0"/>
    <x v="0"/>
    <n v="2239050944"/>
    <x v="5"/>
    <n v="-4300"/>
    <x v="0"/>
    <x v="0"/>
    <x v="2"/>
    <x v="5"/>
    <x v="0"/>
    <x v="0"/>
    <x v="5"/>
    <x v="0"/>
  </r>
  <r>
    <x v="0"/>
    <x v="0"/>
    <n v="2239050944"/>
    <x v="4"/>
    <n v="10000"/>
    <x v="0"/>
    <x v="0"/>
    <x v="2"/>
    <x v="4"/>
    <x v="0"/>
    <x v="0"/>
    <x v="4"/>
    <x v="0"/>
  </r>
  <r>
    <x v="0"/>
    <x v="0"/>
    <n v="2239050945"/>
    <x v="2"/>
    <n v="6000"/>
    <x v="0"/>
    <x v="0"/>
    <x v="2"/>
    <x v="2"/>
    <x v="0"/>
    <x v="0"/>
    <x v="2"/>
    <x v="0"/>
  </r>
  <r>
    <x v="0"/>
    <x v="0"/>
    <n v="2239050947"/>
    <x v="7"/>
    <n v="1500"/>
    <x v="0"/>
    <x v="0"/>
    <x v="2"/>
    <x v="7"/>
    <x v="0"/>
    <x v="0"/>
    <x v="1"/>
    <x v="0"/>
  </r>
  <r>
    <x v="0"/>
    <x v="0"/>
    <n v="2239050948"/>
    <x v="6"/>
    <n v="3000"/>
    <x v="0"/>
    <x v="0"/>
    <x v="2"/>
    <x v="6"/>
    <x v="0"/>
    <x v="0"/>
    <x v="5"/>
    <x v="0"/>
  </r>
  <r>
    <x v="0"/>
    <x v="0"/>
    <n v="2239050949"/>
    <x v="2"/>
    <n v="25500"/>
    <x v="0"/>
    <x v="0"/>
    <x v="2"/>
    <x v="2"/>
    <x v="0"/>
    <x v="0"/>
    <x v="2"/>
    <x v="0"/>
  </r>
  <r>
    <x v="0"/>
    <x v="0"/>
    <n v="2239050950"/>
    <x v="3"/>
    <n v="18040"/>
    <x v="0"/>
    <x v="0"/>
    <x v="2"/>
    <x v="3"/>
    <x v="0"/>
    <x v="0"/>
    <x v="3"/>
    <x v="0"/>
  </r>
  <r>
    <x v="0"/>
    <x v="0"/>
    <n v="2239050951"/>
    <x v="3"/>
    <n v="66858"/>
    <x v="0"/>
    <x v="0"/>
    <x v="2"/>
    <x v="3"/>
    <x v="0"/>
    <x v="0"/>
    <x v="3"/>
    <x v="0"/>
  </r>
  <r>
    <x v="0"/>
    <x v="0"/>
    <n v="2239050952"/>
    <x v="2"/>
    <n v="8250"/>
    <x v="0"/>
    <x v="0"/>
    <x v="2"/>
    <x v="2"/>
    <x v="0"/>
    <x v="0"/>
    <x v="2"/>
    <x v="0"/>
  </r>
  <r>
    <x v="0"/>
    <x v="0"/>
    <n v="2239050953"/>
    <x v="2"/>
    <n v="7000"/>
    <x v="0"/>
    <x v="0"/>
    <x v="2"/>
    <x v="2"/>
    <x v="0"/>
    <x v="0"/>
    <x v="2"/>
    <x v="0"/>
  </r>
  <r>
    <x v="0"/>
    <x v="0"/>
    <n v="2239050954"/>
    <x v="2"/>
    <n v="10500"/>
    <x v="0"/>
    <x v="0"/>
    <x v="2"/>
    <x v="2"/>
    <x v="0"/>
    <x v="0"/>
    <x v="2"/>
    <x v="0"/>
  </r>
  <r>
    <x v="0"/>
    <x v="0"/>
    <n v="2239050955"/>
    <x v="5"/>
    <n v="-2500"/>
    <x v="0"/>
    <x v="0"/>
    <x v="2"/>
    <x v="5"/>
    <x v="0"/>
    <x v="0"/>
    <x v="5"/>
    <x v="0"/>
  </r>
  <r>
    <x v="0"/>
    <x v="0"/>
    <n v="2239050955"/>
    <x v="6"/>
    <n v="10000"/>
    <x v="0"/>
    <x v="0"/>
    <x v="2"/>
    <x v="6"/>
    <x v="0"/>
    <x v="0"/>
    <x v="5"/>
    <x v="0"/>
  </r>
  <r>
    <x v="0"/>
    <x v="0"/>
    <n v="2239050956"/>
    <x v="5"/>
    <n v="-15600"/>
    <x v="0"/>
    <x v="0"/>
    <x v="2"/>
    <x v="5"/>
    <x v="0"/>
    <x v="0"/>
    <x v="5"/>
    <x v="0"/>
  </r>
  <r>
    <x v="0"/>
    <x v="0"/>
    <n v="2239050956"/>
    <x v="4"/>
    <n v="20000"/>
    <x v="0"/>
    <x v="0"/>
    <x v="2"/>
    <x v="4"/>
    <x v="0"/>
    <x v="0"/>
    <x v="4"/>
    <x v="0"/>
  </r>
  <r>
    <x v="0"/>
    <x v="0"/>
    <n v="2239050957"/>
    <x v="5"/>
    <n v="-6100"/>
    <x v="0"/>
    <x v="0"/>
    <x v="2"/>
    <x v="5"/>
    <x v="0"/>
    <x v="0"/>
    <x v="5"/>
    <x v="0"/>
  </r>
  <r>
    <x v="0"/>
    <x v="0"/>
    <n v="2239050957"/>
    <x v="6"/>
    <n v="10000"/>
    <x v="0"/>
    <x v="0"/>
    <x v="2"/>
    <x v="6"/>
    <x v="0"/>
    <x v="0"/>
    <x v="5"/>
    <x v="0"/>
  </r>
  <r>
    <x v="0"/>
    <x v="0"/>
    <n v="2239050957"/>
    <x v="7"/>
    <n v="2600"/>
    <x v="0"/>
    <x v="0"/>
    <x v="2"/>
    <x v="7"/>
    <x v="0"/>
    <x v="0"/>
    <x v="1"/>
    <x v="0"/>
  </r>
  <r>
    <x v="0"/>
    <x v="0"/>
    <n v="2239050958"/>
    <x v="2"/>
    <n v="13500"/>
    <x v="0"/>
    <x v="0"/>
    <x v="2"/>
    <x v="2"/>
    <x v="0"/>
    <x v="0"/>
    <x v="2"/>
    <x v="0"/>
  </r>
  <r>
    <x v="0"/>
    <x v="0"/>
    <n v="2239050960"/>
    <x v="5"/>
    <n v="-5000"/>
    <x v="0"/>
    <x v="0"/>
    <x v="2"/>
    <x v="5"/>
    <x v="0"/>
    <x v="0"/>
    <x v="5"/>
    <x v="0"/>
  </r>
  <r>
    <x v="0"/>
    <x v="0"/>
    <n v="2239050960"/>
    <x v="4"/>
    <n v="10000"/>
    <x v="0"/>
    <x v="0"/>
    <x v="2"/>
    <x v="4"/>
    <x v="0"/>
    <x v="0"/>
    <x v="4"/>
    <x v="0"/>
  </r>
  <r>
    <x v="0"/>
    <x v="0"/>
    <n v="2239050961"/>
    <x v="5"/>
    <n v="-3200"/>
    <x v="0"/>
    <x v="0"/>
    <x v="2"/>
    <x v="5"/>
    <x v="0"/>
    <x v="0"/>
    <x v="5"/>
    <x v="0"/>
  </r>
  <r>
    <x v="0"/>
    <x v="0"/>
    <n v="2239050961"/>
    <x v="6"/>
    <n v="5000"/>
    <x v="0"/>
    <x v="0"/>
    <x v="2"/>
    <x v="6"/>
    <x v="0"/>
    <x v="0"/>
    <x v="5"/>
    <x v="0"/>
  </r>
  <r>
    <x v="0"/>
    <x v="0"/>
    <n v="2239050961"/>
    <x v="7"/>
    <n v="1200"/>
    <x v="0"/>
    <x v="0"/>
    <x v="2"/>
    <x v="7"/>
    <x v="0"/>
    <x v="0"/>
    <x v="1"/>
    <x v="0"/>
  </r>
  <r>
    <x v="0"/>
    <x v="0"/>
    <n v="2239050962"/>
    <x v="7"/>
    <n v="1500"/>
    <x v="0"/>
    <x v="0"/>
    <x v="2"/>
    <x v="7"/>
    <x v="0"/>
    <x v="0"/>
    <x v="1"/>
    <x v="0"/>
  </r>
  <r>
    <x v="0"/>
    <x v="0"/>
    <n v="2239050963"/>
    <x v="2"/>
    <n v="22000"/>
    <x v="0"/>
    <x v="0"/>
    <x v="2"/>
    <x v="2"/>
    <x v="0"/>
    <x v="0"/>
    <x v="2"/>
    <x v="0"/>
  </r>
  <r>
    <x v="0"/>
    <x v="0"/>
    <n v="2239050964"/>
    <x v="3"/>
    <n v="12100"/>
    <x v="0"/>
    <x v="0"/>
    <x v="2"/>
    <x v="3"/>
    <x v="0"/>
    <x v="0"/>
    <x v="3"/>
    <x v="0"/>
  </r>
  <r>
    <x v="0"/>
    <x v="0"/>
    <n v="2239050965"/>
    <x v="2"/>
    <n v="9500"/>
    <x v="0"/>
    <x v="0"/>
    <x v="2"/>
    <x v="2"/>
    <x v="0"/>
    <x v="0"/>
    <x v="2"/>
    <x v="0"/>
  </r>
  <r>
    <x v="0"/>
    <x v="0"/>
    <n v="2239050966"/>
    <x v="5"/>
    <n v="-4400"/>
    <x v="0"/>
    <x v="0"/>
    <x v="2"/>
    <x v="5"/>
    <x v="0"/>
    <x v="0"/>
    <x v="5"/>
    <x v="0"/>
  </r>
  <r>
    <x v="0"/>
    <x v="0"/>
    <n v="2239050966"/>
    <x v="4"/>
    <n v="10000"/>
    <x v="0"/>
    <x v="0"/>
    <x v="2"/>
    <x v="4"/>
    <x v="0"/>
    <x v="0"/>
    <x v="4"/>
    <x v="0"/>
  </r>
  <r>
    <x v="0"/>
    <x v="0"/>
    <n v="2239050968"/>
    <x v="2"/>
    <n v="6600"/>
    <x v="0"/>
    <x v="0"/>
    <x v="2"/>
    <x v="2"/>
    <x v="0"/>
    <x v="0"/>
    <x v="2"/>
    <x v="0"/>
  </r>
  <r>
    <x v="0"/>
    <x v="0"/>
    <n v="2239050969"/>
    <x v="7"/>
    <n v="1500"/>
    <x v="0"/>
    <x v="0"/>
    <x v="2"/>
    <x v="7"/>
    <x v="0"/>
    <x v="0"/>
    <x v="1"/>
    <x v="0"/>
  </r>
  <r>
    <x v="0"/>
    <x v="0"/>
    <n v="2239050970"/>
    <x v="7"/>
    <n v="7500"/>
    <x v="0"/>
    <x v="0"/>
    <x v="2"/>
    <x v="7"/>
    <x v="0"/>
    <x v="0"/>
    <x v="1"/>
    <x v="0"/>
  </r>
  <r>
    <x v="0"/>
    <x v="0"/>
    <n v="2239050971"/>
    <x v="7"/>
    <n v="1500"/>
    <x v="0"/>
    <x v="0"/>
    <x v="2"/>
    <x v="7"/>
    <x v="0"/>
    <x v="0"/>
    <x v="1"/>
    <x v="0"/>
  </r>
  <r>
    <x v="0"/>
    <x v="0"/>
    <n v="2239050972"/>
    <x v="3"/>
    <n v="7500"/>
    <x v="0"/>
    <x v="0"/>
    <x v="2"/>
    <x v="3"/>
    <x v="0"/>
    <x v="0"/>
    <x v="3"/>
    <x v="0"/>
  </r>
  <r>
    <x v="0"/>
    <x v="0"/>
    <n v="2239050973"/>
    <x v="5"/>
    <n v="-4800"/>
    <x v="0"/>
    <x v="0"/>
    <x v="2"/>
    <x v="5"/>
    <x v="0"/>
    <x v="0"/>
    <x v="5"/>
    <x v="0"/>
  </r>
  <r>
    <x v="0"/>
    <x v="0"/>
    <n v="2239050973"/>
    <x v="6"/>
    <n v="10000"/>
    <x v="0"/>
    <x v="0"/>
    <x v="2"/>
    <x v="6"/>
    <x v="0"/>
    <x v="0"/>
    <x v="5"/>
    <x v="0"/>
  </r>
  <r>
    <x v="0"/>
    <x v="0"/>
    <n v="2239050973"/>
    <x v="7"/>
    <n v="1300"/>
    <x v="0"/>
    <x v="0"/>
    <x v="2"/>
    <x v="7"/>
    <x v="0"/>
    <x v="0"/>
    <x v="1"/>
    <x v="0"/>
  </r>
  <r>
    <x v="0"/>
    <x v="0"/>
    <n v="2239050974"/>
    <x v="2"/>
    <n v="10000"/>
    <x v="0"/>
    <x v="0"/>
    <x v="2"/>
    <x v="2"/>
    <x v="0"/>
    <x v="0"/>
    <x v="2"/>
    <x v="0"/>
  </r>
  <r>
    <x v="0"/>
    <x v="0"/>
    <n v="2239050975"/>
    <x v="2"/>
    <n v="11550"/>
    <x v="0"/>
    <x v="0"/>
    <x v="2"/>
    <x v="2"/>
    <x v="0"/>
    <x v="0"/>
    <x v="2"/>
    <x v="0"/>
  </r>
  <r>
    <x v="0"/>
    <x v="0"/>
    <n v="2239050976"/>
    <x v="2"/>
    <n v="12500"/>
    <x v="0"/>
    <x v="0"/>
    <x v="2"/>
    <x v="2"/>
    <x v="0"/>
    <x v="0"/>
    <x v="2"/>
    <x v="0"/>
  </r>
  <r>
    <x v="0"/>
    <x v="0"/>
    <n v="2239050977"/>
    <x v="5"/>
    <n v="-14300"/>
    <x v="0"/>
    <x v="0"/>
    <x v="2"/>
    <x v="5"/>
    <x v="0"/>
    <x v="0"/>
    <x v="5"/>
    <x v="0"/>
  </r>
  <r>
    <x v="0"/>
    <x v="0"/>
    <n v="2239050977"/>
    <x v="4"/>
    <n v="20000"/>
    <x v="0"/>
    <x v="0"/>
    <x v="2"/>
    <x v="4"/>
    <x v="0"/>
    <x v="0"/>
    <x v="4"/>
    <x v="0"/>
  </r>
  <r>
    <x v="0"/>
    <x v="0"/>
    <n v="2239050978"/>
    <x v="1"/>
    <n v="1140"/>
    <x v="0"/>
    <x v="0"/>
    <x v="2"/>
    <x v="1"/>
    <x v="0"/>
    <x v="0"/>
    <x v="1"/>
    <x v="0"/>
  </r>
  <r>
    <x v="0"/>
    <x v="0"/>
    <n v="2239050979"/>
    <x v="2"/>
    <n v="14300"/>
    <x v="0"/>
    <x v="0"/>
    <x v="2"/>
    <x v="2"/>
    <x v="0"/>
    <x v="0"/>
    <x v="2"/>
    <x v="0"/>
  </r>
  <r>
    <x v="0"/>
    <x v="0"/>
    <n v="2239050981"/>
    <x v="2"/>
    <n v="9800"/>
    <x v="0"/>
    <x v="0"/>
    <x v="2"/>
    <x v="2"/>
    <x v="0"/>
    <x v="0"/>
    <x v="2"/>
    <x v="0"/>
  </r>
  <r>
    <x v="0"/>
    <x v="0"/>
    <n v="2239050981"/>
    <x v="7"/>
    <n v="1950"/>
    <x v="0"/>
    <x v="0"/>
    <x v="2"/>
    <x v="7"/>
    <x v="0"/>
    <x v="0"/>
    <x v="1"/>
    <x v="0"/>
  </r>
  <r>
    <x v="0"/>
    <x v="0"/>
    <n v="2239050982"/>
    <x v="2"/>
    <n v="13000"/>
    <x v="0"/>
    <x v="0"/>
    <x v="2"/>
    <x v="2"/>
    <x v="0"/>
    <x v="0"/>
    <x v="2"/>
    <x v="0"/>
  </r>
  <r>
    <x v="0"/>
    <x v="0"/>
    <n v="2239050983"/>
    <x v="2"/>
    <n v="13750"/>
    <x v="0"/>
    <x v="0"/>
    <x v="2"/>
    <x v="2"/>
    <x v="0"/>
    <x v="0"/>
    <x v="2"/>
    <x v="0"/>
  </r>
  <r>
    <x v="0"/>
    <x v="0"/>
    <n v="2239050984"/>
    <x v="5"/>
    <n v="-72500"/>
    <x v="0"/>
    <x v="0"/>
    <x v="2"/>
    <x v="5"/>
    <x v="0"/>
    <x v="0"/>
    <x v="5"/>
    <x v="0"/>
  </r>
  <r>
    <x v="0"/>
    <x v="0"/>
    <n v="2239050984"/>
    <x v="6"/>
    <n v="80000"/>
    <x v="0"/>
    <x v="0"/>
    <x v="2"/>
    <x v="6"/>
    <x v="0"/>
    <x v="0"/>
    <x v="5"/>
    <x v="0"/>
  </r>
  <r>
    <x v="0"/>
    <x v="0"/>
    <n v="2239050985"/>
    <x v="2"/>
    <n v="22990"/>
    <x v="0"/>
    <x v="0"/>
    <x v="2"/>
    <x v="2"/>
    <x v="0"/>
    <x v="0"/>
    <x v="2"/>
    <x v="0"/>
  </r>
  <r>
    <x v="0"/>
    <x v="0"/>
    <n v="2239050986"/>
    <x v="3"/>
    <n v="8250"/>
    <x v="0"/>
    <x v="0"/>
    <x v="2"/>
    <x v="3"/>
    <x v="0"/>
    <x v="0"/>
    <x v="3"/>
    <x v="0"/>
  </r>
  <r>
    <x v="0"/>
    <x v="0"/>
    <n v="2239050987"/>
    <x v="2"/>
    <n v="13200"/>
    <x v="0"/>
    <x v="0"/>
    <x v="2"/>
    <x v="2"/>
    <x v="0"/>
    <x v="0"/>
    <x v="2"/>
    <x v="0"/>
  </r>
  <r>
    <x v="0"/>
    <x v="0"/>
    <n v="2239050988"/>
    <x v="2"/>
    <n v="15510"/>
    <x v="0"/>
    <x v="0"/>
    <x v="2"/>
    <x v="2"/>
    <x v="0"/>
    <x v="0"/>
    <x v="2"/>
    <x v="0"/>
  </r>
  <r>
    <x v="0"/>
    <x v="0"/>
    <n v="2239050989"/>
    <x v="2"/>
    <n v="31240"/>
    <x v="0"/>
    <x v="0"/>
    <x v="2"/>
    <x v="2"/>
    <x v="0"/>
    <x v="0"/>
    <x v="2"/>
    <x v="0"/>
  </r>
  <r>
    <x v="0"/>
    <x v="0"/>
    <n v="2239050990"/>
    <x v="2"/>
    <n v="6500"/>
    <x v="0"/>
    <x v="0"/>
    <x v="2"/>
    <x v="2"/>
    <x v="0"/>
    <x v="0"/>
    <x v="2"/>
    <x v="0"/>
  </r>
  <r>
    <x v="0"/>
    <x v="0"/>
    <n v="2239050991"/>
    <x v="2"/>
    <n v="47740"/>
    <x v="0"/>
    <x v="0"/>
    <x v="2"/>
    <x v="2"/>
    <x v="0"/>
    <x v="0"/>
    <x v="2"/>
    <x v="0"/>
  </r>
  <r>
    <x v="0"/>
    <x v="0"/>
    <n v="2239050992"/>
    <x v="2"/>
    <n v="14000"/>
    <x v="0"/>
    <x v="0"/>
    <x v="2"/>
    <x v="2"/>
    <x v="0"/>
    <x v="0"/>
    <x v="2"/>
    <x v="0"/>
  </r>
  <r>
    <x v="0"/>
    <x v="0"/>
    <n v="2239050993"/>
    <x v="2"/>
    <n v="24750"/>
    <x v="0"/>
    <x v="0"/>
    <x v="2"/>
    <x v="2"/>
    <x v="0"/>
    <x v="0"/>
    <x v="2"/>
    <x v="0"/>
  </r>
  <r>
    <x v="0"/>
    <x v="0"/>
    <n v="2239050995"/>
    <x v="2"/>
    <n v="40986"/>
    <x v="0"/>
    <x v="0"/>
    <x v="2"/>
    <x v="2"/>
    <x v="0"/>
    <x v="0"/>
    <x v="2"/>
    <x v="0"/>
  </r>
  <r>
    <x v="0"/>
    <x v="0"/>
    <n v="2239050996"/>
    <x v="5"/>
    <n v="-3500"/>
    <x v="0"/>
    <x v="0"/>
    <x v="2"/>
    <x v="5"/>
    <x v="0"/>
    <x v="0"/>
    <x v="5"/>
    <x v="0"/>
  </r>
  <r>
    <x v="0"/>
    <x v="0"/>
    <n v="2239050996"/>
    <x v="6"/>
    <n v="10000"/>
    <x v="0"/>
    <x v="0"/>
    <x v="2"/>
    <x v="6"/>
    <x v="0"/>
    <x v="0"/>
    <x v="5"/>
    <x v="0"/>
  </r>
  <r>
    <x v="0"/>
    <x v="0"/>
    <n v="2239050997"/>
    <x v="2"/>
    <n v="6000"/>
    <x v="0"/>
    <x v="0"/>
    <x v="2"/>
    <x v="2"/>
    <x v="0"/>
    <x v="0"/>
    <x v="2"/>
    <x v="0"/>
  </r>
  <r>
    <x v="0"/>
    <x v="0"/>
    <n v="2239050998"/>
    <x v="2"/>
    <n v="39490"/>
    <x v="0"/>
    <x v="0"/>
    <x v="2"/>
    <x v="2"/>
    <x v="0"/>
    <x v="0"/>
    <x v="2"/>
    <x v="0"/>
  </r>
  <r>
    <x v="0"/>
    <x v="0"/>
    <n v="2239050999"/>
    <x v="2"/>
    <n v="8690"/>
    <x v="0"/>
    <x v="0"/>
    <x v="2"/>
    <x v="2"/>
    <x v="0"/>
    <x v="0"/>
    <x v="2"/>
    <x v="0"/>
  </r>
  <r>
    <x v="0"/>
    <x v="0"/>
    <n v="2239051000"/>
    <x v="7"/>
    <n v="3800"/>
    <x v="0"/>
    <x v="0"/>
    <x v="2"/>
    <x v="7"/>
    <x v="0"/>
    <x v="0"/>
    <x v="1"/>
    <x v="0"/>
  </r>
  <r>
    <x v="0"/>
    <x v="0"/>
    <n v="2239051002"/>
    <x v="7"/>
    <n v="1500"/>
    <x v="0"/>
    <x v="0"/>
    <x v="2"/>
    <x v="7"/>
    <x v="0"/>
    <x v="0"/>
    <x v="1"/>
    <x v="0"/>
  </r>
  <r>
    <x v="0"/>
    <x v="0"/>
    <n v="2239051003"/>
    <x v="7"/>
    <n v="7500"/>
    <x v="0"/>
    <x v="0"/>
    <x v="2"/>
    <x v="7"/>
    <x v="0"/>
    <x v="0"/>
    <x v="1"/>
    <x v="0"/>
  </r>
  <r>
    <x v="0"/>
    <x v="0"/>
    <n v="2239051004"/>
    <x v="5"/>
    <n v="-4300"/>
    <x v="0"/>
    <x v="0"/>
    <x v="2"/>
    <x v="5"/>
    <x v="0"/>
    <x v="0"/>
    <x v="5"/>
    <x v="0"/>
  </r>
  <r>
    <x v="0"/>
    <x v="0"/>
    <n v="2239051004"/>
    <x v="4"/>
    <n v="10000"/>
    <x v="0"/>
    <x v="0"/>
    <x v="2"/>
    <x v="4"/>
    <x v="0"/>
    <x v="0"/>
    <x v="4"/>
    <x v="0"/>
  </r>
  <r>
    <x v="0"/>
    <x v="0"/>
    <n v="2239051005"/>
    <x v="2"/>
    <n v="15200"/>
    <x v="0"/>
    <x v="0"/>
    <x v="2"/>
    <x v="2"/>
    <x v="0"/>
    <x v="0"/>
    <x v="2"/>
    <x v="0"/>
  </r>
  <r>
    <x v="0"/>
    <x v="0"/>
    <n v="2239051006"/>
    <x v="5"/>
    <n v="-2500"/>
    <x v="0"/>
    <x v="0"/>
    <x v="2"/>
    <x v="5"/>
    <x v="0"/>
    <x v="0"/>
    <x v="5"/>
    <x v="0"/>
  </r>
  <r>
    <x v="0"/>
    <x v="0"/>
    <n v="2239051006"/>
    <x v="6"/>
    <n v="15000"/>
    <x v="0"/>
    <x v="0"/>
    <x v="2"/>
    <x v="6"/>
    <x v="0"/>
    <x v="0"/>
    <x v="5"/>
    <x v="0"/>
  </r>
  <r>
    <x v="0"/>
    <x v="0"/>
    <n v="2239051008"/>
    <x v="7"/>
    <n v="1500"/>
    <x v="0"/>
    <x v="0"/>
    <x v="2"/>
    <x v="7"/>
    <x v="0"/>
    <x v="0"/>
    <x v="1"/>
    <x v="0"/>
  </r>
  <r>
    <x v="0"/>
    <x v="0"/>
    <n v="2239051009"/>
    <x v="2"/>
    <n v="24500"/>
    <x v="0"/>
    <x v="0"/>
    <x v="2"/>
    <x v="2"/>
    <x v="0"/>
    <x v="0"/>
    <x v="2"/>
    <x v="0"/>
  </r>
  <r>
    <x v="0"/>
    <x v="0"/>
    <n v="2239051010"/>
    <x v="2"/>
    <n v="8250"/>
    <x v="0"/>
    <x v="0"/>
    <x v="2"/>
    <x v="2"/>
    <x v="0"/>
    <x v="0"/>
    <x v="2"/>
    <x v="0"/>
  </r>
  <r>
    <x v="0"/>
    <x v="0"/>
    <n v="2239051012"/>
    <x v="2"/>
    <n v="5200"/>
    <x v="0"/>
    <x v="0"/>
    <x v="2"/>
    <x v="2"/>
    <x v="0"/>
    <x v="0"/>
    <x v="2"/>
    <x v="0"/>
  </r>
  <r>
    <x v="0"/>
    <x v="0"/>
    <n v="2239051013"/>
    <x v="2"/>
    <n v="23100"/>
    <x v="0"/>
    <x v="0"/>
    <x v="2"/>
    <x v="2"/>
    <x v="0"/>
    <x v="0"/>
    <x v="2"/>
    <x v="0"/>
  </r>
  <r>
    <x v="0"/>
    <x v="0"/>
    <n v="2239051014"/>
    <x v="2"/>
    <n v="6000"/>
    <x v="0"/>
    <x v="0"/>
    <x v="2"/>
    <x v="2"/>
    <x v="0"/>
    <x v="0"/>
    <x v="2"/>
    <x v="0"/>
  </r>
  <r>
    <x v="0"/>
    <x v="0"/>
    <n v="2239051015"/>
    <x v="5"/>
    <n v="-5500"/>
    <x v="0"/>
    <x v="0"/>
    <x v="2"/>
    <x v="5"/>
    <x v="0"/>
    <x v="0"/>
    <x v="5"/>
    <x v="0"/>
  </r>
  <r>
    <x v="0"/>
    <x v="0"/>
    <n v="2239051015"/>
    <x v="6"/>
    <n v="20000"/>
    <x v="0"/>
    <x v="0"/>
    <x v="2"/>
    <x v="6"/>
    <x v="0"/>
    <x v="0"/>
    <x v="5"/>
    <x v="0"/>
  </r>
  <r>
    <x v="0"/>
    <x v="0"/>
    <n v="2239051016"/>
    <x v="2"/>
    <n v="13000"/>
    <x v="0"/>
    <x v="0"/>
    <x v="2"/>
    <x v="2"/>
    <x v="0"/>
    <x v="0"/>
    <x v="2"/>
    <x v="0"/>
  </r>
  <r>
    <x v="0"/>
    <x v="0"/>
    <n v="2239051017"/>
    <x v="2"/>
    <n v="16000"/>
    <x v="0"/>
    <x v="0"/>
    <x v="2"/>
    <x v="2"/>
    <x v="0"/>
    <x v="0"/>
    <x v="2"/>
    <x v="0"/>
  </r>
  <r>
    <x v="0"/>
    <x v="0"/>
    <n v="2239051018"/>
    <x v="2"/>
    <n v="7150"/>
    <x v="0"/>
    <x v="0"/>
    <x v="2"/>
    <x v="2"/>
    <x v="0"/>
    <x v="0"/>
    <x v="2"/>
    <x v="0"/>
  </r>
  <r>
    <x v="0"/>
    <x v="0"/>
    <n v="2239051019"/>
    <x v="2"/>
    <n v="6900"/>
    <x v="0"/>
    <x v="0"/>
    <x v="2"/>
    <x v="2"/>
    <x v="0"/>
    <x v="0"/>
    <x v="2"/>
    <x v="0"/>
  </r>
  <r>
    <x v="0"/>
    <x v="0"/>
    <n v="2239051019"/>
    <x v="7"/>
    <n v="2600"/>
    <x v="0"/>
    <x v="0"/>
    <x v="2"/>
    <x v="7"/>
    <x v="0"/>
    <x v="0"/>
    <x v="1"/>
    <x v="0"/>
  </r>
  <r>
    <x v="0"/>
    <x v="0"/>
    <n v="2239051020"/>
    <x v="2"/>
    <n v="7000"/>
    <x v="0"/>
    <x v="0"/>
    <x v="2"/>
    <x v="2"/>
    <x v="0"/>
    <x v="0"/>
    <x v="2"/>
    <x v="0"/>
  </r>
  <r>
    <x v="0"/>
    <x v="0"/>
    <n v="2239051023"/>
    <x v="5"/>
    <n v="-6500"/>
    <x v="0"/>
    <x v="0"/>
    <x v="2"/>
    <x v="5"/>
    <x v="0"/>
    <x v="0"/>
    <x v="5"/>
    <x v="0"/>
  </r>
  <r>
    <x v="0"/>
    <x v="0"/>
    <n v="2239051023"/>
    <x v="6"/>
    <n v="10000"/>
    <x v="0"/>
    <x v="0"/>
    <x v="2"/>
    <x v="6"/>
    <x v="0"/>
    <x v="0"/>
    <x v="5"/>
    <x v="0"/>
  </r>
  <r>
    <x v="0"/>
    <x v="0"/>
    <n v="2239051024"/>
    <x v="3"/>
    <n v="10500"/>
    <x v="0"/>
    <x v="0"/>
    <x v="2"/>
    <x v="3"/>
    <x v="0"/>
    <x v="0"/>
    <x v="3"/>
    <x v="0"/>
  </r>
  <r>
    <x v="0"/>
    <x v="0"/>
    <n v="2239051025"/>
    <x v="5"/>
    <n v="-4500"/>
    <x v="0"/>
    <x v="0"/>
    <x v="2"/>
    <x v="5"/>
    <x v="0"/>
    <x v="0"/>
    <x v="5"/>
    <x v="0"/>
  </r>
  <r>
    <x v="0"/>
    <x v="0"/>
    <n v="2239051025"/>
    <x v="6"/>
    <n v="90000"/>
    <x v="0"/>
    <x v="0"/>
    <x v="2"/>
    <x v="6"/>
    <x v="0"/>
    <x v="0"/>
    <x v="5"/>
    <x v="0"/>
  </r>
  <r>
    <x v="0"/>
    <x v="0"/>
    <n v="2239051026"/>
    <x v="7"/>
    <n v="1500"/>
    <x v="0"/>
    <x v="0"/>
    <x v="2"/>
    <x v="7"/>
    <x v="0"/>
    <x v="0"/>
    <x v="1"/>
    <x v="0"/>
  </r>
  <r>
    <x v="0"/>
    <x v="0"/>
    <n v="2239051027"/>
    <x v="2"/>
    <n v="3000"/>
    <x v="0"/>
    <x v="0"/>
    <x v="2"/>
    <x v="2"/>
    <x v="0"/>
    <x v="0"/>
    <x v="2"/>
    <x v="0"/>
  </r>
  <r>
    <x v="0"/>
    <x v="0"/>
    <n v="2239051028"/>
    <x v="7"/>
    <n v="1500"/>
    <x v="0"/>
    <x v="0"/>
    <x v="2"/>
    <x v="7"/>
    <x v="0"/>
    <x v="0"/>
    <x v="1"/>
    <x v="0"/>
  </r>
  <r>
    <x v="0"/>
    <x v="0"/>
    <n v="2239051029"/>
    <x v="7"/>
    <n v="4500"/>
    <x v="0"/>
    <x v="0"/>
    <x v="2"/>
    <x v="7"/>
    <x v="0"/>
    <x v="0"/>
    <x v="1"/>
    <x v="0"/>
  </r>
  <r>
    <x v="0"/>
    <x v="0"/>
    <n v="2239051031"/>
    <x v="5"/>
    <n v="-6000"/>
    <x v="0"/>
    <x v="0"/>
    <x v="2"/>
    <x v="5"/>
    <x v="0"/>
    <x v="0"/>
    <x v="5"/>
    <x v="0"/>
  </r>
  <r>
    <x v="0"/>
    <x v="0"/>
    <n v="2239051031"/>
    <x v="4"/>
    <n v="10400"/>
    <x v="0"/>
    <x v="0"/>
    <x v="2"/>
    <x v="4"/>
    <x v="0"/>
    <x v="0"/>
    <x v="4"/>
    <x v="0"/>
  </r>
  <r>
    <x v="0"/>
    <x v="0"/>
    <n v="2239051032"/>
    <x v="5"/>
    <n v="-500"/>
    <x v="0"/>
    <x v="0"/>
    <x v="2"/>
    <x v="5"/>
    <x v="0"/>
    <x v="0"/>
    <x v="5"/>
    <x v="0"/>
  </r>
  <r>
    <x v="0"/>
    <x v="0"/>
    <n v="2239051032"/>
    <x v="6"/>
    <n v="7000"/>
    <x v="0"/>
    <x v="0"/>
    <x v="2"/>
    <x v="6"/>
    <x v="0"/>
    <x v="0"/>
    <x v="5"/>
    <x v="0"/>
  </r>
  <r>
    <x v="0"/>
    <x v="0"/>
    <n v="2239051033"/>
    <x v="6"/>
    <n v="3000"/>
    <x v="0"/>
    <x v="0"/>
    <x v="2"/>
    <x v="6"/>
    <x v="0"/>
    <x v="0"/>
    <x v="5"/>
    <x v="0"/>
  </r>
  <r>
    <x v="0"/>
    <x v="0"/>
    <n v="2239051034"/>
    <x v="7"/>
    <n v="1500"/>
    <x v="0"/>
    <x v="0"/>
    <x v="2"/>
    <x v="7"/>
    <x v="0"/>
    <x v="0"/>
    <x v="1"/>
    <x v="0"/>
  </r>
  <r>
    <x v="0"/>
    <x v="0"/>
    <n v="2239051035"/>
    <x v="2"/>
    <n v="16390"/>
    <x v="0"/>
    <x v="0"/>
    <x v="2"/>
    <x v="2"/>
    <x v="0"/>
    <x v="0"/>
    <x v="2"/>
    <x v="0"/>
  </r>
  <r>
    <x v="0"/>
    <x v="0"/>
    <n v="2239051036"/>
    <x v="7"/>
    <n v="1500"/>
    <x v="0"/>
    <x v="0"/>
    <x v="2"/>
    <x v="7"/>
    <x v="0"/>
    <x v="0"/>
    <x v="1"/>
    <x v="0"/>
  </r>
  <r>
    <x v="0"/>
    <x v="0"/>
    <n v="2239051037"/>
    <x v="7"/>
    <n v="1500"/>
    <x v="0"/>
    <x v="0"/>
    <x v="2"/>
    <x v="7"/>
    <x v="0"/>
    <x v="0"/>
    <x v="1"/>
    <x v="0"/>
  </r>
  <r>
    <x v="0"/>
    <x v="0"/>
    <n v="2239051038"/>
    <x v="7"/>
    <n v="1500"/>
    <x v="0"/>
    <x v="0"/>
    <x v="2"/>
    <x v="7"/>
    <x v="0"/>
    <x v="0"/>
    <x v="1"/>
    <x v="0"/>
  </r>
  <r>
    <x v="0"/>
    <x v="0"/>
    <n v="2239051040"/>
    <x v="2"/>
    <n v="15000"/>
    <x v="0"/>
    <x v="0"/>
    <x v="2"/>
    <x v="2"/>
    <x v="0"/>
    <x v="0"/>
    <x v="2"/>
    <x v="0"/>
  </r>
  <r>
    <x v="0"/>
    <x v="0"/>
    <n v="2239051041"/>
    <x v="2"/>
    <n v="15000"/>
    <x v="0"/>
    <x v="0"/>
    <x v="2"/>
    <x v="2"/>
    <x v="0"/>
    <x v="0"/>
    <x v="2"/>
    <x v="0"/>
  </r>
  <r>
    <x v="0"/>
    <x v="0"/>
    <n v="2239051042"/>
    <x v="5"/>
    <n v="-340"/>
    <x v="0"/>
    <x v="0"/>
    <x v="2"/>
    <x v="5"/>
    <x v="0"/>
    <x v="0"/>
    <x v="5"/>
    <x v="0"/>
  </r>
  <r>
    <x v="0"/>
    <x v="0"/>
    <n v="2239051042"/>
    <x v="6"/>
    <n v="3000"/>
    <x v="0"/>
    <x v="0"/>
    <x v="2"/>
    <x v="6"/>
    <x v="0"/>
    <x v="0"/>
    <x v="5"/>
    <x v="0"/>
  </r>
  <r>
    <x v="0"/>
    <x v="0"/>
    <n v="2239051043"/>
    <x v="2"/>
    <n v="27000"/>
    <x v="0"/>
    <x v="0"/>
    <x v="2"/>
    <x v="2"/>
    <x v="0"/>
    <x v="0"/>
    <x v="2"/>
    <x v="0"/>
  </r>
  <r>
    <x v="0"/>
    <x v="0"/>
    <n v="2239051044"/>
    <x v="2"/>
    <n v="6600"/>
    <x v="0"/>
    <x v="0"/>
    <x v="2"/>
    <x v="2"/>
    <x v="0"/>
    <x v="0"/>
    <x v="2"/>
    <x v="0"/>
  </r>
  <r>
    <x v="0"/>
    <x v="0"/>
    <n v="2239051045"/>
    <x v="2"/>
    <n v="7500"/>
    <x v="0"/>
    <x v="0"/>
    <x v="2"/>
    <x v="2"/>
    <x v="0"/>
    <x v="0"/>
    <x v="2"/>
    <x v="0"/>
  </r>
  <r>
    <x v="0"/>
    <x v="0"/>
    <n v="2239051046"/>
    <x v="5"/>
    <n v="-2200"/>
    <x v="0"/>
    <x v="0"/>
    <x v="2"/>
    <x v="5"/>
    <x v="0"/>
    <x v="0"/>
    <x v="5"/>
    <x v="0"/>
  </r>
  <r>
    <x v="0"/>
    <x v="0"/>
    <n v="2239051046"/>
    <x v="6"/>
    <n v="10000"/>
    <x v="0"/>
    <x v="0"/>
    <x v="2"/>
    <x v="6"/>
    <x v="0"/>
    <x v="0"/>
    <x v="5"/>
    <x v="0"/>
  </r>
  <r>
    <x v="0"/>
    <x v="0"/>
    <n v="2239051046"/>
    <x v="7"/>
    <n v="5200"/>
    <x v="0"/>
    <x v="0"/>
    <x v="2"/>
    <x v="7"/>
    <x v="0"/>
    <x v="0"/>
    <x v="1"/>
    <x v="0"/>
  </r>
  <r>
    <x v="0"/>
    <x v="0"/>
    <n v="2239051047"/>
    <x v="6"/>
    <n v="6500"/>
    <x v="0"/>
    <x v="0"/>
    <x v="2"/>
    <x v="6"/>
    <x v="0"/>
    <x v="0"/>
    <x v="5"/>
    <x v="0"/>
  </r>
  <r>
    <x v="0"/>
    <x v="0"/>
    <n v="2239051048"/>
    <x v="2"/>
    <n v="20900"/>
    <x v="0"/>
    <x v="0"/>
    <x v="2"/>
    <x v="2"/>
    <x v="0"/>
    <x v="0"/>
    <x v="2"/>
    <x v="0"/>
  </r>
  <r>
    <x v="0"/>
    <x v="0"/>
    <n v="2239051049"/>
    <x v="2"/>
    <n v="7500"/>
    <x v="0"/>
    <x v="0"/>
    <x v="2"/>
    <x v="2"/>
    <x v="0"/>
    <x v="0"/>
    <x v="2"/>
    <x v="0"/>
  </r>
  <r>
    <x v="0"/>
    <x v="0"/>
    <n v="2239051050"/>
    <x v="2"/>
    <n v="11550"/>
    <x v="0"/>
    <x v="0"/>
    <x v="2"/>
    <x v="2"/>
    <x v="0"/>
    <x v="0"/>
    <x v="2"/>
    <x v="0"/>
  </r>
  <r>
    <x v="0"/>
    <x v="0"/>
    <n v="2239051051"/>
    <x v="7"/>
    <n v="1500"/>
    <x v="0"/>
    <x v="0"/>
    <x v="2"/>
    <x v="7"/>
    <x v="0"/>
    <x v="0"/>
    <x v="1"/>
    <x v="0"/>
  </r>
  <r>
    <x v="0"/>
    <x v="0"/>
    <n v="2239051052"/>
    <x v="2"/>
    <n v="11500"/>
    <x v="0"/>
    <x v="0"/>
    <x v="2"/>
    <x v="2"/>
    <x v="0"/>
    <x v="0"/>
    <x v="2"/>
    <x v="0"/>
  </r>
  <r>
    <x v="0"/>
    <x v="0"/>
    <n v="2239051053"/>
    <x v="5"/>
    <n v="-4000"/>
    <x v="0"/>
    <x v="0"/>
    <x v="2"/>
    <x v="5"/>
    <x v="0"/>
    <x v="0"/>
    <x v="5"/>
    <x v="0"/>
  </r>
  <r>
    <x v="0"/>
    <x v="0"/>
    <n v="2239051053"/>
    <x v="6"/>
    <n v="10000"/>
    <x v="0"/>
    <x v="0"/>
    <x v="2"/>
    <x v="6"/>
    <x v="0"/>
    <x v="0"/>
    <x v="5"/>
    <x v="0"/>
  </r>
  <r>
    <x v="0"/>
    <x v="0"/>
    <n v="2239051055"/>
    <x v="5"/>
    <n v="-2600"/>
    <x v="0"/>
    <x v="0"/>
    <x v="2"/>
    <x v="5"/>
    <x v="0"/>
    <x v="0"/>
    <x v="5"/>
    <x v="0"/>
  </r>
  <r>
    <x v="0"/>
    <x v="0"/>
    <n v="2239051055"/>
    <x v="6"/>
    <n v="5000"/>
    <x v="0"/>
    <x v="0"/>
    <x v="2"/>
    <x v="6"/>
    <x v="0"/>
    <x v="0"/>
    <x v="5"/>
    <x v="0"/>
  </r>
  <r>
    <x v="0"/>
    <x v="0"/>
    <n v="2239051057"/>
    <x v="7"/>
    <n v="6500"/>
    <x v="0"/>
    <x v="0"/>
    <x v="2"/>
    <x v="7"/>
    <x v="0"/>
    <x v="0"/>
    <x v="1"/>
    <x v="0"/>
  </r>
  <r>
    <x v="0"/>
    <x v="0"/>
    <n v="2239051058"/>
    <x v="2"/>
    <n v="14300"/>
    <x v="0"/>
    <x v="0"/>
    <x v="2"/>
    <x v="2"/>
    <x v="0"/>
    <x v="0"/>
    <x v="2"/>
    <x v="0"/>
  </r>
  <r>
    <x v="0"/>
    <x v="0"/>
    <n v="2239051059"/>
    <x v="5"/>
    <n v="-600"/>
    <x v="0"/>
    <x v="0"/>
    <x v="2"/>
    <x v="5"/>
    <x v="0"/>
    <x v="0"/>
    <x v="5"/>
    <x v="0"/>
  </r>
  <r>
    <x v="0"/>
    <x v="0"/>
    <n v="2239051059"/>
    <x v="4"/>
    <n v="5000"/>
    <x v="0"/>
    <x v="0"/>
    <x v="2"/>
    <x v="4"/>
    <x v="0"/>
    <x v="0"/>
    <x v="4"/>
    <x v="0"/>
  </r>
  <r>
    <x v="0"/>
    <x v="0"/>
    <n v="2239051060"/>
    <x v="3"/>
    <n v="18000"/>
    <x v="0"/>
    <x v="0"/>
    <x v="2"/>
    <x v="3"/>
    <x v="0"/>
    <x v="0"/>
    <x v="3"/>
    <x v="0"/>
  </r>
  <r>
    <x v="0"/>
    <x v="0"/>
    <n v="2239051061"/>
    <x v="2"/>
    <n v="39490"/>
    <x v="0"/>
    <x v="0"/>
    <x v="2"/>
    <x v="2"/>
    <x v="0"/>
    <x v="0"/>
    <x v="2"/>
    <x v="0"/>
  </r>
  <r>
    <x v="0"/>
    <x v="0"/>
    <n v="2239051062"/>
    <x v="2"/>
    <n v="2700"/>
    <x v="0"/>
    <x v="0"/>
    <x v="2"/>
    <x v="2"/>
    <x v="0"/>
    <x v="0"/>
    <x v="2"/>
    <x v="0"/>
  </r>
  <r>
    <x v="0"/>
    <x v="0"/>
    <n v="2239051064"/>
    <x v="5"/>
    <n v="-40"/>
    <x v="0"/>
    <x v="0"/>
    <x v="2"/>
    <x v="5"/>
    <x v="0"/>
    <x v="0"/>
    <x v="5"/>
    <x v="0"/>
  </r>
  <r>
    <x v="0"/>
    <x v="0"/>
    <n v="2239051064"/>
    <x v="6"/>
    <n v="2700"/>
    <x v="0"/>
    <x v="0"/>
    <x v="2"/>
    <x v="6"/>
    <x v="0"/>
    <x v="0"/>
    <x v="5"/>
    <x v="0"/>
  </r>
  <r>
    <x v="0"/>
    <x v="0"/>
    <n v="2239051065"/>
    <x v="2"/>
    <n v="14000"/>
    <x v="0"/>
    <x v="0"/>
    <x v="2"/>
    <x v="2"/>
    <x v="0"/>
    <x v="0"/>
    <x v="2"/>
    <x v="0"/>
  </r>
  <r>
    <x v="0"/>
    <x v="0"/>
    <n v="2239051066"/>
    <x v="2"/>
    <n v="9900"/>
    <x v="0"/>
    <x v="0"/>
    <x v="2"/>
    <x v="2"/>
    <x v="0"/>
    <x v="0"/>
    <x v="2"/>
    <x v="0"/>
  </r>
  <r>
    <x v="0"/>
    <x v="0"/>
    <n v="2239051067"/>
    <x v="5"/>
    <n v="-6000"/>
    <x v="0"/>
    <x v="0"/>
    <x v="2"/>
    <x v="5"/>
    <x v="0"/>
    <x v="0"/>
    <x v="5"/>
    <x v="0"/>
  </r>
  <r>
    <x v="0"/>
    <x v="0"/>
    <n v="2239051067"/>
    <x v="4"/>
    <n v="10600"/>
    <x v="0"/>
    <x v="0"/>
    <x v="2"/>
    <x v="4"/>
    <x v="0"/>
    <x v="0"/>
    <x v="4"/>
    <x v="0"/>
  </r>
  <r>
    <x v="0"/>
    <x v="0"/>
    <n v="2239051068"/>
    <x v="5"/>
    <n v="-6200"/>
    <x v="0"/>
    <x v="0"/>
    <x v="2"/>
    <x v="5"/>
    <x v="0"/>
    <x v="0"/>
    <x v="5"/>
    <x v="0"/>
  </r>
  <r>
    <x v="0"/>
    <x v="0"/>
    <n v="2239051068"/>
    <x v="6"/>
    <n v="10000"/>
    <x v="0"/>
    <x v="0"/>
    <x v="2"/>
    <x v="6"/>
    <x v="0"/>
    <x v="0"/>
    <x v="5"/>
    <x v="0"/>
  </r>
  <r>
    <x v="0"/>
    <x v="0"/>
    <n v="2239051069"/>
    <x v="2"/>
    <n v="8300"/>
    <x v="0"/>
    <x v="0"/>
    <x v="2"/>
    <x v="2"/>
    <x v="0"/>
    <x v="0"/>
    <x v="2"/>
    <x v="0"/>
  </r>
  <r>
    <x v="0"/>
    <x v="0"/>
    <n v="2239051070"/>
    <x v="3"/>
    <n v="5280"/>
    <x v="0"/>
    <x v="0"/>
    <x v="2"/>
    <x v="3"/>
    <x v="0"/>
    <x v="0"/>
    <x v="3"/>
    <x v="0"/>
  </r>
  <r>
    <x v="0"/>
    <x v="0"/>
    <n v="2239051071"/>
    <x v="7"/>
    <n v="7600"/>
    <x v="0"/>
    <x v="0"/>
    <x v="2"/>
    <x v="7"/>
    <x v="0"/>
    <x v="0"/>
    <x v="1"/>
    <x v="0"/>
  </r>
  <r>
    <x v="0"/>
    <x v="0"/>
    <n v="2239051073"/>
    <x v="3"/>
    <n v="30272"/>
    <x v="0"/>
    <x v="0"/>
    <x v="2"/>
    <x v="3"/>
    <x v="0"/>
    <x v="0"/>
    <x v="3"/>
    <x v="0"/>
  </r>
  <r>
    <x v="0"/>
    <x v="0"/>
    <n v="2239051074"/>
    <x v="2"/>
    <n v="18000"/>
    <x v="0"/>
    <x v="0"/>
    <x v="2"/>
    <x v="2"/>
    <x v="0"/>
    <x v="0"/>
    <x v="2"/>
    <x v="0"/>
  </r>
  <r>
    <x v="0"/>
    <x v="0"/>
    <n v="2239051075"/>
    <x v="2"/>
    <n v="7500"/>
    <x v="0"/>
    <x v="0"/>
    <x v="2"/>
    <x v="2"/>
    <x v="0"/>
    <x v="0"/>
    <x v="2"/>
    <x v="0"/>
  </r>
  <r>
    <x v="0"/>
    <x v="0"/>
    <n v="2239051076"/>
    <x v="2"/>
    <n v="26000"/>
    <x v="0"/>
    <x v="0"/>
    <x v="2"/>
    <x v="2"/>
    <x v="0"/>
    <x v="0"/>
    <x v="2"/>
    <x v="0"/>
  </r>
  <r>
    <x v="0"/>
    <x v="0"/>
    <n v="2239051077"/>
    <x v="5"/>
    <n v="-5600"/>
    <x v="0"/>
    <x v="0"/>
    <x v="2"/>
    <x v="5"/>
    <x v="0"/>
    <x v="0"/>
    <x v="5"/>
    <x v="0"/>
  </r>
  <r>
    <x v="0"/>
    <x v="0"/>
    <n v="2239051077"/>
    <x v="6"/>
    <n v="20000"/>
    <x v="0"/>
    <x v="0"/>
    <x v="2"/>
    <x v="6"/>
    <x v="0"/>
    <x v="0"/>
    <x v="5"/>
    <x v="0"/>
  </r>
  <r>
    <x v="0"/>
    <x v="0"/>
    <n v="2239051078"/>
    <x v="2"/>
    <n v="14500"/>
    <x v="0"/>
    <x v="0"/>
    <x v="2"/>
    <x v="2"/>
    <x v="0"/>
    <x v="0"/>
    <x v="2"/>
    <x v="0"/>
  </r>
  <r>
    <x v="0"/>
    <x v="0"/>
    <n v="2239051080"/>
    <x v="5"/>
    <n v="-1500"/>
    <x v="0"/>
    <x v="0"/>
    <x v="2"/>
    <x v="5"/>
    <x v="0"/>
    <x v="0"/>
    <x v="5"/>
    <x v="0"/>
  </r>
  <r>
    <x v="0"/>
    <x v="0"/>
    <n v="2239051080"/>
    <x v="6"/>
    <n v="10000"/>
    <x v="0"/>
    <x v="0"/>
    <x v="2"/>
    <x v="6"/>
    <x v="0"/>
    <x v="0"/>
    <x v="5"/>
    <x v="0"/>
  </r>
  <r>
    <x v="0"/>
    <x v="0"/>
    <n v="2239051081"/>
    <x v="2"/>
    <n v="7000"/>
    <x v="0"/>
    <x v="0"/>
    <x v="2"/>
    <x v="2"/>
    <x v="0"/>
    <x v="0"/>
    <x v="2"/>
    <x v="0"/>
  </r>
  <r>
    <x v="0"/>
    <x v="0"/>
    <n v="2239051082"/>
    <x v="7"/>
    <n v="7500"/>
    <x v="0"/>
    <x v="0"/>
    <x v="2"/>
    <x v="7"/>
    <x v="0"/>
    <x v="0"/>
    <x v="1"/>
    <x v="0"/>
  </r>
  <r>
    <x v="0"/>
    <x v="0"/>
    <n v="2239051084"/>
    <x v="2"/>
    <n v="5200"/>
    <x v="0"/>
    <x v="0"/>
    <x v="2"/>
    <x v="2"/>
    <x v="0"/>
    <x v="0"/>
    <x v="2"/>
    <x v="0"/>
  </r>
  <r>
    <x v="0"/>
    <x v="0"/>
    <n v="2239051084"/>
    <x v="7"/>
    <n v="1300"/>
    <x v="0"/>
    <x v="0"/>
    <x v="2"/>
    <x v="7"/>
    <x v="0"/>
    <x v="0"/>
    <x v="1"/>
    <x v="0"/>
  </r>
  <r>
    <x v="0"/>
    <x v="0"/>
    <n v="2239051085"/>
    <x v="2"/>
    <n v="4180"/>
    <x v="0"/>
    <x v="0"/>
    <x v="2"/>
    <x v="2"/>
    <x v="0"/>
    <x v="0"/>
    <x v="2"/>
    <x v="0"/>
  </r>
  <r>
    <x v="0"/>
    <x v="0"/>
    <n v="2239051086"/>
    <x v="5"/>
    <n v="-500"/>
    <x v="0"/>
    <x v="0"/>
    <x v="2"/>
    <x v="5"/>
    <x v="0"/>
    <x v="0"/>
    <x v="5"/>
    <x v="0"/>
  </r>
  <r>
    <x v="0"/>
    <x v="0"/>
    <n v="2239051086"/>
    <x v="6"/>
    <n v="10000"/>
    <x v="0"/>
    <x v="0"/>
    <x v="2"/>
    <x v="6"/>
    <x v="0"/>
    <x v="0"/>
    <x v="5"/>
    <x v="0"/>
  </r>
  <r>
    <x v="0"/>
    <x v="0"/>
    <n v="2239051087"/>
    <x v="5"/>
    <n v="-5200"/>
    <x v="0"/>
    <x v="0"/>
    <x v="2"/>
    <x v="5"/>
    <x v="0"/>
    <x v="0"/>
    <x v="5"/>
    <x v="0"/>
  </r>
  <r>
    <x v="0"/>
    <x v="0"/>
    <n v="2239051087"/>
    <x v="4"/>
    <n v="10500"/>
    <x v="0"/>
    <x v="0"/>
    <x v="2"/>
    <x v="4"/>
    <x v="0"/>
    <x v="0"/>
    <x v="4"/>
    <x v="0"/>
  </r>
  <r>
    <x v="0"/>
    <x v="0"/>
    <n v="2239051089"/>
    <x v="2"/>
    <n v="6500"/>
    <x v="0"/>
    <x v="0"/>
    <x v="2"/>
    <x v="2"/>
    <x v="0"/>
    <x v="0"/>
    <x v="2"/>
    <x v="0"/>
  </r>
  <r>
    <x v="0"/>
    <x v="0"/>
    <n v="2239051090"/>
    <x v="2"/>
    <n v="31240"/>
    <x v="0"/>
    <x v="0"/>
    <x v="2"/>
    <x v="2"/>
    <x v="0"/>
    <x v="0"/>
    <x v="2"/>
    <x v="0"/>
  </r>
  <r>
    <x v="0"/>
    <x v="0"/>
    <n v="2239051091"/>
    <x v="2"/>
    <n v="14630"/>
    <x v="0"/>
    <x v="0"/>
    <x v="2"/>
    <x v="2"/>
    <x v="0"/>
    <x v="0"/>
    <x v="2"/>
    <x v="0"/>
  </r>
  <r>
    <x v="0"/>
    <x v="0"/>
    <n v="2239051092"/>
    <x v="2"/>
    <n v="136300"/>
    <x v="0"/>
    <x v="0"/>
    <x v="2"/>
    <x v="2"/>
    <x v="0"/>
    <x v="0"/>
    <x v="2"/>
    <x v="0"/>
  </r>
  <r>
    <x v="0"/>
    <x v="0"/>
    <n v="2239051092"/>
    <x v="7"/>
    <n v="3750"/>
    <x v="0"/>
    <x v="0"/>
    <x v="2"/>
    <x v="7"/>
    <x v="0"/>
    <x v="0"/>
    <x v="1"/>
    <x v="0"/>
  </r>
  <r>
    <x v="0"/>
    <x v="0"/>
    <n v="2239051093"/>
    <x v="5"/>
    <n v="-15700"/>
    <x v="0"/>
    <x v="0"/>
    <x v="2"/>
    <x v="5"/>
    <x v="0"/>
    <x v="0"/>
    <x v="5"/>
    <x v="0"/>
  </r>
  <r>
    <x v="0"/>
    <x v="0"/>
    <n v="2239051093"/>
    <x v="6"/>
    <n v="140000"/>
    <x v="0"/>
    <x v="0"/>
    <x v="2"/>
    <x v="6"/>
    <x v="0"/>
    <x v="0"/>
    <x v="5"/>
    <x v="0"/>
  </r>
  <r>
    <x v="0"/>
    <x v="0"/>
    <n v="2239051096"/>
    <x v="3"/>
    <n v="138320"/>
    <x v="0"/>
    <x v="0"/>
    <x v="2"/>
    <x v="3"/>
    <x v="0"/>
    <x v="0"/>
    <x v="3"/>
    <x v="0"/>
  </r>
  <r>
    <x v="0"/>
    <x v="0"/>
    <n v="2239051097"/>
    <x v="2"/>
    <n v="11550"/>
    <x v="0"/>
    <x v="0"/>
    <x v="2"/>
    <x v="2"/>
    <x v="0"/>
    <x v="0"/>
    <x v="2"/>
    <x v="0"/>
  </r>
  <r>
    <x v="0"/>
    <x v="0"/>
    <n v="2239051099"/>
    <x v="2"/>
    <n v="6600"/>
    <x v="0"/>
    <x v="0"/>
    <x v="2"/>
    <x v="2"/>
    <x v="0"/>
    <x v="0"/>
    <x v="2"/>
    <x v="0"/>
  </r>
  <r>
    <x v="0"/>
    <x v="0"/>
    <n v="2239051100"/>
    <x v="2"/>
    <n v="11000"/>
    <x v="0"/>
    <x v="0"/>
    <x v="2"/>
    <x v="2"/>
    <x v="0"/>
    <x v="0"/>
    <x v="2"/>
    <x v="0"/>
  </r>
  <r>
    <x v="0"/>
    <x v="0"/>
    <n v="2239051101"/>
    <x v="6"/>
    <n v="6000"/>
    <x v="0"/>
    <x v="0"/>
    <x v="2"/>
    <x v="6"/>
    <x v="0"/>
    <x v="0"/>
    <x v="5"/>
    <x v="0"/>
  </r>
  <r>
    <x v="0"/>
    <x v="0"/>
    <n v="2239051102"/>
    <x v="2"/>
    <n v="18150"/>
    <x v="0"/>
    <x v="0"/>
    <x v="2"/>
    <x v="2"/>
    <x v="0"/>
    <x v="0"/>
    <x v="2"/>
    <x v="0"/>
  </r>
  <r>
    <x v="0"/>
    <x v="0"/>
    <n v="2239051103"/>
    <x v="2"/>
    <n v="4180"/>
    <x v="0"/>
    <x v="0"/>
    <x v="2"/>
    <x v="2"/>
    <x v="0"/>
    <x v="0"/>
    <x v="2"/>
    <x v="0"/>
  </r>
  <r>
    <x v="0"/>
    <x v="0"/>
    <n v="2239051104"/>
    <x v="5"/>
    <n v="-4300"/>
    <x v="0"/>
    <x v="0"/>
    <x v="2"/>
    <x v="5"/>
    <x v="0"/>
    <x v="0"/>
    <x v="5"/>
    <x v="0"/>
  </r>
  <r>
    <x v="0"/>
    <x v="0"/>
    <n v="2239051104"/>
    <x v="4"/>
    <n v="10000"/>
    <x v="0"/>
    <x v="0"/>
    <x v="2"/>
    <x v="4"/>
    <x v="0"/>
    <x v="0"/>
    <x v="4"/>
    <x v="0"/>
  </r>
  <r>
    <x v="0"/>
    <x v="0"/>
    <n v="2239051106"/>
    <x v="2"/>
    <n v="10500"/>
    <x v="0"/>
    <x v="0"/>
    <x v="2"/>
    <x v="2"/>
    <x v="0"/>
    <x v="0"/>
    <x v="2"/>
    <x v="0"/>
  </r>
  <r>
    <x v="0"/>
    <x v="0"/>
    <n v="2239051107"/>
    <x v="3"/>
    <n v="14190"/>
    <x v="0"/>
    <x v="0"/>
    <x v="2"/>
    <x v="3"/>
    <x v="0"/>
    <x v="0"/>
    <x v="3"/>
    <x v="0"/>
  </r>
  <r>
    <x v="0"/>
    <x v="0"/>
    <n v="2239051110"/>
    <x v="2"/>
    <n v="7150"/>
    <x v="0"/>
    <x v="0"/>
    <x v="2"/>
    <x v="2"/>
    <x v="0"/>
    <x v="0"/>
    <x v="2"/>
    <x v="0"/>
  </r>
  <r>
    <x v="0"/>
    <x v="0"/>
    <n v="2239051111"/>
    <x v="7"/>
    <n v="1500"/>
    <x v="0"/>
    <x v="0"/>
    <x v="2"/>
    <x v="7"/>
    <x v="0"/>
    <x v="0"/>
    <x v="1"/>
    <x v="0"/>
  </r>
  <r>
    <x v="0"/>
    <x v="0"/>
    <n v="2239051112"/>
    <x v="2"/>
    <n v="7000"/>
    <x v="0"/>
    <x v="0"/>
    <x v="2"/>
    <x v="2"/>
    <x v="0"/>
    <x v="0"/>
    <x v="2"/>
    <x v="0"/>
  </r>
  <r>
    <x v="0"/>
    <x v="0"/>
    <n v="2239051113"/>
    <x v="7"/>
    <n v="1500"/>
    <x v="0"/>
    <x v="0"/>
    <x v="2"/>
    <x v="7"/>
    <x v="0"/>
    <x v="0"/>
    <x v="1"/>
    <x v="0"/>
  </r>
  <r>
    <x v="0"/>
    <x v="0"/>
    <n v="2239051114"/>
    <x v="7"/>
    <n v="3000"/>
    <x v="0"/>
    <x v="0"/>
    <x v="2"/>
    <x v="7"/>
    <x v="0"/>
    <x v="0"/>
    <x v="1"/>
    <x v="0"/>
  </r>
  <r>
    <x v="0"/>
    <x v="0"/>
    <n v="2239051115"/>
    <x v="2"/>
    <n v="7150"/>
    <x v="0"/>
    <x v="0"/>
    <x v="2"/>
    <x v="2"/>
    <x v="0"/>
    <x v="0"/>
    <x v="2"/>
    <x v="0"/>
  </r>
  <r>
    <x v="0"/>
    <x v="0"/>
    <n v="2239051116"/>
    <x v="2"/>
    <n v="8250"/>
    <x v="0"/>
    <x v="0"/>
    <x v="2"/>
    <x v="2"/>
    <x v="0"/>
    <x v="0"/>
    <x v="2"/>
    <x v="0"/>
  </r>
  <r>
    <x v="0"/>
    <x v="0"/>
    <n v="2239051118"/>
    <x v="7"/>
    <n v="1500"/>
    <x v="0"/>
    <x v="0"/>
    <x v="2"/>
    <x v="7"/>
    <x v="0"/>
    <x v="0"/>
    <x v="1"/>
    <x v="0"/>
  </r>
  <r>
    <x v="0"/>
    <x v="0"/>
    <n v="2239051119"/>
    <x v="2"/>
    <n v="10890"/>
    <x v="0"/>
    <x v="0"/>
    <x v="2"/>
    <x v="2"/>
    <x v="0"/>
    <x v="0"/>
    <x v="2"/>
    <x v="0"/>
  </r>
  <r>
    <x v="0"/>
    <x v="0"/>
    <n v="2239051120"/>
    <x v="7"/>
    <n v="1500"/>
    <x v="0"/>
    <x v="0"/>
    <x v="2"/>
    <x v="7"/>
    <x v="0"/>
    <x v="0"/>
    <x v="1"/>
    <x v="0"/>
  </r>
  <r>
    <x v="0"/>
    <x v="0"/>
    <n v="2239051121"/>
    <x v="2"/>
    <n v="10500"/>
    <x v="0"/>
    <x v="0"/>
    <x v="2"/>
    <x v="2"/>
    <x v="0"/>
    <x v="0"/>
    <x v="2"/>
    <x v="0"/>
  </r>
  <r>
    <x v="0"/>
    <x v="0"/>
    <n v="2239051122"/>
    <x v="7"/>
    <n v="1500"/>
    <x v="0"/>
    <x v="0"/>
    <x v="2"/>
    <x v="7"/>
    <x v="0"/>
    <x v="0"/>
    <x v="1"/>
    <x v="0"/>
  </r>
  <r>
    <x v="0"/>
    <x v="0"/>
    <n v="2239051123"/>
    <x v="5"/>
    <n v="-4400"/>
    <x v="0"/>
    <x v="0"/>
    <x v="2"/>
    <x v="5"/>
    <x v="0"/>
    <x v="0"/>
    <x v="5"/>
    <x v="0"/>
  </r>
  <r>
    <x v="0"/>
    <x v="0"/>
    <n v="2239051123"/>
    <x v="4"/>
    <n v="10000"/>
    <x v="0"/>
    <x v="0"/>
    <x v="2"/>
    <x v="4"/>
    <x v="0"/>
    <x v="0"/>
    <x v="4"/>
    <x v="0"/>
  </r>
  <r>
    <x v="0"/>
    <x v="0"/>
    <n v="2239051124"/>
    <x v="2"/>
    <n v="7000"/>
    <x v="0"/>
    <x v="0"/>
    <x v="2"/>
    <x v="2"/>
    <x v="0"/>
    <x v="0"/>
    <x v="2"/>
    <x v="0"/>
  </r>
  <r>
    <x v="0"/>
    <x v="0"/>
    <n v="2239051125"/>
    <x v="2"/>
    <n v="39150"/>
    <x v="0"/>
    <x v="0"/>
    <x v="2"/>
    <x v="2"/>
    <x v="0"/>
    <x v="0"/>
    <x v="2"/>
    <x v="0"/>
  </r>
  <r>
    <x v="0"/>
    <x v="0"/>
    <n v="2239051126"/>
    <x v="2"/>
    <n v="19000"/>
    <x v="0"/>
    <x v="0"/>
    <x v="2"/>
    <x v="2"/>
    <x v="0"/>
    <x v="0"/>
    <x v="2"/>
    <x v="0"/>
  </r>
  <r>
    <x v="0"/>
    <x v="0"/>
    <n v="2239051127"/>
    <x v="7"/>
    <n v="1500"/>
    <x v="0"/>
    <x v="0"/>
    <x v="2"/>
    <x v="7"/>
    <x v="0"/>
    <x v="0"/>
    <x v="1"/>
    <x v="0"/>
  </r>
  <r>
    <x v="0"/>
    <x v="0"/>
    <n v="2239051128"/>
    <x v="7"/>
    <n v="1500"/>
    <x v="0"/>
    <x v="0"/>
    <x v="2"/>
    <x v="7"/>
    <x v="0"/>
    <x v="0"/>
    <x v="1"/>
    <x v="0"/>
  </r>
  <r>
    <x v="0"/>
    <x v="0"/>
    <n v="2239051129"/>
    <x v="5"/>
    <n v="-500"/>
    <x v="0"/>
    <x v="0"/>
    <x v="2"/>
    <x v="5"/>
    <x v="0"/>
    <x v="0"/>
    <x v="5"/>
    <x v="0"/>
  </r>
  <r>
    <x v="0"/>
    <x v="0"/>
    <n v="2239051129"/>
    <x v="4"/>
    <n v="5100"/>
    <x v="0"/>
    <x v="0"/>
    <x v="2"/>
    <x v="4"/>
    <x v="0"/>
    <x v="0"/>
    <x v="4"/>
    <x v="0"/>
  </r>
  <r>
    <x v="0"/>
    <x v="0"/>
    <n v="2239051130"/>
    <x v="7"/>
    <n v="1500"/>
    <x v="0"/>
    <x v="0"/>
    <x v="2"/>
    <x v="7"/>
    <x v="0"/>
    <x v="0"/>
    <x v="1"/>
    <x v="0"/>
  </r>
  <r>
    <x v="0"/>
    <x v="0"/>
    <n v="2239051131"/>
    <x v="5"/>
    <n v="-2000"/>
    <x v="0"/>
    <x v="0"/>
    <x v="2"/>
    <x v="5"/>
    <x v="0"/>
    <x v="0"/>
    <x v="5"/>
    <x v="0"/>
  </r>
  <r>
    <x v="0"/>
    <x v="0"/>
    <n v="2239051131"/>
    <x v="6"/>
    <n v="5000"/>
    <x v="0"/>
    <x v="0"/>
    <x v="2"/>
    <x v="6"/>
    <x v="0"/>
    <x v="0"/>
    <x v="5"/>
    <x v="0"/>
  </r>
  <r>
    <x v="0"/>
    <x v="0"/>
    <n v="2239051132"/>
    <x v="2"/>
    <n v="15762"/>
    <x v="0"/>
    <x v="0"/>
    <x v="2"/>
    <x v="2"/>
    <x v="0"/>
    <x v="0"/>
    <x v="2"/>
    <x v="0"/>
  </r>
  <r>
    <x v="0"/>
    <x v="0"/>
    <n v="2239051133"/>
    <x v="7"/>
    <n v="6500"/>
    <x v="0"/>
    <x v="0"/>
    <x v="2"/>
    <x v="7"/>
    <x v="0"/>
    <x v="0"/>
    <x v="1"/>
    <x v="0"/>
  </r>
  <r>
    <x v="0"/>
    <x v="0"/>
    <n v="2239051134"/>
    <x v="7"/>
    <n v="6500"/>
    <x v="0"/>
    <x v="0"/>
    <x v="2"/>
    <x v="7"/>
    <x v="0"/>
    <x v="0"/>
    <x v="1"/>
    <x v="0"/>
  </r>
  <r>
    <x v="0"/>
    <x v="0"/>
    <n v="2239051135"/>
    <x v="7"/>
    <n v="1500"/>
    <x v="0"/>
    <x v="0"/>
    <x v="2"/>
    <x v="7"/>
    <x v="0"/>
    <x v="0"/>
    <x v="1"/>
    <x v="0"/>
  </r>
  <r>
    <x v="0"/>
    <x v="0"/>
    <n v="2239051136"/>
    <x v="7"/>
    <n v="1500"/>
    <x v="0"/>
    <x v="0"/>
    <x v="2"/>
    <x v="7"/>
    <x v="0"/>
    <x v="0"/>
    <x v="1"/>
    <x v="0"/>
  </r>
  <r>
    <x v="0"/>
    <x v="0"/>
    <n v="2239051137"/>
    <x v="7"/>
    <n v="1500"/>
    <x v="0"/>
    <x v="0"/>
    <x v="2"/>
    <x v="7"/>
    <x v="0"/>
    <x v="0"/>
    <x v="1"/>
    <x v="0"/>
  </r>
  <r>
    <x v="0"/>
    <x v="0"/>
    <n v="2239051138"/>
    <x v="7"/>
    <n v="1500"/>
    <x v="0"/>
    <x v="0"/>
    <x v="2"/>
    <x v="7"/>
    <x v="0"/>
    <x v="0"/>
    <x v="1"/>
    <x v="0"/>
  </r>
  <r>
    <x v="0"/>
    <x v="0"/>
    <n v="2239051139"/>
    <x v="2"/>
    <n v="20000"/>
    <x v="0"/>
    <x v="0"/>
    <x v="2"/>
    <x v="2"/>
    <x v="0"/>
    <x v="0"/>
    <x v="2"/>
    <x v="0"/>
  </r>
  <r>
    <x v="0"/>
    <x v="0"/>
    <n v="2239051140"/>
    <x v="2"/>
    <n v="11550"/>
    <x v="0"/>
    <x v="0"/>
    <x v="2"/>
    <x v="2"/>
    <x v="0"/>
    <x v="0"/>
    <x v="2"/>
    <x v="0"/>
  </r>
  <r>
    <x v="0"/>
    <x v="0"/>
    <n v="2239051141"/>
    <x v="7"/>
    <n v="1500"/>
    <x v="0"/>
    <x v="0"/>
    <x v="2"/>
    <x v="7"/>
    <x v="0"/>
    <x v="0"/>
    <x v="1"/>
    <x v="0"/>
  </r>
  <r>
    <x v="0"/>
    <x v="0"/>
    <n v="2239051142"/>
    <x v="7"/>
    <n v="1500"/>
    <x v="0"/>
    <x v="0"/>
    <x v="2"/>
    <x v="7"/>
    <x v="0"/>
    <x v="0"/>
    <x v="1"/>
    <x v="0"/>
  </r>
  <r>
    <x v="0"/>
    <x v="0"/>
    <n v="2239051144"/>
    <x v="7"/>
    <n v="7500"/>
    <x v="0"/>
    <x v="0"/>
    <x v="2"/>
    <x v="7"/>
    <x v="0"/>
    <x v="0"/>
    <x v="1"/>
    <x v="0"/>
  </r>
  <r>
    <x v="0"/>
    <x v="0"/>
    <n v="2239051145"/>
    <x v="2"/>
    <n v="7000"/>
    <x v="0"/>
    <x v="0"/>
    <x v="2"/>
    <x v="2"/>
    <x v="0"/>
    <x v="0"/>
    <x v="2"/>
    <x v="0"/>
  </r>
  <r>
    <x v="0"/>
    <x v="0"/>
    <n v="2239051146"/>
    <x v="7"/>
    <n v="3000"/>
    <x v="0"/>
    <x v="0"/>
    <x v="2"/>
    <x v="7"/>
    <x v="0"/>
    <x v="0"/>
    <x v="1"/>
    <x v="0"/>
  </r>
  <r>
    <x v="0"/>
    <x v="0"/>
    <n v="2239051148"/>
    <x v="7"/>
    <n v="3000"/>
    <x v="0"/>
    <x v="0"/>
    <x v="2"/>
    <x v="7"/>
    <x v="0"/>
    <x v="0"/>
    <x v="1"/>
    <x v="0"/>
  </r>
  <r>
    <x v="0"/>
    <x v="0"/>
    <n v="2239051149"/>
    <x v="7"/>
    <n v="3000"/>
    <x v="0"/>
    <x v="0"/>
    <x v="2"/>
    <x v="7"/>
    <x v="0"/>
    <x v="0"/>
    <x v="1"/>
    <x v="0"/>
  </r>
  <r>
    <x v="0"/>
    <x v="0"/>
    <n v="2239051151"/>
    <x v="7"/>
    <n v="1500"/>
    <x v="0"/>
    <x v="0"/>
    <x v="2"/>
    <x v="7"/>
    <x v="0"/>
    <x v="0"/>
    <x v="1"/>
    <x v="0"/>
  </r>
  <r>
    <x v="0"/>
    <x v="0"/>
    <n v="2239051152"/>
    <x v="7"/>
    <n v="7500"/>
    <x v="0"/>
    <x v="0"/>
    <x v="2"/>
    <x v="7"/>
    <x v="0"/>
    <x v="0"/>
    <x v="1"/>
    <x v="0"/>
  </r>
  <r>
    <x v="0"/>
    <x v="0"/>
    <n v="2239051153"/>
    <x v="7"/>
    <n v="4500"/>
    <x v="0"/>
    <x v="0"/>
    <x v="2"/>
    <x v="7"/>
    <x v="0"/>
    <x v="0"/>
    <x v="1"/>
    <x v="0"/>
  </r>
  <r>
    <x v="0"/>
    <x v="0"/>
    <n v="2239051154"/>
    <x v="5"/>
    <n v="-400"/>
    <x v="0"/>
    <x v="0"/>
    <x v="2"/>
    <x v="5"/>
    <x v="0"/>
    <x v="0"/>
    <x v="5"/>
    <x v="0"/>
  </r>
  <r>
    <x v="0"/>
    <x v="0"/>
    <n v="2239051154"/>
    <x v="4"/>
    <n v="6000"/>
    <x v="0"/>
    <x v="0"/>
    <x v="2"/>
    <x v="4"/>
    <x v="0"/>
    <x v="0"/>
    <x v="4"/>
    <x v="0"/>
  </r>
  <r>
    <x v="0"/>
    <x v="0"/>
    <n v="2239051155"/>
    <x v="2"/>
    <n v="14300"/>
    <x v="0"/>
    <x v="0"/>
    <x v="2"/>
    <x v="2"/>
    <x v="0"/>
    <x v="0"/>
    <x v="2"/>
    <x v="0"/>
  </r>
  <r>
    <x v="0"/>
    <x v="0"/>
    <n v="2239051156"/>
    <x v="5"/>
    <n v="-6200"/>
    <x v="0"/>
    <x v="0"/>
    <x v="2"/>
    <x v="5"/>
    <x v="0"/>
    <x v="0"/>
    <x v="5"/>
    <x v="0"/>
  </r>
  <r>
    <x v="0"/>
    <x v="0"/>
    <n v="2239051156"/>
    <x v="6"/>
    <n v="10000"/>
    <x v="0"/>
    <x v="0"/>
    <x v="2"/>
    <x v="6"/>
    <x v="0"/>
    <x v="0"/>
    <x v="5"/>
    <x v="0"/>
  </r>
  <r>
    <x v="0"/>
    <x v="0"/>
    <n v="2239056906"/>
    <x v="7"/>
    <n v="1500"/>
    <x v="0"/>
    <x v="0"/>
    <x v="25"/>
    <x v="7"/>
    <x v="0"/>
    <x v="0"/>
    <x v="1"/>
    <x v="0"/>
  </r>
  <r>
    <x v="0"/>
    <x v="0"/>
    <n v="2239056907"/>
    <x v="7"/>
    <n v="4500"/>
    <x v="0"/>
    <x v="0"/>
    <x v="25"/>
    <x v="7"/>
    <x v="0"/>
    <x v="0"/>
    <x v="1"/>
    <x v="0"/>
  </r>
  <r>
    <x v="0"/>
    <x v="0"/>
    <n v="2239056908"/>
    <x v="2"/>
    <n v="22000"/>
    <x v="0"/>
    <x v="0"/>
    <x v="25"/>
    <x v="2"/>
    <x v="0"/>
    <x v="0"/>
    <x v="2"/>
    <x v="0"/>
  </r>
  <r>
    <x v="0"/>
    <x v="0"/>
    <n v="2239056909"/>
    <x v="7"/>
    <n v="1500"/>
    <x v="0"/>
    <x v="0"/>
    <x v="25"/>
    <x v="7"/>
    <x v="0"/>
    <x v="0"/>
    <x v="1"/>
    <x v="0"/>
  </r>
  <r>
    <x v="0"/>
    <x v="0"/>
    <n v="2239056911"/>
    <x v="5"/>
    <n v="-900"/>
    <x v="0"/>
    <x v="0"/>
    <x v="25"/>
    <x v="5"/>
    <x v="0"/>
    <x v="0"/>
    <x v="5"/>
    <x v="0"/>
  </r>
  <r>
    <x v="0"/>
    <x v="0"/>
    <n v="2239056911"/>
    <x v="6"/>
    <n v="10000"/>
    <x v="0"/>
    <x v="0"/>
    <x v="25"/>
    <x v="6"/>
    <x v="0"/>
    <x v="0"/>
    <x v="5"/>
    <x v="0"/>
  </r>
  <r>
    <x v="0"/>
    <x v="0"/>
    <n v="2239056911"/>
    <x v="7"/>
    <n v="3900"/>
    <x v="0"/>
    <x v="0"/>
    <x v="25"/>
    <x v="7"/>
    <x v="0"/>
    <x v="0"/>
    <x v="1"/>
    <x v="0"/>
  </r>
  <r>
    <x v="0"/>
    <x v="0"/>
    <n v="2239056912"/>
    <x v="2"/>
    <n v="55880"/>
    <x v="0"/>
    <x v="0"/>
    <x v="25"/>
    <x v="2"/>
    <x v="0"/>
    <x v="0"/>
    <x v="2"/>
    <x v="0"/>
  </r>
  <r>
    <x v="0"/>
    <x v="0"/>
    <n v="2239056913"/>
    <x v="2"/>
    <n v="57640"/>
    <x v="0"/>
    <x v="0"/>
    <x v="25"/>
    <x v="2"/>
    <x v="0"/>
    <x v="0"/>
    <x v="2"/>
    <x v="0"/>
  </r>
  <r>
    <x v="0"/>
    <x v="0"/>
    <n v="2239056915"/>
    <x v="2"/>
    <n v="8800"/>
    <x v="0"/>
    <x v="0"/>
    <x v="25"/>
    <x v="2"/>
    <x v="0"/>
    <x v="0"/>
    <x v="2"/>
    <x v="0"/>
  </r>
  <r>
    <x v="0"/>
    <x v="0"/>
    <n v="2239056916"/>
    <x v="8"/>
    <n v="6000"/>
    <x v="0"/>
    <x v="0"/>
    <x v="25"/>
    <x v="8"/>
    <x v="0"/>
    <x v="0"/>
    <x v="3"/>
    <x v="0"/>
  </r>
  <r>
    <x v="0"/>
    <x v="0"/>
    <n v="2239056917"/>
    <x v="2"/>
    <n v="38940"/>
    <x v="0"/>
    <x v="0"/>
    <x v="25"/>
    <x v="2"/>
    <x v="0"/>
    <x v="0"/>
    <x v="2"/>
    <x v="0"/>
  </r>
  <r>
    <x v="0"/>
    <x v="0"/>
    <n v="2239056918"/>
    <x v="5"/>
    <n v="-3500"/>
    <x v="0"/>
    <x v="0"/>
    <x v="25"/>
    <x v="5"/>
    <x v="0"/>
    <x v="0"/>
    <x v="5"/>
    <x v="0"/>
  </r>
  <r>
    <x v="0"/>
    <x v="0"/>
    <n v="2239056918"/>
    <x v="6"/>
    <n v="10000"/>
    <x v="0"/>
    <x v="0"/>
    <x v="25"/>
    <x v="6"/>
    <x v="0"/>
    <x v="0"/>
    <x v="5"/>
    <x v="0"/>
  </r>
  <r>
    <x v="0"/>
    <x v="0"/>
    <n v="2239056919"/>
    <x v="2"/>
    <n v="12650"/>
    <x v="0"/>
    <x v="0"/>
    <x v="25"/>
    <x v="2"/>
    <x v="0"/>
    <x v="0"/>
    <x v="2"/>
    <x v="0"/>
  </r>
  <r>
    <x v="0"/>
    <x v="0"/>
    <n v="2239056920"/>
    <x v="3"/>
    <n v="6000"/>
    <x v="0"/>
    <x v="0"/>
    <x v="25"/>
    <x v="3"/>
    <x v="0"/>
    <x v="0"/>
    <x v="3"/>
    <x v="0"/>
  </r>
  <r>
    <x v="0"/>
    <x v="0"/>
    <n v="2239056921"/>
    <x v="2"/>
    <n v="58190"/>
    <x v="0"/>
    <x v="0"/>
    <x v="25"/>
    <x v="2"/>
    <x v="0"/>
    <x v="0"/>
    <x v="2"/>
    <x v="0"/>
  </r>
  <r>
    <x v="0"/>
    <x v="0"/>
    <n v="2239056922"/>
    <x v="8"/>
    <n v="12500"/>
    <x v="0"/>
    <x v="0"/>
    <x v="25"/>
    <x v="8"/>
    <x v="0"/>
    <x v="0"/>
    <x v="3"/>
    <x v="0"/>
  </r>
  <r>
    <x v="0"/>
    <x v="0"/>
    <n v="2239056923"/>
    <x v="2"/>
    <n v="38390"/>
    <x v="0"/>
    <x v="0"/>
    <x v="25"/>
    <x v="2"/>
    <x v="0"/>
    <x v="0"/>
    <x v="2"/>
    <x v="0"/>
  </r>
  <r>
    <x v="0"/>
    <x v="0"/>
    <n v="2239056924"/>
    <x v="5"/>
    <n v="-7240"/>
    <x v="0"/>
    <x v="0"/>
    <x v="25"/>
    <x v="5"/>
    <x v="0"/>
    <x v="0"/>
    <x v="5"/>
    <x v="0"/>
  </r>
  <r>
    <x v="0"/>
    <x v="0"/>
    <n v="2239056924"/>
    <x v="6"/>
    <n v="40000"/>
    <x v="0"/>
    <x v="0"/>
    <x v="25"/>
    <x v="6"/>
    <x v="0"/>
    <x v="0"/>
    <x v="5"/>
    <x v="0"/>
  </r>
  <r>
    <x v="0"/>
    <x v="0"/>
    <n v="2239056926"/>
    <x v="2"/>
    <n v="13000"/>
    <x v="0"/>
    <x v="0"/>
    <x v="25"/>
    <x v="2"/>
    <x v="0"/>
    <x v="0"/>
    <x v="2"/>
    <x v="0"/>
  </r>
  <r>
    <x v="0"/>
    <x v="0"/>
    <n v="2239056927"/>
    <x v="1"/>
    <n v="16680"/>
    <x v="0"/>
    <x v="0"/>
    <x v="25"/>
    <x v="1"/>
    <x v="0"/>
    <x v="0"/>
    <x v="1"/>
    <x v="0"/>
  </r>
  <r>
    <x v="0"/>
    <x v="0"/>
    <n v="2239056928"/>
    <x v="2"/>
    <n v="42790"/>
    <x v="0"/>
    <x v="0"/>
    <x v="25"/>
    <x v="2"/>
    <x v="0"/>
    <x v="0"/>
    <x v="2"/>
    <x v="0"/>
  </r>
  <r>
    <x v="0"/>
    <x v="0"/>
    <n v="2239056929"/>
    <x v="7"/>
    <n v="1500"/>
    <x v="0"/>
    <x v="0"/>
    <x v="25"/>
    <x v="7"/>
    <x v="0"/>
    <x v="0"/>
    <x v="1"/>
    <x v="0"/>
  </r>
  <r>
    <x v="0"/>
    <x v="0"/>
    <n v="2239056930"/>
    <x v="2"/>
    <n v="50490"/>
    <x v="0"/>
    <x v="0"/>
    <x v="25"/>
    <x v="2"/>
    <x v="0"/>
    <x v="0"/>
    <x v="2"/>
    <x v="0"/>
  </r>
  <r>
    <x v="0"/>
    <x v="0"/>
    <n v="2239056931"/>
    <x v="1"/>
    <n v="900"/>
    <x v="0"/>
    <x v="0"/>
    <x v="25"/>
    <x v="1"/>
    <x v="0"/>
    <x v="0"/>
    <x v="1"/>
    <x v="0"/>
  </r>
  <r>
    <x v="0"/>
    <x v="0"/>
    <n v="2239056932"/>
    <x v="5"/>
    <n v="-1000"/>
    <x v="0"/>
    <x v="0"/>
    <x v="25"/>
    <x v="5"/>
    <x v="0"/>
    <x v="0"/>
    <x v="5"/>
    <x v="0"/>
  </r>
  <r>
    <x v="0"/>
    <x v="0"/>
    <n v="2239056932"/>
    <x v="6"/>
    <n v="15000"/>
    <x v="0"/>
    <x v="0"/>
    <x v="25"/>
    <x v="6"/>
    <x v="0"/>
    <x v="0"/>
    <x v="5"/>
    <x v="0"/>
  </r>
  <r>
    <x v="0"/>
    <x v="0"/>
    <n v="2239056932"/>
    <x v="7"/>
    <n v="3500"/>
    <x v="0"/>
    <x v="0"/>
    <x v="25"/>
    <x v="7"/>
    <x v="0"/>
    <x v="0"/>
    <x v="1"/>
    <x v="0"/>
  </r>
  <r>
    <x v="0"/>
    <x v="0"/>
    <n v="2239056933"/>
    <x v="2"/>
    <n v="62480"/>
    <x v="0"/>
    <x v="0"/>
    <x v="25"/>
    <x v="2"/>
    <x v="0"/>
    <x v="0"/>
    <x v="2"/>
    <x v="0"/>
  </r>
  <r>
    <x v="0"/>
    <x v="0"/>
    <n v="2239056934"/>
    <x v="2"/>
    <n v="7000"/>
    <x v="0"/>
    <x v="0"/>
    <x v="25"/>
    <x v="2"/>
    <x v="0"/>
    <x v="0"/>
    <x v="2"/>
    <x v="0"/>
  </r>
  <r>
    <x v="0"/>
    <x v="0"/>
    <n v="2239056935"/>
    <x v="3"/>
    <n v="57640"/>
    <x v="0"/>
    <x v="0"/>
    <x v="25"/>
    <x v="3"/>
    <x v="0"/>
    <x v="0"/>
    <x v="3"/>
    <x v="0"/>
  </r>
  <r>
    <x v="0"/>
    <x v="0"/>
    <n v="2239056936"/>
    <x v="3"/>
    <n v="69410"/>
    <x v="0"/>
    <x v="0"/>
    <x v="25"/>
    <x v="3"/>
    <x v="0"/>
    <x v="0"/>
    <x v="3"/>
    <x v="0"/>
  </r>
  <r>
    <x v="0"/>
    <x v="0"/>
    <n v="2239056937"/>
    <x v="1"/>
    <n v="1800"/>
    <x v="0"/>
    <x v="0"/>
    <x v="25"/>
    <x v="1"/>
    <x v="0"/>
    <x v="0"/>
    <x v="1"/>
    <x v="0"/>
  </r>
  <r>
    <x v="0"/>
    <x v="0"/>
    <n v="2239056938"/>
    <x v="5"/>
    <n v="-1500"/>
    <x v="0"/>
    <x v="0"/>
    <x v="25"/>
    <x v="5"/>
    <x v="0"/>
    <x v="0"/>
    <x v="5"/>
    <x v="0"/>
  </r>
  <r>
    <x v="0"/>
    <x v="0"/>
    <n v="2239056938"/>
    <x v="6"/>
    <n v="10000"/>
    <x v="0"/>
    <x v="0"/>
    <x v="25"/>
    <x v="6"/>
    <x v="0"/>
    <x v="0"/>
    <x v="5"/>
    <x v="0"/>
  </r>
  <r>
    <x v="0"/>
    <x v="0"/>
    <n v="2239056939"/>
    <x v="5"/>
    <n v="-5500"/>
    <x v="0"/>
    <x v="0"/>
    <x v="25"/>
    <x v="5"/>
    <x v="0"/>
    <x v="0"/>
    <x v="5"/>
    <x v="0"/>
  </r>
  <r>
    <x v="0"/>
    <x v="0"/>
    <n v="2239056939"/>
    <x v="6"/>
    <n v="10000"/>
    <x v="0"/>
    <x v="0"/>
    <x v="25"/>
    <x v="6"/>
    <x v="0"/>
    <x v="0"/>
    <x v="5"/>
    <x v="0"/>
  </r>
  <r>
    <x v="0"/>
    <x v="0"/>
    <n v="2239056940"/>
    <x v="8"/>
    <n v="6500"/>
    <x v="0"/>
    <x v="0"/>
    <x v="25"/>
    <x v="8"/>
    <x v="0"/>
    <x v="0"/>
    <x v="3"/>
    <x v="0"/>
  </r>
  <r>
    <x v="0"/>
    <x v="0"/>
    <n v="2239056942"/>
    <x v="5"/>
    <n v="-7200"/>
    <x v="0"/>
    <x v="0"/>
    <x v="25"/>
    <x v="5"/>
    <x v="0"/>
    <x v="0"/>
    <x v="5"/>
    <x v="0"/>
  </r>
  <r>
    <x v="0"/>
    <x v="0"/>
    <n v="2239056942"/>
    <x v="6"/>
    <n v="80000"/>
    <x v="0"/>
    <x v="0"/>
    <x v="25"/>
    <x v="6"/>
    <x v="0"/>
    <x v="0"/>
    <x v="5"/>
    <x v="0"/>
  </r>
  <r>
    <x v="0"/>
    <x v="0"/>
    <n v="2239056943"/>
    <x v="2"/>
    <n v="12100"/>
    <x v="0"/>
    <x v="0"/>
    <x v="25"/>
    <x v="2"/>
    <x v="0"/>
    <x v="0"/>
    <x v="2"/>
    <x v="0"/>
  </r>
  <r>
    <x v="0"/>
    <x v="0"/>
    <n v="2239056944"/>
    <x v="2"/>
    <n v="55000"/>
    <x v="0"/>
    <x v="0"/>
    <x v="25"/>
    <x v="2"/>
    <x v="0"/>
    <x v="0"/>
    <x v="2"/>
    <x v="0"/>
  </r>
  <r>
    <x v="0"/>
    <x v="0"/>
    <n v="2239056945"/>
    <x v="6"/>
    <n v="3000"/>
    <x v="0"/>
    <x v="0"/>
    <x v="25"/>
    <x v="6"/>
    <x v="0"/>
    <x v="0"/>
    <x v="5"/>
    <x v="0"/>
  </r>
  <r>
    <x v="0"/>
    <x v="0"/>
    <n v="2239056945"/>
    <x v="7"/>
    <n v="3000"/>
    <x v="0"/>
    <x v="0"/>
    <x v="25"/>
    <x v="7"/>
    <x v="0"/>
    <x v="0"/>
    <x v="1"/>
    <x v="0"/>
  </r>
  <r>
    <x v="0"/>
    <x v="0"/>
    <n v="2239056946"/>
    <x v="3"/>
    <n v="42680"/>
    <x v="0"/>
    <x v="0"/>
    <x v="25"/>
    <x v="3"/>
    <x v="0"/>
    <x v="0"/>
    <x v="3"/>
    <x v="0"/>
  </r>
  <r>
    <x v="0"/>
    <x v="0"/>
    <n v="2239056947"/>
    <x v="2"/>
    <n v="37840"/>
    <x v="0"/>
    <x v="0"/>
    <x v="25"/>
    <x v="2"/>
    <x v="0"/>
    <x v="0"/>
    <x v="2"/>
    <x v="0"/>
  </r>
  <r>
    <x v="0"/>
    <x v="0"/>
    <n v="2239056948"/>
    <x v="3"/>
    <n v="118000"/>
    <x v="0"/>
    <x v="0"/>
    <x v="25"/>
    <x v="3"/>
    <x v="0"/>
    <x v="0"/>
    <x v="3"/>
    <x v="0"/>
  </r>
  <r>
    <x v="0"/>
    <x v="0"/>
    <n v="2239056949"/>
    <x v="5"/>
    <n v="-6000"/>
    <x v="0"/>
    <x v="0"/>
    <x v="25"/>
    <x v="5"/>
    <x v="0"/>
    <x v="0"/>
    <x v="5"/>
    <x v="0"/>
  </r>
  <r>
    <x v="0"/>
    <x v="0"/>
    <n v="2239056949"/>
    <x v="6"/>
    <n v="10000"/>
    <x v="0"/>
    <x v="0"/>
    <x v="25"/>
    <x v="6"/>
    <x v="0"/>
    <x v="0"/>
    <x v="5"/>
    <x v="0"/>
  </r>
  <r>
    <x v="0"/>
    <x v="0"/>
    <n v="2239056949"/>
    <x v="7"/>
    <n v="3000"/>
    <x v="0"/>
    <x v="0"/>
    <x v="25"/>
    <x v="7"/>
    <x v="0"/>
    <x v="0"/>
    <x v="1"/>
    <x v="0"/>
  </r>
  <r>
    <x v="0"/>
    <x v="0"/>
    <n v="2239056950"/>
    <x v="5"/>
    <n v="-3000"/>
    <x v="0"/>
    <x v="0"/>
    <x v="25"/>
    <x v="5"/>
    <x v="0"/>
    <x v="0"/>
    <x v="5"/>
    <x v="0"/>
  </r>
  <r>
    <x v="0"/>
    <x v="0"/>
    <n v="2239056950"/>
    <x v="6"/>
    <n v="10000"/>
    <x v="0"/>
    <x v="0"/>
    <x v="25"/>
    <x v="6"/>
    <x v="0"/>
    <x v="0"/>
    <x v="5"/>
    <x v="0"/>
  </r>
  <r>
    <x v="0"/>
    <x v="0"/>
    <n v="2239056951"/>
    <x v="3"/>
    <n v="14000"/>
    <x v="0"/>
    <x v="0"/>
    <x v="25"/>
    <x v="3"/>
    <x v="0"/>
    <x v="0"/>
    <x v="3"/>
    <x v="0"/>
  </r>
  <r>
    <x v="0"/>
    <x v="0"/>
    <n v="2239056952"/>
    <x v="1"/>
    <n v="7500"/>
    <x v="0"/>
    <x v="0"/>
    <x v="25"/>
    <x v="1"/>
    <x v="0"/>
    <x v="0"/>
    <x v="1"/>
    <x v="0"/>
  </r>
  <r>
    <x v="0"/>
    <x v="0"/>
    <n v="2239056955"/>
    <x v="2"/>
    <n v="33990"/>
    <x v="0"/>
    <x v="0"/>
    <x v="25"/>
    <x v="2"/>
    <x v="0"/>
    <x v="0"/>
    <x v="2"/>
    <x v="0"/>
  </r>
  <r>
    <x v="0"/>
    <x v="0"/>
    <n v="2239056956"/>
    <x v="2"/>
    <n v="13000"/>
    <x v="0"/>
    <x v="0"/>
    <x v="25"/>
    <x v="2"/>
    <x v="0"/>
    <x v="0"/>
    <x v="2"/>
    <x v="0"/>
  </r>
  <r>
    <x v="0"/>
    <x v="0"/>
    <n v="2239056957"/>
    <x v="2"/>
    <n v="17000"/>
    <x v="0"/>
    <x v="0"/>
    <x v="25"/>
    <x v="2"/>
    <x v="0"/>
    <x v="0"/>
    <x v="2"/>
    <x v="0"/>
  </r>
  <r>
    <x v="0"/>
    <x v="0"/>
    <n v="2239056958"/>
    <x v="3"/>
    <n v="25300"/>
    <x v="0"/>
    <x v="0"/>
    <x v="25"/>
    <x v="3"/>
    <x v="0"/>
    <x v="0"/>
    <x v="3"/>
    <x v="0"/>
  </r>
  <r>
    <x v="0"/>
    <x v="0"/>
    <n v="2239056959"/>
    <x v="2"/>
    <n v="11000"/>
    <x v="0"/>
    <x v="0"/>
    <x v="25"/>
    <x v="2"/>
    <x v="0"/>
    <x v="0"/>
    <x v="2"/>
    <x v="0"/>
  </r>
  <r>
    <x v="0"/>
    <x v="0"/>
    <n v="2239056960"/>
    <x v="2"/>
    <n v="6600"/>
    <x v="0"/>
    <x v="0"/>
    <x v="25"/>
    <x v="2"/>
    <x v="0"/>
    <x v="0"/>
    <x v="2"/>
    <x v="0"/>
  </r>
  <r>
    <x v="0"/>
    <x v="0"/>
    <n v="2239056961"/>
    <x v="6"/>
    <n v="21100"/>
    <x v="0"/>
    <x v="0"/>
    <x v="25"/>
    <x v="6"/>
    <x v="0"/>
    <x v="0"/>
    <x v="5"/>
    <x v="0"/>
  </r>
  <r>
    <x v="0"/>
    <x v="0"/>
    <n v="2239056962"/>
    <x v="2"/>
    <n v="12000"/>
    <x v="0"/>
    <x v="0"/>
    <x v="25"/>
    <x v="2"/>
    <x v="0"/>
    <x v="0"/>
    <x v="2"/>
    <x v="0"/>
  </r>
  <r>
    <x v="0"/>
    <x v="0"/>
    <n v="2239056963"/>
    <x v="2"/>
    <n v="12000"/>
    <x v="0"/>
    <x v="0"/>
    <x v="25"/>
    <x v="2"/>
    <x v="0"/>
    <x v="0"/>
    <x v="2"/>
    <x v="0"/>
  </r>
  <r>
    <x v="0"/>
    <x v="0"/>
    <n v="2239056964"/>
    <x v="2"/>
    <n v="28200"/>
    <x v="0"/>
    <x v="0"/>
    <x v="25"/>
    <x v="2"/>
    <x v="0"/>
    <x v="0"/>
    <x v="2"/>
    <x v="0"/>
  </r>
  <r>
    <x v="0"/>
    <x v="0"/>
    <n v="2239056965"/>
    <x v="2"/>
    <n v="6000"/>
    <x v="0"/>
    <x v="0"/>
    <x v="25"/>
    <x v="2"/>
    <x v="0"/>
    <x v="0"/>
    <x v="2"/>
    <x v="0"/>
  </r>
  <r>
    <x v="0"/>
    <x v="0"/>
    <n v="2239056966"/>
    <x v="0"/>
    <n v="8250"/>
    <x v="0"/>
    <x v="0"/>
    <x v="25"/>
    <x v="0"/>
    <x v="0"/>
    <x v="0"/>
    <x v="0"/>
    <x v="0"/>
  </r>
  <r>
    <x v="0"/>
    <x v="0"/>
    <n v="2239056967"/>
    <x v="8"/>
    <n v="38390"/>
    <x v="0"/>
    <x v="0"/>
    <x v="25"/>
    <x v="8"/>
    <x v="0"/>
    <x v="0"/>
    <x v="3"/>
    <x v="0"/>
  </r>
  <r>
    <x v="0"/>
    <x v="0"/>
    <n v="2239056968"/>
    <x v="3"/>
    <n v="12250"/>
    <x v="0"/>
    <x v="0"/>
    <x v="25"/>
    <x v="3"/>
    <x v="0"/>
    <x v="0"/>
    <x v="3"/>
    <x v="0"/>
  </r>
  <r>
    <x v="0"/>
    <x v="0"/>
    <n v="2239056969"/>
    <x v="2"/>
    <n v="11550"/>
    <x v="0"/>
    <x v="0"/>
    <x v="25"/>
    <x v="2"/>
    <x v="0"/>
    <x v="0"/>
    <x v="2"/>
    <x v="0"/>
  </r>
  <r>
    <x v="0"/>
    <x v="0"/>
    <n v="2239056970"/>
    <x v="8"/>
    <n v="16000"/>
    <x v="0"/>
    <x v="0"/>
    <x v="25"/>
    <x v="8"/>
    <x v="0"/>
    <x v="0"/>
    <x v="3"/>
    <x v="0"/>
  </r>
  <r>
    <x v="0"/>
    <x v="0"/>
    <n v="2239056971"/>
    <x v="2"/>
    <n v="13500"/>
    <x v="0"/>
    <x v="0"/>
    <x v="25"/>
    <x v="2"/>
    <x v="0"/>
    <x v="0"/>
    <x v="2"/>
    <x v="0"/>
  </r>
  <r>
    <x v="0"/>
    <x v="0"/>
    <n v="2239056972"/>
    <x v="5"/>
    <n v="-4300"/>
    <x v="0"/>
    <x v="0"/>
    <x v="25"/>
    <x v="5"/>
    <x v="0"/>
    <x v="0"/>
    <x v="5"/>
    <x v="0"/>
  </r>
  <r>
    <x v="0"/>
    <x v="0"/>
    <n v="2239056972"/>
    <x v="4"/>
    <n v="10000"/>
    <x v="0"/>
    <x v="0"/>
    <x v="25"/>
    <x v="4"/>
    <x v="0"/>
    <x v="0"/>
    <x v="4"/>
    <x v="0"/>
  </r>
  <r>
    <x v="0"/>
    <x v="0"/>
    <n v="2239056973"/>
    <x v="5"/>
    <n v="-500"/>
    <x v="0"/>
    <x v="0"/>
    <x v="25"/>
    <x v="5"/>
    <x v="0"/>
    <x v="0"/>
    <x v="5"/>
    <x v="0"/>
  </r>
  <r>
    <x v="0"/>
    <x v="0"/>
    <n v="2239056973"/>
    <x v="6"/>
    <n v="20000"/>
    <x v="0"/>
    <x v="0"/>
    <x v="25"/>
    <x v="6"/>
    <x v="0"/>
    <x v="0"/>
    <x v="5"/>
    <x v="0"/>
  </r>
  <r>
    <x v="0"/>
    <x v="0"/>
    <n v="2239056974"/>
    <x v="2"/>
    <n v="3300"/>
    <x v="0"/>
    <x v="0"/>
    <x v="25"/>
    <x v="2"/>
    <x v="0"/>
    <x v="0"/>
    <x v="2"/>
    <x v="0"/>
  </r>
  <r>
    <x v="0"/>
    <x v="0"/>
    <n v="2239056975"/>
    <x v="2"/>
    <n v="5500"/>
    <x v="0"/>
    <x v="0"/>
    <x v="25"/>
    <x v="2"/>
    <x v="0"/>
    <x v="0"/>
    <x v="2"/>
    <x v="0"/>
  </r>
  <r>
    <x v="0"/>
    <x v="0"/>
    <n v="2239056976"/>
    <x v="5"/>
    <n v="-200"/>
    <x v="0"/>
    <x v="0"/>
    <x v="25"/>
    <x v="5"/>
    <x v="0"/>
    <x v="0"/>
    <x v="5"/>
    <x v="0"/>
  </r>
  <r>
    <x v="0"/>
    <x v="0"/>
    <n v="2239056976"/>
    <x v="4"/>
    <n v="5500"/>
    <x v="0"/>
    <x v="0"/>
    <x v="25"/>
    <x v="4"/>
    <x v="0"/>
    <x v="0"/>
    <x v="4"/>
    <x v="0"/>
  </r>
  <r>
    <x v="0"/>
    <x v="0"/>
    <n v="2239056977"/>
    <x v="6"/>
    <n v="5000"/>
    <x v="0"/>
    <x v="0"/>
    <x v="25"/>
    <x v="6"/>
    <x v="0"/>
    <x v="0"/>
    <x v="5"/>
    <x v="0"/>
  </r>
  <r>
    <x v="0"/>
    <x v="0"/>
    <n v="2239056978"/>
    <x v="2"/>
    <n v="8250"/>
    <x v="0"/>
    <x v="0"/>
    <x v="25"/>
    <x v="2"/>
    <x v="0"/>
    <x v="0"/>
    <x v="2"/>
    <x v="0"/>
  </r>
  <r>
    <x v="0"/>
    <x v="0"/>
    <n v="2239056979"/>
    <x v="2"/>
    <n v="15400"/>
    <x v="0"/>
    <x v="0"/>
    <x v="25"/>
    <x v="2"/>
    <x v="0"/>
    <x v="0"/>
    <x v="2"/>
    <x v="0"/>
  </r>
  <r>
    <x v="0"/>
    <x v="0"/>
    <n v="2239056980"/>
    <x v="2"/>
    <n v="19500"/>
    <x v="0"/>
    <x v="0"/>
    <x v="25"/>
    <x v="2"/>
    <x v="0"/>
    <x v="0"/>
    <x v="2"/>
    <x v="0"/>
  </r>
  <r>
    <x v="0"/>
    <x v="0"/>
    <n v="2239056981"/>
    <x v="6"/>
    <n v="6000"/>
    <x v="0"/>
    <x v="0"/>
    <x v="25"/>
    <x v="6"/>
    <x v="0"/>
    <x v="0"/>
    <x v="5"/>
    <x v="0"/>
  </r>
  <r>
    <x v="0"/>
    <x v="0"/>
    <n v="2239056982"/>
    <x v="2"/>
    <n v="14500"/>
    <x v="0"/>
    <x v="0"/>
    <x v="25"/>
    <x v="2"/>
    <x v="0"/>
    <x v="0"/>
    <x v="2"/>
    <x v="0"/>
  </r>
  <r>
    <x v="0"/>
    <x v="0"/>
    <n v="2239056983"/>
    <x v="0"/>
    <n v="18300"/>
    <x v="0"/>
    <x v="0"/>
    <x v="25"/>
    <x v="0"/>
    <x v="0"/>
    <x v="0"/>
    <x v="0"/>
    <x v="0"/>
  </r>
  <r>
    <x v="0"/>
    <x v="0"/>
    <n v="2239056984"/>
    <x v="2"/>
    <n v="8800"/>
    <x v="0"/>
    <x v="0"/>
    <x v="25"/>
    <x v="2"/>
    <x v="0"/>
    <x v="0"/>
    <x v="2"/>
    <x v="0"/>
  </r>
  <r>
    <x v="0"/>
    <x v="0"/>
    <n v="2239056985"/>
    <x v="2"/>
    <n v="26840"/>
    <x v="0"/>
    <x v="0"/>
    <x v="25"/>
    <x v="2"/>
    <x v="0"/>
    <x v="0"/>
    <x v="2"/>
    <x v="0"/>
  </r>
  <r>
    <x v="0"/>
    <x v="0"/>
    <n v="2239056986"/>
    <x v="2"/>
    <n v="124740"/>
    <x v="0"/>
    <x v="0"/>
    <x v="25"/>
    <x v="2"/>
    <x v="0"/>
    <x v="0"/>
    <x v="2"/>
    <x v="0"/>
  </r>
  <r>
    <x v="0"/>
    <x v="0"/>
    <n v="2239056987"/>
    <x v="3"/>
    <n v="14300"/>
    <x v="0"/>
    <x v="0"/>
    <x v="25"/>
    <x v="3"/>
    <x v="0"/>
    <x v="0"/>
    <x v="3"/>
    <x v="0"/>
  </r>
  <r>
    <x v="0"/>
    <x v="0"/>
    <n v="2239056988"/>
    <x v="2"/>
    <n v="6000"/>
    <x v="0"/>
    <x v="0"/>
    <x v="25"/>
    <x v="2"/>
    <x v="0"/>
    <x v="0"/>
    <x v="2"/>
    <x v="0"/>
  </r>
  <r>
    <x v="0"/>
    <x v="0"/>
    <n v="2239056989"/>
    <x v="5"/>
    <n v="-3000"/>
    <x v="0"/>
    <x v="0"/>
    <x v="25"/>
    <x v="5"/>
    <x v="0"/>
    <x v="0"/>
    <x v="5"/>
    <x v="0"/>
  </r>
  <r>
    <x v="0"/>
    <x v="0"/>
    <n v="2239056989"/>
    <x v="6"/>
    <n v="10000"/>
    <x v="0"/>
    <x v="0"/>
    <x v="25"/>
    <x v="6"/>
    <x v="0"/>
    <x v="0"/>
    <x v="5"/>
    <x v="0"/>
  </r>
  <r>
    <x v="0"/>
    <x v="0"/>
    <n v="2239056990"/>
    <x v="3"/>
    <n v="35090"/>
    <x v="0"/>
    <x v="0"/>
    <x v="25"/>
    <x v="3"/>
    <x v="0"/>
    <x v="0"/>
    <x v="3"/>
    <x v="0"/>
  </r>
  <r>
    <x v="0"/>
    <x v="0"/>
    <n v="2239056991"/>
    <x v="3"/>
    <n v="56320"/>
    <x v="0"/>
    <x v="0"/>
    <x v="25"/>
    <x v="3"/>
    <x v="0"/>
    <x v="0"/>
    <x v="3"/>
    <x v="0"/>
  </r>
  <r>
    <x v="0"/>
    <x v="0"/>
    <n v="2239056992"/>
    <x v="2"/>
    <n v="3500"/>
    <x v="0"/>
    <x v="0"/>
    <x v="25"/>
    <x v="2"/>
    <x v="0"/>
    <x v="0"/>
    <x v="2"/>
    <x v="0"/>
  </r>
  <r>
    <x v="0"/>
    <x v="0"/>
    <n v="2239056994"/>
    <x v="2"/>
    <n v="4950"/>
    <x v="0"/>
    <x v="0"/>
    <x v="25"/>
    <x v="2"/>
    <x v="0"/>
    <x v="0"/>
    <x v="2"/>
    <x v="0"/>
  </r>
  <r>
    <x v="0"/>
    <x v="0"/>
    <n v="2239056995"/>
    <x v="0"/>
    <n v="1350"/>
    <x v="0"/>
    <x v="0"/>
    <x v="25"/>
    <x v="0"/>
    <x v="0"/>
    <x v="0"/>
    <x v="0"/>
    <x v="0"/>
  </r>
  <r>
    <x v="0"/>
    <x v="0"/>
    <n v="2239056996"/>
    <x v="5"/>
    <n v="-1000"/>
    <x v="0"/>
    <x v="0"/>
    <x v="25"/>
    <x v="5"/>
    <x v="0"/>
    <x v="0"/>
    <x v="5"/>
    <x v="0"/>
  </r>
  <r>
    <x v="0"/>
    <x v="0"/>
    <n v="2239056996"/>
    <x v="6"/>
    <n v="5000"/>
    <x v="0"/>
    <x v="0"/>
    <x v="25"/>
    <x v="6"/>
    <x v="0"/>
    <x v="0"/>
    <x v="5"/>
    <x v="0"/>
  </r>
  <r>
    <x v="0"/>
    <x v="0"/>
    <n v="2239056997"/>
    <x v="1"/>
    <n v="3900"/>
    <x v="0"/>
    <x v="0"/>
    <x v="25"/>
    <x v="1"/>
    <x v="0"/>
    <x v="0"/>
    <x v="1"/>
    <x v="0"/>
  </r>
  <r>
    <x v="0"/>
    <x v="0"/>
    <n v="2239056998"/>
    <x v="2"/>
    <n v="26290"/>
    <x v="0"/>
    <x v="0"/>
    <x v="25"/>
    <x v="2"/>
    <x v="0"/>
    <x v="0"/>
    <x v="2"/>
    <x v="0"/>
  </r>
  <r>
    <x v="0"/>
    <x v="0"/>
    <n v="2239056999"/>
    <x v="2"/>
    <n v="59290"/>
    <x v="0"/>
    <x v="0"/>
    <x v="25"/>
    <x v="2"/>
    <x v="0"/>
    <x v="0"/>
    <x v="2"/>
    <x v="0"/>
  </r>
  <r>
    <x v="0"/>
    <x v="0"/>
    <n v="2239057000"/>
    <x v="2"/>
    <n v="15000"/>
    <x v="0"/>
    <x v="0"/>
    <x v="25"/>
    <x v="2"/>
    <x v="0"/>
    <x v="0"/>
    <x v="2"/>
    <x v="0"/>
  </r>
  <r>
    <x v="0"/>
    <x v="0"/>
    <n v="2239057001"/>
    <x v="7"/>
    <n v="1500"/>
    <x v="0"/>
    <x v="0"/>
    <x v="25"/>
    <x v="7"/>
    <x v="0"/>
    <x v="0"/>
    <x v="1"/>
    <x v="0"/>
  </r>
  <r>
    <x v="0"/>
    <x v="0"/>
    <n v="2239057002"/>
    <x v="5"/>
    <n v="-3800"/>
    <x v="0"/>
    <x v="0"/>
    <x v="25"/>
    <x v="5"/>
    <x v="0"/>
    <x v="0"/>
    <x v="5"/>
    <x v="0"/>
  </r>
  <r>
    <x v="0"/>
    <x v="0"/>
    <n v="2239057002"/>
    <x v="6"/>
    <n v="15000"/>
    <x v="0"/>
    <x v="0"/>
    <x v="25"/>
    <x v="6"/>
    <x v="0"/>
    <x v="0"/>
    <x v="5"/>
    <x v="0"/>
  </r>
  <r>
    <x v="0"/>
    <x v="0"/>
    <n v="2239057003"/>
    <x v="2"/>
    <n v="4500"/>
    <x v="0"/>
    <x v="0"/>
    <x v="25"/>
    <x v="2"/>
    <x v="0"/>
    <x v="0"/>
    <x v="2"/>
    <x v="0"/>
  </r>
  <r>
    <x v="0"/>
    <x v="0"/>
    <n v="2239057004"/>
    <x v="5"/>
    <n v="-17000"/>
    <x v="0"/>
    <x v="0"/>
    <x v="25"/>
    <x v="5"/>
    <x v="0"/>
    <x v="0"/>
    <x v="5"/>
    <x v="0"/>
  </r>
  <r>
    <x v="0"/>
    <x v="0"/>
    <n v="2239057004"/>
    <x v="6"/>
    <n v="20000"/>
    <x v="0"/>
    <x v="0"/>
    <x v="25"/>
    <x v="6"/>
    <x v="0"/>
    <x v="0"/>
    <x v="5"/>
    <x v="0"/>
  </r>
  <r>
    <x v="0"/>
    <x v="0"/>
    <n v="2239057005"/>
    <x v="2"/>
    <n v="10450"/>
    <x v="0"/>
    <x v="0"/>
    <x v="25"/>
    <x v="2"/>
    <x v="0"/>
    <x v="0"/>
    <x v="2"/>
    <x v="0"/>
  </r>
  <r>
    <x v="0"/>
    <x v="0"/>
    <n v="2239057007"/>
    <x v="0"/>
    <n v="25680"/>
    <x v="0"/>
    <x v="0"/>
    <x v="25"/>
    <x v="0"/>
    <x v="0"/>
    <x v="0"/>
    <x v="0"/>
    <x v="0"/>
  </r>
  <r>
    <x v="0"/>
    <x v="0"/>
    <n v="2239057008"/>
    <x v="5"/>
    <n v="-3000"/>
    <x v="0"/>
    <x v="0"/>
    <x v="25"/>
    <x v="5"/>
    <x v="0"/>
    <x v="0"/>
    <x v="5"/>
    <x v="0"/>
  </r>
  <r>
    <x v="0"/>
    <x v="0"/>
    <n v="2239057008"/>
    <x v="6"/>
    <n v="10000"/>
    <x v="0"/>
    <x v="0"/>
    <x v="25"/>
    <x v="6"/>
    <x v="0"/>
    <x v="0"/>
    <x v="5"/>
    <x v="0"/>
  </r>
  <r>
    <x v="0"/>
    <x v="0"/>
    <n v="2239057010"/>
    <x v="5"/>
    <n v="-6000"/>
    <x v="0"/>
    <x v="0"/>
    <x v="25"/>
    <x v="5"/>
    <x v="0"/>
    <x v="0"/>
    <x v="5"/>
    <x v="0"/>
  </r>
  <r>
    <x v="0"/>
    <x v="0"/>
    <n v="2239057010"/>
    <x v="6"/>
    <n v="20000"/>
    <x v="0"/>
    <x v="0"/>
    <x v="25"/>
    <x v="6"/>
    <x v="0"/>
    <x v="0"/>
    <x v="5"/>
    <x v="0"/>
  </r>
  <r>
    <x v="0"/>
    <x v="0"/>
    <n v="2239057011"/>
    <x v="5"/>
    <n v="-1000"/>
    <x v="0"/>
    <x v="0"/>
    <x v="25"/>
    <x v="5"/>
    <x v="0"/>
    <x v="0"/>
    <x v="5"/>
    <x v="0"/>
  </r>
  <r>
    <x v="0"/>
    <x v="0"/>
    <n v="2239057011"/>
    <x v="6"/>
    <n v="10000"/>
    <x v="0"/>
    <x v="0"/>
    <x v="25"/>
    <x v="6"/>
    <x v="0"/>
    <x v="0"/>
    <x v="5"/>
    <x v="0"/>
  </r>
  <r>
    <x v="0"/>
    <x v="0"/>
    <n v="2239057012"/>
    <x v="2"/>
    <n v="7500"/>
    <x v="0"/>
    <x v="0"/>
    <x v="25"/>
    <x v="2"/>
    <x v="0"/>
    <x v="0"/>
    <x v="2"/>
    <x v="0"/>
  </r>
  <r>
    <x v="0"/>
    <x v="0"/>
    <n v="2239057013"/>
    <x v="6"/>
    <n v="8500"/>
    <x v="0"/>
    <x v="0"/>
    <x v="25"/>
    <x v="6"/>
    <x v="0"/>
    <x v="0"/>
    <x v="5"/>
    <x v="0"/>
  </r>
  <r>
    <x v="0"/>
    <x v="0"/>
    <n v="2239057014"/>
    <x v="8"/>
    <n v="3000"/>
    <x v="0"/>
    <x v="0"/>
    <x v="25"/>
    <x v="8"/>
    <x v="0"/>
    <x v="0"/>
    <x v="3"/>
    <x v="0"/>
  </r>
  <r>
    <x v="0"/>
    <x v="0"/>
    <n v="2239057015"/>
    <x v="7"/>
    <n v="3500"/>
    <x v="0"/>
    <x v="0"/>
    <x v="25"/>
    <x v="7"/>
    <x v="0"/>
    <x v="0"/>
    <x v="1"/>
    <x v="0"/>
  </r>
  <r>
    <x v="0"/>
    <x v="0"/>
    <n v="2239057016"/>
    <x v="2"/>
    <n v="42900"/>
    <x v="0"/>
    <x v="0"/>
    <x v="25"/>
    <x v="2"/>
    <x v="0"/>
    <x v="0"/>
    <x v="2"/>
    <x v="0"/>
  </r>
  <r>
    <x v="0"/>
    <x v="0"/>
    <n v="2239057017"/>
    <x v="6"/>
    <n v="11000"/>
    <x v="0"/>
    <x v="0"/>
    <x v="25"/>
    <x v="6"/>
    <x v="0"/>
    <x v="0"/>
    <x v="5"/>
    <x v="0"/>
  </r>
  <r>
    <x v="0"/>
    <x v="0"/>
    <n v="2239057018"/>
    <x v="5"/>
    <n v="-2000"/>
    <x v="0"/>
    <x v="0"/>
    <x v="25"/>
    <x v="5"/>
    <x v="0"/>
    <x v="0"/>
    <x v="5"/>
    <x v="0"/>
  </r>
  <r>
    <x v="0"/>
    <x v="0"/>
    <n v="2239057018"/>
    <x v="6"/>
    <n v="15000"/>
    <x v="0"/>
    <x v="0"/>
    <x v="25"/>
    <x v="6"/>
    <x v="0"/>
    <x v="0"/>
    <x v="5"/>
    <x v="0"/>
  </r>
  <r>
    <x v="0"/>
    <x v="0"/>
    <n v="2239057019"/>
    <x v="2"/>
    <n v="7700"/>
    <x v="0"/>
    <x v="0"/>
    <x v="25"/>
    <x v="2"/>
    <x v="0"/>
    <x v="0"/>
    <x v="2"/>
    <x v="0"/>
  </r>
  <r>
    <x v="0"/>
    <x v="0"/>
    <n v="2239057020"/>
    <x v="2"/>
    <n v="14190"/>
    <x v="0"/>
    <x v="0"/>
    <x v="25"/>
    <x v="2"/>
    <x v="0"/>
    <x v="0"/>
    <x v="2"/>
    <x v="0"/>
  </r>
  <r>
    <x v="0"/>
    <x v="0"/>
    <n v="2239057021"/>
    <x v="2"/>
    <n v="3000"/>
    <x v="0"/>
    <x v="0"/>
    <x v="25"/>
    <x v="2"/>
    <x v="0"/>
    <x v="0"/>
    <x v="2"/>
    <x v="0"/>
  </r>
  <r>
    <x v="0"/>
    <x v="0"/>
    <n v="2239057022"/>
    <x v="3"/>
    <n v="15400"/>
    <x v="0"/>
    <x v="0"/>
    <x v="25"/>
    <x v="3"/>
    <x v="0"/>
    <x v="0"/>
    <x v="3"/>
    <x v="0"/>
  </r>
  <r>
    <x v="0"/>
    <x v="0"/>
    <n v="2239057023"/>
    <x v="5"/>
    <n v="-4400"/>
    <x v="0"/>
    <x v="0"/>
    <x v="25"/>
    <x v="5"/>
    <x v="0"/>
    <x v="0"/>
    <x v="5"/>
    <x v="0"/>
  </r>
  <r>
    <x v="0"/>
    <x v="0"/>
    <n v="2239057023"/>
    <x v="4"/>
    <n v="10000"/>
    <x v="0"/>
    <x v="0"/>
    <x v="25"/>
    <x v="4"/>
    <x v="0"/>
    <x v="0"/>
    <x v="4"/>
    <x v="0"/>
  </r>
  <r>
    <x v="0"/>
    <x v="0"/>
    <n v="2239057025"/>
    <x v="2"/>
    <n v="30900"/>
    <x v="0"/>
    <x v="0"/>
    <x v="25"/>
    <x v="2"/>
    <x v="0"/>
    <x v="0"/>
    <x v="2"/>
    <x v="0"/>
  </r>
  <r>
    <x v="0"/>
    <x v="0"/>
    <n v="2239057026"/>
    <x v="4"/>
    <n v="5600"/>
    <x v="0"/>
    <x v="0"/>
    <x v="25"/>
    <x v="4"/>
    <x v="0"/>
    <x v="0"/>
    <x v="4"/>
    <x v="0"/>
  </r>
  <r>
    <x v="0"/>
    <x v="0"/>
    <n v="2239057028"/>
    <x v="1"/>
    <n v="4200"/>
    <x v="0"/>
    <x v="0"/>
    <x v="25"/>
    <x v="1"/>
    <x v="0"/>
    <x v="0"/>
    <x v="1"/>
    <x v="0"/>
  </r>
  <r>
    <x v="0"/>
    <x v="0"/>
    <n v="2239057029"/>
    <x v="2"/>
    <n v="3000"/>
    <x v="0"/>
    <x v="0"/>
    <x v="25"/>
    <x v="2"/>
    <x v="0"/>
    <x v="0"/>
    <x v="2"/>
    <x v="0"/>
  </r>
  <r>
    <x v="0"/>
    <x v="0"/>
    <n v="2239057030"/>
    <x v="7"/>
    <n v="3000"/>
    <x v="0"/>
    <x v="0"/>
    <x v="25"/>
    <x v="7"/>
    <x v="0"/>
    <x v="0"/>
    <x v="1"/>
    <x v="0"/>
  </r>
  <r>
    <x v="0"/>
    <x v="0"/>
    <n v="2239057031"/>
    <x v="5"/>
    <n v="-4400"/>
    <x v="0"/>
    <x v="0"/>
    <x v="25"/>
    <x v="5"/>
    <x v="0"/>
    <x v="0"/>
    <x v="5"/>
    <x v="0"/>
  </r>
  <r>
    <x v="0"/>
    <x v="0"/>
    <n v="2239057031"/>
    <x v="4"/>
    <n v="10000"/>
    <x v="0"/>
    <x v="0"/>
    <x v="25"/>
    <x v="4"/>
    <x v="0"/>
    <x v="0"/>
    <x v="4"/>
    <x v="0"/>
  </r>
  <r>
    <x v="0"/>
    <x v="0"/>
    <n v="2239057032"/>
    <x v="2"/>
    <n v="4000"/>
    <x v="0"/>
    <x v="0"/>
    <x v="25"/>
    <x v="2"/>
    <x v="0"/>
    <x v="0"/>
    <x v="2"/>
    <x v="0"/>
  </r>
  <r>
    <x v="0"/>
    <x v="0"/>
    <n v="2239057033"/>
    <x v="5"/>
    <n v="-4400"/>
    <x v="0"/>
    <x v="0"/>
    <x v="25"/>
    <x v="5"/>
    <x v="0"/>
    <x v="0"/>
    <x v="5"/>
    <x v="0"/>
  </r>
  <r>
    <x v="0"/>
    <x v="0"/>
    <n v="2239057033"/>
    <x v="4"/>
    <n v="10000"/>
    <x v="0"/>
    <x v="0"/>
    <x v="25"/>
    <x v="4"/>
    <x v="0"/>
    <x v="0"/>
    <x v="4"/>
    <x v="0"/>
  </r>
  <r>
    <x v="0"/>
    <x v="0"/>
    <n v="2239057034"/>
    <x v="2"/>
    <n v="48180"/>
    <x v="0"/>
    <x v="0"/>
    <x v="25"/>
    <x v="2"/>
    <x v="0"/>
    <x v="0"/>
    <x v="2"/>
    <x v="0"/>
  </r>
  <r>
    <x v="0"/>
    <x v="0"/>
    <n v="2239057036"/>
    <x v="2"/>
    <n v="9900"/>
    <x v="0"/>
    <x v="0"/>
    <x v="25"/>
    <x v="2"/>
    <x v="0"/>
    <x v="0"/>
    <x v="2"/>
    <x v="0"/>
  </r>
  <r>
    <x v="0"/>
    <x v="0"/>
    <n v="2239057037"/>
    <x v="2"/>
    <n v="16000"/>
    <x v="0"/>
    <x v="0"/>
    <x v="25"/>
    <x v="2"/>
    <x v="0"/>
    <x v="0"/>
    <x v="2"/>
    <x v="0"/>
  </r>
  <r>
    <x v="0"/>
    <x v="0"/>
    <n v="2239057038"/>
    <x v="6"/>
    <n v="3000"/>
    <x v="0"/>
    <x v="0"/>
    <x v="25"/>
    <x v="6"/>
    <x v="0"/>
    <x v="0"/>
    <x v="5"/>
    <x v="0"/>
  </r>
  <r>
    <x v="0"/>
    <x v="0"/>
    <n v="2239057041"/>
    <x v="2"/>
    <n v="10450"/>
    <x v="0"/>
    <x v="0"/>
    <x v="25"/>
    <x v="2"/>
    <x v="0"/>
    <x v="0"/>
    <x v="2"/>
    <x v="0"/>
  </r>
  <r>
    <x v="0"/>
    <x v="0"/>
    <n v="2239057042"/>
    <x v="2"/>
    <n v="31790"/>
    <x v="0"/>
    <x v="0"/>
    <x v="25"/>
    <x v="2"/>
    <x v="0"/>
    <x v="0"/>
    <x v="2"/>
    <x v="0"/>
  </r>
  <r>
    <x v="0"/>
    <x v="0"/>
    <n v="2239057043"/>
    <x v="3"/>
    <n v="19305"/>
    <x v="0"/>
    <x v="0"/>
    <x v="25"/>
    <x v="3"/>
    <x v="0"/>
    <x v="0"/>
    <x v="3"/>
    <x v="0"/>
  </r>
  <r>
    <x v="0"/>
    <x v="0"/>
    <n v="2239057044"/>
    <x v="2"/>
    <n v="6600"/>
    <x v="0"/>
    <x v="0"/>
    <x v="25"/>
    <x v="2"/>
    <x v="0"/>
    <x v="0"/>
    <x v="2"/>
    <x v="0"/>
  </r>
  <r>
    <x v="0"/>
    <x v="0"/>
    <n v="2239057047"/>
    <x v="0"/>
    <n v="600"/>
    <x v="0"/>
    <x v="0"/>
    <x v="25"/>
    <x v="0"/>
    <x v="0"/>
    <x v="0"/>
    <x v="0"/>
    <x v="0"/>
  </r>
  <r>
    <x v="0"/>
    <x v="0"/>
    <n v="2239057048"/>
    <x v="0"/>
    <n v="6000"/>
    <x v="0"/>
    <x v="0"/>
    <x v="25"/>
    <x v="0"/>
    <x v="0"/>
    <x v="0"/>
    <x v="0"/>
    <x v="0"/>
  </r>
  <r>
    <x v="0"/>
    <x v="0"/>
    <n v="2239057049"/>
    <x v="5"/>
    <n v="-5500"/>
    <x v="0"/>
    <x v="0"/>
    <x v="25"/>
    <x v="5"/>
    <x v="0"/>
    <x v="0"/>
    <x v="5"/>
    <x v="0"/>
  </r>
  <r>
    <x v="0"/>
    <x v="0"/>
    <n v="2239057049"/>
    <x v="6"/>
    <n v="10000"/>
    <x v="0"/>
    <x v="0"/>
    <x v="25"/>
    <x v="6"/>
    <x v="0"/>
    <x v="0"/>
    <x v="5"/>
    <x v="0"/>
  </r>
  <r>
    <x v="0"/>
    <x v="0"/>
    <n v="2239057050"/>
    <x v="2"/>
    <n v="6500"/>
    <x v="0"/>
    <x v="0"/>
    <x v="25"/>
    <x v="2"/>
    <x v="0"/>
    <x v="0"/>
    <x v="2"/>
    <x v="0"/>
  </r>
  <r>
    <x v="0"/>
    <x v="0"/>
    <n v="2239057051"/>
    <x v="0"/>
    <n v="6300"/>
    <x v="0"/>
    <x v="0"/>
    <x v="25"/>
    <x v="0"/>
    <x v="0"/>
    <x v="0"/>
    <x v="0"/>
    <x v="0"/>
  </r>
  <r>
    <x v="0"/>
    <x v="0"/>
    <n v="2239057052"/>
    <x v="5"/>
    <n v="-1000"/>
    <x v="0"/>
    <x v="0"/>
    <x v="25"/>
    <x v="5"/>
    <x v="0"/>
    <x v="0"/>
    <x v="5"/>
    <x v="0"/>
  </r>
  <r>
    <x v="0"/>
    <x v="0"/>
    <n v="2239057052"/>
    <x v="6"/>
    <n v="5000"/>
    <x v="0"/>
    <x v="0"/>
    <x v="25"/>
    <x v="6"/>
    <x v="0"/>
    <x v="0"/>
    <x v="5"/>
    <x v="0"/>
  </r>
  <r>
    <x v="0"/>
    <x v="0"/>
    <n v="2239057053"/>
    <x v="5"/>
    <n v="-4700"/>
    <x v="0"/>
    <x v="0"/>
    <x v="25"/>
    <x v="5"/>
    <x v="0"/>
    <x v="0"/>
    <x v="5"/>
    <x v="0"/>
  </r>
  <r>
    <x v="0"/>
    <x v="0"/>
    <n v="2239057053"/>
    <x v="4"/>
    <n v="10000"/>
    <x v="0"/>
    <x v="0"/>
    <x v="25"/>
    <x v="4"/>
    <x v="0"/>
    <x v="0"/>
    <x v="4"/>
    <x v="0"/>
  </r>
  <r>
    <x v="0"/>
    <x v="0"/>
    <n v="2239057054"/>
    <x v="5"/>
    <n v="-5000"/>
    <x v="0"/>
    <x v="0"/>
    <x v="25"/>
    <x v="5"/>
    <x v="0"/>
    <x v="0"/>
    <x v="5"/>
    <x v="0"/>
  </r>
  <r>
    <x v="0"/>
    <x v="0"/>
    <n v="2239057054"/>
    <x v="6"/>
    <n v="20000"/>
    <x v="0"/>
    <x v="0"/>
    <x v="25"/>
    <x v="6"/>
    <x v="0"/>
    <x v="0"/>
    <x v="5"/>
    <x v="0"/>
  </r>
  <r>
    <x v="0"/>
    <x v="0"/>
    <n v="2239057055"/>
    <x v="6"/>
    <n v="3000"/>
    <x v="0"/>
    <x v="0"/>
    <x v="25"/>
    <x v="6"/>
    <x v="0"/>
    <x v="0"/>
    <x v="5"/>
    <x v="0"/>
  </r>
  <r>
    <x v="0"/>
    <x v="0"/>
    <n v="2239057057"/>
    <x v="3"/>
    <n v="55000"/>
    <x v="0"/>
    <x v="0"/>
    <x v="25"/>
    <x v="3"/>
    <x v="0"/>
    <x v="0"/>
    <x v="3"/>
    <x v="0"/>
  </r>
  <r>
    <x v="0"/>
    <x v="0"/>
    <n v="2239057059"/>
    <x v="2"/>
    <n v="12000"/>
    <x v="0"/>
    <x v="0"/>
    <x v="25"/>
    <x v="2"/>
    <x v="0"/>
    <x v="0"/>
    <x v="2"/>
    <x v="0"/>
  </r>
  <r>
    <x v="0"/>
    <x v="0"/>
    <n v="2239057060"/>
    <x v="1"/>
    <n v="1950"/>
    <x v="0"/>
    <x v="0"/>
    <x v="25"/>
    <x v="1"/>
    <x v="0"/>
    <x v="0"/>
    <x v="1"/>
    <x v="0"/>
  </r>
  <r>
    <x v="0"/>
    <x v="0"/>
    <n v="2239057061"/>
    <x v="5"/>
    <n v="-5000"/>
    <x v="0"/>
    <x v="0"/>
    <x v="25"/>
    <x v="5"/>
    <x v="0"/>
    <x v="0"/>
    <x v="5"/>
    <x v="0"/>
  </r>
  <r>
    <x v="0"/>
    <x v="0"/>
    <n v="2239057061"/>
    <x v="6"/>
    <n v="30500"/>
    <x v="0"/>
    <x v="0"/>
    <x v="25"/>
    <x v="6"/>
    <x v="0"/>
    <x v="0"/>
    <x v="5"/>
    <x v="0"/>
  </r>
  <r>
    <x v="0"/>
    <x v="0"/>
    <n v="2239057062"/>
    <x v="5"/>
    <n v="-300"/>
    <x v="0"/>
    <x v="0"/>
    <x v="25"/>
    <x v="5"/>
    <x v="0"/>
    <x v="0"/>
    <x v="5"/>
    <x v="0"/>
  </r>
  <r>
    <x v="0"/>
    <x v="0"/>
    <n v="2239057062"/>
    <x v="4"/>
    <n v="6000"/>
    <x v="0"/>
    <x v="0"/>
    <x v="25"/>
    <x v="4"/>
    <x v="0"/>
    <x v="0"/>
    <x v="4"/>
    <x v="0"/>
  </r>
  <r>
    <x v="0"/>
    <x v="0"/>
    <n v="2239057063"/>
    <x v="8"/>
    <n v="7000"/>
    <x v="0"/>
    <x v="0"/>
    <x v="25"/>
    <x v="8"/>
    <x v="0"/>
    <x v="0"/>
    <x v="3"/>
    <x v="0"/>
  </r>
  <r>
    <x v="0"/>
    <x v="0"/>
    <n v="2239057064"/>
    <x v="5"/>
    <n v="-4500"/>
    <x v="0"/>
    <x v="0"/>
    <x v="25"/>
    <x v="5"/>
    <x v="0"/>
    <x v="0"/>
    <x v="5"/>
    <x v="0"/>
  </r>
  <r>
    <x v="0"/>
    <x v="0"/>
    <n v="2239057064"/>
    <x v="6"/>
    <n v="10000"/>
    <x v="0"/>
    <x v="0"/>
    <x v="25"/>
    <x v="6"/>
    <x v="0"/>
    <x v="0"/>
    <x v="5"/>
    <x v="0"/>
  </r>
  <r>
    <x v="0"/>
    <x v="0"/>
    <n v="2239057065"/>
    <x v="2"/>
    <n v="8250"/>
    <x v="0"/>
    <x v="0"/>
    <x v="25"/>
    <x v="2"/>
    <x v="0"/>
    <x v="0"/>
    <x v="2"/>
    <x v="0"/>
  </r>
  <r>
    <x v="0"/>
    <x v="0"/>
    <n v="2239057066"/>
    <x v="2"/>
    <n v="14300"/>
    <x v="0"/>
    <x v="0"/>
    <x v="25"/>
    <x v="2"/>
    <x v="0"/>
    <x v="0"/>
    <x v="2"/>
    <x v="0"/>
  </r>
  <r>
    <x v="0"/>
    <x v="0"/>
    <n v="2239057067"/>
    <x v="5"/>
    <n v="-8000"/>
    <x v="0"/>
    <x v="0"/>
    <x v="25"/>
    <x v="5"/>
    <x v="0"/>
    <x v="0"/>
    <x v="5"/>
    <x v="0"/>
  </r>
  <r>
    <x v="0"/>
    <x v="0"/>
    <n v="2239057067"/>
    <x v="6"/>
    <n v="20000"/>
    <x v="0"/>
    <x v="0"/>
    <x v="25"/>
    <x v="6"/>
    <x v="0"/>
    <x v="0"/>
    <x v="5"/>
    <x v="0"/>
  </r>
  <r>
    <x v="0"/>
    <x v="0"/>
    <n v="2239057068"/>
    <x v="5"/>
    <n v="-1190"/>
    <x v="0"/>
    <x v="0"/>
    <x v="25"/>
    <x v="5"/>
    <x v="0"/>
    <x v="0"/>
    <x v="5"/>
    <x v="0"/>
  </r>
  <r>
    <x v="0"/>
    <x v="0"/>
    <n v="2239057068"/>
    <x v="6"/>
    <n v="20000"/>
    <x v="0"/>
    <x v="0"/>
    <x v="25"/>
    <x v="6"/>
    <x v="0"/>
    <x v="0"/>
    <x v="5"/>
    <x v="0"/>
  </r>
  <r>
    <x v="0"/>
    <x v="0"/>
    <n v="2239057068"/>
    <x v="7"/>
    <n v="2090"/>
    <x v="0"/>
    <x v="0"/>
    <x v="25"/>
    <x v="7"/>
    <x v="0"/>
    <x v="0"/>
    <x v="1"/>
    <x v="0"/>
  </r>
  <r>
    <x v="0"/>
    <x v="0"/>
    <n v="2239057069"/>
    <x v="1"/>
    <n v="900"/>
    <x v="0"/>
    <x v="0"/>
    <x v="25"/>
    <x v="1"/>
    <x v="0"/>
    <x v="0"/>
    <x v="1"/>
    <x v="0"/>
  </r>
  <r>
    <x v="0"/>
    <x v="0"/>
    <n v="2239057070"/>
    <x v="2"/>
    <n v="4620"/>
    <x v="0"/>
    <x v="0"/>
    <x v="25"/>
    <x v="2"/>
    <x v="0"/>
    <x v="0"/>
    <x v="2"/>
    <x v="0"/>
  </r>
  <r>
    <x v="0"/>
    <x v="0"/>
    <n v="2239057071"/>
    <x v="8"/>
    <n v="18700"/>
    <x v="0"/>
    <x v="0"/>
    <x v="25"/>
    <x v="8"/>
    <x v="0"/>
    <x v="0"/>
    <x v="3"/>
    <x v="0"/>
  </r>
  <r>
    <x v="0"/>
    <x v="0"/>
    <n v="2239057072"/>
    <x v="2"/>
    <n v="5500"/>
    <x v="0"/>
    <x v="0"/>
    <x v="25"/>
    <x v="2"/>
    <x v="0"/>
    <x v="0"/>
    <x v="2"/>
    <x v="0"/>
  </r>
  <r>
    <x v="0"/>
    <x v="0"/>
    <n v="2239057073"/>
    <x v="6"/>
    <n v="3000"/>
    <x v="0"/>
    <x v="0"/>
    <x v="25"/>
    <x v="6"/>
    <x v="0"/>
    <x v="0"/>
    <x v="5"/>
    <x v="0"/>
  </r>
  <r>
    <x v="0"/>
    <x v="0"/>
    <n v="2239057074"/>
    <x v="2"/>
    <n v="6500"/>
    <x v="0"/>
    <x v="0"/>
    <x v="25"/>
    <x v="2"/>
    <x v="0"/>
    <x v="0"/>
    <x v="2"/>
    <x v="0"/>
  </r>
  <r>
    <x v="0"/>
    <x v="0"/>
    <n v="2239057075"/>
    <x v="3"/>
    <n v="10500"/>
    <x v="0"/>
    <x v="0"/>
    <x v="25"/>
    <x v="3"/>
    <x v="0"/>
    <x v="0"/>
    <x v="3"/>
    <x v="0"/>
  </r>
  <r>
    <x v="0"/>
    <x v="0"/>
    <n v="2239057076"/>
    <x v="2"/>
    <n v="28900"/>
    <x v="0"/>
    <x v="0"/>
    <x v="25"/>
    <x v="2"/>
    <x v="0"/>
    <x v="0"/>
    <x v="2"/>
    <x v="0"/>
  </r>
  <r>
    <x v="0"/>
    <x v="0"/>
    <n v="2239057077"/>
    <x v="2"/>
    <n v="5280"/>
    <x v="0"/>
    <x v="0"/>
    <x v="25"/>
    <x v="2"/>
    <x v="0"/>
    <x v="0"/>
    <x v="2"/>
    <x v="0"/>
  </r>
  <r>
    <x v="0"/>
    <x v="0"/>
    <n v="2239057078"/>
    <x v="0"/>
    <n v="900"/>
    <x v="0"/>
    <x v="0"/>
    <x v="25"/>
    <x v="0"/>
    <x v="0"/>
    <x v="0"/>
    <x v="0"/>
    <x v="0"/>
  </r>
  <r>
    <x v="0"/>
    <x v="0"/>
    <n v="2239057079"/>
    <x v="2"/>
    <n v="12300"/>
    <x v="0"/>
    <x v="0"/>
    <x v="25"/>
    <x v="2"/>
    <x v="0"/>
    <x v="0"/>
    <x v="2"/>
    <x v="0"/>
  </r>
  <r>
    <x v="0"/>
    <x v="0"/>
    <n v="2239057081"/>
    <x v="5"/>
    <n v="-5000"/>
    <x v="0"/>
    <x v="0"/>
    <x v="25"/>
    <x v="5"/>
    <x v="0"/>
    <x v="0"/>
    <x v="5"/>
    <x v="0"/>
  </r>
  <r>
    <x v="0"/>
    <x v="0"/>
    <n v="2239057081"/>
    <x v="4"/>
    <n v="10300"/>
    <x v="0"/>
    <x v="0"/>
    <x v="25"/>
    <x v="4"/>
    <x v="0"/>
    <x v="0"/>
    <x v="4"/>
    <x v="0"/>
  </r>
  <r>
    <x v="0"/>
    <x v="0"/>
    <n v="2239057082"/>
    <x v="3"/>
    <n v="30120"/>
    <x v="0"/>
    <x v="0"/>
    <x v="25"/>
    <x v="3"/>
    <x v="0"/>
    <x v="0"/>
    <x v="3"/>
    <x v="0"/>
  </r>
  <r>
    <x v="0"/>
    <x v="0"/>
    <n v="2239057083"/>
    <x v="2"/>
    <n v="15000"/>
    <x v="0"/>
    <x v="0"/>
    <x v="25"/>
    <x v="2"/>
    <x v="0"/>
    <x v="0"/>
    <x v="2"/>
    <x v="0"/>
  </r>
  <r>
    <x v="0"/>
    <x v="0"/>
    <n v="2239057085"/>
    <x v="2"/>
    <n v="3000"/>
    <x v="0"/>
    <x v="0"/>
    <x v="25"/>
    <x v="2"/>
    <x v="0"/>
    <x v="0"/>
    <x v="2"/>
    <x v="0"/>
  </r>
  <r>
    <x v="0"/>
    <x v="0"/>
    <n v="2239057086"/>
    <x v="2"/>
    <n v="54230"/>
    <x v="0"/>
    <x v="0"/>
    <x v="25"/>
    <x v="2"/>
    <x v="0"/>
    <x v="0"/>
    <x v="2"/>
    <x v="0"/>
  </r>
  <r>
    <x v="0"/>
    <x v="0"/>
    <n v="2239057087"/>
    <x v="8"/>
    <n v="9500"/>
    <x v="0"/>
    <x v="0"/>
    <x v="25"/>
    <x v="8"/>
    <x v="0"/>
    <x v="0"/>
    <x v="3"/>
    <x v="0"/>
  </r>
  <r>
    <x v="0"/>
    <x v="0"/>
    <n v="2239057088"/>
    <x v="0"/>
    <n v="1950"/>
    <x v="0"/>
    <x v="0"/>
    <x v="25"/>
    <x v="0"/>
    <x v="0"/>
    <x v="0"/>
    <x v="0"/>
    <x v="0"/>
  </r>
  <r>
    <x v="0"/>
    <x v="0"/>
    <n v="2239057089"/>
    <x v="3"/>
    <n v="6600"/>
    <x v="0"/>
    <x v="0"/>
    <x v="25"/>
    <x v="3"/>
    <x v="0"/>
    <x v="0"/>
    <x v="3"/>
    <x v="0"/>
  </r>
  <r>
    <x v="0"/>
    <x v="0"/>
    <n v="2239057090"/>
    <x v="2"/>
    <n v="10450"/>
    <x v="0"/>
    <x v="0"/>
    <x v="25"/>
    <x v="2"/>
    <x v="0"/>
    <x v="0"/>
    <x v="2"/>
    <x v="0"/>
  </r>
  <r>
    <x v="0"/>
    <x v="0"/>
    <n v="2239057091"/>
    <x v="2"/>
    <n v="14000"/>
    <x v="0"/>
    <x v="0"/>
    <x v="25"/>
    <x v="2"/>
    <x v="0"/>
    <x v="0"/>
    <x v="2"/>
    <x v="0"/>
  </r>
  <r>
    <x v="0"/>
    <x v="0"/>
    <n v="2239057092"/>
    <x v="2"/>
    <n v="19000"/>
    <x v="0"/>
    <x v="0"/>
    <x v="25"/>
    <x v="2"/>
    <x v="0"/>
    <x v="0"/>
    <x v="2"/>
    <x v="0"/>
  </r>
  <r>
    <x v="0"/>
    <x v="0"/>
    <n v="2239057094"/>
    <x v="5"/>
    <n v="-3500"/>
    <x v="0"/>
    <x v="0"/>
    <x v="25"/>
    <x v="5"/>
    <x v="0"/>
    <x v="0"/>
    <x v="5"/>
    <x v="0"/>
  </r>
  <r>
    <x v="0"/>
    <x v="0"/>
    <n v="2239057094"/>
    <x v="6"/>
    <n v="10000"/>
    <x v="0"/>
    <x v="0"/>
    <x v="25"/>
    <x v="6"/>
    <x v="0"/>
    <x v="0"/>
    <x v="5"/>
    <x v="0"/>
  </r>
  <r>
    <x v="0"/>
    <x v="0"/>
    <n v="2239057095"/>
    <x v="2"/>
    <n v="11500"/>
    <x v="0"/>
    <x v="0"/>
    <x v="25"/>
    <x v="2"/>
    <x v="0"/>
    <x v="0"/>
    <x v="2"/>
    <x v="0"/>
  </r>
  <r>
    <x v="0"/>
    <x v="0"/>
    <n v="2239057096"/>
    <x v="2"/>
    <n v="12900"/>
    <x v="0"/>
    <x v="0"/>
    <x v="25"/>
    <x v="2"/>
    <x v="0"/>
    <x v="0"/>
    <x v="2"/>
    <x v="0"/>
  </r>
  <r>
    <x v="0"/>
    <x v="0"/>
    <n v="2239057097"/>
    <x v="2"/>
    <n v="13200"/>
    <x v="0"/>
    <x v="0"/>
    <x v="25"/>
    <x v="2"/>
    <x v="0"/>
    <x v="0"/>
    <x v="2"/>
    <x v="0"/>
  </r>
  <r>
    <x v="0"/>
    <x v="0"/>
    <n v="2239057098"/>
    <x v="1"/>
    <n v="900"/>
    <x v="0"/>
    <x v="0"/>
    <x v="25"/>
    <x v="1"/>
    <x v="0"/>
    <x v="0"/>
    <x v="1"/>
    <x v="0"/>
  </r>
  <r>
    <x v="0"/>
    <x v="0"/>
    <n v="2239057099"/>
    <x v="5"/>
    <n v="-15000"/>
    <x v="0"/>
    <x v="0"/>
    <x v="25"/>
    <x v="5"/>
    <x v="0"/>
    <x v="0"/>
    <x v="5"/>
    <x v="0"/>
  </r>
  <r>
    <x v="0"/>
    <x v="0"/>
    <n v="2239057099"/>
    <x v="4"/>
    <n v="20000"/>
    <x v="0"/>
    <x v="0"/>
    <x v="25"/>
    <x v="4"/>
    <x v="0"/>
    <x v="0"/>
    <x v="4"/>
    <x v="0"/>
  </r>
  <r>
    <x v="0"/>
    <x v="0"/>
    <n v="2239057100"/>
    <x v="3"/>
    <n v="55440"/>
    <x v="0"/>
    <x v="0"/>
    <x v="25"/>
    <x v="3"/>
    <x v="0"/>
    <x v="0"/>
    <x v="3"/>
    <x v="0"/>
  </r>
  <r>
    <x v="0"/>
    <x v="0"/>
    <n v="2239057101"/>
    <x v="1"/>
    <n v="5550"/>
    <x v="0"/>
    <x v="0"/>
    <x v="25"/>
    <x v="1"/>
    <x v="0"/>
    <x v="0"/>
    <x v="1"/>
    <x v="0"/>
  </r>
  <r>
    <x v="0"/>
    <x v="0"/>
    <n v="2239057102"/>
    <x v="2"/>
    <n v="10890"/>
    <x v="0"/>
    <x v="0"/>
    <x v="25"/>
    <x v="2"/>
    <x v="0"/>
    <x v="0"/>
    <x v="2"/>
    <x v="0"/>
  </r>
  <r>
    <x v="0"/>
    <x v="0"/>
    <n v="2239057103"/>
    <x v="2"/>
    <n v="7500"/>
    <x v="0"/>
    <x v="0"/>
    <x v="25"/>
    <x v="2"/>
    <x v="0"/>
    <x v="0"/>
    <x v="2"/>
    <x v="0"/>
  </r>
  <r>
    <x v="0"/>
    <x v="0"/>
    <n v="2239057104"/>
    <x v="0"/>
    <n v="1050"/>
    <x v="0"/>
    <x v="0"/>
    <x v="25"/>
    <x v="0"/>
    <x v="0"/>
    <x v="0"/>
    <x v="0"/>
    <x v="0"/>
  </r>
  <r>
    <x v="0"/>
    <x v="0"/>
    <n v="2239057105"/>
    <x v="1"/>
    <n v="2850"/>
    <x v="0"/>
    <x v="0"/>
    <x v="25"/>
    <x v="1"/>
    <x v="0"/>
    <x v="0"/>
    <x v="1"/>
    <x v="0"/>
  </r>
  <r>
    <x v="0"/>
    <x v="0"/>
    <n v="2239057106"/>
    <x v="3"/>
    <n v="8250"/>
    <x v="0"/>
    <x v="0"/>
    <x v="25"/>
    <x v="3"/>
    <x v="0"/>
    <x v="0"/>
    <x v="3"/>
    <x v="0"/>
  </r>
  <r>
    <x v="0"/>
    <x v="0"/>
    <n v="2239057107"/>
    <x v="7"/>
    <n v="2660"/>
    <x v="0"/>
    <x v="0"/>
    <x v="25"/>
    <x v="7"/>
    <x v="0"/>
    <x v="0"/>
    <x v="1"/>
    <x v="0"/>
  </r>
  <r>
    <x v="0"/>
    <x v="0"/>
    <n v="2239057110"/>
    <x v="5"/>
    <n v="-8400"/>
    <x v="0"/>
    <x v="0"/>
    <x v="25"/>
    <x v="5"/>
    <x v="0"/>
    <x v="0"/>
    <x v="5"/>
    <x v="0"/>
  </r>
  <r>
    <x v="0"/>
    <x v="0"/>
    <n v="2239057110"/>
    <x v="6"/>
    <n v="20000"/>
    <x v="0"/>
    <x v="0"/>
    <x v="25"/>
    <x v="6"/>
    <x v="0"/>
    <x v="0"/>
    <x v="5"/>
    <x v="0"/>
  </r>
  <r>
    <x v="0"/>
    <x v="0"/>
    <n v="2239057111"/>
    <x v="2"/>
    <n v="36850"/>
    <x v="0"/>
    <x v="0"/>
    <x v="25"/>
    <x v="2"/>
    <x v="0"/>
    <x v="0"/>
    <x v="2"/>
    <x v="0"/>
  </r>
  <r>
    <x v="0"/>
    <x v="0"/>
    <n v="2239057112"/>
    <x v="2"/>
    <n v="10450"/>
    <x v="0"/>
    <x v="0"/>
    <x v="25"/>
    <x v="2"/>
    <x v="0"/>
    <x v="0"/>
    <x v="2"/>
    <x v="0"/>
  </r>
  <r>
    <x v="0"/>
    <x v="0"/>
    <n v="2239057113"/>
    <x v="8"/>
    <n v="3000"/>
    <x v="0"/>
    <x v="0"/>
    <x v="25"/>
    <x v="8"/>
    <x v="0"/>
    <x v="0"/>
    <x v="3"/>
    <x v="0"/>
  </r>
  <r>
    <x v="0"/>
    <x v="0"/>
    <n v="2239057114"/>
    <x v="3"/>
    <n v="8000"/>
    <x v="0"/>
    <x v="0"/>
    <x v="25"/>
    <x v="3"/>
    <x v="0"/>
    <x v="0"/>
    <x v="3"/>
    <x v="0"/>
  </r>
  <r>
    <x v="0"/>
    <x v="0"/>
    <n v="2239057115"/>
    <x v="5"/>
    <n v="-1300"/>
    <x v="0"/>
    <x v="0"/>
    <x v="25"/>
    <x v="5"/>
    <x v="0"/>
    <x v="0"/>
    <x v="5"/>
    <x v="0"/>
  </r>
  <r>
    <x v="0"/>
    <x v="0"/>
    <n v="2239057115"/>
    <x v="6"/>
    <n v="40000"/>
    <x v="0"/>
    <x v="0"/>
    <x v="25"/>
    <x v="6"/>
    <x v="0"/>
    <x v="0"/>
    <x v="5"/>
    <x v="0"/>
  </r>
  <r>
    <x v="0"/>
    <x v="0"/>
    <n v="2239057116"/>
    <x v="7"/>
    <n v="1500"/>
    <x v="0"/>
    <x v="0"/>
    <x v="25"/>
    <x v="7"/>
    <x v="0"/>
    <x v="0"/>
    <x v="1"/>
    <x v="0"/>
  </r>
  <r>
    <x v="0"/>
    <x v="0"/>
    <n v="2239057117"/>
    <x v="0"/>
    <n v="8670"/>
    <x v="0"/>
    <x v="0"/>
    <x v="25"/>
    <x v="0"/>
    <x v="0"/>
    <x v="0"/>
    <x v="0"/>
    <x v="0"/>
  </r>
  <r>
    <x v="0"/>
    <x v="0"/>
    <n v="2239057118"/>
    <x v="2"/>
    <n v="6000"/>
    <x v="0"/>
    <x v="0"/>
    <x v="25"/>
    <x v="2"/>
    <x v="0"/>
    <x v="0"/>
    <x v="2"/>
    <x v="0"/>
  </r>
  <r>
    <x v="0"/>
    <x v="0"/>
    <n v="2239057119"/>
    <x v="7"/>
    <n v="1500"/>
    <x v="0"/>
    <x v="0"/>
    <x v="25"/>
    <x v="7"/>
    <x v="0"/>
    <x v="0"/>
    <x v="1"/>
    <x v="0"/>
  </r>
  <r>
    <x v="0"/>
    <x v="0"/>
    <n v="2239057120"/>
    <x v="7"/>
    <n v="1500"/>
    <x v="0"/>
    <x v="0"/>
    <x v="25"/>
    <x v="7"/>
    <x v="0"/>
    <x v="0"/>
    <x v="1"/>
    <x v="0"/>
  </r>
  <r>
    <x v="0"/>
    <x v="0"/>
    <n v="2239057121"/>
    <x v="0"/>
    <n v="79200"/>
    <x v="0"/>
    <x v="0"/>
    <x v="25"/>
    <x v="0"/>
    <x v="0"/>
    <x v="0"/>
    <x v="0"/>
    <x v="0"/>
  </r>
  <r>
    <x v="0"/>
    <x v="0"/>
    <n v="2239057122"/>
    <x v="2"/>
    <n v="9500"/>
    <x v="0"/>
    <x v="0"/>
    <x v="25"/>
    <x v="2"/>
    <x v="0"/>
    <x v="0"/>
    <x v="2"/>
    <x v="0"/>
  </r>
  <r>
    <x v="0"/>
    <x v="0"/>
    <n v="2239057123"/>
    <x v="2"/>
    <n v="11550"/>
    <x v="0"/>
    <x v="0"/>
    <x v="25"/>
    <x v="2"/>
    <x v="0"/>
    <x v="0"/>
    <x v="2"/>
    <x v="0"/>
  </r>
  <r>
    <x v="0"/>
    <x v="0"/>
    <n v="2239057124"/>
    <x v="7"/>
    <n v="1500"/>
    <x v="0"/>
    <x v="0"/>
    <x v="25"/>
    <x v="7"/>
    <x v="0"/>
    <x v="0"/>
    <x v="1"/>
    <x v="0"/>
  </r>
  <r>
    <x v="0"/>
    <x v="0"/>
    <n v="2239057125"/>
    <x v="2"/>
    <n v="6000"/>
    <x v="0"/>
    <x v="0"/>
    <x v="25"/>
    <x v="2"/>
    <x v="0"/>
    <x v="0"/>
    <x v="2"/>
    <x v="0"/>
  </r>
  <r>
    <x v="0"/>
    <x v="0"/>
    <n v="2239057126"/>
    <x v="5"/>
    <n v="-9600"/>
    <x v="0"/>
    <x v="0"/>
    <x v="25"/>
    <x v="5"/>
    <x v="0"/>
    <x v="0"/>
    <x v="5"/>
    <x v="0"/>
  </r>
  <r>
    <x v="0"/>
    <x v="0"/>
    <n v="2239057126"/>
    <x v="6"/>
    <n v="40000"/>
    <x v="0"/>
    <x v="0"/>
    <x v="25"/>
    <x v="6"/>
    <x v="0"/>
    <x v="0"/>
    <x v="5"/>
    <x v="0"/>
  </r>
  <r>
    <x v="0"/>
    <x v="0"/>
    <n v="2239057127"/>
    <x v="2"/>
    <n v="29953"/>
    <x v="0"/>
    <x v="0"/>
    <x v="25"/>
    <x v="2"/>
    <x v="0"/>
    <x v="0"/>
    <x v="2"/>
    <x v="0"/>
  </r>
  <r>
    <x v="0"/>
    <x v="0"/>
    <n v="2239057128"/>
    <x v="2"/>
    <n v="16000"/>
    <x v="0"/>
    <x v="0"/>
    <x v="25"/>
    <x v="2"/>
    <x v="0"/>
    <x v="0"/>
    <x v="2"/>
    <x v="0"/>
  </r>
  <r>
    <x v="0"/>
    <x v="0"/>
    <n v="2239057129"/>
    <x v="1"/>
    <n v="6500"/>
    <x v="0"/>
    <x v="0"/>
    <x v="25"/>
    <x v="1"/>
    <x v="0"/>
    <x v="0"/>
    <x v="1"/>
    <x v="0"/>
  </r>
  <r>
    <x v="0"/>
    <x v="0"/>
    <n v="2239057130"/>
    <x v="5"/>
    <n v="-6000"/>
    <x v="0"/>
    <x v="0"/>
    <x v="25"/>
    <x v="5"/>
    <x v="0"/>
    <x v="0"/>
    <x v="5"/>
    <x v="0"/>
  </r>
  <r>
    <x v="0"/>
    <x v="0"/>
    <n v="2239057130"/>
    <x v="6"/>
    <n v="30000"/>
    <x v="0"/>
    <x v="0"/>
    <x v="25"/>
    <x v="6"/>
    <x v="0"/>
    <x v="0"/>
    <x v="5"/>
    <x v="0"/>
  </r>
  <r>
    <x v="0"/>
    <x v="0"/>
    <n v="2239057132"/>
    <x v="2"/>
    <n v="52580"/>
    <x v="0"/>
    <x v="0"/>
    <x v="25"/>
    <x v="2"/>
    <x v="0"/>
    <x v="0"/>
    <x v="2"/>
    <x v="0"/>
  </r>
  <r>
    <x v="0"/>
    <x v="0"/>
    <n v="2239057134"/>
    <x v="5"/>
    <n v="-4400"/>
    <x v="0"/>
    <x v="0"/>
    <x v="25"/>
    <x v="5"/>
    <x v="0"/>
    <x v="0"/>
    <x v="5"/>
    <x v="0"/>
  </r>
  <r>
    <x v="0"/>
    <x v="0"/>
    <n v="2239057134"/>
    <x v="4"/>
    <n v="10000"/>
    <x v="0"/>
    <x v="0"/>
    <x v="25"/>
    <x v="4"/>
    <x v="0"/>
    <x v="0"/>
    <x v="4"/>
    <x v="0"/>
  </r>
  <r>
    <x v="0"/>
    <x v="0"/>
    <n v="2239057136"/>
    <x v="3"/>
    <n v="10890"/>
    <x v="0"/>
    <x v="0"/>
    <x v="25"/>
    <x v="3"/>
    <x v="0"/>
    <x v="0"/>
    <x v="3"/>
    <x v="0"/>
  </r>
  <r>
    <x v="0"/>
    <x v="0"/>
    <n v="2239057137"/>
    <x v="1"/>
    <n v="900"/>
    <x v="0"/>
    <x v="0"/>
    <x v="25"/>
    <x v="1"/>
    <x v="0"/>
    <x v="0"/>
    <x v="1"/>
    <x v="0"/>
  </r>
  <r>
    <x v="0"/>
    <x v="0"/>
    <n v="2239057138"/>
    <x v="1"/>
    <n v="1800"/>
    <x v="0"/>
    <x v="0"/>
    <x v="25"/>
    <x v="1"/>
    <x v="0"/>
    <x v="0"/>
    <x v="1"/>
    <x v="0"/>
  </r>
  <r>
    <x v="0"/>
    <x v="0"/>
    <n v="2239057139"/>
    <x v="3"/>
    <n v="27500"/>
    <x v="0"/>
    <x v="0"/>
    <x v="25"/>
    <x v="3"/>
    <x v="0"/>
    <x v="0"/>
    <x v="3"/>
    <x v="0"/>
  </r>
  <r>
    <x v="0"/>
    <x v="0"/>
    <n v="2239057141"/>
    <x v="6"/>
    <n v="6000"/>
    <x v="0"/>
    <x v="0"/>
    <x v="25"/>
    <x v="6"/>
    <x v="0"/>
    <x v="0"/>
    <x v="5"/>
    <x v="0"/>
  </r>
  <r>
    <x v="0"/>
    <x v="0"/>
    <n v="2239057142"/>
    <x v="2"/>
    <n v="17160"/>
    <x v="0"/>
    <x v="0"/>
    <x v="25"/>
    <x v="2"/>
    <x v="0"/>
    <x v="0"/>
    <x v="2"/>
    <x v="0"/>
  </r>
  <r>
    <x v="0"/>
    <x v="0"/>
    <n v="2239057142"/>
    <x v="7"/>
    <n v="3900"/>
    <x v="0"/>
    <x v="0"/>
    <x v="25"/>
    <x v="7"/>
    <x v="0"/>
    <x v="0"/>
    <x v="1"/>
    <x v="0"/>
  </r>
  <r>
    <x v="0"/>
    <x v="0"/>
    <n v="2239057144"/>
    <x v="2"/>
    <n v="11000"/>
    <x v="0"/>
    <x v="0"/>
    <x v="25"/>
    <x v="2"/>
    <x v="0"/>
    <x v="0"/>
    <x v="2"/>
    <x v="0"/>
  </r>
  <r>
    <x v="0"/>
    <x v="0"/>
    <n v="2239057145"/>
    <x v="2"/>
    <n v="22990"/>
    <x v="0"/>
    <x v="0"/>
    <x v="25"/>
    <x v="2"/>
    <x v="0"/>
    <x v="0"/>
    <x v="2"/>
    <x v="0"/>
  </r>
  <r>
    <x v="0"/>
    <x v="0"/>
    <n v="2239057146"/>
    <x v="7"/>
    <n v="1500"/>
    <x v="0"/>
    <x v="0"/>
    <x v="25"/>
    <x v="7"/>
    <x v="0"/>
    <x v="0"/>
    <x v="1"/>
    <x v="0"/>
  </r>
  <r>
    <x v="0"/>
    <x v="0"/>
    <n v="2239057147"/>
    <x v="0"/>
    <n v="13150"/>
    <x v="0"/>
    <x v="0"/>
    <x v="25"/>
    <x v="0"/>
    <x v="0"/>
    <x v="0"/>
    <x v="0"/>
    <x v="0"/>
  </r>
  <r>
    <x v="0"/>
    <x v="0"/>
    <n v="2239057148"/>
    <x v="2"/>
    <n v="143440"/>
    <x v="0"/>
    <x v="0"/>
    <x v="25"/>
    <x v="2"/>
    <x v="0"/>
    <x v="0"/>
    <x v="2"/>
    <x v="0"/>
  </r>
  <r>
    <x v="0"/>
    <x v="0"/>
    <n v="2239057149"/>
    <x v="5"/>
    <n v="-2000"/>
    <x v="0"/>
    <x v="0"/>
    <x v="25"/>
    <x v="5"/>
    <x v="0"/>
    <x v="0"/>
    <x v="5"/>
    <x v="0"/>
  </r>
  <r>
    <x v="0"/>
    <x v="0"/>
    <n v="2239057149"/>
    <x v="6"/>
    <n v="20500"/>
    <x v="0"/>
    <x v="0"/>
    <x v="25"/>
    <x v="6"/>
    <x v="0"/>
    <x v="0"/>
    <x v="5"/>
    <x v="0"/>
  </r>
  <r>
    <x v="0"/>
    <x v="0"/>
    <n v="2239057150"/>
    <x v="5"/>
    <n v="-2960"/>
    <x v="0"/>
    <x v="0"/>
    <x v="25"/>
    <x v="5"/>
    <x v="0"/>
    <x v="0"/>
    <x v="5"/>
    <x v="0"/>
  </r>
  <r>
    <x v="0"/>
    <x v="0"/>
    <n v="2239057150"/>
    <x v="6"/>
    <n v="20000"/>
    <x v="0"/>
    <x v="0"/>
    <x v="25"/>
    <x v="6"/>
    <x v="0"/>
    <x v="0"/>
    <x v="5"/>
    <x v="0"/>
  </r>
  <r>
    <x v="0"/>
    <x v="0"/>
    <n v="2239057150"/>
    <x v="7"/>
    <n v="11360"/>
    <x v="0"/>
    <x v="0"/>
    <x v="25"/>
    <x v="7"/>
    <x v="0"/>
    <x v="0"/>
    <x v="1"/>
    <x v="0"/>
  </r>
  <r>
    <x v="0"/>
    <x v="0"/>
    <n v="2239057151"/>
    <x v="2"/>
    <n v="4500"/>
    <x v="0"/>
    <x v="0"/>
    <x v="25"/>
    <x v="2"/>
    <x v="0"/>
    <x v="0"/>
    <x v="2"/>
    <x v="0"/>
  </r>
  <r>
    <x v="0"/>
    <x v="0"/>
    <n v="2239057152"/>
    <x v="5"/>
    <n v="-5400"/>
    <x v="0"/>
    <x v="0"/>
    <x v="25"/>
    <x v="5"/>
    <x v="0"/>
    <x v="0"/>
    <x v="5"/>
    <x v="0"/>
  </r>
  <r>
    <x v="0"/>
    <x v="0"/>
    <n v="2239057152"/>
    <x v="4"/>
    <n v="10000"/>
    <x v="0"/>
    <x v="0"/>
    <x v="25"/>
    <x v="4"/>
    <x v="0"/>
    <x v="0"/>
    <x v="4"/>
    <x v="0"/>
  </r>
  <r>
    <x v="0"/>
    <x v="0"/>
    <n v="2239057153"/>
    <x v="2"/>
    <n v="3300"/>
    <x v="0"/>
    <x v="0"/>
    <x v="25"/>
    <x v="2"/>
    <x v="0"/>
    <x v="0"/>
    <x v="2"/>
    <x v="0"/>
  </r>
  <r>
    <x v="0"/>
    <x v="0"/>
    <n v="2239057155"/>
    <x v="7"/>
    <n v="1500"/>
    <x v="0"/>
    <x v="0"/>
    <x v="25"/>
    <x v="7"/>
    <x v="0"/>
    <x v="0"/>
    <x v="1"/>
    <x v="0"/>
  </r>
  <r>
    <x v="0"/>
    <x v="0"/>
    <n v="2239057156"/>
    <x v="2"/>
    <n v="7600"/>
    <x v="0"/>
    <x v="0"/>
    <x v="25"/>
    <x v="2"/>
    <x v="0"/>
    <x v="0"/>
    <x v="2"/>
    <x v="0"/>
  </r>
  <r>
    <x v="0"/>
    <x v="0"/>
    <n v="2239057157"/>
    <x v="2"/>
    <n v="3000"/>
    <x v="0"/>
    <x v="0"/>
    <x v="25"/>
    <x v="2"/>
    <x v="0"/>
    <x v="0"/>
    <x v="2"/>
    <x v="0"/>
  </r>
  <r>
    <x v="0"/>
    <x v="0"/>
    <n v="2239057158"/>
    <x v="8"/>
    <n v="15500"/>
    <x v="0"/>
    <x v="0"/>
    <x v="25"/>
    <x v="8"/>
    <x v="0"/>
    <x v="0"/>
    <x v="3"/>
    <x v="0"/>
  </r>
  <r>
    <x v="0"/>
    <x v="0"/>
    <n v="2239057159"/>
    <x v="2"/>
    <n v="16500"/>
    <x v="0"/>
    <x v="0"/>
    <x v="25"/>
    <x v="2"/>
    <x v="0"/>
    <x v="0"/>
    <x v="2"/>
    <x v="0"/>
  </r>
  <r>
    <x v="0"/>
    <x v="0"/>
    <n v="2239057160"/>
    <x v="5"/>
    <n v="-4300"/>
    <x v="0"/>
    <x v="0"/>
    <x v="25"/>
    <x v="5"/>
    <x v="0"/>
    <x v="0"/>
    <x v="5"/>
    <x v="0"/>
  </r>
  <r>
    <x v="0"/>
    <x v="0"/>
    <n v="2239057160"/>
    <x v="4"/>
    <n v="10000"/>
    <x v="0"/>
    <x v="0"/>
    <x v="25"/>
    <x v="4"/>
    <x v="0"/>
    <x v="0"/>
    <x v="4"/>
    <x v="0"/>
  </r>
  <r>
    <x v="0"/>
    <x v="0"/>
    <n v="2239057162"/>
    <x v="2"/>
    <n v="19000"/>
    <x v="0"/>
    <x v="0"/>
    <x v="25"/>
    <x v="2"/>
    <x v="0"/>
    <x v="0"/>
    <x v="2"/>
    <x v="0"/>
  </r>
  <r>
    <x v="0"/>
    <x v="0"/>
    <n v="2239057163"/>
    <x v="2"/>
    <n v="35090"/>
    <x v="0"/>
    <x v="0"/>
    <x v="25"/>
    <x v="2"/>
    <x v="0"/>
    <x v="0"/>
    <x v="2"/>
    <x v="0"/>
  </r>
  <r>
    <x v="0"/>
    <x v="0"/>
    <n v="2239057164"/>
    <x v="3"/>
    <n v="6500"/>
    <x v="0"/>
    <x v="0"/>
    <x v="25"/>
    <x v="3"/>
    <x v="0"/>
    <x v="0"/>
    <x v="3"/>
    <x v="0"/>
  </r>
  <r>
    <x v="0"/>
    <x v="0"/>
    <n v="2239057165"/>
    <x v="5"/>
    <n v="-600"/>
    <x v="0"/>
    <x v="0"/>
    <x v="25"/>
    <x v="5"/>
    <x v="0"/>
    <x v="0"/>
    <x v="5"/>
    <x v="0"/>
  </r>
  <r>
    <x v="0"/>
    <x v="0"/>
    <n v="2239057165"/>
    <x v="6"/>
    <n v="32000"/>
    <x v="0"/>
    <x v="0"/>
    <x v="25"/>
    <x v="6"/>
    <x v="0"/>
    <x v="0"/>
    <x v="5"/>
    <x v="0"/>
  </r>
  <r>
    <x v="0"/>
    <x v="0"/>
    <n v="2239057166"/>
    <x v="2"/>
    <n v="11000"/>
    <x v="0"/>
    <x v="0"/>
    <x v="25"/>
    <x v="2"/>
    <x v="0"/>
    <x v="0"/>
    <x v="2"/>
    <x v="0"/>
  </r>
  <r>
    <x v="0"/>
    <x v="0"/>
    <n v="2239057167"/>
    <x v="1"/>
    <n v="2250"/>
    <x v="0"/>
    <x v="0"/>
    <x v="25"/>
    <x v="1"/>
    <x v="0"/>
    <x v="0"/>
    <x v="1"/>
    <x v="0"/>
  </r>
  <r>
    <x v="0"/>
    <x v="0"/>
    <n v="2239057168"/>
    <x v="1"/>
    <n v="2250"/>
    <x v="0"/>
    <x v="0"/>
    <x v="25"/>
    <x v="1"/>
    <x v="0"/>
    <x v="0"/>
    <x v="1"/>
    <x v="0"/>
  </r>
  <r>
    <x v="0"/>
    <x v="0"/>
    <n v="2239057169"/>
    <x v="7"/>
    <n v="1500"/>
    <x v="0"/>
    <x v="0"/>
    <x v="25"/>
    <x v="7"/>
    <x v="0"/>
    <x v="0"/>
    <x v="1"/>
    <x v="0"/>
  </r>
  <r>
    <x v="0"/>
    <x v="0"/>
    <n v="2239057170"/>
    <x v="6"/>
    <n v="7500"/>
    <x v="0"/>
    <x v="0"/>
    <x v="25"/>
    <x v="6"/>
    <x v="0"/>
    <x v="0"/>
    <x v="5"/>
    <x v="0"/>
  </r>
  <r>
    <x v="0"/>
    <x v="0"/>
    <n v="2239057171"/>
    <x v="3"/>
    <n v="42790"/>
    <x v="0"/>
    <x v="0"/>
    <x v="25"/>
    <x v="3"/>
    <x v="0"/>
    <x v="0"/>
    <x v="3"/>
    <x v="0"/>
  </r>
  <r>
    <x v="0"/>
    <x v="0"/>
    <n v="2239057172"/>
    <x v="0"/>
    <n v="6300"/>
    <x v="0"/>
    <x v="0"/>
    <x v="25"/>
    <x v="0"/>
    <x v="0"/>
    <x v="0"/>
    <x v="0"/>
    <x v="0"/>
  </r>
  <r>
    <x v="0"/>
    <x v="0"/>
    <n v="2239057173"/>
    <x v="2"/>
    <n v="10450"/>
    <x v="0"/>
    <x v="0"/>
    <x v="25"/>
    <x v="2"/>
    <x v="0"/>
    <x v="0"/>
    <x v="2"/>
    <x v="0"/>
  </r>
  <r>
    <x v="0"/>
    <x v="0"/>
    <n v="2239057174"/>
    <x v="2"/>
    <n v="6000"/>
    <x v="0"/>
    <x v="0"/>
    <x v="25"/>
    <x v="2"/>
    <x v="0"/>
    <x v="0"/>
    <x v="2"/>
    <x v="0"/>
  </r>
  <r>
    <x v="0"/>
    <x v="0"/>
    <n v="2239057175"/>
    <x v="6"/>
    <n v="10000"/>
    <x v="0"/>
    <x v="0"/>
    <x v="25"/>
    <x v="6"/>
    <x v="0"/>
    <x v="0"/>
    <x v="5"/>
    <x v="0"/>
  </r>
  <r>
    <x v="0"/>
    <x v="0"/>
    <n v="2239057176"/>
    <x v="2"/>
    <n v="14850"/>
    <x v="0"/>
    <x v="0"/>
    <x v="25"/>
    <x v="2"/>
    <x v="0"/>
    <x v="0"/>
    <x v="2"/>
    <x v="0"/>
  </r>
  <r>
    <x v="0"/>
    <x v="0"/>
    <n v="2239057177"/>
    <x v="2"/>
    <n v="30690"/>
    <x v="0"/>
    <x v="0"/>
    <x v="25"/>
    <x v="2"/>
    <x v="0"/>
    <x v="0"/>
    <x v="2"/>
    <x v="0"/>
  </r>
  <r>
    <x v="0"/>
    <x v="0"/>
    <n v="2239057178"/>
    <x v="5"/>
    <n v="-7260"/>
    <x v="0"/>
    <x v="0"/>
    <x v="25"/>
    <x v="5"/>
    <x v="0"/>
    <x v="0"/>
    <x v="5"/>
    <x v="0"/>
  </r>
  <r>
    <x v="0"/>
    <x v="0"/>
    <n v="2239057178"/>
    <x v="6"/>
    <n v="30000"/>
    <x v="0"/>
    <x v="0"/>
    <x v="25"/>
    <x v="6"/>
    <x v="0"/>
    <x v="0"/>
    <x v="5"/>
    <x v="0"/>
  </r>
  <r>
    <x v="0"/>
    <x v="0"/>
    <n v="2239057179"/>
    <x v="2"/>
    <n v="21800"/>
    <x v="0"/>
    <x v="0"/>
    <x v="25"/>
    <x v="2"/>
    <x v="0"/>
    <x v="0"/>
    <x v="2"/>
    <x v="0"/>
  </r>
  <r>
    <x v="0"/>
    <x v="0"/>
    <n v="2239057180"/>
    <x v="2"/>
    <n v="21000"/>
    <x v="0"/>
    <x v="0"/>
    <x v="25"/>
    <x v="2"/>
    <x v="0"/>
    <x v="0"/>
    <x v="2"/>
    <x v="0"/>
  </r>
  <r>
    <x v="0"/>
    <x v="0"/>
    <n v="2239057182"/>
    <x v="2"/>
    <n v="6500"/>
    <x v="0"/>
    <x v="0"/>
    <x v="25"/>
    <x v="2"/>
    <x v="0"/>
    <x v="0"/>
    <x v="2"/>
    <x v="0"/>
  </r>
  <r>
    <x v="0"/>
    <x v="0"/>
    <n v="2239057184"/>
    <x v="5"/>
    <n v="-7000"/>
    <x v="0"/>
    <x v="0"/>
    <x v="25"/>
    <x v="5"/>
    <x v="0"/>
    <x v="0"/>
    <x v="5"/>
    <x v="0"/>
  </r>
  <r>
    <x v="0"/>
    <x v="0"/>
    <n v="2239057184"/>
    <x v="6"/>
    <n v="10000"/>
    <x v="0"/>
    <x v="0"/>
    <x v="25"/>
    <x v="6"/>
    <x v="0"/>
    <x v="0"/>
    <x v="5"/>
    <x v="0"/>
  </r>
  <r>
    <x v="0"/>
    <x v="0"/>
    <n v="2239057185"/>
    <x v="5"/>
    <n v="-4300"/>
    <x v="0"/>
    <x v="0"/>
    <x v="25"/>
    <x v="5"/>
    <x v="0"/>
    <x v="0"/>
    <x v="5"/>
    <x v="0"/>
  </r>
  <r>
    <x v="0"/>
    <x v="0"/>
    <n v="2239057185"/>
    <x v="4"/>
    <n v="10000"/>
    <x v="0"/>
    <x v="0"/>
    <x v="25"/>
    <x v="4"/>
    <x v="0"/>
    <x v="0"/>
    <x v="4"/>
    <x v="0"/>
  </r>
  <r>
    <x v="0"/>
    <x v="0"/>
    <n v="2239057186"/>
    <x v="2"/>
    <n v="12000"/>
    <x v="0"/>
    <x v="0"/>
    <x v="25"/>
    <x v="2"/>
    <x v="0"/>
    <x v="0"/>
    <x v="2"/>
    <x v="0"/>
  </r>
  <r>
    <x v="0"/>
    <x v="0"/>
    <n v="2239057187"/>
    <x v="2"/>
    <n v="6500"/>
    <x v="0"/>
    <x v="0"/>
    <x v="25"/>
    <x v="2"/>
    <x v="0"/>
    <x v="0"/>
    <x v="2"/>
    <x v="0"/>
  </r>
  <r>
    <x v="0"/>
    <x v="0"/>
    <n v="2239057188"/>
    <x v="3"/>
    <n v="5280"/>
    <x v="0"/>
    <x v="0"/>
    <x v="25"/>
    <x v="3"/>
    <x v="0"/>
    <x v="0"/>
    <x v="3"/>
    <x v="0"/>
  </r>
  <r>
    <x v="0"/>
    <x v="0"/>
    <n v="2239057189"/>
    <x v="1"/>
    <n v="900"/>
    <x v="0"/>
    <x v="0"/>
    <x v="25"/>
    <x v="1"/>
    <x v="0"/>
    <x v="0"/>
    <x v="1"/>
    <x v="0"/>
  </r>
  <r>
    <x v="0"/>
    <x v="0"/>
    <n v="2239057190"/>
    <x v="5"/>
    <n v="-2500"/>
    <x v="0"/>
    <x v="0"/>
    <x v="25"/>
    <x v="5"/>
    <x v="0"/>
    <x v="0"/>
    <x v="5"/>
    <x v="0"/>
  </r>
  <r>
    <x v="0"/>
    <x v="0"/>
    <n v="2239057190"/>
    <x v="6"/>
    <n v="10000"/>
    <x v="0"/>
    <x v="0"/>
    <x v="25"/>
    <x v="6"/>
    <x v="0"/>
    <x v="0"/>
    <x v="5"/>
    <x v="0"/>
  </r>
  <r>
    <x v="0"/>
    <x v="0"/>
    <n v="2239057191"/>
    <x v="2"/>
    <n v="11440"/>
    <x v="0"/>
    <x v="0"/>
    <x v="25"/>
    <x v="2"/>
    <x v="0"/>
    <x v="0"/>
    <x v="2"/>
    <x v="0"/>
  </r>
  <r>
    <x v="0"/>
    <x v="0"/>
    <n v="2239057191"/>
    <x v="7"/>
    <n v="2600"/>
    <x v="0"/>
    <x v="0"/>
    <x v="25"/>
    <x v="7"/>
    <x v="0"/>
    <x v="0"/>
    <x v="1"/>
    <x v="0"/>
  </r>
  <r>
    <x v="0"/>
    <x v="0"/>
    <n v="2239057192"/>
    <x v="5"/>
    <n v="-600"/>
    <x v="0"/>
    <x v="0"/>
    <x v="25"/>
    <x v="5"/>
    <x v="0"/>
    <x v="0"/>
    <x v="5"/>
    <x v="0"/>
  </r>
  <r>
    <x v="0"/>
    <x v="0"/>
    <n v="2239057192"/>
    <x v="6"/>
    <n v="3000"/>
    <x v="0"/>
    <x v="0"/>
    <x v="25"/>
    <x v="6"/>
    <x v="0"/>
    <x v="0"/>
    <x v="5"/>
    <x v="0"/>
  </r>
  <r>
    <x v="0"/>
    <x v="0"/>
    <n v="2239057193"/>
    <x v="1"/>
    <n v="1140"/>
    <x v="0"/>
    <x v="0"/>
    <x v="25"/>
    <x v="1"/>
    <x v="0"/>
    <x v="0"/>
    <x v="1"/>
    <x v="0"/>
  </r>
  <r>
    <x v="0"/>
    <x v="0"/>
    <n v="2239057194"/>
    <x v="2"/>
    <n v="7500"/>
    <x v="0"/>
    <x v="0"/>
    <x v="25"/>
    <x v="2"/>
    <x v="0"/>
    <x v="0"/>
    <x v="2"/>
    <x v="0"/>
  </r>
  <r>
    <x v="0"/>
    <x v="0"/>
    <n v="2239057195"/>
    <x v="5"/>
    <n v="-14300"/>
    <x v="0"/>
    <x v="0"/>
    <x v="25"/>
    <x v="5"/>
    <x v="0"/>
    <x v="0"/>
    <x v="5"/>
    <x v="0"/>
  </r>
  <r>
    <x v="0"/>
    <x v="0"/>
    <n v="2239057195"/>
    <x v="4"/>
    <n v="20000"/>
    <x v="0"/>
    <x v="0"/>
    <x v="25"/>
    <x v="4"/>
    <x v="0"/>
    <x v="0"/>
    <x v="4"/>
    <x v="0"/>
  </r>
  <r>
    <x v="0"/>
    <x v="0"/>
    <n v="2239057196"/>
    <x v="6"/>
    <n v="15000"/>
    <x v="0"/>
    <x v="0"/>
    <x v="25"/>
    <x v="6"/>
    <x v="0"/>
    <x v="0"/>
    <x v="5"/>
    <x v="0"/>
  </r>
  <r>
    <x v="0"/>
    <x v="0"/>
    <n v="2239057197"/>
    <x v="5"/>
    <n v="-2500"/>
    <x v="0"/>
    <x v="0"/>
    <x v="25"/>
    <x v="5"/>
    <x v="0"/>
    <x v="0"/>
    <x v="5"/>
    <x v="0"/>
  </r>
  <r>
    <x v="0"/>
    <x v="0"/>
    <n v="2239057197"/>
    <x v="6"/>
    <n v="10000"/>
    <x v="0"/>
    <x v="0"/>
    <x v="25"/>
    <x v="6"/>
    <x v="0"/>
    <x v="0"/>
    <x v="5"/>
    <x v="0"/>
  </r>
  <r>
    <x v="0"/>
    <x v="0"/>
    <n v="2239057198"/>
    <x v="2"/>
    <n v="13750"/>
    <x v="0"/>
    <x v="0"/>
    <x v="25"/>
    <x v="2"/>
    <x v="0"/>
    <x v="0"/>
    <x v="2"/>
    <x v="0"/>
  </r>
  <r>
    <x v="0"/>
    <x v="0"/>
    <n v="2239057199"/>
    <x v="5"/>
    <n v="-5000"/>
    <x v="0"/>
    <x v="0"/>
    <x v="25"/>
    <x v="5"/>
    <x v="0"/>
    <x v="0"/>
    <x v="5"/>
    <x v="0"/>
  </r>
  <r>
    <x v="0"/>
    <x v="0"/>
    <n v="2239057199"/>
    <x v="4"/>
    <n v="10700"/>
    <x v="0"/>
    <x v="0"/>
    <x v="25"/>
    <x v="4"/>
    <x v="0"/>
    <x v="0"/>
    <x v="4"/>
    <x v="0"/>
  </r>
  <r>
    <x v="0"/>
    <x v="0"/>
    <n v="2239057200"/>
    <x v="7"/>
    <n v="1500"/>
    <x v="0"/>
    <x v="0"/>
    <x v="25"/>
    <x v="7"/>
    <x v="0"/>
    <x v="0"/>
    <x v="1"/>
    <x v="0"/>
  </r>
  <r>
    <x v="0"/>
    <x v="0"/>
    <n v="2239057201"/>
    <x v="7"/>
    <n v="1500"/>
    <x v="0"/>
    <x v="0"/>
    <x v="25"/>
    <x v="7"/>
    <x v="0"/>
    <x v="0"/>
    <x v="1"/>
    <x v="0"/>
  </r>
  <r>
    <x v="0"/>
    <x v="0"/>
    <n v="2239057202"/>
    <x v="2"/>
    <n v="12800"/>
    <x v="0"/>
    <x v="0"/>
    <x v="25"/>
    <x v="2"/>
    <x v="0"/>
    <x v="0"/>
    <x v="2"/>
    <x v="0"/>
  </r>
  <r>
    <x v="0"/>
    <x v="0"/>
    <n v="2239057203"/>
    <x v="5"/>
    <n v="-14400"/>
    <x v="0"/>
    <x v="0"/>
    <x v="25"/>
    <x v="5"/>
    <x v="0"/>
    <x v="0"/>
    <x v="5"/>
    <x v="0"/>
  </r>
  <r>
    <x v="0"/>
    <x v="0"/>
    <n v="2239057203"/>
    <x v="4"/>
    <n v="20000"/>
    <x v="0"/>
    <x v="0"/>
    <x v="25"/>
    <x v="4"/>
    <x v="0"/>
    <x v="0"/>
    <x v="4"/>
    <x v="0"/>
  </r>
  <r>
    <x v="0"/>
    <x v="0"/>
    <n v="2239057204"/>
    <x v="3"/>
    <n v="4950"/>
    <x v="0"/>
    <x v="0"/>
    <x v="25"/>
    <x v="3"/>
    <x v="0"/>
    <x v="0"/>
    <x v="3"/>
    <x v="0"/>
  </r>
  <r>
    <x v="0"/>
    <x v="0"/>
    <n v="2239057205"/>
    <x v="7"/>
    <n v="1500"/>
    <x v="0"/>
    <x v="0"/>
    <x v="25"/>
    <x v="7"/>
    <x v="0"/>
    <x v="0"/>
    <x v="1"/>
    <x v="0"/>
  </r>
  <r>
    <x v="0"/>
    <x v="0"/>
    <n v="2239057206"/>
    <x v="1"/>
    <n v="1200"/>
    <x v="0"/>
    <x v="0"/>
    <x v="25"/>
    <x v="1"/>
    <x v="0"/>
    <x v="0"/>
    <x v="1"/>
    <x v="0"/>
  </r>
  <r>
    <x v="0"/>
    <x v="0"/>
    <n v="2239057207"/>
    <x v="5"/>
    <n v="-3500"/>
    <x v="0"/>
    <x v="0"/>
    <x v="25"/>
    <x v="5"/>
    <x v="0"/>
    <x v="0"/>
    <x v="5"/>
    <x v="0"/>
  </r>
  <r>
    <x v="0"/>
    <x v="0"/>
    <n v="2239057207"/>
    <x v="6"/>
    <n v="35000"/>
    <x v="0"/>
    <x v="0"/>
    <x v="25"/>
    <x v="6"/>
    <x v="0"/>
    <x v="0"/>
    <x v="5"/>
    <x v="0"/>
  </r>
  <r>
    <x v="0"/>
    <x v="0"/>
    <n v="2239057208"/>
    <x v="0"/>
    <n v="750"/>
    <x v="0"/>
    <x v="0"/>
    <x v="25"/>
    <x v="0"/>
    <x v="0"/>
    <x v="0"/>
    <x v="0"/>
    <x v="0"/>
  </r>
  <r>
    <x v="0"/>
    <x v="0"/>
    <n v="2239057209"/>
    <x v="5"/>
    <n v="-4000"/>
    <x v="0"/>
    <x v="0"/>
    <x v="25"/>
    <x v="5"/>
    <x v="0"/>
    <x v="0"/>
    <x v="5"/>
    <x v="0"/>
  </r>
  <r>
    <x v="0"/>
    <x v="0"/>
    <n v="2239057209"/>
    <x v="6"/>
    <n v="10000"/>
    <x v="0"/>
    <x v="0"/>
    <x v="25"/>
    <x v="6"/>
    <x v="0"/>
    <x v="0"/>
    <x v="5"/>
    <x v="0"/>
  </r>
  <r>
    <x v="0"/>
    <x v="0"/>
    <n v="2239057210"/>
    <x v="0"/>
    <n v="2400"/>
    <x v="0"/>
    <x v="0"/>
    <x v="25"/>
    <x v="0"/>
    <x v="0"/>
    <x v="0"/>
    <x v="0"/>
    <x v="0"/>
  </r>
  <r>
    <x v="0"/>
    <x v="0"/>
    <n v="2239057211"/>
    <x v="0"/>
    <n v="1950"/>
    <x v="0"/>
    <x v="0"/>
    <x v="25"/>
    <x v="0"/>
    <x v="0"/>
    <x v="0"/>
    <x v="0"/>
    <x v="0"/>
  </r>
  <r>
    <x v="0"/>
    <x v="0"/>
    <n v="2239057212"/>
    <x v="2"/>
    <n v="23100"/>
    <x v="0"/>
    <x v="0"/>
    <x v="25"/>
    <x v="2"/>
    <x v="0"/>
    <x v="0"/>
    <x v="2"/>
    <x v="0"/>
  </r>
  <r>
    <x v="0"/>
    <x v="0"/>
    <n v="2239057213"/>
    <x v="7"/>
    <n v="1500"/>
    <x v="0"/>
    <x v="0"/>
    <x v="25"/>
    <x v="7"/>
    <x v="0"/>
    <x v="0"/>
    <x v="1"/>
    <x v="0"/>
  </r>
  <r>
    <x v="0"/>
    <x v="0"/>
    <n v="2239057214"/>
    <x v="3"/>
    <n v="3300"/>
    <x v="0"/>
    <x v="0"/>
    <x v="25"/>
    <x v="3"/>
    <x v="0"/>
    <x v="0"/>
    <x v="3"/>
    <x v="0"/>
  </r>
  <r>
    <x v="0"/>
    <x v="0"/>
    <n v="2239057215"/>
    <x v="5"/>
    <n v="-5000"/>
    <x v="0"/>
    <x v="0"/>
    <x v="25"/>
    <x v="5"/>
    <x v="0"/>
    <x v="0"/>
    <x v="5"/>
    <x v="0"/>
  </r>
  <r>
    <x v="0"/>
    <x v="0"/>
    <n v="2239057215"/>
    <x v="4"/>
    <n v="10000"/>
    <x v="0"/>
    <x v="0"/>
    <x v="25"/>
    <x v="4"/>
    <x v="0"/>
    <x v="0"/>
    <x v="4"/>
    <x v="0"/>
  </r>
  <r>
    <x v="0"/>
    <x v="0"/>
    <n v="2239057216"/>
    <x v="6"/>
    <n v="15000"/>
    <x v="0"/>
    <x v="0"/>
    <x v="25"/>
    <x v="6"/>
    <x v="0"/>
    <x v="0"/>
    <x v="5"/>
    <x v="0"/>
  </r>
  <r>
    <x v="0"/>
    <x v="0"/>
    <n v="2239057217"/>
    <x v="6"/>
    <n v="10000"/>
    <x v="0"/>
    <x v="0"/>
    <x v="25"/>
    <x v="6"/>
    <x v="0"/>
    <x v="0"/>
    <x v="5"/>
    <x v="0"/>
  </r>
  <r>
    <x v="0"/>
    <x v="0"/>
    <n v="2239057218"/>
    <x v="2"/>
    <n v="13000"/>
    <x v="0"/>
    <x v="0"/>
    <x v="25"/>
    <x v="2"/>
    <x v="0"/>
    <x v="0"/>
    <x v="2"/>
    <x v="0"/>
  </r>
  <r>
    <x v="0"/>
    <x v="0"/>
    <n v="2239057219"/>
    <x v="2"/>
    <n v="11440"/>
    <x v="0"/>
    <x v="0"/>
    <x v="25"/>
    <x v="2"/>
    <x v="0"/>
    <x v="0"/>
    <x v="2"/>
    <x v="0"/>
  </r>
  <r>
    <x v="0"/>
    <x v="0"/>
    <n v="2239057219"/>
    <x v="7"/>
    <n v="2600"/>
    <x v="0"/>
    <x v="0"/>
    <x v="25"/>
    <x v="7"/>
    <x v="0"/>
    <x v="0"/>
    <x v="1"/>
    <x v="0"/>
  </r>
  <r>
    <x v="0"/>
    <x v="0"/>
    <n v="2239057220"/>
    <x v="4"/>
    <n v="5000"/>
    <x v="0"/>
    <x v="0"/>
    <x v="25"/>
    <x v="4"/>
    <x v="0"/>
    <x v="0"/>
    <x v="4"/>
    <x v="0"/>
  </r>
  <r>
    <x v="0"/>
    <x v="0"/>
    <n v="2239057221"/>
    <x v="2"/>
    <n v="6000"/>
    <x v="0"/>
    <x v="0"/>
    <x v="25"/>
    <x v="2"/>
    <x v="0"/>
    <x v="0"/>
    <x v="2"/>
    <x v="0"/>
  </r>
  <r>
    <x v="0"/>
    <x v="0"/>
    <n v="2239057222"/>
    <x v="5"/>
    <n v="-8500"/>
    <x v="0"/>
    <x v="0"/>
    <x v="25"/>
    <x v="5"/>
    <x v="0"/>
    <x v="0"/>
    <x v="5"/>
    <x v="0"/>
  </r>
  <r>
    <x v="0"/>
    <x v="0"/>
    <n v="2239057222"/>
    <x v="6"/>
    <n v="30000"/>
    <x v="0"/>
    <x v="0"/>
    <x v="25"/>
    <x v="6"/>
    <x v="0"/>
    <x v="0"/>
    <x v="5"/>
    <x v="0"/>
  </r>
  <r>
    <x v="0"/>
    <x v="0"/>
    <n v="2239057223"/>
    <x v="2"/>
    <n v="14080"/>
    <x v="0"/>
    <x v="0"/>
    <x v="25"/>
    <x v="2"/>
    <x v="0"/>
    <x v="0"/>
    <x v="2"/>
    <x v="0"/>
  </r>
  <r>
    <x v="0"/>
    <x v="0"/>
    <n v="2239057224"/>
    <x v="2"/>
    <n v="10500"/>
    <x v="0"/>
    <x v="0"/>
    <x v="25"/>
    <x v="2"/>
    <x v="0"/>
    <x v="0"/>
    <x v="2"/>
    <x v="0"/>
  </r>
  <r>
    <x v="0"/>
    <x v="0"/>
    <n v="2239057225"/>
    <x v="1"/>
    <n v="1950"/>
    <x v="0"/>
    <x v="0"/>
    <x v="25"/>
    <x v="1"/>
    <x v="0"/>
    <x v="0"/>
    <x v="1"/>
    <x v="0"/>
  </r>
  <r>
    <x v="0"/>
    <x v="0"/>
    <n v="2239057226"/>
    <x v="2"/>
    <n v="8690"/>
    <x v="0"/>
    <x v="0"/>
    <x v="25"/>
    <x v="2"/>
    <x v="0"/>
    <x v="0"/>
    <x v="2"/>
    <x v="0"/>
  </r>
  <r>
    <x v="0"/>
    <x v="0"/>
    <n v="2239057227"/>
    <x v="1"/>
    <n v="1950"/>
    <x v="0"/>
    <x v="0"/>
    <x v="25"/>
    <x v="1"/>
    <x v="0"/>
    <x v="0"/>
    <x v="1"/>
    <x v="0"/>
  </r>
  <r>
    <x v="0"/>
    <x v="0"/>
    <n v="2239057228"/>
    <x v="5"/>
    <n v="-5000"/>
    <x v="0"/>
    <x v="0"/>
    <x v="25"/>
    <x v="5"/>
    <x v="0"/>
    <x v="0"/>
    <x v="5"/>
    <x v="0"/>
  </r>
  <r>
    <x v="0"/>
    <x v="0"/>
    <n v="2239057228"/>
    <x v="4"/>
    <n v="10700"/>
    <x v="0"/>
    <x v="0"/>
    <x v="25"/>
    <x v="4"/>
    <x v="0"/>
    <x v="0"/>
    <x v="4"/>
    <x v="0"/>
  </r>
  <r>
    <x v="0"/>
    <x v="0"/>
    <n v="2239057229"/>
    <x v="2"/>
    <n v="8800"/>
    <x v="0"/>
    <x v="0"/>
    <x v="25"/>
    <x v="2"/>
    <x v="0"/>
    <x v="0"/>
    <x v="2"/>
    <x v="0"/>
  </r>
  <r>
    <x v="0"/>
    <x v="0"/>
    <n v="2239057230"/>
    <x v="5"/>
    <n v="-2100"/>
    <x v="0"/>
    <x v="0"/>
    <x v="25"/>
    <x v="5"/>
    <x v="0"/>
    <x v="0"/>
    <x v="5"/>
    <x v="0"/>
  </r>
  <r>
    <x v="0"/>
    <x v="0"/>
    <n v="2239057230"/>
    <x v="6"/>
    <n v="10000"/>
    <x v="0"/>
    <x v="0"/>
    <x v="25"/>
    <x v="6"/>
    <x v="0"/>
    <x v="0"/>
    <x v="5"/>
    <x v="0"/>
  </r>
  <r>
    <x v="0"/>
    <x v="0"/>
    <n v="2239057231"/>
    <x v="5"/>
    <n v="-50"/>
    <x v="0"/>
    <x v="0"/>
    <x v="25"/>
    <x v="5"/>
    <x v="0"/>
    <x v="0"/>
    <x v="5"/>
    <x v="0"/>
  </r>
  <r>
    <x v="0"/>
    <x v="0"/>
    <n v="2239057231"/>
    <x v="6"/>
    <n v="20000"/>
    <x v="0"/>
    <x v="0"/>
    <x v="25"/>
    <x v="6"/>
    <x v="0"/>
    <x v="0"/>
    <x v="5"/>
    <x v="0"/>
  </r>
  <r>
    <x v="0"/>
    <x v="0"/>
    <n v="2239057232"/>
    <x v="2"/>
    <n v="16500"/>
    <x v="0"/>
    <x v="0"/>
    <x v="25"/>
    <x v="2"/>
    <x v="0"/>
    <x v="0"/>
    <x v="2"/>
    <x v="0"/>
  </r>
  <r>
    <x v="0"/>
    <x v="0"/>
    <n v="2239057233"/>
    <x v="5"/>
    <n v="-9500"/>
    <x v="0"/>
    <x v="0"/>
    <x v="25"/>
    <x v="5"/>
    <x v="0"/>
    <x v="0"/>
    <x v="5"/>
    <x v="0"/>
  </r>
  <r>
    <x v="0"/>
    <x v="0"/>
    <n v="2239057233"/>
    <x v="6"/>
    <n v="20000"/>
    <x v="0"/>
    <x v="0"/>
    <x v="25"/>
    <x v="6"/>
    <x v="0"/>
    <x v="0"/>
    <x v="5"/>
    <x v="0"/>
  </r>
  <r>
    <x v="0"/>
    <x v="0"/>
    <n v="2239057234"/>
    <x v="6"/>
    <n v="15000"/>
    <x v="0"/>
    <x v="0"/>
    <x v="25"/>
    <x v="6"/>
    <x v="0"/>
    <x v="0"/>
    <x v="5"/>
    <x v="0"/>
  </r>
  <r>
    <x v="0"/>
    <x v="0"/>
    <n v="2239057235"/>
    <x v="2"/>
    <n v="13200"/>
    <x v="0"/>
    <x v="0"/>
    <x v="25"/>
    <x v="2"/>
    <x v="0"/>
    <x v="0"/>
    <x v="2"/>
    <x v="0"/>
  </r>
  <r>
    <x v="0"/>
    <x v="0"/>
    <n v="2239057236"/>
    <x v="5"/>
    <n v="-2100"/>
    <x v="0"/>
    <x v="0"/>
    <x v="25"/>
    <x v="5"/>
    <x v="0"/>
    <x v="0"/>
    <x v="5"/>
    <x v="0"/>
  </r>
  <r>
    <x v="0"/>
    <x v="0"/>
    <n v="2239057236"/>
    <x v="6"/>
    <n v="10000"/>
    <x v="0"/>
    <x v="0"/>
    <x v="25"/>
    <x v="6"/>
    <x v="0"/>
    <x v="0"/>
    <x v="5"/>
    <x v="0"/>
  </r>
  <r>
    <x v="0"/>
    <x v="0"/>
    <n v="2239057237"/>
    <x v="0"/>
    <n v="1200"/>
    <x v="0"/>
    <x v="0"/>
    <x v="25"/>
    <x v="0"/>
    <x v="0"/>
    <x v="0"/>
    <x v="0"/>
    <x v="0"/>
  </r>
  <r>
    <x v="0"/>
    <x v="0"/>
    <n v="2239057238"/>
    <x v="5"/>
    <n v="-2000"/>
    <x v="0"/>
    <x v="0"/>
    <x v="25"/>
    <x v="5"/>
    <x v="0"/>
    <x v="0"/>
    <x v="5"/>
    <x v="0"/>
  </r>
  <r>
    <x v="0"/>
    <x v="0"/>
    <n v="2239057238"/>
    <x v="6"/>
    <n v="5000"/>
    <x v="0"/>
    <x v="0"/>
    <x v="25"/>
    <x v="6"/>
    <x v="0"/>
    <x v="0"/>
    <x v="5"/>
    <x v="0"/>
  </r>
  <r>
    <x v="0"/>
    <x v="0"/>
    <n v="2239057239"/>
    <x v="7"/>
    <n v="1500"/>
    <x v="0"/>
    <x v="0"/>
    <x v="25"/>
    <x v="7"/>
    <x v="0"/>
    <x v="0"/>
    <x v="1"/>
    <x v="0"/>
  </r>
  <r>
    <x v="0"/>
    <x v="0"/>
    <n v="2239057240"/>
    <x v="7"/>
    <n v="4500"/>
    <x v="0"/>
    <x v="0"/>
    <x v="25"/>
    <x v="7"/>
    <x v="0"/>
    <x v="0"/>
    <x v="1"/>
    <x v="0"/>
  </r>
  <r>
    <x v="0"/>
    <x v="0"/>
    <n v="2239057241"/>
    <x v="1"/>
    <n v="3300"/>
    <x v="0"/>
    <x v="0"/>
    <x v="25"/>
    <x v="1"/>
    <x v="0"/>
    <x v="0"/>
    <x v="1"/>
    <x v="0"/>
  </r>
  <r>
    <x v="0"/>
    <x v="0"/>
    <n v="2239057242"/>
    <x v="1"/>
    <n v="40800"/>
    <x v="0"/>
    <x v="0"/>
    <x v="25"/>
    <x v="1"/>
    <x v="0"/>
    <x v="0"/>
    <x v="1"/>
    <x v="0"/>
  </r>
  <r>
    <x v="0"/>
    <x v="0"/>
    <n v="2239057243"/>
    <x v="1"/>
    <n v="32370"/>
    <x v="0"/>
    <x v="0"/>
    <x v="25"/>
    <x v="1"/>
    <x v="0"/>
    <x v="0"/>
    <x v="1"/>
    <x v="0"/>
  </r>
  <r>
    <x v="0"/>
    <x v="0"/>
    <n v="2239057244"/>
    <x v="0"/>
    <n v="900"/>
    <x v="0"/>
    <x v="0"/>
    <x v="25"/>
    <x v="0"/>
    <x v="0"/>
    <x v="0"/>
    <x v="0"/>
    <x v="0"/>
  </r>
  <r>
    <x v="0"/>
    <x v="0"/>
    <n v="2239057245"/>
    <x v="0"/>
    <n v="6450"/>
    <x v="0"/>
    <x v="0"/>
    <x v="25"/>
    <x v="0"/>
    <x v="0"/>
    <x v="0"/>
    <x v="0"/>
    <x v="0"/>
  </r>
  <r>
    <x v="0"/>
    <x v="0"/>
    <n v="2239057246"/>
    <x v="0"/>
    <n v="3150"/>
    <x v="0"/>
    <x v="0"/>
    <x v="25"/>
    <x v="0"/>
    <x v="0"/>
    <x v="0"/>
    <x v="0"/>
    <x v="0"/>
  </r>
  <r>
    <x v="0"/>
    <x v="0"/>
    <n v="2239057247"/>
    <x v="0"/>
    <n v="900"/>
    <x v="0"/>
    <x v="0"/>
    <x v="25"/>
    <x v="0"/>
    <x v="0"/>
    <x v="0"/>
    <x v="0"/>
    <x v="0"/>
  </r>
  <r>
    <x v="0"/>
    <x v="0"/>
    <n v="2239057248"/>
    <x v="0"/>
    <n v="3600"/>
    <x v="0"/>
    <x v="0"/>
    <x v="25"/>
    <x v="0"/>
    <x v="0"/>
    <x v="0"/>
    <x v="0"/>
    <x v="0"/>
  </r>
  <r>
    <x v="0"/>
    <x v="0"/>
    <n v="2239057249"/>
    <x v="0"/>
    <n v="1200"/>
    <x v="0"/>
    <x v="0"/>
    <x v="25"/>
    <x v="0"/>
    <x v="0"/>
    <x v="0"/>
    <x v="0"/>
    <x v="0"/>
  </r>
  <r>
    <x v="0"/>
    <x v="0"/>
    <n v="2239057250"/>
    <x v="1"/>
    <n v="4440"/>
    <x v="0"/>
    <x v="0"/>
    <x v="25"/>
    <x v="1"/>
    <x v="0"/>
    <x v="0"/>
    <x v="1"/>
    <x v="0"/>
  </r>
  <r>
    <x v="0"/>
    <x v="0"/>
    <n v="2239057251"/>
    <x v="1"/>
    <n v="10900"/>
    <x v="0"/>
    <x v="0"/>
    <x v="25"/>
    <x v="1"/>
    <x v="0"/>
    <x v="0"/>
    <x v="1"/>
    <x v="0"/>
  </r>
  <r>
    <x v="0"/>
    <x v="0"/>
    <n v="2239057252"/>
    <x v="0"/>
    <n v="2400"/>
    <x v="0"/>
    <x v="0"/>
    <x v="25"/>
    <x v="0"/>
    <x v="0"/>
    <x v="0"/>
    <x v="0"/>
    <x v="0"/>
  </r>
  <r>
    <x v="0"/>
    <x v="0"/>
    <n v="2239057253"/>
    <x v="1"/>
    <n v="1800"/>
    <x v="0"/>
    <x v="0"/>
    <x v="25"/>
    <x v="1"/>
    <x v="0"/>
    <x v="0"/>
    <x v="1"/>
    <x v="0"/>
  </r>
  <r>
    <x v="0"/>
    <x v="0"/>
    <n v="2239057254"/>
    <x v="0"/>
    <n v="1200"/>
    <x v="0"/>
    <x v="0"/>
    <x v="25"/>
    <x v="0"/>
    <x v="0"/>
    <x v="0"/>
    <x v="0"/>
    <x v="0"/>
  </r>
  <r>
    <x v="0"/>
    <x v="0"/>
    <n v="2239057255"/>
    <x v="1"/>
    <n v="10900"/>
    <x v="0"/>
    <x v="0"/>
    <x v="25"/>
    <x v="1"/>
    <x v="0"/>
    <x v="0"/>
    <x v="1"/>
    <x v="0"/>
  </r>
  <r>
    <x v="0"/>
    <x v="0"/>
    <n v="2239057256"/>
    <x v="0"/>
    <n v="10900"/>
    <x v="0"/>
    <x v="0"/>
    <x v="25"/>
    <x v="0"/>
    <x v="0"/>
    <x v="0"/>
    <x v="0"/>
    <x v="0"/>
  </r>
  <r>
    <x v="0"/>
    <x v="0"/>
    <n v="2239057257"/>
    <x v="1"/>
    <n v="2040"/>
    <x v="0"/>
    <x v="0"/>
    <x v="25"/>
    <x v="1"/>
    <x v="0"/>
    <x v="0"/>
    <x v="1"/>
    <x v="0"/>
  </r>
  <r>
    <x v="0"/>
    <x v="0"/>
    <n v="2239057258"/>
    <x v="1"/>
    <n v="2250"/>
    <x v="0"/>
    <x v="0"/>
    <x v="25"/>
    <x v="1"/>
    <x v="0"/>
    <x v="0"/>
    <x v="1"/>
    <x v="0"/>
  </r>
  <r>
    <x v="0"/>
    <x v="0"/>
    <n v="2239057259"/>
    <x v="1"/>
    <n v="2250"/>
    <x v="0"/>
    <x v="0"/>
    <x v="25"/>
    <x v="1"/>
    <x v="0"/>
    <x v="0"/>
    <x v="1"/>
    <x v="0"/>
  </r>
  <r>
    <x v="0"/>
    <x v="0"/>
    <n v="2239057260"/>
    <x v="1"/>
    <n v="3300"/>
    <x v="0"/>
    <x v="0"/>
    <x v="25"/>
    <x v="1"/>
    <x v="0"/>
    <x v="0"/>
    <x v="1"/>
    <x v="0"/>
  </r>
  <r>
    <x v="0"/>
    <x v="0"/>
    <n v="2239057262"/>
    <x v="0"/>
    <n v="2550"/>
    <x v="0"/>
    <x v="0"/>
    <x v="25"/>
    <x v="0"/>
    <x v="0"/>
    <x v="0"/>
    <x v="0"/>
    <x v="0"/>
  </r>
  <r>
    <x v="0"/>
    <x v="0"/>
    <n v="2239057263"/>
    <x v="1"/>
    <n v="1440"/>
    <x v="0"/>
    <x v="0"/>
    <x v="25"/>
    <x v="1"/>
    <x v="0"/>
    <x v="0"/>
    <x v="1"/>
    <x v="0"/>
  </r>
  <r>
    <x v="0"/>
    <x v="0"/>
    <n v="2239057264"/>
    <x v="1"/>
    <n v="2040"/>
    <x v="0"/>
    <x v="0"/>
    <x v="25"/>
    <x v="1"/>
    <x v="0"/>
    <x v="0"/>
    <x v="1"/>
    <x v="0"/>
  </r>
  <r>
    <x v="0"/>
    <x v="0"/>
    <n v="2239057265"/>
    <x v="0"/>
    <n v="17850"/>
    <x v="0"/>
    <x v="0"/>
    <x v="25"/>
    <x v="0"/>
    <x v="0"/>
    <x v="0"/>
    <x v="0"/>
    <x v="0"/>
  </r>
  <r>
    <x v="0"/>
    <x v="0"/>
    <n v="2239057266"/>
    <x v="1"/>
    <n v="52990"/>
    <x v="0"/>
    <x v="0"/>
    <x v="25"/>
    <x v="1"/>
    <x v="0"/>
    <x v="0"/>
    <x v="1"/>
    <x v="0"/>
  </r>
  <r>
    <x v="0"/>
    <x v="0"/>
    <n v="2239057267"/>
    <x v="1"/>
    <n v="2850"/>
    <x v="0"/>
    <x v="0"/>
    <x v="25"/>
    <x v="1"/>
    <x v="0"/>
    <x v="0"/>
    <x v="1"/>
    <x v="0"/>
  </r>
  <r>
    <x v="0"/>
    <x v="0"/>
    <n v="2239057268"/>
    <x v="0"/>
    <n v="1950"/>
    <x v="0"/>
    <x v="0"/>
    <x v="25"/>
    <x v="0"/>
    <x v="0"/>
    <x v="0"/>
    <x v="0"/>
    <x v="0"/>
  </r>
  <r>
    <x v="0"/>
    <x v="0"/>
    <n v="2239057269"/>
    <x v="1"/>
    <n v="43330"/>
    <x v="0"/>
    <x v="0"/>
    <x v="25"/>
    <x v="1"/>
    <x v="0"/>
    <x v="0"/>
    <x v="1"/>
    <x v="0"/>
  </r>
  <r>
    <x v="0"/>
    <x v="0"/>
    <n v="2239057270"/>
    <x v="1"/>
    <n v="1140"/>
    <x v="0"/>
    <x v="0"/>
    <x v="25"/>
    <x v="1"/>
    <x v="0"/>
    <x v="0"/>
    <x v="1"/>
    <x v="0"/>
  </r>
  <r>
    <x v="0"/>
    <x v="0"/>
    <n v="2239057271"/>
    <x v="1"/>
    <n v="3900"/>
    <x v="0"/>
    <x v="0"/>
    <x v="25"/>
    <x v="1"/>
    <x v="0"/>
    <x v="0"/>
    <x v="1"/>
    <x v="0"/>
  </r>
  <r>
    <x v="0"/>
    <x v="0"/>
    <n v="2239057272"/>
    <x v="0"/>
    <n v="5850"/>
    <x v="0"/>
    <x v="0"/>
    <x v="25"/>
    <x v="0"/>
    <x v="0"/>
    <x v="0"/>
    <x v="0"/>
    <x v="0"/>
  </r>
  <r>
    <x v="0"/>
    <x v="0"/>
    <n v="2239057273"/>
    <x v="0"/>
    <n v="2250"/>
    <x v="0"/>
    <x v="0"/>
    <x v="25"/>
    <x v="0"/>
    <x v="0"/>
    <x v="0"/>
    <x v="0"/>
    <x v="0"/>
  </r>
  <r>
    <x v="0"/>
    <x v="0"/>
    <n v="2239057274"/>
    <x v="0"/>
    <n v="6300"/>
    <x v="0"/>
    <x v="0"/>
    <x v="25"/>
    <x v="0"/>
    <x v="0"/>
    <x v="0"/>
    <x v="0"/>
    <x v="0"/>
  </r>
  <r>
    <x v="0"/>
    <x v="0"/>
    <n v="2239057275"/>
    <x v="0"/>
    <n v="4050"/>
    <x v="0"/>
    <x v="0"/>
    <x v="25"/>
    <x v="0"/>
    <x v="0"/>
    <x v="0"/>
    <x v="0"/>
    <x v="0"/>
  </r>
  <r>
    <x v="0"/>
    <x v="0"/>
    <n v="2239057276"/>
    <x v="0"/>
    <n v="5670"/>
    <x v="0"/>
    <x v="0"/>
    <x v="25"/>
    <x v="0"/>
    <x v="0"/>
    <x v="0"/>
    <x v="0"/>
    <x v="0"/>
  </r>
  <r>
    <x v="0"/>
    <x v="0"/>
    <n v="2239057277"/>
    <x v="1"/>
    <n v="5370"/>
    <x v="0"/>
    <x v="0"/>
    <x v="25"/>
    <x v="1"/>
    <x v="0"/>
    <x v="0"/>
    <x v="1"/>
    <x v="0"/>
  </r>
  <r>
    <x v="0"/>
    <x v="0"/>
    <n v="2239057278"/>
    <x v="1"/>
    <n v="9750"/>
    <x v="0"/>
    <x v="0"/>
    <x v="25"/>
    <x v="1"/>
    <x v="0"/>
    <x v="0"/>
    <x v="1"/>
    <x v="0"/>
  </r>
  <r>
    <x v="0"/>
    <x v="0"/>
    <n v="2239057279"/>
    <x v="0"/>
    <n v="2100"/>
    <x v="0"/>
    <x v="0"/>
    <x v="25"/>
    <x v="0"/>
    <x v="0"/>
    <x v="0"/>
    <x v="0"/>
    <x v="0"/>
  </r>
  <r>
    <x v="0"/>
    <x v="0"/>
    <n v="2239057280"/>
    <x v="0"/>
    <n v="19500"/>
    <x v="0"/>
    <x v="0"/>
    <x v="25"/>
    <x v="0"/>
    <x v="0"/>
    <x v="0"/>
    <x v="0"/>
    <x v="0"/>
  </r>
  <r>
    <x v="0"/>
    <x v="0"/>
    <n v="2239057281"/>
    <x v="1"/>
    <n v="2250"/>
    <x v="0"/>
    <x v="0"/>
    <x v="25"/>
    <x v="1"/>
    <x v="0"/>
    <x v="0"/>
    <x v="1"/>
    <x v="0"/>
  </r>
  <r>
    <x v="0"/>
    <x v="0"/>
    <n v="2239057282"/>
    <x v="0"/>
    <n v="2250"/>
    <x v="0"/>
    <x v="0"/>
    <x v="25"/>
    <x v="0"/>
    <x v="0"/>
    <x v="0"/>
    <x v="0"/>
    <x v="0"/>
  </r>
  <r>
    <x v="0"/>
    <x v="0"/>
    <n v="2239057283"/>
    <x v="1"/>
    <n v="900"/>
    <x v="0"/>
    <x v="0"/>
    <x v="25"/>
    <x v="1"/>
    <x v="0"/>
    <x v="0"/>
    <x v="1"/>
    <x v="0"/>
  </r>
  <r>
    <x v="0"/>
    <x v="0"/>
    <n v="2239057284"/>
    <x v="1"/>
    <n v="3420"/>
    <x v="0"/>
    <x v="0"/>
    <x v="25"/>
    <x v="1"/>
    <x v="0"/>
    <x v="0"/>
    <x v="1"/>
    <x v="0"/>
  </r>
  <r>
    <x v="0"/>
    <x v="0"/>
    <n v="2239057285"/>
    <x v="0"/>
    <n v="113930"/>
    <x v="0"/>
    <x v="0"/>
    <x v="25"/>
    <x v="0"/>
    <x v="0"/>
    <x v="0"/>
    <x v="0"/>
    <x v="0"/>
  </r>
  <r>
    <x v="0"/>
    <x v="0"/>
    <n v="2239057286"/>
    <x v="1"/>
    <n v="1800"/>
    <x v="0"/>
    <x v="0"/>
    <x v="25"/>
    <x v="1"/>
    <x v="0"/>
    <x v="0"/>
    <x v="1"/>
    <x v="0"/>
  </r>
  <r>
    <x v="0"/>
    <x v="0"/>
    <n v="2239057287"/>
    <x v="1"/>
    <n v="5400"/>
    <x v="0"/>
    <x v="0"/>
    <x v="25"/>
    <x v="1"/>
    <x v="0"/>
    <x v="0"/>
    <x v="1"/>
    <x v="0"/>
  </r>
  <r>
    <x v="0"/>
    <x v="0"/>
    <n v="2239057288"/>
    <x v="1"/>
    <n v="12000"/>
    <x v="0"/>
    <x v="0"/>
    <x v="25"/>
    <x v="1"/>
    <x v="0"/>
    <x v="0"/>
    <x v="1"/>
    <x v="0"/>
  </r>
  <r>
    <x v="0"/>
    <x v="0"/>
    <n v="2239057289"/>
    <x v="1"/>
    <n v="1050"/>
    <x v="0"/>
    <x v="0"/>
    <x v="25"/>
    <x v="1"/>
    <x v="0"/>
    <x v="0"/>
    <x v="1"/>
    <x v="0"/>
  </r>
  <r>
    <x v="0"/>
    <x v="0"/>
    <n v="2239057290"/>
    <x v="0"/>
    <n v="900"/>
    <x v="0"/>
    <x v="0"/>
    <x v="25"/>
    <x v="0"/>
    <x v="0"/>
    <x v="0"/>
    <x v="0"/>
    <x v="0"/>
  </r>
  <r>
    <x v="0"/>
    <x v="0"/>
    <n v="2239057291"/>
    <x v="1"/>
    <n v="2700"/>
    <x v="0"/>
    <x v="0"/>
    <x v="25"/>
    <x v="1"/>
    <x v="0"/>
    <x v="0"/>
    <x v="1"/>
    <x v="0"/>
  </r>
  <r>
    <x v="0"/>
    <x v="0"/>
    <n v="2239057292"/>
    <x v="1"/>
    <n v="30300"/>
    <x v="0"/>
    <x v="0"/>
    <x v="25"/>
    <x v="1"/>
    <x v="0"/>
    <x v="0"/>
    <x v="1"/>
    <x v="0"/>
  </r>
  <r>
    <x v="0"/>
    <x v="0"/>
    <n v="2239057293"/>
    <x v="1"/>
    <n v="22530"/>
    <x v="0"/>
    <x v="0"/>
    <x v="25"/>
    <x v="1"/>
    <x v="0"/>
    <x v="0"/>
    <x v="1"/>
    <x v="0"/>
  </r>
  <r>
    <x v="0"/>
    <x v="0"/>
    <n v="2239057294"/>
    <x v="1"/>
    <n v="900"/>
    <x v="0"/>
    <x v="0"/>
    <x v="25"/>
    <x v="1"/>
    <x v="0"/>
    <x v="0"/>
    <x v="1"/>
    <x v="0"/>
  </r>
  <r>
    <x v="0"/>
    <x v="0"/>
    <n v="2239057295"/>
    <x v="1"/>
    <n v="2100"/>
    <x v="0"/>
    <x v="0"/>
    <x v="25"/>
    <x v="1"/>
    <x v="0"/>
    <x v="0"/>
    <x v="1"/>
    <x v="0"/>
  </r>
  <r>
    <x v="0"/>
    <x v="0"/>
    <n v="2239057296"/>
    <x v="1"/>
    <n v="18570"/>
    <x v="0"/>
    <x v="0"/>
    <x v="25"/>
    <x v="1"/>
    <x v="0"/>
    <x v="0"/>
    <x v="1"/>
    <x v="0"/>
  </r>
  <r>
    <x v="0"/>
    <x v="0"/>
    <n v="2239057297"/>
    <x v="0"/>
    <n v="1200"/>
    <x v="0"/>
    <x v="0"/>
    <x v="25"/>
    <x v="0"/>
    <x v="0"/>
    <x v="0"/>
    <x v="0"/>
    <x v="0"/>
  </r>
  <r>
    <x v="0"/>
    <x v="0"/>
    <n v="2239057298"/>
    <x v="1"/>
    <n v="44910"/>
    <x v="0"/>
    <x v="0"/>
    <x v="25"/>
    <x v="1"/>
    <x v="0"/>
    <x v="0"/>
    <x v="1"/>
    <x v="0"/>
  </r>
  <r>
    <x v="0"/>
    <x v="0"/>
    <n v="2239057299"/>
    <x v="1"/>
    <n v="2250"/>
    <x v="0"/>
    <x v="0"/>
    <x v="25"/>
    <x v="1"/>
    <x v="0"/>
    <x v="0"/>
    <x v="1"/>
    <x v="0"/>
  </r>
  <r>
    <x v="0"/>
    <x v="0"/>
    <n v="2239057300"/>
    <x v="1"/>
    <n v="23800"/>
    <x v="0"/>
    <x v="0"/>
    <x v="25"/>
    <x v="1"/>
    <x v="0"/>
    <x v="0"/>
    <x v="1"/>
    <x v="0"/>
  </r>
  <r>
    <x v="0"/>
    <x v="0"/>
    <n v="2239057301"/>
    <x v="1"/>
    <n v="22560"/>
    <x v="0"/>
    <x v="0"/>
    <x v="25"/>
    <x v="1"/>
    <x v="0"/>
    <x v="0"/>
    <x v="1"/>
    <x v="0"/>
  </r>
  <r>
    <x v="0"/>
    <x v="0"/>
    <n v="2239057302"/>
    <x v="0"/>
    <n v="41160"/>
    <x v="0"/>
    <x v="0"/>
    <x v="25"/>
    <x v="0"/>
    <x v="0"/>
    <x v="0"/>
    <x v="0"/>
    <x v="0"/>
  </r>
  <r>
    <x v="0"/>
    <x v="0"/>
    <n v="2239057303"/>
    <x v="1"/>
    <n v="14130"/>
    <x v="0"/>
    <x v="0"/>
    <x v="25"/>
    <x v="1"/>
    <x v="0"/>
    <x v="0"/>
    <x v="1"/>
    <x v="0"/>
  </r>
  <r>
    <x v="0"/>
    <x v="0"/>
    <n v="2239057304"/>
    <x v="1"/>
    <n v="9720"/>
    <x v="0"/>
    <x v="0"/>
    <x v="25"/>
    <x v="1"/>
    <x v="0"/>
    <x v="0"/>
    <x v="1"/>
    <x v="0"/>
  </r>
  <r>
    <x v="0"/>
    <x v="0"/>
    <n v="2239057305"/>
    <x v="1"/>
    <n v="900"/>
    <x v="0"/>
    <x v="0"/>
    <x v="25"/>
    <x v="1"/>
    <x v="0"/>
    <x v="0"/>
    <x v="1"/>
    <x v="0"/>
  </r>
  <r>
    <x v="0"/>
    <x v="0"/>
    <n v="2239057306"/>
    <x v="1"/>
    <n v="12600"/>
    <x v="0"/>
    <x v="0"/>
    <x v="25"/>
    <x v="1"/>
    <x v="0"/>
    <x v="0"/>
    <x v="1"/>
    <x v="0"/>
  </r>
  <r>
    <x v="0"/>
    <x v="0"/>
    <n v="2239057307"/>
    <x v="1"/>
    <n v="2700"/>
    <x v="0"/>
    <x v="0"/>
    <x v="25"/>
    <x v="1"/>
    <x v="0"/>
    <x v="0"/>
    <x v="1"/>
    <x v="0"/>
  </r>
  <r>
    <x v="0"/>
    <x v="0"/>
    <n v="2239057308"/>
    <x v="1"/>
    <n v="13000"/>
    <x v="0"/>
    <x v="0"/>
    <x v="25"/>
    <x v="1"/>
    <x v="0"/>
    <x v="0"/>
    <x v="1"/>
    <x v="0"/>
  </r>
  <r>
    <x v="0"/>
    <x v="0"/>
    <n v="2239057309"/>
    <x v="0"/>
    <n v="167800"/>
    <x v="0"/>
    <x v="0"/>
    <x v="25"/>
    <x v="0"/>
    <x v="0"/>
    <x v="0"/>
    <x v="0"/>
    <x v="0"/>
  </r>
  <r>
    <x v="0"/>
    <x v="0"/>
    <n v="2239057310"/>
    <x v="0"/>
    <n v="5400"/>
    <x v="0"/>
    <x v="0"/>
    <x v="25"/>
    <x v="0"/>
    <x v="0"/>
    <x v="0"/>
    <x v="0"/>
    <x v="0"/>
  </r>
  <r>
    <x v="0"/>
    <x v="0"/>
    <n v="2239057311"/>
    <x v="0"/>
    <n v="16470"/>
    <x v="0"/>
    <x v="0"/>
    <x v="25"/>
    <x v="0"/>
    <x v="0"/>
    <x v="0"/>
    <x v="0"/>
    <x v="0"/>
  </r>
  <r>
    <x v="0"/>
    <x v="0"/>
    <n v="2239057312"/>
    <x v="0"/>
    <n v="5700"/>
    <x v="0"/>
    <x v="0"/>
    <x v="25"/>
    <x v="0"/>
    <x v="0"/>
    <x v="0"/>
    <x v="0"/>
    <x v="0"/>
  </r>
  <r>
    <x v="0"/>
    <x v="0"/>
    <n v="2239057313"/>
    <x v="1"/>
    <n v="16270"/>
    <x v="0"/>
    <x v="0"/>
    <x v="25"/>
    <x v="1"/>
    <x v="0"/>
    <x v="0"/>
    <x v="1"/>
    <x v="0"/>
  </r>
  <r>
    <x v="0"/>
    <x v="0"/>
    <n v="2239057314"/>
    <x v="1"/>
    <n v="16420"/>
    <x v="0"/>
    <x v="0"/>
    <x v="25"/>
    <x v="1"/>
    <x v="0"/>
    <x v="0"/>
    <x v="1"/>
    <x v="0"/>
  </r>
  <r>
    <x v="0"/>
    <x v="0"/>
    <n v="2239057315"/>
    <x v="0"/>
    <n v="17220"/>
    <x v="0"/>
    <x v="0"/>
    <x v="25"/>
    <x v="0"/>
    <x v="0"/>
    <x v="0"/>
    <x v="0"/>
    <x v="0"/>
  </r>
  <r>
    <x v="0"/>
    <x v="0"/>
    <n v="2239057316"/>
    <x v="0"/>
    <n v="21600"/>
    <x v="0"/>
    <x v="0"/>
    <x v="25"/>
    <x v="0"/>
    <x v="0"/>
    <x v="0"/>
    <x v="0"/>
    <x v="0"/>
  </r>
  <r>
    <x v="0"/>
    <x v="0"/>
    <n v="2239057317"/>
    <x v="0"/>
    <n v="15000"/>
    <x v="0"/>
    <x v="0"/>
    <x v="25"/>
    <x v="0"/>
    <x v="0"/>
    <x v="0"/>
    <x v="0"/>
    <x v="0"/>
  </r>
  <r>
    <x v="0"/>
    <x v="0"/>
    <n v="2239057319"/>
    <x v="1"/>
    <n v="1500"/>
    <x v="0"/>
    <x v="0"/>
    <x v="25"/>
    <x v="1"/>
    <x v="0"/>
    <x v="0"/>
    <x v="1"/>
    <x v="0"/>
  </r>
  <r>
    <x v="0"/>
    <x v="0"/>
    <n v="2239057320"/>
    <x v="1"/>
    <n v="1950"/>
    <x v="0"/>
    <x v="0"/>
    <x v="25"/>
    <x v="1"/>
    <x v="0"/>
    <x v="0"/>
    <x v="1"/>
    <x v="0"/>
  </r>
  <r>
    <x v="0"/>
    <x v="0"/>
    <n v="2239057321"/>
    <x v="0"/>
    <n v="7320"/>
    <x v="0"/>
    <x v="0"/>
    <x v="25"/>
    <x v="0"/>
    <x v="0"/>
    <x v="0"/>
    <x v="0"/>
    <x v="0"/>
  </r>
  <r>
    <x v="0"/>
    <x v="0"/>
    <n v="2239057322"/>
    <x v="0"/>
    <n v="1200"/>
    <x v="0"/>
    <x v="0"/>
    <x v="25"/>
    <x v="0"/>
    <x v="0"/>
    <x v="0"/>
    <x v="0"/>
    <x v="0"/>
  </r>
  <r>
    <x v="0"/>
    <x v="0"/>
    <n v="2239057323"/>
    <x v="0"/>
    <n v="2400"/>
    <x v="0"/>
    <x v="0"/>
    <x v="25"/>
    <x v="0"/>
    <x v="0"/>
    <x v="0"/>
    <x v="0"/>
    <x v="0"/>
  </r>
  <r>
    <x v="0"/>
    <x v="0"/>
    <n v="2239057324"/>
    <x v="0"/>
    <n v="58250"/>
    <x v="0"/>
    <x v="0"/>
    <x v="25"/>
    <x v="0"/>
    <x v="0"/>
    <x v="0"/>
    <x v="0"/>
    <x v="0"/>
  </r>
  <r>
    <x v="0"/>
    <x v="0"/>
    <n v="2239057325"/>
    <x v="1"/>
    <n v="3900"/>
    <x v="0"/>
    <x v="0"/>
    <x v="25"/>
    <x v="1"/>
    <x v="0"/>
    <x v="0"/>
    <x v="1"/>
    <x v="0"/>
  </r>
  <r>
    <x v="0"/>
    <x v="0"/>
    <n v="2239057326"/>
    <x v="1"/>
    <n v="4500"/>
    <x v="0"/>
    <x v="0"/>
    <x v="25"/>
    <x v="1"/>
    <x v="0"/>
    <x v="0"/>
    <x v="1"/>
    <x v="0"/>
  </r>
  <r>
    <x v="0"/>
    <x v="0"/>
    <n v="2239057328"/>
    <x v="0"/>
    <n v="1350"/>
    <x v="0"/>
    <x v="0"/>
    <x v="25"/>
    <x v="0"/>
    <x v="0"/>
    <x v="0"/>
    <x v="0"/>
    <x v="0"/>
  </r>
  <r>
    <x v="0"/>
    <x v="0"/>
    <n v="2239057329"/>
    <x v="1"/>
    <n v="1800"/>
    <x v="0"/>
    <x v="0"/>
    <x v="25"/>
    <x v="1"/>
    <x v="0"/>
    <x v="0"/>
    <x v="1"/>
    <x v="0"/>
  </r>
  <r>
    <x v="0"/>
    <x v="0"/>
    <n v="2239057330"/>
    <x v="0"/>
    <n v="11700"/>
    <x v="0"/>
    <x v="0"/>
    <x v="25"/>
    <x v="0"/>
    <x v="0"/>
    <x v="0"/>
    <x v="0"/>
    <x v="0"/>
  </r>
  <r>
    <x v="0"/>
    <x v="0"/>
    <n v="2239057331"/>
    <x v="1"/>
    <n v="3000"/>
    <x v="0"/>
    <x v="0"/>
    <x v="25"/>
    <x v="1"/>
    <x v="0"/>
    <x v="0"/>
    <x v="1"/>
    <x v="0"/>
  </r>
  <r>
    <x v="0"/>
    <x v="0"/>
    <n v="2239057332"/>
    <x v="1"/>
    <n v="1350"/>
    <x v="0"/>
    <x v="0"/>
    <x v="25"/>
    <x v="1"/>
    <x v="0"/>
    <x v="0"/>
    <x v="1"/>
    <x v="0"/>
  </r>
  <r>
    <x v="0"/>
    <x v="0"/>
    <n v="2239057333"/>
    <x v="1"/>
    <n v="900"/>
    <x v="0"/>
    <x v="0"/>
    <x v="25"/>
    <x v="1"/>
    <x v="0"/>
    <x v="0"/>
    <x v="1"/>
    <x v="0"/>
  </r>
  <r>
    <x v="0"/>
    <x v="0"/>
    <n v="2239057334"/>
    <x v="1"/>
    <n v="3750"/>
    <x v="0"/>
    <x v="0"/>
    <x v="25"/>
    <x v="1"/>
    <x v="0"/>
    <x v="0"/>
    <x v="1"/>
    <x v="0"/>
  </r>
  <r>
    <x v="0"/>
    <x v="0"/>
    <n v="2239057335"/>
    <x v="0"/>
    <n v="36860"/>
    <x v="0"/>
    <x v="0"/>
    <x v="25"/>
    <x v="0"/>
    <x v="0"/>
    <x v="0"/>
    <x v="0"/>
    <x v="0"/>
  </r>
  <r>
    <x v="0"/>
    <x v="0"/>
    <n v="2239057336"/>
    <x v="0"/>
    <n v="5700"/>
    <x v="0"/>
    <x v="0"/>
    <x v="25"/>
    <x v="0"/>
    <x v="0"/>
    <x v="0"/>
    <x v="0"/>
    <x v="0"/>
  </r>
  <r>
    <x v="0"/>
    <x v="0"/>
    <n v="2239057337"/>
    <x v="1"/>
    <n v="12300"/>
    <x v="0"/>
    <x v="0"/>
    <x v="25"/>
    <x v="1"/>
    <x v="0"/>
    <x v="0"/>
    <x v="1"/>
    <x v="0"/>
  </r>
  <r>
    <x v="0"/>
    <x v="0"/>
    <n v="2239057338"/>
    <x v="1"/>
    <n v="900"/>
    <x v="0"/>
    <x v="0"/>
    <x v="25"/>
    <x v="1"/>
    <x v="0"/>
    <x v="0"/>
    <x v="1"/>
    <x v="0"/>
  </r>
  <r>
    <x v="0"/>
    <x v="0"/>
    <n v="2239057339"/>
    <x v="1"/>
    <n v="21220"/>
    <x v="0"/>
    <x v="0"/>
    <x v="25"/>
    <x v="1"/>
    <x v="0"/>
    <x v="0"/>
    <x v="1"/>
    <x v="0"/>
  </r>
  <r>
    <x v="0"/>
    <x v="0"/>
    <n v="2239057340"/>
    <x v="0"/>
    <n v="1350"/>
    <x v="0"/>
    <x v="0"/>
    <x v="25"/>
    <x v="0"/>
    <x v="0"/>
    <x v="0"/>
    <x v="0"/>
    <x v="0"/>
  </r>
  <r>
    <x v="0"/>
    <x v="0"/>
    <n v="2239057341"/>
    <x v="1"/>
    <n v="5970"/>
    <x v="0"/>
    <x v="0"/>
    <x v="25"/>
    <x v="1"/>
    <x v="0"/>
    <x v="0"/>
    <x v="1"/>
    <x v="0"/>
  </r>
  <r>
    <x v="0"/>
    <x v="0"/>
    <n v="2239057342"/>
    <x v="1"/>
    <n v="3150"/>
    <x v="0"/>
    <x v="0"/>
    <x v="25"/>
    <x v="1"/>
    <x v="0"/>
    <x v="0"/>
    <x v="1"/>
    <x v="0"/>
  </r>
  <r>
    <x v="0"/>
    <x v="0"/>
    <n v="2239057343"/>
    <x v="1"/>
    <n v="1140"/>
    <x v="0"/>
    <x v="0"/>
    <x v="25"/>
    <x v="1"/>
    <x v="0"/>
    <x v="0"/>
    <x v="1"/>
    <x v="0"/>
  </r>
  <r>
    <x v="0"/>
    <x v="0"/>
    <n v="2239057344"/>
    <x v="1"/>
    <n v="1140"/>
    <x v="0"/>
    <x v="0"/>
    <x v="25"/>
    <x v="1"/>
    <x v="0"/>
    <x v="0"/>
    <x v="1"/>
    <x v="0"/>
  </r>
  <r>
    <x v="0"/>
    <x v="0"/>
    <n v="2239057345"/>
    <x v="1"/>
    <n v="8550"/>
    <x v="0"/>
    <x v="0"/>
    <x v="25"/>
    <x v="1"/>
    <x v="0"/>
    <x v="0"/>
    <x v="1"/>
    <x v="0"/>
  </r>
  <r>
    <x v="0"/>
    <x v="0"/>
    <n v="2239057346"/>
    <x v="1"/>
    <n v="4650"/>
    <x v="0"/>
    <x v="0"/>
    <x v="25"/>
    <x v="1"/>
    <x v="0"/>
    <x v="0"/>
    <x v="1"/>
    <x v="0"/>
  </r>
  <r>
    <x v="0"/>
    <x v="0"/>
    <n v="2239057347"/>
    <x v="0"/>
    <n v="6570"/>
    <x v="0"/>
    <x v="0"/>
    <x v="25"/>
    <x v="0"/>
    <x v="0"/>
    <x v="0"/>
    <x v="0"/>
    <x v="0"/>
  </r>
  <r>
    <x v="0"/>
    <x v="0"/>
    <n v="2239057348"/>
    <x v="0"/>
    <n v="130790"/>
    <x v="0"/>
    <x v="0"/>
    <x v="25"/>
    <x v="0"/>
    <x v="0"/>
    <x v="0"/>
    <x v="0"/>
    <x v="0"/>
  </r>
  <r>
    <x v="0"/>
    <x v="0"/>
    <n v="2239057349"/>
    <x v="1"/>
    <n v="23740"/>
    <x v="0"/>
    <x v="0"/>
    <x v="25"/>
    <x v="1"/>
    <x v="0"/>
    <x v="0"/>
    <x v="1"/>
    <x v="0"/>
  </r>
  <r>
    <x v="0"/>
    <x v="0"/>
    <n v="2239057350"/>
    <x v="1"/>
    <n v="40820"/>
    <x v="0"/>
    <x v="0"/>
    <x v="25"/>
    <x v="1"/>
    <x v="0"/>
    <x v="0"/>
    <x v="1"/>
    <x v="0"/>
  </r>
  <r>
    <x v="0"/>
    <x v="0"/>
    <n v="2239057351"/>
    <x v="1"/>
    <n v="2700"/>
    <x v="0"/>
    <x v="0"/>
    <x v="25"/>
    <x v="1"/>
    <x v="0"/>
    <x v="0"/>
    <x v="1"/>
    <x v="0"/>
  </r>
  <r>
    <x v="0"/>
    <x v="0"/>
    <n v="2239057352"/>
    <x v="0"/>
    <n v="6500"/>
    <x v="0"/>
    <x v="0"/>
    <x v="25"/>
    <x v="0"/>
    <x v="0"/>
    <x v="0"/>
    <x v="0"/>
    <x v="0"/>
  </r>
  <r>
    <x v="0"/>
    <x v="0"/>
    <n v="2239057353"/>
    <x v="0"/>
    <n v="6500"/>
    <x v="0"/>
    <x v="0"/>
    <x v="25"/>
    <x v="0"/>
    <x v="0"/>
    <x v="0"/>
    <x v="0"/>
    <x v="0"/>
  </r>
  <r>
    <x v="0"/>
    <x v="0"/>
    <n v="2239057354"/>
    <x v="0"/>
    <n v="13000"/>
    <x v="0"/>
    <x v="0"/>
    <x v="25"/>
    <x v="0"/>
    <x v="0"/>
    <x v="0"/>
    <x v="0"/>
    <x v="0"/>
  </r>
  <r>
    <x v="0"/>
    <x v="0"/>
    <n v="2239057355"/>
    <x v="1"/>
    <n v="3150"/>
    <x v="0"/>
    <x v="0"/>
    <x v="25"/>
    <x v="1"/>
    <x v="0"/>
    <x v="0"/>
    <x v="1"/>
    <x v="0"/>
  </r>
  <r>
    <x v="0"/>
    <x v="0"/>
    <n v="2239057356"/>
    <x v="1"/>
    <n v="9650"/>
    <x v="0"/>
    <x v="0"/>
    <x v="25"/>
    <x v="1"/>
    <x v="0"/>
    <x v="0"/>
    <x v="1"/>
    <x v="0"/>
  </r>
  <r>
    <x v="0"/>
    <x v="0"/>
    <n v="2239057357"/>
    <x v="0"/>
    <n v="6500"/>
    <x v="0"/>
    <x v="0"/>
    <x v="25"/>
    <x v="0"/>
    <x v="0"/>
    <x v="0"/>
    <x v="0"/>
    <x v="0"/>
  </r>
  <r>
    <x v="0"/>
    <x v="0"/>
    <n v="2239057358"/>
    <x v="1"/>
    <n v="32770"/>
    <x v="0"/>
    <x v="0"/>
    <x v="25"/>
    <x v="1"/>
    <x v="0"/>
    <x v="0"/>
    <x v="1"/>
    <x v="0"/>
  </r>
  <r>
    <x v="0"/>
    <x v="0"/>
    <n v="2239057359"/>
    <x v="0"/>
    <n v="2250"/>
    <x v="0"/>
    <x v="0"/>
    <x v="25"/>
    <x v="0"/>
    <x v="0"/>
    <x v="0"/>
    <x v="0"/>
    <x v="0"/>
  </r>
  <r>
    <x v="0"/>
    <x v="0"/>
    <n v="2239057360"/>
    <x v="0"/>
    <n v="3150"/>
    <x v="0"/>
    <x v="0"/>
    <x v="25"/>
    <x v="0"/>
    <x v="0"/>
    <x v="0"/>
    <x v="0"/>
    <x v="0"/>
  </r>
  <r>
    <x v="0"/>
    <x v="0"/>
    <n v="2239057361"/>
    <x v="0"/>
    <n v="5400"/>
    <x v="0"/>
    <x v="0"/>
    <x v="25"/>
    <x v="0"/>
    <x v="0"/>
    <x v="0"/>
    <x v="0"/>
    <x v="0"/>
  </r>
  <r>
    <x v="0"/>
    <x v="0"/>
    <n v="2239057362"/>
    <x v="1"/>
    <n v="900"/>
    <x v="0"/>
    <x v="0"/>
    <x v="25"/>
    <x v="1"/>
    <x v="0"/>
    <x v="0"/>
    <x v="1"/>
    <x v="0"/>
  </r>
  <r>
    <x v="0"/>
    <x v="0"/>
    <n v="2239057363"/>
    <x v="1"/>
    <n v="3150"/>
    <x v="0"/>
    <x v="0"/>
    <x v="25"/>
    <x v="1"/>
    <x v="0"/>
    <x v="0"/>
    <x v="1"/>
    <x v="0"/>
  </r>
  <r>
    <x v="0"/>
    <x v="0"/>
    <n v="2239057364"/>
    <x v="0"/>
    <n v="10350"/>
    <x v="0"/>
    <x v="0"/>
    <x v="25"/>
    <x v="0"/>
    <x v="0"/>
    <x v="0"/>
    <x v="0"/>
    <x v="0"/>
  </r>
  <r>
    <x v="0"/>
    <x v="0"/>
    <n v="2239057365"/>
    <x v="0"/>
    <n v="1800"/>
    <x v="0"/>
    <x v="0"/>
    <x v="25"/>
    <x v="0"/>
    <x v="0"/>
    <x v="0"/>
    <x v="0"/>
    <x v="0"/>
  </r>
  <r>
    <x v="0"/>
    <x v="0"/>
    <n v="2239057366"/>
    <x v="1"/>
    <n v="4500"/>
    <x v="0"/>
    <x v="0"/>
    <x v="25"/>
    <x v="1"/>
    <x v="0"/>
    <x v="0"/>
    <x v="1"/>
    <x v="0"/>
  </r>
  <r>
    <x v="0"/>
    <x v="0"/>
    <n v="2239057367"/>
    <x v="1"/>
    <n v="2850"/>
    <x v="0"/>
    <x v="0"/>
    <x v="25"/>
    <x v="1"/>
    <x v="0"/>
    <x v="0"/>
    <x v="1"/>
    <x v="0"/>
  </r>
  <r>
    <x v="0"/>
    <x v="0"/>
    <n v="2239057369"/>
    <x v="1"/>
    <n v="900"/>
    <x v="0"/>
    <x v="0"/>
    <x v="25"/>
    <x v="1"/>
    <x v="0"/>
    <x v="0"/>
    <x v="1"/>
    <x v="0"/>
  </r>
  <r>
    <x v="0"/>
    <x v="0"/>
    <n v="2239057370"/>
    <x v="0"/>
    <n v="6500"/>
    <x v="0"/>
    <x v="0"/>
    <x v="25"/>
    <x v="0"/>
    <x v="0"/>
    <x v="0"/>
    <x v="0"/>
    <x v="0"/>
  </r>
  <r>
    <x v="0"/>
    <x v="0"/>
    <n v="2239057371"/>
    <x v="1"/>
    <n v="1140"/>
    <x v="0"/>
    <x v="0"/>
    <x v="25"/>
    <x v="1"/>
    <x v="0"/>
    <x v="0"/>
    <x v="1"/>
    <x v="0"/>
  </r>
  <r>
    <x v="0"/>
    <x v="0"/>
    <n v="2239057372"/>
    <x v="1"/>
    <n v="900"/>
    <x v="0"/>
    <x v="0"/>
    <x v="25"/>
    <x v="1"/>
    <x v="0"/>
    <x v="0"/>
    <x v="1"/>
    <x v="0"/>
  </r>
  <r>
    <x v="0"/>
    <x v="0"/>
    <n v="2239057373"/>
    <x v="1"/>
    <n v="1140"/>
    <x v="0"/>
    <x v="0"/>
    <x v="25"/>
    <x v="1"/>
    <x v="0"/>
    <x v="0"/>
    <x v="1"/>
    <x v="0"/>
  </r>
  <r>
    <x v="0"/>
    <x v="0"/>
    <n v="2239057374"/>
    <x v="1"/>
    <n v="5400"/>
    <x v="0"/>
    <x v="0"/>
    <x v="25"/>
    <x v="1"/>
    <x v="0"/>
    <x v="0"/>
    <x v="1"/>
    <x v="0"/>
  </r>
  <r>
    <x v="0"/>
    <x v="0"/>
    <n v="2239057375"/>
    <x v="1"/>
    <n v="3420"/>
    <x v="0"/>
    <x v="0"/>
    <x v="25"/>
    <x v="1"/>
    <x v="0"/>
    <x v="0"/>
    <x v="1"/>
    <x v="0"/>
  </r>
  <r>
    <x v="0"/>
    <x v="0"/>
    <n v="2239057376"/>
    <x v="0"/>
    <n v="71100"/>
    <x v="0"/>
    <x v="0"/>
    <x v="25"/>
    <x v="0"/>
    <x v="0"/>
    <x v="0"/>
    <x v="0"/>
    <x v="0"/>
  </r>
  <r>
    <x v="0"/>
    <x v="0"/>
    <n v="2239057377"/>
    <x v="2"/>
    <n v="48290"/>
    <x v="0"/>
    <x v="0"/>
    <x v="25"/>
    <x v="2"/>
    <x v="0"/>
    <x v="0"/>
    <x v="2"/>
    <x v="0"/>
  </r>
  <r>
    <x v="0"/>
    <x v="0"/>
    <n v="2239057378"/>
    <x v="1"/>
    <n v="15400"/>
    <x v="0"/>
    <x v="0"/>
    <x v="25"/>
    <x v="1"/>
    <x v="0"/>
    <x v="0"/>
    <x v="1"/>
    <x v="0"/>
  </r>
  <r>
    <x v="0"/>
    <x v="0"/>
    <n v="2239057379"/>
    <x v="0"/>
    <n v="900"/>
    <x v="0"/>
    <x v="0"/>
    <x v="25"/>
    <x v="0"/>
    <x v="0"/>
    <x v="0"/>
    <x v="0"/>
    <x v="0"/>
  </r>
  <r>
    <x v="0"/>
    <x v="0"/>
    <n v="2239057380"/>
    <x v="3"/>
    <n v="30030"/>
    <x v="0"/>
    <x v="0"/>
    <x v="25"/>
    <x v="3"/>
    <x v="0"/>
    <x v="0"/>
    <x v="3"/>
    <x v="0"/>
  </r>
  <r>
    <x v="0"/>
    <x v="0"/>
    <n v="2239057381"/>
    <x v="6"/>
    <n v="19500"/>
    <x v="0"/>
    <x v="0"/>
    <x v="25"/>
    <x v="6"/>
    <x v="0"/>
    <x v="0"/>
    <x v="5"/>
    <x v="0"/>
  </r>
  <r>
    <x v="0"/>
    <x v="0"/>
    <n v="2239057382"/>
    <x v="6"/>
    <n v="2000"/>
    <x v="0"/>
    <x v="0"/>
    <x v="25"/>
    <x v="6"/>
    <x v="0"/>
    <x v="0"/>
    <x v="5"/>
    <x v="0"/>
  </r>
  <r>
    <x v="0"/>
    <x v="0"/>
    <n v="2239057383"/>
    <x v="7"/>
    <n v="1500"/>
    <x v="0"/>
    <x v="0"/>
    <x v="25"/>
    <x v="7"/>
    <x v="0"/>
    <x v="0"/>
    <x v="1"/>
    <x v="0"/>
  </r>
  <r>
    <x v="0"/>
    <x v="0"/>
    <n v="2239057384"/>
    <x v="6"/>
    <n v="3000"/>
    <x v="0"/>
    <x v="0"/>
    <x v="25"/>
    <x v="6"/>
    <x v="0"/>
    <x v="0"/>
    <x v="5"/>
    <x v="0"/>
  </r>
  <r>
    <x v="0"/>
    <x v="0"/>
    <n v="2239057386"/>
    <x v="3"/>
    <n v="36520"/>
    <x v="0"/>
    <x v="0"/>
    <x v="25"/>
    <x v="3"/>
    <x v="0"/>
    <x v="0"/>
    <x v="3"/>
    <x v="0"/>
  </r>
  <r>
    <x v="0"/>
    <x v="0"/>
    <n v="2239057387"/>
    <x v="2"/>
    <n v="10450"/>
    <x v="0"/>
    <x v="0"/>
    <x v="25"/>
    <x v="2"/>
    <x v="0"/>
    <x v="0"/>
    <x v="2"/>
    <x v="0"/>
  </r>
  <r>
    <x v="0"/>
    <x v="0"/>
    <n v="2239057388"/>
    <x v="7"/>
    <n v="1500"/>
    <x v="0"/>
    <x v="0"/>
    <x v="25"/>
    <x v="7"/>
    <x v="0"/>
    <x v="0"/>
    <x v="1"/>
    <x v="0"/>
  </r>
  <r>
    <x v="0"/>
    <x v="0"/>
    <n v="2239057389"/>
    <x v="7"/>
    <n v="1500"/>
    <x v="0"/>
    <x v="0"/>
    <x v="25"/>
    <x v="7"/>
    <x v="0"/>
    <x v="0"/>
    <x v="1"/>
    <x v="0"/>
  </r>
  <r>
    <x v="0"/>
    <x v="0"/>
    <n v="2239057390"/>
    <x v="1"/>
    <n v="1140"/>
    <x v="0"/>
    <x v="0"/>
    <x v="25"/>
    <x v="1"/>
    <x v="0"/>
    <x v="0"/>
    <x v="1"/>
    <x v="0"/>
  </r>
  <r>
    <x v="0"/>
    <x v="0"/>
    <n v="2239057391"/>
    <x v="2"/>
    <n v="10450"/>
    <x v="0"/>
    <x v="0"/>
    <x v="25"/>
    <x v="2"/>
    <x v="0"/>
    <x v="0"/>
    <x v="2"/>
    <x v="0"/>
  </r>
  <r>
    <x v="0"/>
    <x v="0"/>
    <n v="2239057392"/>
    <x v="2"/>
    <n v="30690"/>
    <x v="0"/>
    <x v="0"/>
    <x v="25"/>
    <x v="2"/>
    <x v="0"/>
    <x v="0"/>
    <x v="2"/>
    <x v="0"/>
  </r>
  <r>
    <x v="0"/>
    <x v="0"/>
    <n v="2239057393"/>
    <x v="2"/>
    <n v="32340"/>
    <x v="0"/>
    <x v="0"/>
    <x v="25"/>
    <x v="2"/>
    <x v="0"/>
    <x v="0"/>
    <x v="2"/>
    <x v="0"/>
  </r>
  <r>
    <x v="0"/>
    <x v="0"/>
    <n v="2239057394"/>
    <x v="7"/>
    <n v="1500"/>
    <x v="0"/>
    <x v="0"/>
    <x v="25"/>
    <x v="7"/>
    <x v="0"/>
    <x v="0"/>
    <x v="1"/>
    <x v="0"/>
  </r>
  <r>
    <x v="0"/>
    <x v="0"/>
    <n v="2239057395"/>
    <x v="2"/>
    <n v="1500"/>
    <x v="0"/>
    <x v="0"/>
    <x v="25"/>
    <x v="2"/>
    <x v="0"/>
    <x v="0"/>
    <x v="2"/>
    <x v="0"/>
  </r>
  <r>
    <x v="0"/>
    <x v="0"/>
    <n v="2239057396"/>
    <x v="4"/>
    <n v="5600"/>
    <x v="0"/>
    <x v="0"/>
    <x v="25"/>
    <x v="4"/>
    <x v="0"/>
    <x v="0"/>
    <x v="4"/>
    <x v="0"/>
  </r>
  <r>
    <x v="0"/>
    <x v="0"/>
    <n v="2239057397"/>
    <x v="2"/>
    <n v="66880"/>
    <x v="0"/>
    <x v="0"/>
    <x v="25"/>
    <x v="2"/>
    <x v="0"/>
    <x v="0"/>
    <x v="2"/>
    <x v="0"/>
  </r>
  <r>
    <x v="0"/>
    <x v="0"/>
    <n v="2239057398"/>
    <x v="7"/>
    <n v="1500"/>
    <x v="0"/>
    <x v="0"/>
    <x v="25"/>
    <x v="7"/>
    <x v="0"/>
    <x v="0"/>
    <x v="1"/>
    <x v="0"/>
  </r>
  <r>
    <x v="0"/>
    <x v="0"/>
    <n v="2239057399"/>
    <x v="5"/>
    <n v="-7700"/>
    <x v="0"/>
    <x v="0"/>
    <x v="25"/>
    <x v="5"/>
    <x v="0"/>
    <x v="0"/>
    <x v="5"/>
    <x v="0"/>
  </r>
  <r>
    <x v="0"/>
    <x v="0"/>
    <n v="2239057399"/>
    <x v="6"/>
    <n v="30000"/>
    <x v="0"/>
    <x v="0"/>
    <x v="25"/>
    <x v="6"/>
    <x v="0"/>
    <x v="0"/>
    <x v="5"/>
    <x v="0"/>
  </r>
  <r>
    <x v="0"/>
    <x v="0"/>
    <n v="2239057400"/>
    <x v="2"/>
    <n v="6500"/>
    <x v="0"/>
    <x v="0"/>
    <x v="25"/>
    <x v="2"/>
    <x v="0"/>
    <x v="0"/>
    <x v="2"/>
    <x v="0"/>
  </r>
  <r>
    <x v="0"/>
    <x v="0"/>
    <n v="2239057401"/>
    <x v="7"/>
    <n v="1500"/>
    <x v="0"/>
    <x v="0"/>
    <x v="25"/>
    <x v="7"/>
    <x v="0"/>
    <x v="0"/>
    <x v="1"/>
    <x v="0"/>
  </r>
  <r>
    <x v="0"/>
    <x v="0"/>
    <n v="2239057402"/>
    <x v="1"/>
    <n v="2190"/>
    <x v="0"/>
    <x v="0"/>
    <x v="25"/>
    <x v="1"/>
    <x v="0"/>
    <x v="0"/>
    <x v="1"/>
    <x v="0"/>
  </r>
  <r>
    <x v="0"/>
    <x v="0"/>
    <n v="2239057403"/>
    <x v="6"/>
    <n v="7000"/>
    <x v="0"/>
    <x v="0"/>
    <x v="25"/>
    <x v="6"/>
    <x v="0"/>
    <x v="0"/>
    <x v="5"/>
    <x v="0"/>
  </r>
  <r>
    <x v="0"/>
    <x v="0"/>
    <n v="2239057405"/>
    <x v="5"/>
    <n v="-1400"/>
    <x v="0"/>
    <x v="0"/>
    <x v="25"/>
    <x v="5"/>
    <x v="0"/>
    <x v="0"/>
    <x v="5"/>
    <x v="0"/>
  </r>
  <r>
    <x v="0"/>
    <x v="0"/>
    <n v="2239057405"/>
    <x v="6"/>
    <n v="5000"/>
    <x v="0"/>
    <x v="0"/>
    <x v="25"/>
    <x v="6"/>
    <x v="0"/>
    <x v="0"/>
    <x v="5"/>
    <x v="0"/>
  </r>
  <r>
    <x v="0"/>
    <x v="0"/>
    <n v="2239057406"/>
    <x v="0"/>
    <n v="36390"/>
    <x v="0"/>
    <x v="0"/>
    <x v="25"/>
    <x v="0"/>
    <x v="0"/>
    <x v="0"/>
    <x v="0"/>
    <x v="0"/>
  </r>
  <r>
    <x v="0"/>
    <x v="0"/>
    <n v="2239057407"/>
    <x v="7"/>
    <n v="1500"/>
    <x v="0"/>
    <x v="0"/>
    <x v="25"/>
    <x v="7"/>
    <x v="0"/>
    <x v="0"/>
    <x v="1"/>
    <x v="0"/>
  </r>
  <r>
    <x v="0"/>
    <x v="0"/>
    <n v="2239057409"/>
    <x v="1"/>
    <n v="900"/>
    <x v="0"/>
    <x v="0"/>
    <x v="25"/>
    <x v="1"/>
    <x v="0"/>
    <x v="0"/>
    <x v="1"/>
    <x v="0"/>
  </r>
  <r>
    <x v="0"/>
    <x v="0"/>
    <n v="2239057411"/>
    <x v="2"/>
    <n v="7700"/>
    <x v="0"/>
    <x v="0"/>
    <x v="25"/>
    <x v="2"/>
    <x v="0"/>
    <x v="0"/>
    <x v="2"/>
    <x v="0"/>
  </r>
  <r>
    <x v="0"/>
    <x v="0"/>
    <n v="2239057412"/>
    <x v="0"/>
    <n v="18270"/>
    <x v="0"/>
    <x v="0"/>
    <x v="25"/>
    <x v="0"/>
    <x v="0"/>
    <x v="0"/>
    <x v="0"/>
    <x v="0"/>
  </r>
  <r>
    <x v="0"/>
    <x v="0"/>
    <n v="2239057413"/>
    <x v="5"/>
    <n v="-4700"/>
    <x v="0"/>
    <x v="0"/>
    <x v="25"/>
    <x v="5"/>
    <x v="0"/>
    <x v="0"/>
    <x v="5"/>
    <x v="0"/>
  </r>
  <r>
    <x v="0"/>
    <x v="0"/>
    <n v="2239057413"/>
    <x v="4"/>
    <n v="10000"/>
    <x v="0"/>
    <x v="0"/>
    <x v="25"/>
    <x v="4"/>
    <x v="0"/>
    <x v="0"/>
    <x v="4"/>
    <x v="0"/>
  </r>
  <r>
    <x v="0"/>
    <x v="0"/>
    <n v="2239057414"/>
    <x v="4"/>
    <n v="5600"/>
    <x v="0"/>
    <x v="0"/>
    <x v="25"/>
    <x v="4"/>
    <x v="0"/>
    <x v="0"/>
    <x v="4"/>
    <x v="0"/>
  </r>
  <r>
    <x v="0"/>
    <x v="0"/>
    <n v="2239057415"/>
    <x v="5"/>
    <n v="-1600"/>
    <x v="0"/>
    <x v="0"/>
    <x v="25"/>
    <x v="5"/>
    <x v="0"/>
    <x v="0"/>
    <x v="5"/>
    <x v="0"/>
  </r>
  <r>
    <x v="0"/>
    <x v="0"/>
    <n v="2239057415"/>
    <x v="6"/>
    <n v="10000"/>
    <x v="0"/>
    <x v="0"/>
    <x v="25"/>
    <x v="6"/>
    <x v="0"/>
    <x v="0"/>
    <x v="5"/>
    <x v="0"/>
  </r>
  <r>
    <x v="0"/>
    <x v="0"/>
    <n v="2239057416"/>
    <x v="2"/>
    <n v="37730"/>
    <x v="0"/>
    <x v="0"/>
    <x v="25"/>
    <x v="2"/>
    <x v="0"/>
    <x v="0"/>
    <x v="2"/>
    <x v="0"/>
  </r>
  <r>
    <x v="0"/>
    <x v="0"/>
    <n v="2239057417"/>
    <x v="3"/>
    <n v="6600"/>
    <x v="0"/>
    <x v="0"/>
    <x v="25"/>
    <x v="3"/>
    <x v="0"/>
    <x v="0"/>
    <x v="3"/>
    <x v="0"/>
  </r>
  <r>
    <x v="0"/>
    <x v="0"/>
    <n v="2239057418"/>
    <x v="5"/>
    <n v="-3760"/>
    <x v="0"/>
    <x v="0"/>
    <x v="25"/>
    <x v="5"/>
    <x v="0"/>
    <x v="0"/>
    <x v="5"/>
    <x v="0"/>
  </r>
  <r>
    <x v="0"/>
    <x v="0"/>
    <n v="2239057418"/>
    <x v="6"/>
    <n v="25000"/>
    <x v="0"/>
    <x v="0"/>
    <x v="25"/>
    <x v="6"/>
    <x v="0"/>
    <x v="0"/>
    <x v="5"/>
    <x v="0"/>
  </r>
  <r>
    <x v="0"/>
    <x v="0"/>
    <n v="2239057419"/>
    <x v="7"/>
    <n v="1500"/>
    <x v="0"/>
    <x v="0"/>
    <x v="25"/>
    <x v="7"/>
    <x v="0"/>
    <x v="0"/>
    <x v="1"/>
    <x v="0"/>
  </r>
  <r>
    <x v="0"/>
    <x v="0"/>
    <n v="2239057420"/>
    <x v="2"/>
    <n v="81620"/>
    <x v="0"/>
    <x v="0"/>
    <x v="25"/>
    <x v="2"/>
    <x v="0"/>
    <x v="0"/>
    <x v="2"/>
    <x v="0"/>
  </r>
  <r>
    <x v="0"/>
    <x v="0"/>
    <n v="2239057421"/>
    <x v="5"/>
    <n v="-2500"/>
    <x v="0"/>
    <x v="0"/>
    <x v="25"/>
    <x v="5"/>
    <x v="0"/>
    <x v="0"/>
    <x v="5"/>
    <x v="0"/>
  </r>
  <r>
    <x v="0"/>
    <x v="0"/>
    <n v="2239057421"/>
    <x v="6"/>
    <n v="10000"/>
    <x v="0"/>
    <x v="0"/>
    <x v="25"/>
    <x v="6"/>
    <x v="0"/>
    <x v="0"/>
    <x v="5"/>
    <x v="0"/>
  </r>
  <r>
    <x v="0"/>
    <x v="0"/>
    <n v="2239057423"/>
    <x v="5"/>
    <n v="-800"/>
    <x v="0"/>
    <x v="0"/>
    <x v="25"/>
    <x v="5"/>
    <x v="0"/>
    <x v="0"/>
    <x v="5"/>
    <x v="0"/>
  </r>
  <r>
    <x v="0"/>
    <x v="0"/>
    <n v="2239057423"/>
    <x v="4"/>
    <n v="10000"/>
    <x v="0"/>
    <x v="0"/>
    <x v="25"/>
    <x v="4"/>
    <x v="0"/>
    <x v="0"/>
    <x v="4"/>
    <x v="0"/>
  </r>
  <r>
    <x v="0"/>
    <x v="0"/>
    <n v="2239057424"/>
    <x v="2"/>
    <n v="8250"/>
    <x v="0"/>
    <x v="0"/>
    <x v="25"/>
    <x v="2"/>
    <x v="0"/>
    <x v="0"/>
    <x v="2"/>
    <x v="0"/>
  </r>
  <r>
    <x v="0"/>
    <x v="0"/>
    <n v="2239057424"/>
    <x v="7"/>
    <n v="4000"/>
    <x v="0"/>
    <x v="0"/>
    <x v="25"/>
    <x v="7"/>
    <x v="0"/>
    <x v="0"/>
    <x v="1"/>
    <x v="0"/>
  </r>
  <r>
    <x v="0"/>
    <x v="0"/>
    <n v="2239057425"/>
    <x v="0"/>
    <n v="7170"/>
    <x v="0"/>
    <x v="0"/>
    <x v="25"/>
    <x v="0"/>
    <x v="0"/>
    <x v="0"/>
    <x v="0"/>
    <x v="0"/>
  </r>
  <r>
    <x v="0"/>
    <x v="0"/>
    <n v="2239057427"/>
    <x v="2"/>
    <n v="64340"/>
    <x v="0"/>
    <x v="0"/>
    <x v="25"/>
    <x v="2"/>
    <x v="0"/>
    <x v="0"/>
    <x v="2"/>
    <x v="0"/>
  </r>
  <r>
    <x v="0"/>
    <x v="0"/>
    <n v="2239057428"/>
    <x v="1"/>
    <n v="3150"/>
    <x v="0"/>
    <x v="0"/>
    <x v="25"/>
    <x v="1"/>
    <x v="0"/>
    <x v="0"/>
    <x v="1"/>
    <x v="0"/>
  </r>
  <r>
    <x v="0"/>
    <x v="0"/>
    <n v="2239057429"/>
    <x v="2"/>
    <n v="65230"/>
    <x v="0"/>
    <x v="0"/>
    <x v="25"/>
    <x v="2"/>
    <x v="0"/>
    <x v="0"/>
    <x v="2"/>
    <x v="0"/>
  </r>
  <r>
    <x v="0"/>
    <x v="0"/>
    <n v="2239057430"/>
    <x v="0"/>
    <n v="11800"/>
    <x v="0"/>
    <x v="0"/>
    <x v="25"/>
    <x v="0"/>
    <x v="0"/>
    <x v="0"/>
    <x v="0"/>
    <x v="0"/>
  </r>
  <r>
    <x v="0"/>
    <x v="0"/>
    <n v="2239057431"/>
    <x v="2"/>
    <n v="25190"/>
    <x v="0"/>
    <x v="0"/>
    <x v="25"/>
    <x v="2"/>
    <x v="0"/>
    <x v="0"/>
    <x v="2"/>
    <x v="0"/>
  </r>
  <r>
    <x v="0"/>
    <x v="0"/>
    <n v="2239057432"/>
    <x v="1"/>
    <n v="7140"/>
    <x v="0"/>
    <x v="0"/>
    <x v="25"/>
    <x v="1"/>
    <x v="0"/>
    <x v="0"/>
    <x v="1"/>
    <x v="0"/>
  </r>
  <r>
    <x v="0"/>
    <x v="0"/>
    <n v="2239057433"/>
    <x v="5"/>
    <n v="-11900"/>
    <x v="0"/>
    <x v="0"/>
    <x v="25"/>
    <x v="5"/>
    <x v="0"/>
    <x v="0"/>
    <x v="5"/>
    <x v="0"/>
  </r>
  <r>
    <x v="0"/>
    <x v="0"/>
    <n v="2239057433"/>
    <x v="6"/>
    <n v="20000"/>
    <x v="0"/>
    <x v="0"/>
    <x v="25"/>
    <x v="6"/>
    <x v="0"/>
    <x v="0"/>
    <x v="5"/>
    <x v="0"/>
  </r>
  <r>
    <x v="0"/>
    <x v="0"/>
    <n v="2239057434"/>
    <x v="1"/>
    <n v="23900"/>
    <x v="0"/>
    <x v="0"/>
    <x v="25"/>
    <x v="1"/>
    <x v="0"/>
    <x v="0"/>
    <x v="1"/>
    <x v="0"/>
  </r>
  <r>
    <x v="0"/>
    <x v="0"/>
    <n v="2239057435"/>
    <x v="2"/>
    <n v="42680"/>
    <x v="0"/>
    <x v="0"/>
    <x v="25"/>
    <x v="2"/>
    <x v="0"/>
    <x v="0"/>
    <x v="2"/>
    <x v="0"/>
  </r>
  <r>
    <x v="0"/>
    <x v="0"/>
    <n v="2239057436"/>
    <x v="2"/>
    <n v="4455"/>
    <x v="0"/>
    <x v="0"/>
    <x v="25"/>
    <x v="2"/>
    <x v="0"/>
    <x v="0"/>
    <x v="2"/>
    <x v="0"/>
  </r>
  <r>
    <x v="0"/>
    <x v="0"/>
    <n v="2239057437"/>
    <x v="3"/>
    <n v="52140"/>
    <x v="0"/>
    <x v="0"/>
    <x v="25"/>
    <x v="3"/>
    <x v="0"/>
    <x v="0"/>
    <x v="3"/>
    <x v="0"/>
  </r>
  <r>
    <x v="0"/>
    <x v="0"/>
    <n v="2239057438"/>
    <x v="2"/>
    <n v="41140"/>
    <x v="0"/>
    <x v="0"/>
    <x v="25"/>
    <x v="2"/>
    <x v="0"/>
    <x v="0"/>
    <x v="2"/>
    <x v="0"/>
  </r>
  <r>
    <x v="0"/>
    <x v="0"/>
    <n v="2239057439"/>
    <x v="2"/>
    <n v="100540"/>
    <x v="0"/>
    <x v="0"/>
    <x v="25"/>
    <x v="2"/>
    <x v="0"/>
    <x v="0"/>
    <x v="2"/>
    <x v="0"/>
  </r>
  <r>
    <x v="0"/>
    <x v="0"/>
    <n v="2239057440"/>
    <x v="3"/>
    <n v="55440"/>
    <x v="0"/>
    <x v="0"/>
    <x v="25"/>
    <x v="3"/>
    <x v="0"/>
    <x v="0"/>
    <x v="3"/>
    <x v="0"/>
  </r>
  <r>
    <x v="0"/>
    <x v="0"/>
    <n v="2239057440"/>
    <x v="2"/>
    <n v="17600"/>
    <x v="0"/>
    <x v="0"/>
    <x v="25"/>
    <x v="2"/>
    <x v="0"/>
    <x v="0"/>
    <x v="2"/>
    <x v="0"/>
  </r>
  <r>
    <x v="0"/>
    <x v="0"/>
    <n v="2239057441"/>
    <x v="5"/>
    <n v="-4400"/>
    <x v="0"/>
    <x v="0"/>
    <x v="25"/>
    <x v="5"/>
    <x v="0"/>
    <x v="0"/>
    <x v="5"/>
    <x v="0"/>
  </r>
  <r>
    <x v="0"/>
    <x v="0"/>
    <n v="2239057441"/>
    <x v="4"/>
    <n v="10000"/>
    <x v="0"/>
    <x v="0"/>
    <x v="25"/>
    <x v="4"/>
    <x v="0"/>
    <x v="0"/>
    <x v="4"/>
    <x v="0"/>
  </r>
  <r>
    <x v="0"/>
    <x v="0"/>
    <n v="2239057442"/>
    <x v="2"/>
    <n v="52360"/>
    <x v="0"/>
    <x v="0"/>
    <x v="25"/>
    <x v="2"/>
    <x v="0"/>
    <x v="0"/>
    <x v="2"/>
    <x v="0"/>
  </r>
  <r>
    <x v="0"/>
    <x v="0"/>
    <n v="2239057443"/>
    <x v="2"/>
    <n v="7475"/>
    <x v="0"/>
    <x v="0"/>
    <x v="25"/>
    <x v="2"/>
    <x v="0"/>
    <x v="0"/>
    <x v="2"/>
    <x v="0"/>
  </r>
  <r>
    <x v="0"/>
    <x v="0"/>
    <n v="2239057444"/>
    <x v="3"/>
    <n v="16434"/>
    <x v="0"/>
    <x v="0"/>
    <x v="25"/>
    <x v="3"/>
    <x v="0"/>
    <x v="0"/>
    <x v="3"/>
    <x v="0"/>
  </r>
  <r>
    <x v="0"/>
    <x v="0"/>
    <n v="2239057444"/>
    <x v="8"/>
    <n v="16478"/>
    <x v="0"/>
    <x v="0"/>
    <x v="25"/>
    <x v="8"/>
    <x v="0"/>
    <x v="0"/>
    <x v="3"/>
    <x v="0"/>
  </r>
  <r>
    <x v="0"/>
    <x v="0"/>
    <n v="2239057446"/>
    <x v="3"/>
    <n v="34540"/>
    <x v="0"/>
    <x v="0"/>
    <x v="25"/>
    <x v="3"/>
    <x v="0"/>
    <x v="0"/>
    <x v="3"/>
    <x v="0"/>
  </r>
  <r>
    <x v="0"/>
    <x v="0"/>
    <n v="2239057447"/>
    <x v="7"/>
    <n v="3500"/>
    <x v="0"/>
    <x v="0"/>
    <x v="25"/>
    <x v="7"/>
    <x v="0"/>
    <x v="0"/>
    <x v="1"/>
    <x v="0"/>
  </r>
  <r>
    <x v="0"/>
    <x v="0"/>
    <n v="2239057448"/>
    <x v="1"/>
    <n v="900"/>
    <x v="0"/>
    <x v="0"/>
    <x v="25"/>
    <x v="1"/>
    <x v="0"/>
    <x v="0"/>
    <x v="1"/>
    <x v="0"/>
  </r>
  <r>
    <x v="0"/>
    <x v="0"/>
    <n v="2239057449"/>
    <x v="2"/>
    <n v="7700"/>
    <x v="0"/>
    <x v="0"/>
    <x v="25"/>
    <x v="2"/>
    <x v="0"/>
    <x v="0"/>
    <x v="2"/>
    <x v="0"/>
  </r>
  <r>
    <x v="0"/>
    <x v="0"/>
    <n v="2239057450"/>
    <x v="2"/>
    <n v="31900"/>
    <x v="0"/>
    <x v="0"/>
    <x v="25"/>
    <x v="2"/>
    <x v="0"/>
    <x v="0"/>
    <x v="2"/>
    <x v="0"/>
  </r>
  <r>
    <x v="0"/>
    <x v="0"/>
    <n v="2239057451"/>
    <x v="7"/>
    <n v="1500"/>
    <x v="0"/>
    <x v="0"/>
    <x v="25"/>
    <x v="7"/>
    <x v="0"/>
    <x v="0"/>
    <x v="1"/>
    <x v="0"/>
  </r>
  <r>
    <x v="0"/>
    <x v="0"/>
    <n v="2239059984"/>
    <x v="1"/>
    <n v="21600"/>
    <x v="0"/>
    <x v="0"/>
    <x v="26"/>
    <x v="1"/>
    <x v="0"/>
    <x v="0"/>
    <x v="1"/>
    <x v="0"/>
  </r>
  <r>
    <x v="0"/>
    <x v="0"/>
    <n v="2239059985"/>
    <x v="1"/>
    <n v="14250"/>
    <x v="0"/>
    <x v="0"/>
    <x v="26"/>
    <x v="1"/>
    <x v="0"/>
    <x v="0"/>
    <x v="1"/>
    <x v="0"/>
  </r>
  <r>
    <x v="0"/>
    <x v="0"/>
    <n v="2239059986"/>
    <x v="1"/>
    <n v="8550"/>
    <x v="0"/>
    <x v="0"/>
    <x v="26"/>
    <x v="1"/>
    <x v="0"/>
    <x v="0"/>
    <x v="1"/>
    <x v="0"/>
  </r>
  <r>
    <x v="0"/>
    <x v="0"/>
    <n v="2239059988"/>
    <x v="1"/>
    <n v="1050"/>
    <x v="0"/>
    <x v="0"/>
    <x v="26"/>
    <x v="1"/>
    <x v="0"/>
    <x v="0"/>
    <x v="1"/>
    <x v="0"/>
  </r>
  <r>
    <x v="0"/>
    <x v="0"/>
    <n v="2239059990"/>
    <x v="5"/>
    <n v="-2100"/>
    <x v="0"/>
    <x v="0"/>
    <x v="26"/>
    <x v="5"/>
    <x v="0"/>
    <x v="0"/>
    <x v="5"/>
    <x v="0"/>
  </r>
  <r>
    <x v="0"/>
    <x v="0"/>
    <n v="2239059990"/>
    <x v="6"/>
    <n v="20000"/>
    <x v="0"/>
    <x v="0"/>
    <x v="26"/>
    <x v="6"/>
    <x v="0"/>
    <x v="0"/>
    <x v="5"/>
    <x v="0"/>
  </r>
  <r>
    <x v="0"/>
    <x v="0"/>
    <n v="2239059991"/>
    <x v="5"/>
    <n v="-2370"/>
    <x v="0"/>
    <x v="0"/>
    <x v="26"/>
    <x v="5"/>
    <x v="0"/>
    <x v="0"/>
    <x v="5"/>
    <x v="0"/>
  </r>
  <r>
    <x v="0"/>
    <x v="0"/>
    <n v="2239059991"/>
    <x v="6"/>
    <n v="10000"/>
    <x v="0"/>
    <x v="0"/>
    <x v="26"/>
    <x v="6"/>
    <x v="0"/>
    <x v="0"/>
    <x v="5"/>
    <x v="0"/>
  </r>
  <r>
    <x v="0"/>
    <x v="0"/>
    <n v="2239059991"/>
    <x v="7"/>
    <n v="3270"/>
    <x v="0"/>
    <x v="0"/>
    <x v="26"/>
    <x v="7"/>
    <x v="0"/>
    <x v="0"/>
    <x v="1"/>
    <x v="0"/>
  </r>
  <r>
    <x v="0"/>
    <x v="0"/>
    <n v="2239059992"/>
    <x v="6"/>
    <n v="2000"/>
    <x v="0"/>
    <x v="0"/>
    <x v="26"/>
    <x v="6"/>
    <x v="0"/>
    <x v="0"/>
    <x v="5"/>
    <x v="0"/>
  </r>
  <r>
    <x v="0"/>
    <x v="0"/>
    <n v="2239059993"/>
    <x v="8"/>
    <n v="15000"/>
    <x v="0"/>
    <x v="0"/>
    <x v="26"/>
    <x v="8"/>
    <x v="0"/>
    <x v="0"/>
    <x v="3"/>
    <x v="0"/>
  </r>
  <r>
    <x v="0"/>
    <x v="0"/>
    <n v="2239059994"/>
    <x v="6"/>
    <n v="2000"/>
    <x v="0"/>
    <x v="0"/>
    <x v="26"/>
    <x v="6"/>
    <x v="0"/>
    <x v="0"/>
    <x v="5"/>
    <x v="0"/>
  </r>
  <r>
    <x v="0"/>
    <x v="0"/>
    <n v="2239059995"/>
    <x v="2"/>
    <n v="5175"/>
    <x v="0"/>
    <x v="0"/>
    <x v="26"/>
    <x v="2"/>
    <x v="0"/>
    <x v="0"/>
    <x v="2"/>
    <x v="0"/>
  </r>
  <r>
    <x v="0"/>
    <x v="0"/>
    <n v="2239059996"/>
    <x v="5"/>
    <n v="-4400"/>
    <x v="0"/>
    <x v="0"/>
    <x v="26"/>
    <x v="5"/>
    <x v="0"/>
    <x v="0"/>
    <x v="5"/>
    <x v="0"/>
  </r>
  <r>
    <x v="0"/>
    <x v="0"/>
    <n v="2239059996"/>
    <x v="4"/>
    <n v="10000"/>
    <x v="0"/>
    <x v="0"/>
    <x v="26"/>
    <x v="4"/>
    <x v="0"/>
    <x v="0"/>
    <x v="4"/>
    <x v="0"/>
  </r>
  <r>
    <x v="0"/>
    <x v="0"/>
    <n v="2239059997"/>
    <x v="5"/>
    <n v="-5200"/>
    <x v="0"/>
    <x v="0"/>
    <x v="26"/>
    <x v="5"/>
    <x v="0"/>
    <x v="0"/>
    <x v="5"/>
    <x v="0"/>
  </r>
  <r>
    <x v="0"/>
    <x v="0"/>
    <n v="2239059997"/>
    <x v="6"/>
    <n v="10000"/>
    <x v="0"/>
    <x v="0"/>
    <x v="26"/>
    <x v="6"/>
    <x v="0"/>
    <x v="0"/>
    <x v="5"/>
    <x v="0"/>
  </r>
  <r>
    <x v="0"/>
    <x v="0"/>
    <n v="2239059998"/>
    <x v="7"/>
    <n v="4800"/>
    <x v="0"/>
    <x v="0"/>
    <x v="26"/>
    <x v="7"/>
    <x v="0"/>
    <x v="0"/>
    <x v="1"/>
    <x v="0"/>
  </r>
  <r>
    <x v="0"/>
    <x v="0"/>
    <n v="2239059999"/>
    <x v="6"/>
    <n v="3000"/>
    <x v="0"/>
    <x v="0"/>
    <x v="26"/>
    <x v="6"/>
    <x v="0"/>
    <x v="0"/>
    <x v="5"/>
    <x v="0"/>
  </r>
  <r>
    <x v="0"/>
    <x v="0"/>
    <n v="2239060000"/>
    <x v="2"/>
    <n v="103290"/>
    <x v="0"/>
    <x v="0"/>
    <x v="26"/>
    <x v="2"/>
    <x v="0"/>
    <x v="0"/>
    <x v="2"/>
    <x v="0"/>
  </r>
  <r>
    <x v="0"/>
    <x v="0"/>
    <n v="2239060002"/>
    <x v="7"/>
    <n v="1500"/>
    <x v="0"/>
    <x v="0"/>
    <x v="26"/>
    <x v="7"/>
    <x v="0"/>
    <x v="0"/>
    <x v="1"/>
    <x v="0"/>
  </r>
  <r>
    <x v="0"/>
    <x v="0"/>
    <n v="2239060003"/>
    <x v="7"/>
    <n v="1500"/>
    <x v="0"/>
    <x v="0"/>
    <x v="26"/>
    <x v="7"/>
    <x v="0"/>
    <x v="0"/>
    <x v="1"/>
    <x v="0"/>
  </r>
  <r>
    <x v="0"/>
    <x v="0"/>
    <n v="2239060005"/>
    <x v="7"/>
    <n v="1500"/>
    <x v="0"/>
    <x v="0"/>
    <x v="26"/>
    <x v="7"/>
    <x v="0"/>
    <x v="0"/>
    <x v="1"/>
    <x v="0"/>
  </r>
  <r>
    <x v="0"/>
    <x v="0"/>
    <n v="2239060006"/>
    <x v="5"/>
    <n v="-4260"/>
    <x v="0"/>
    <x v="0"/>
    <x v="26"/>
    <x v="5"/>
    <x v="0"/>
    <x v="0"/>
    <x v="5"/>
    <x v="0"/>
  </r>
  <r>
    <x v="0"/>
    <x v="0"/>
    <n v="2239060006"/>
    <x v="6"/>
    <n v="45000"/>
    <x v="0"/>
    <x v="0"/>
    <x v="26"/>
    <x v="6"/>
    <x v="0"/>
    <x v="0"/>
    <x v="5"/>
    <x v="0"/>
  </r>
  <r>
    <x v="0"/>
    <x v="0"/>
    <n v="2239060006"/>
    <x v="7"/>
    <n v="27160"/>
    <x v="0"/>
    <x v="0"/>
    <x v="26"/>
    <x v="7"/>
    <x v="0"/>
    <x v="0"/>
    <x v="1"/>
    <x v="0"/>
  </r>
  <r>
    <x v="0"/>
    <x v="0"/>
    <n v="2239060007"/>
    <x v="2"/>
    <n v="37950"/>
    <x v="0"/>
    <x v="0"/>
    <x v="26"/>
    <x v="2"/>
    <x v="0"/>
    <x v="0"/>
    <x v="2"/>
    <x v="0"/>
  </r>
  <r>
    <x v="0"/>
    <x v="0"/>
    <n v="2239060008"/>
    <x v="5"/>
    <n v="-2000"/>
    <x v="0"/>
    <x v="0"/>
    <x v="26"/>
    <x v="5"/>
    <x v="0"/>
    <x v="0"/>
    <x v="5"/>
    <x v="0"/>
  </r>
  <r>
    <x v="0"/>
    <x v="0"/>
    <n v="2239060008"/>
    <x v="6"/>
    <n v="5000"/>
    <x v="0"/>
    <x v="0"/>
    <x v="26"/>
    <x v="6"/>
    <x v="0"/>
    <x v="0"/>
    <x v="5"/>
    <x v="0"/>
  </r>
  <r>
    <x v="0"/>
    <x v="0"/>
    <n v="2239060009"/>
    <x v="5"/>
    <n v="-4400"/>
    <x v="0"/>
    <x v="0"/>
    <x v="26"/>
    <x v="5"/>
    <x v="0"/>
    <x v="0"/>
    <x v="5"/>
    <x v="0"/>
  </r>
  <r>
    <x v="0"/>
    <x v="0"/>
    <n v="2239060009"/>
    <x v="4"/>
    <n v="10000"/>
    <x v="0"/>
    <x v="0"/>
    <x v="26"/>
    <x v="4"/>
    <x v="0"/>
    <x v="0"/>
    <x v="4"/>
    <x v="0"/>
  </r>
  <r>
    <x v="0"/>
    <x v="0"/>
    <n v="2239060010"/>
    <x v="5"/>
    <n v="-3000"/>
    <x v="0"/>
    <x v="0"/>
    <x v="26"/>
    <x v="5"/>
    <x v="0"/>
    <x v="0"/>
    <x v="5"/>
    <x v="0"/>
  </r>
  <r>
    <x v="0"/>
    <x v="0"/>
    <n v="2239060010"/>
    <x v="6"/>
    <n v="10000"/>
    <x v="0"/>
    <x v="0"/>
    <x v="26"/>
    <x v="6"/>
    <x v="0"/>
    <x v="0"/>
    <x v="5"/>
    <x v="0"/>
  </r>
  <r>
    <x v="0"/>
    <x v="0"/>
    <n v="2239060012"/>
    <x v="5"/>
    <n v="-400"/>
    <x v="0"/>
    <x v="0"/>
    <x v="26"/>
    <x v="5"/>
    <x v="0"/>
    <x v="0"/>
    <x v="5"/>
    <x v="0"/>
  </r>
  <r>
    <x v="0"/>
    <x v="0"/>
    <n v="2239060012"/>
    <x v="6"/>
    <n v="6000"/>
    <x v="0"/>
    <x v="0"/>
    <x v="26"/>
    <x v="6"/>
    <x v="0"/>
    <x v="0"/>
    <x v="5"/>
    <x v="0"/>
  </r>
  <r>
    <x v="0"/>
    <x v="0"/>
    <n v="2239060013"/>
    <x v="2"/>
    <n v="34430"/>
    <x v="0"/>
    <x v="0"/>
    <x v="26"/>
    <x v="2"/>
    <x v="0"/>
    <x v="0"/>
    <x v="2"/>
    <x v="0"/>
  </r>
  <r>
    <x v="0"/>
    <x v="0"/>
    <n v="2239060014"/>
    <x v="2"/>
    <n v="5000"/>
    <x v="0"/>
    <x v="0"/>
    <x v="26"/>
    <x v="2"/>
    <x v="0"/>
    <x v="0"/>
    <x v="2"/>
    <x v="0"/>
  </r>
  <r>
    <x v="0"/>
    <x v="0"/>
    <n v="2239060015"/>
    <x v="2"/>
    <n v="2200"/>
    <x v="0"/>
    <x v="0"/>
    <x v="26"/>
    <x v="2"/>
    <x v="0"/>
    <x v="0"/>
    <x v="2"/>
    <x v="0"/>
  </r>
  <r>
    <x v="0"/>
    <x v="0"/>
    <n v="2239060016"/>
    <x v="5"/>
    <n v="-1000"/>
    <x v="0"/>
    <x v="0"/>
    <x v="26"/>
    <x v="5"/>
    <x v="0"/>
    <x v="0"/>
    <x v="5"/>
    <x v="0"/>
  </r>
  <r>
    <x v="0"/>
    <x v="0"/>
    <n v="2239060016"/>
    <x v="6"/>
    <n v="5000"/>
    <x v="0"/>
    <x v="0"/>
    <x v="26"/>
    <x v="6"/>
    <x v="0"/>
    <x v="0"/>
    <x v="5"/>
    <x v="0"/>
  </r>
  <r>
    <x v="0"/>
    <x v="0"/>
    <n v="2239060017"/>
    <x v="3"/>
    <n v="24398"/>
    <x v="0"/>
    <x v="0"/>
    <x v="26"/>
    <x v="3"/>
    <x v="0"/>
    <x v="0"/>
    <x v="3"/>
    <x v="0"/>
  </r>
  <r>
    <x v="0"/>
    <x v="0"/>
    <n v="2239060018"/>
    <x v="7"/>
    <n v="1500"/>
    <x v="0"/>
    <x v="0"/>
    <x v="26"/>
    <x v="7"/>
    <x v="0"/>
    <x v="0"/>
    <x v="1"/>
    <x v="0"/>
  </r>
  <r>
    <x v="0"/>
    <x v="0"/>
    <n v="2239060019"/>
    <x v="5"/>
    <n v="-6000"/>
    <x v="0"/>
    <x v="0"/>
    <x v="26"/>
    <x v="5"/>
    <x v="0"/>
    <x v="0"/>
    <x v="5"/>
    <x v="0"/>
  </r>
  <r>
    <x v="0"/>
    <x v="0"/>
    <n v="2239060019"/>
    <x v="6"/>
    <n v="10000"/>
    <x v="0"/>
    <x v="0"/>
    <x v="26"/>
    <x v="6"/>
    <x v="0"/>
    <x v="0"/>
    <x v="5"/>
    <x v="0"/>
  </r>
  <r>
    <x v="0"/>
    <x v="0"/>
    <n v="2239060020"/>
    <x v="2"/>
    <n v="24640"/>
    <x v="0"/>
    <x v="0"/>
    <x v="26"/>
    <x v="2"/>
    <x v="0"/>
    <x v="0"/>
    <x v="2"/>
    <x v="0"/>
  </r>
  <r>
    <x v="0"/>
    <x v="0"/>
    <n v="2239060021"/>
    <x v="2"/>
    <n v="4400"/>
    <x v="0"/>
    <x v="0"/>
    <x v="26"/>
    <x v="2"/>
    <x v="0"/>
    <x v="0"/>
    <x v="2"/>
    <x v="0"/>
  </r>
  <r>
    <x v="0"/>
    <x v="0"/>
    <n v="2239060022"/>
    <x v="6"/>
    <n v="4000"/>
    <x v="0"/>
    <x v="0"/>
    <x v="26"/>
    <x v="6"/>
    <x v="0"/>
    <x v="0"/>
    <x v="5"/>
    <x v="0"/>
  </r>
  <r>
    <x v="0"/>
    <x v="0"/>
    <n v="2239060023"/>
    <x v="6"/>
    <n v="2000"/>
    <x v="0"/>
    <x v="0"/>
    <x v="26"/>
    <x v="6"/>
    <x v="0"/>
    <x v="0"/>
    <x v="5"/>
    <x v="0"/>
  </r>
  <r>
    <x v="0"/>
    <x v="0"/>
    <n v="2239060024"/>
    <x v="6"/>
    <n v="2000"/>
    <x v="0"/>
    <x v="0"/>
    <x v="26"/>
    <x v="6"/>
    <x v="0"/>
    <x v="0"/>
    <x v="5"/>
    <x v="0"/>
  </r>
  <r>
    <x v="0"/>
    <x v="0"/>
    <n v="2239060025"/>
    <x v="7"/>
    <n v="1500"/>
    <x v="0"/>
    <x v="0"/>
    <x v="26"/>
    <x v="7"/>
    <x v="0"/>
    <x v="0"/>
    <x v="1"/>
    <x v="0"/>
  </r>
  <r>
    <x v="0"/>
    <x v="0"/>
    <n v="2239060026"/>
    <x v="8"/>
    <n v="6000"/>
    <x v="0"/>
    <x v="0"/>
    <x v="26"/>
    <x v="8"/>
    <x v="0"/>
    <x v="0"/>
    <x v="3"/>
    <x v="0"/>
  </r>
  <r>
    <x v="0"/>
    <x v="0"/>
    <n v="2239060027"/>
    <x v="2"/>
    <n v="28490"/>
    <x v="0"/>
    <x v="0"/>
    <x v="26"/>
    <x v="2"/>
    <x v="0"/>
    <x v="0"/>
    <x v="2"/>
    <x v="0"/>
  </r>
  <r>
    <x v="0"/>
    <x v="0"/>
    <n v="2239060028"/>
    <x v="5"/>
    <n v="-5000"/>
    <x v="0"/>
    <x v="0"/>
    <x v="26"/>
    <x v="5"/>
    <x v="0"/>
    <x v="0"/>
    <x v="5"/>
    <x v="0"/>
  </r>
  <r>
    <x v="0"/>
    <x v="0"/>
    <n v="2239060028"/>
    <x v="4"/>
    <n v="10000"/>
    <x v="0"/>
    <x v="0"/>
    <x v="26"/>
    <x v="4"/>
    <x v="0"/>
    <x v="0"/>
    <x v="4"/>
    <x v="0"/>
  </r>
  <r>
    <x v="0"/>
    <x v="0"/>
    <n v="2239060029"/>
    <x v="2"/>
    <n v="2300"/>
    <x v="0"/>
    <x v="0"/>
    <x v="26"/>
    <x v="2"/>
    <x v="0"/>
    <x v="0"/>
    <x v="2"/>
    <x v="0"/>
  </r>
  <r>
    <x v="0"/>
    <x v="0"/>
    <n v="2239060030"/>
    <x v="6"/>
    <n v="3000"/>
    <x v="0"/>
    <x v="0"/>
    <x v="26"/>
    <x v="6"/>
    <x v="0"/>
    <x v="0"/>
    <x v="5"/>
    <x v="0"/>
  </r>
  <r>
    <x v="0"/>
    <x v="0"/>
    <n v="2239060031"/>
    <x v="2"/>
    <n v="3450"/>
    <x v="0"/>
    <x v="0"/>
    <x v="26"/>
    <x v="2"/>
    <x v="0"/>
    <x v="0"/>
    <x v="2"/>
    <x v="0"/>
  </r>
  <r>
    <x v="0"/>
    <x v="0"/>
    <n v="2239060032"/>
    <x v="5"/>
    <n v="-4250"/>
    <x v="0"/>
    <x v="0"/>
    <x v="26"/>
    <x v="5"/>
    <x v="0"/>
    <x v="0"/>
    <x v="5"/>
    <x v="0"/>
  </r>
  <r>
    <x v="0"/>
    <x v="0"/>
    <n v="2239060032"/>
    <x v="6"/>
    <n v="10000"/>
    <x v="0"/>
    <x v="0"/>
    <x v="26"/>
    <x v="6"/>
    <x v="0"/>
    <x v="0"/>
    <x v="5"/>
    <x v="0"/>
  </r>
  <r>
    <x v="0"/>
    <x v="0"/>
    <n v="2239060032"/>
    <x v="7"/>
    <n v="1750"/>
    <x v="0"/>
    <x v="0"/>
    <x v="26"/>
    <x v="7"/>
    <x v="0"/>
    <x v="0"/>
    <x v="1"/>
    <x v="0"/>
  </r>
  <r>
    <x v="0"/>
    <x v="0"/>
    <n v="2239060033"/>
    <x v="7"/>
    <n v="1500"/>
    <x v="0"/>
    <x v="0"/>
    <x v="26"/>
    <x v="7"/>
    <x v="0"/>
    <x v="0"/>
    <x v="1"/>
    <x v="0"/>
  </r>
  <r>
    <x v="0"/>
    <x v="0"/>
    <n v="2239060034"/>
    <x v="6"/>
    <n v="2000"/>
    <x v="0"/>
    <x v="0"/>
    <x v="26"/>
    <x v="6"/>
    <x v="0"/>
    <x v="0"/>
    <x v="5"/>
    <x v="0"/>
  </r>
  <r>
    <x v="0"/>
    <x v="0"/>
    <n v="2239060035"/>
    <x v="7"/>
    <n v="1500"/>
    <x v="0"/>
    <x v="0"/>
    <x v="26"/>
    <x v="7"/>
    <x v="0"/>
    <x v="0"/>
    <x v="1"/>
    <x v="0"/>
  </r>
  <r>
    <x v="0"/>
    <x v="0"/>
    <n v="2239060036"/>
    <x v="5"/>
    <n v="-8000"/>
    <x v="0"/>
    <x v="0"/>
    <x v="26"/>
    <x v="5"/>
    <x v="0"/>
    <x v="0"/>
    <x v="5"/>
    <x v="0"/>
  </r>
  <r>
    <x v="0"/>
    <x v="0"/>
    <n v="2239060036"/>
    <x v="6"/>
    <n v="10000"/>
    <x v="0"/>
    <x v="0"/>
    <x v="26"/>
    <x v="6"/>
    <x v="0"/>
    <x v="0"/>
    <x v="5"/>
    <x v="0"/>
  </r>
  <r>
    <x v="0"/>
    <x v="0"/>
    <n v="2239060037"/>
    <x v="5"/>
    <n v="-8000"/>
    <x v="0"/>
    <x v="0"/>
    <x v="26"/>
    <x v="5"/>
    <x v="0"/>
    <x v="0"/>
    <x v="5"/>
    <x v="0"/>
  </r>
  <r>
    <x v="0"/>
    <x v="0"/>
    <n v="2239060037"/>
    <x v="6"/>
    <n v="10000"/>
    <x v="0"/>
    <x v="0"/>
    <x v="26"/>
    <x v="6"/>
    <x v="0"/>
    <x v="0"/>
    <x v="5"/>
    <x v="0"/>
  </r>
  <r>
    <x v="0"/>
    <x v="0"/>
    <n v="2239060038"/>
    <x v="5"/>
    <n v="-5900"/>
    <x v="0"/>
    <x v="0"/>
    <x v="26"/>
    <x v="5"/>
    <x v="0"/>
    <x v="0"/>
    <x v="5"/>
    <x v="0"/>
  </r>
  <r>
    <x v="0"/>
    <x v="0"/>
    <n v="2239060038"/>
    <x v="6"/>
    <n v="20000"/>
    <x v="0"/>
    <x v="0"/>
    <x v="26"/>
    <x v="6"/>
    <x v="0"/>
    <x v="0"/>
    <x v="5"/>
    <x v="0"/>
  </r>
  <r>
    <x v="0"/>
    <x v="0"/>
    <n v="2239060039"/>
    <x v="5"/>
    <n v="-2000"/>
    <x v="0"/>
    <x v="0"/>
    <x v="26"/>
    <x v="5"/>
    <x v="0"/>
    <x v="0"/>
    <x v="5"/>
    <x v="0"/>
  </r>
  <r>
    <x v="0"/>
    <x v="0"/>
    <n v="2239060039"/>
    <x v="6"/>
    <n v="10000"/>
    <x v="0"/>
    <x v="0"/>
    <x v="26"/>
    <x v="6"/>
    <x v="0"/>
    <x v="0"/>
    <x v="5"/>
    <x v="0"/>
  </r>
  <r>
    <x v="0"/>
    <x v="0"/>
    <n v="2239060040"/>
    <x v="7"/>
    <n v="1500"/>
    <x v="0"/>
    <x v="0"/>
    <x v="26"/>
    <x v="7"/>
    <x v="0"/>
    <x v="0"/>
    <x v="1"/>
    <x v="0"/>
  </r>
  <r>
    <x v="0"/>
    <x v="0"/>
    <n v="2239060041"/>
    <x v="2"/>
    <n v="4400"/>
    <x v="0"/>
    <x v="0"/>
    <x v="26"/>
    <x v="2"/>
    <x v="0"/>
    <x v="0"/>
    <x v="2"/>
    <x v="0"/>
  </r>
  <r>
    <x v="0"/>
    <x v="0"/>
    <n v="2239060042"/>
    <x v="7"/>
    <n v="1500"/>
    <x v="0"/>
    <x v="0"/>
    <x v="26"/>
    <x v="7"/>
    <x v="0"/>
    <x v="0"/>
    <x v="1"/>
    <x v="0"/>
  </r>
  <r>
    <x v="0"/>
    <x v="0"/>
    <n v="2239060043"/>
    <x v="5"/>
    <n v="-5000"/>
    <x v="0"/>
    <x v="0"/>
    <x v="26"/>
    <x v="5"/>
    <x v="0"/>
    <x v="0"/>
    <x v="5"/>
    <x v="0"/>
  </r>
  <r>
    <x v="0"/>
    <x v="0"/>
    <n v="2239060043"/>
    <x v="4"/>
    <n v="10000"/>
    <x v="0"/>
    <x v="0"/>
    <x v="26"/>
    <x v="4"/>
    <x v="0"/>
    <x v="0"/>
    <x v="4"/>
    <x v="0"/>
  </r>
  <r>
    <x v="0"/>
    <x v="0"/>
    <n v="2239060044"/>
    <x v="5"/>
    <n v="-9620"/>
    <x v="0"/>
    <x v="0"/>
    <x v="26"/>
    <x v="5"/>
    <x v="0"/>
    <x v="0"/>
    <x v="5"/>
    <x v="0"/>
  </r>
  <r>
    <x v="0"/>
    <x v="0"/>
    <n v="2239060044"/>
    <x v="6"/>
    <n v="50000"/>
    <x v="0"/>
    <x v="0"/>
    <x v="26"/>
    <x v="6"/>
    <x v="0"/>
    <x v="0"/>
    <x v="5"/>
    <x v="0"/>
  </r>
  <r>
    <x v="0"/>
    <x v="0"/>
    <n v="2239060044"/>
    <x v="7"/>
    <n v="26920"/>
    <x v="0"/>
    <x v="0"/>
    <x v="26"/>
    <x v="7"/>
    <x v="0"/>
    <x v="0"/>
    <x v="1"/>
    <x v="0"/>
  </r>
  <r>
    <x v="0"/>
    <x v="0"/>
    <n v="2239060045"/>
    <x v="2"/>
    <n v="18500"/>
    <x v="0"/>
    <x v="0"/>
    <x v="26"/>
    <x v="2"/>
    <x v="0"/>
    <x v="0"/>
    <x v="2"/>
    <x v="0"/>
  </r>
  <r>
    <x v="0"/>
    <x v="0"/>
    <n v="2239060046"/>
    <x v="7"/>
    <n v="1500"/>
    <x v="0"/>
    <x v="0"/>
    <x v="26"/>
    <x v="7"/>
    <x v="0"/>
    <x v="0"/>
    <x v="1"/>
    <x v="0"/>
  </r>
  <r>
    <x v="0"/>
    <x v="0"/>
    <n v="2239060048"/>
    <x v="7"/>
    <n v="1500"/>
    <x v="0"/>
    <x v="0"/>
    <x v="26"/>
    <x v="7"/>
    <x v="0"/>
    <x v="0"/>
    <x v="1"/>
    <x v="0"/>
  </r>
  <r>
    <x v="0"/>
    <x v="0"/>
    <n v="2239060049"/>
    <x v="7"/>
    <n v="1500"/>
    <x v="0"/>
    <x v="0"/>
    <x v="26"/>
    <x v="7"/>
    <x v="0"/>
    <x v="0"/>
    <x v="1"/>
    <x v="0"/>
  </r>
  <r>
    <x v="0"/>
    <x v="0"/>
    <n v="2239060050"/>
    <x v="2"/>
    <n v="25740"/>
    <x v="0"/>
    <x v="0"/>
    <x v="26"/>
    <x v="2"/>
    <x v="0"/>
    <x v="0"/>
    <x v="2"/>
    <x v="0"/>
  </r>
  <r>
    <x v="0"/>
    <x v="0"/>
    <n v="2239060051"/>
    <x v="5"/>
    <n v="-4800"/>
    <x v="0"/>
    <x v="0"/>
    <x v="26"/>
    <x v="5"/>
    <x v="0"/>
    <x v="0"/>
    <x v="5"/>
    <x v="0"/>
  </r>
  <r>
    <x v="0"/>
    <x v="0"/>
    <n v="2239060051"/>
    <x v="6"/>
    <n v="10000"/>
    <x v="0"/>
    <x v="0"/>
    <x v="26"/>
    <x v="6"/>
    <x v="0"/>
    <x v="0"/>
    <x v="5"/>
    <x v="0"/>
  </r>
  <r>
    <x v="0"/>
    <x v="0"/>
    <n v="2239060052"/>
    <x v="6"/>
    <n v="2000"/>
    <x v="0"/>
    <x v="0"/>
    <x v="26"/>
    <x v="6"/>
    <x v="0"/>
    <x v="0"/>
    <x v="5"/>
    <x v="0"/>
  </r>
  <r>
    <x v="0"/>
    <x v="0"/>
    <n v="2239060053"/>
    <x v="2"/>
    <n v="14340"/>
    <x v="0"/>
    <x v="0"/>
    <x v="26"/>
    <x v="2"/>
    <x v="0"/>
    <x v="0"/>
    <x v="2"/>
    <x v="0"/>
  </r>
  <r>
    <x v="0"/>
    <x v="0"/>
    <n v="2239060053"/>
    <x v="7"/>
    <n v="9560"/>
    <x v="0"/>
    <x v="0"/>
    <x v="26"/>
    <x v="7"/>
    <x v="0"/>
    <x v="0"/>
    <x v="1"/>
    <x v="0"/>
  </r>
  <r>
    <x v="0"/>
    <x v="0"/>
    <n v="2239060054"/>
    <x v="5"/>
    <n v="-90"/>
    <x v="0"/>
    <x v="0"/>
    <x v="26"/>
    <x v="5"/>
    <x v="0"/>
    <x v="0"/>
    <x v="5"/>
    <x v="0"/>
  </r>
  <r>
    <x v="0"/>
    <x v="0"/>
    <n v="2239060054"/>
    <x v="6"/>
    <n v="22000"/>
    <x v="0"/>
    <x v="0"/>
    <x v="26"/>
    <x v="6"/>
    <x v="0"/>
    <x v="0"/>
    <x v="5"/>
    <x v="0"/>
  </r>
  <r>
    <x v="0"/>
    <x v="0"/>
    <n v="2239060054"/>
    <x v="7"/>
    <n v="9390"/>
    <x v="0"/>
    <x v="0"/>
    <x v="26"/>
    <x v="7"/>
    <x v="0"/>
    <x v="0"/>
    <x v="1"/>
    <x v="0"/>
  </r>
  <r>
    <x v="0"/>
    <x v="0"/>
    <n v="2239060055"/>
    <x v="7"/>
    <n v="4900"/>
    <x v="0"/>
    <x v="0"/>
    <x v="26"/>
    <x v="7"/>
    <x v="0"/>
    <x v="0"/>
    <x v="1"/>
    <x v="0"/>
  </r>
  <r>
    <x v="0"/>
    <x v="0"/>
    <n v="2239060056"/>
    <x v="7"/>
    <n v="7000"/>
    <x v="0"/>
    <x v="0"/>
    <x v="26"/>
    <x v="7"/>
    <x v="0"/>
    <x v="0"/>
    <x v="1"/>
    <x v="0"/>
  </r>
  <r>
    <x v="0"/>
    <x v="0"/>
    <n v="2239060057"/>
    <x v="5"/>
    <n v="-2500"/>
    <x v="0"/>
    <x v="0"/>
    <x v="26"/>
    <x v="5"/>
    <x v="0"/>
    <x v="0"/>
    <x v="5"/>
    <x v="0"/>
  </r>
  <r>
    <x v="0"/>
    <x v="0"/>
    <n v="2239060057"/>
    <x v="6"/>
    <n v="10000"/>
    <x v="0"/>
    <x v="0"/>
    <x v="26"/>
    <x v="6"/>
    <x v="0"/>
    <x v="0"/>
    <x v="5"/>
    <x v="0"/>
  </r>
  <r>
    <x v="0"/>
    <x v="0"/>
    <n v="2239060058"/>
    <x v="7"/>
    <n v="1500"/>
    <x v="0"/>
    <x v="0"/>
    <x v="26"/>
    <x v="7"/>
    <x v="0"/>
    <x v="0"/>
    <x v="1"/>
    <x v="0"/>
  </r>
  <r>
    <x v="0"/>
    <x v="0"/>
    <n v="2239060059"/>
    <x v="7"/>
    <n v="1500"/>
    <x v="0"/>
    <x v="0"/>
    <x v="26"/>
    <x v="7"/>
    <x v="0"/>
    <x v="0"/>
    <x v="1"/>
    <x v="0"/>
  </r>
  <r>
    <x v="0"/>
    <x v="0"/>
    <n v="2239060060"/>
    <x v="5"/>
    <n v="-5200"/>
    <x v="0"/>
    <x v="0"/>
    <x v="26"/>
    <x v="5"/>
    <x v="0"/>
    <x v="0"/>
    <x v="5"/>
    <x v="0"/>
  </r>
  <r>
    <x v="0"/>
    <x v="0"/>
    <n v="2239060060"/>
    <x v="6"/>
    <n v="10000"/>
    <x v="0"/>
    <x v="0"/>
    <x v="26"/>
    <x v="6"/>
    <x v="0"/>
    <x v="0"/>
    <x v="5"/>
    <x v="0"/>
  </r>
  <r>
    <x v="0"/>
    <x v="0"/>
    <n v="2239060061"/>
    <x v="5"/>
    <n v="-6000"/>
    <x v="0"/>
    <x v="0"/>
    <x v="26"/>
    <x v="5"/>
    <x v="0"/>
    <x v="0"/>
    <x v="5"/>
    <x v="0"/>
  </r>
  <r>
    <x v="0"/>
    <x v="0"/>
    <n v="2239060061"/>
    <x v="4"/>
    <n v="10600"/>
    <x v="0"/>
    <x v="0"/>
    <x v="26"/>
    <x v="4"/>
    <x v="0"/>
    <x v="0"/>
    <x v="4"/>
    <x v="0"/>
  </r>
  <r>
    <x v="0"/>
    <x v="0"/>
    <n v="2239060062"/>
    <x v="7"/>
    <n v="1500"/>
    <x v="0"/>
    <x v="0"/>
    <x v="26"/>
    <x v="7"/>
    <x v="0"/>
    <x v="0"/>
    <x v="1"/>
    <x v="0"/>
  </r>
  <r>
    <x v="0"/>
    <x v="0"/>
    <n v="2239060063"/>
    <x v="2"/>
    <n v="4400"/>
    <x v="0"/>
    <x v="0"/>
    <x v="26"/>
    <x v="2"/>
    <x v="0"/>
    <x v="0"/>
    <x v="2"/>
    <x v="0"/>
  </r>
  <r>
    <x v="0"/>
    <x v="0"/>
    <n v="2239060064"/>
    <x v="6"/>
    <n v="2000"/>
    <x v="0"/>
    <x v="0"/>
    <x v="26"/>
    <x v="6"/>
    <x v="0"/>
    <x v="0"/>
    <x v="5"/>
    <x v="0"/>
  </r>
  <r>
    <x v="0"/>
    <x v="0"/>
    <n v="2239060065"/>
    <x v="5"/>
    <n v="-4000"/>
    <x v="0"/>
    <x v="0"/>
    <x v="26"/>
    <x v="5"/>
    <x v="0"/>
    <x v="0"/>
    <x v="5"/>
    <x v="0"/>
  </r>
  <r>
    <x v="0"/>
    <x v="0"/>
    <n v="2239060065"/>
    <x v="6"/>
    <n v="10000"/>
    <x v="0"/>
    <x v="0"/>
    <x v="26"/>
    <x v="6"/>
    <x v="0"/>
    <x v="0"/>
    <x v="5"/>
    <x v="0"/>
  </r>
  <r>
    <x v="0"/>
    <x v="0"/>
    <n v="2239060066"/>
    <x v="5"/>
    <n v="-14700"/>
    <x v="0"/>
    <x v="0"/>
    <x v="26"/>
    <x v="5"/>
    <x v="0"/>
    <x v="0"/>
    <x v="5"/>
    <x v="0"/>
  </r>
  <r>
    <x v="0"/>
    <x v="0"/>
    <n v="2239060066"/>
    <x v="4"/>
    <n v="20000"/>
    <x v="0"/>
    <x v="0"/>
    <x v="26"/>
    <x v="4"/>
    <x v="0"/>
    <x v="0"/>
    <x v="4"/>
    <x v="0"/>
  </r>
  <r>
    <x v="0"/>
    <x v="0"/>
    <n v="2239060068"/>
    <x v="7"/>
    <n v="1500"/>
    <x v="0"/>
    <x v="0"/>
    <x v="26"/>
    <x v="7"/>
    <x v="0"/>
    <x v="0"/>
    <x v="1"/>
    <x v="0"/>
  </r>
  <r>
    <x v="0"/>
    <x v="0"/>
    <n v="2239060069"/>
    <x v="5"/>
    <n v="-15400"/>
    <x v="0"/>
    <x v="0"/>
    <x v="26"/>
    <x v="5"/>
    <x v="0"/>
    <x v="0"/>
    <x v="5"/>
    <x v="0"/>
  </r>
  <r>
    <x v="0"/>
    <x v="0"/>
    <n v="2239060069"/>
    <x v="4"/>
    <n v="20000"/>
    <x v="0"/>
    <x v="0"/>
    <x v="26"/>
    <x v="4"/>
    <x v="0"/>
    <x v="0"/>
    <x v="4"/>
    <x v="0"/>
  </r>
  <r>
    <x v="0"/>
    <x v="0"/>
    <n v="2239060070"/>
    <x v="7"/>
    <n v="1500"/>
    <x v="0"/>
    <x v="0"/>
    <x v="26"/>
    <x v="7"/>
    <x v="0"/>
    <x v="0"/>
    <x v="1"/>
    <x v="0"/>
  </r>
  <r>
    <x v="0"/>
    <x v="0"/>
    <n v="2239060071"/>
    <x v="2"/>
    <n v="58850"/>
    <x v="0"/>
    <x v="0"/>
    <x v="26"/>
    <x v="2"/>
    <x v="0"/>
    <x v="0"/>
    <x v="2"/>
    <x v="0"/>
  </r>
  <r>
    <x v="0"/>
    <x v="0"/>
    <n v="2239060072"/>
    <x v="5"/>
    <n v="-3000"/>
    <x v="0"/>
    <x v="0"/>
    <x v="26"/>
    <x v="5"/>
    <x v="0"/>
    <x v="0"/>
    <x v="5"/>
    <x v="0"/>
  </r>
  <r>
    <x v="0"/>
    <x v="0"/>
    <n v="2239060072"/>
    <x v="6"/>
    <n v="10000"/>
    <x v="0"/>
    <x v="0"/>
    <x v="26"/>
    <x v="6"/>
    <x v="0"/>
    <x v="0"/>
    <x v="5"/>
    <x v="0"/>
  </r>
  <r>
    <x v="0"/>
    <x v="0"/>
    <n v="2239060074"/>
    <x v="5"/>
    <n v="-7000"/>
    <x v="0"/>
    <x v="0"/>
    <x v="26"/>
    <x v="5"/>
    <x v="0"/>
    <x v="0"/>
    <x v="5"/>
    <x v="0"/>
  </r>
  <r>
    <x v="0"/>
    <x v="0"/>
    <n v="2239060074"/>
    <x v="6"/>
    <n v="20000"/>
    <x v="0"/>
    <x v="0"/>
    <x v="26"/>
    <x v="6"/>
    <x v="0"/>
    <x v="0"/>
    <x v="5"/>
    <x v="0"/>
  </r>
  <r>
    <x v="0"/>
    <x v="0"/>
    <n v="2239060075"/>
    <x v="2"/>
    <n v="5200"/>
    <x v="0"/>
    <x v="0"/>
    <x v="26"/>
    <x v="2"/>
    <x v="0"/>
    <x v="0"/>
    <x v="2"/>
    <x v="0"/>
  </r>
  <r>
    <x v="0"/>
    <x v="0"/>
    <n v="2239060075"/>
    <x v="7"/>
    <n v="1300"/>
    <x v="0"/>
    <x v="0"/>
    <x v="26"/>
    <x v="7"/>
    <x v="0"/>
    <x v="0"/>
    <x v="1"/>
    <x v="0"/>
  </r>
  <r>
    <x v="0"/>
    <x v="0"/>
    <n v="2239060076"/>
    <x v="5"/>
    <n v="-1000"/>
    <x v="0"/>
    <x v="0"/>
    <x v="26"/>
    <x v="5"/>
    <x v="0"/>
    <x v="0"/>
    <x v="5"/>
    <x v="0"/>
  </r>
  <r>
    <x v="0"/>
    <x v="0"/>
    <n v="2239060076"/>
    <x v="6"/>
    <n v="5800"/>
    <x v="0"/>
    <x v="0"/>
    <x v="26"/>
    <x v="6"/>
    <x v="0"/>
    <x v="0"/>
    <x v="5"/>
    <x v="0"/>
  </r>
  <r>
    <x v="0"/>
    <x v="0"/>
    <n v="2239060076"/>
    <x v="7"/>
    <n v="1200"/>
    <x v="0"/>
    <x v="0"/>
    <x v="26"/>
    <x v="7"/>
    <x v="0"/>
    <x v="0"/>
    <x v="1"/>
    <x v="0"/>
  </r>
  <r>
    <x v="0"/>
    <x v="0"/>
    <n v="2239060078"/>
    <x v="6"/>
    <n v="3000"/>
    <x v="0"/>
    <x v="0"/>
    <x v="26"/>
    <x v="6"/>
    <x v="0"/>
    <x v="0"/>
    <x v="5"/>
    <x v="0"/>
  </r>
  <r>
    <x v="0"/>
    <x v="0"/>
    <n v="2239060079"/>
    <x v="2"/>
    <n v="49830"/>
    <x v="0"/>
    <x v="0"/>
    <x v="26"/>
    <x v="2"/>
    <x v="0"/>
    <x v="0"/>
    <x v="2"/>
    <x v="0"/>
  </r>
  <r>
    <x v="0"/>
    <x v="0"/>
    <n v="2239060080"/>
    <x v="7"/>
    <n v="1500"/>
    <x v="0"/>
    <x v="0"/>
    <x v="26"/>
    <x v="7"/>
    <x v="0"/>
    <x v="0"/>
    <x v="1"/>
    <x v="0"/>
  </r>
  <r>
    <x v="0"/>
    <x v="0"/>
    <n v="2239060081"/>
    <x v="5"/>
    <n v="-12500"/>
    <x v="0"/>
    <x v="0"/>
    <x v="26"/>
    <x v="5"/>
    <x v="0"/>
    <x v="0"/>
    <x v="5"/>
    <x v="0"/>
  </r>
  <r>
    <x v="0"/>
    <x v="0"/>
    <n v="2239060081"/>
    <x v="6"/>
    <n v="20000"/>
    <x v="0"/>
    <x v="0"/>
    <x v="26"/>
    <x v="6"/>
    <x v="0"/>
    <x v="0"/>
    <x v="5"/>
    <x v="0"/>
  </r>
  <r>
    <x v="0"/>
    <x v="0"/>
    <n v="2239060082"/>
    <x v="6"/>
    <n v="3000"/>
    <x v="0"/>
    <x v="0"/>
    <x v="26"/>
    <x v="6"/>
    <x v="0"/>
    <x v="0"/>
    <x v="5"/>
    <x v="0"/>
  </r>
  <r>
    <x v="0"/>
    <x v="0"/>
    <n v="2239060083"/>
    <x v="5"/>
    <n v="-1600"/>
    <x v="0"/>
    <x v="0"/>
    <x v="26"/>
    <x v="5"/>
    <x v="0"/>
    <x v="0"/>
    <x v="5"/>
    <x v="0"/>
  </r>
  <r>
    <x v="0"/>
    <x v="0"/>
    <n v="2239060083"/>
    <x v="6"/>
    <n v="30000"/>
    <x v="0"/>
    <x v="0"/>
    <x v="26"/>
    <x v="6"/>
    <x v="0"/>
    <x v="0"/>
    <x v="5"/>
    <x v="0"/>
  </r>
  <r>
    <x v="0"/>
    <x v="0"/>
    <n v="2239060084"/>
    <x v="7"/>
    <n v="1500"/>
    <x v="0"/>
    <x v="0"/>
    <x v="26"/>
    <x v="7"/>
    <x v="0"/>
    <x v="0"/>
    <x v="1"/>
    <x v="0"/>
  </r>
  <r>
    <x v="0"/>
    <x v="0"/>
    <n v="2239060085"/>
    <x v="7"/>
    <n v="1500"/>
    <x v="0"/>
    <x v="0"/>
    <x v="26"/>
    <x v="7"/>
    <x v="0"/>
    <x v="0"/>
    <x v="1"/>
    <x v="0"/>
  </r>
  <r>
    <x v="0"/>
    <x v="0"/>
    <n v="2239060086"/>
    <x v="7"/>
    <n v="7500"/>
    <x v="0"/>
    <x v="0"/>
    <x v="26"/>
    <x v="7"/>
    <x v="0"/>
    <x v="0"/>
    <x v="1"/>
    <x v="0"/>
  </r>
  <r>
    <x v="0"/>
    <x v="0"/>
    <n v="2239060087"/>
    <x v="5"/>
    <n v="-7400"/>
    <x v="0"/>
    <x v="0"/>
    <x v="26"/>
    <x v="5"/>
    <x v="0"/>
    <x v="0"/>
    <x v="5"/>
    <x v="0"/>
  </r>
  <r>
    <x v="0"/>
    <x v="0"/>
    <n v="2239060087"/>
    <x v="6"/>
    <n v="50000"/>
    <x v="0"/>
    <x v="0"/>
    <x v="26"/>
    <x v="6"/>
    <x v="0"/>
    <x v="0"/>
    <x v="5"/>
    <x v="0"/>
  </r>
  <r>
    <x v="0"/>
    <x v="0"/>
    <n v="2239060089"/>
    <x v="7"/>
    <n v="1500"/>
    <x v="0"/>
    <x v="0"/>
    <x v="26"/>
    <x v="7"/>
    <x v="0"/>
    <x v="0"/>
    <x v="1"/>
    <x v="0"/>
  </r>
  <r>
    <x v="0"/>
    <x v="0"/>
    <n v="2239060090"/>
    <x v="5"/>
    <n v="-5820"/>
    <x v="0"/>
    <x v="0"/>
    <x v="26"/>
    <x v="5"/>
    <x v="0"/>
    <x v="0"/>
    <x v="5"/>
    <x v="0"/>
  </r>
  <r>
    <x v="0"/>
    <x v="0"/>
    <n v="2239060090"/>
    <x v="6"/>
    <n v="60000"/>
    <x v="0"/>
    <x v="0"/>
    <x v="26"/>
    <x v="6"/>
    <x v="0"/>
    <x v="0"/>
    <x v="5"/>
    <x v="0"/>
  </r>
  <r>
    <x v="0"/>
    <x v="0"/>
    <n v="2239060090"/>
    <x v="7"/>
    <n v="36120"/>
    <x v="0"/>
    <x v="0"/>
    <x v="26"/>
    <x v="7"/>
    <x v="0"/>
    <x v="0"/>
    <x v="1"/>
    <x v="0"/>
  </r>
  <r>
    <x v="0"/>
    <x v="0"/>
    <n v="2239060091"/>
    <x v="5"/>
    <n v="-2050"/>
    <x v="0"/>
    <x v="0"/>
    <x v="26"/>
    <x v="5"/>
    <x v="0"/>
    <x v="0"/>
    <x v="5"/>
    <x v="0"/>
  </r>
  <r>
    <x v="0"/>
    <x v="0"/>
    <n v="2239060091"/>
    <x v="6"/>
    <n v="5200"/>
    <x v="0"/>
    <x v="0"/>
    <x v="26"/>
    <x v="6"/>
    <x v="0"/>
    <x v="0"/>
    <x v="5"/>
    <x v="0"/>
  </r>
  <r>
    <x v="0"/>
    <x v="0"/>
    <n v="2239060092"/>
    <x v="7"/>
    <n v="1500"/>
    <x v="0"/>
    <x v="0"/>
    <x v="26"/>
    <x v="7"/>
    <x v="0"/>
    <x v="0"/>
    <x v="1"/>
    <x v="0"/>
  </r>
  <r>
    <x v="0"/>
    <x v="0"/>
    <n v="2239060093"/>
    <x v="7"/>
    <n v="1500"/>
    <x v="0"/>
    <x v="0"/>
    <x v="26"/>
    <x v="7"/>
    <x v="0"/>
    <x v="0"/>
    <x v="1"/>
    <x v="0"/>
  </r>
  <r>
    <x v="0"/>
    <x v="0"/>
    <n v="2239060094"/>
    <x v="7"/>
    <n v="1500"/>
    <x v="0"/>
    <x v="0"/>
    <x v="26"/>
    <x v="7"/>
    <x v="0"/>
    <x v="0"/>
    <x v="1"/>
    <x v="0"/>
  </r>
  <r>
    <x v="0"/>
    <x v="0"/>
    <n v="2239060095"/>
    <x v="2"/>
    <n v="83490"/>
    <x v="0"/>
    <x v="0"/>
    <x v="26"/>
    <x v="2"/>
    <x v="0"/>
    <x v="0"/>
    <x v="2"/>
    <x v="0"/>
  </r>
  <r>
    <x v="0"/>
    <x v="0"/>
    <n v="2239060096"/>
    <x v="7"/>
    <n v="1500"/>
    <x v="0"/>
    <x v="0"/>
    <x v="26"/>
    <x v="7"/>
    <x v="0"/>
    <x v="0"/>
    <x v="1"/>
    <x v="0"/>
  </r>
  <r>
    <x v="0"/>
    <x v="0"/>
    <n v="2239060097"/>
    <x v="7"/>
    <n v="1500"/>
    <x v="0"/>
    <x v="0"/>
    <x v="26"/>
    <x v="7"/>
    <x v="0"/>
    <x v="0"/>
    <x v="1"/>
    <x v="0"/>
  </r>
  <r>
    <x v="0"/>
    <x v="0"/>
    <n v="2239060098"/>
    <x v="7"/>
    <n v="1500"/>
    <x v="0"/>
    <x v="0"/>
    <x v="26"/>
    <x v="7"/>
    <x v="0"/>
    <x v="0"/>
    <x v="1"/>
    <x v="0"/>
  </r>
  <r>
    <x v="0"/>
    <x v="0"/>
    <n v="2239060099"/>
    <x v="5"/>
    <n v="-6060"/>
    <x v="0"/>
    <x v="0"/>
    <x v="26"/>
    <x v="5"/>
    <x v="0"/>
    <x v="0"/>
    <x v="5"/>
    <x v="0"/>
  </r>
  <r>
    <x v="0"/>
    <x v="0"/>
    <n v="2239060099"/>
    <x v="6"/>
    <n v="10300"/>
    <x v="0"/>
    <x v="0"/>
    <x v="26"/>
    <x v="6"/>
    <x v="0"/>
    <x v="0"/>
    <x v="5"/>
    <x v="0"/>
  </r>
  <r>
    <x v="0"/>
    <x v="0"/>
    <n v="2239060100"/>
    <x v="1"/>
    <n v="72020"/>
    <x v="0"/>
    <x v="0"/>
    <x v="26"/>
    <x v="1"/>
    <x v="0"/>
    <x v="0"/>
    <x v="1"/>
    <x v="0"/>
  </r>
  <r>
    <x v="0"/>
    <x v="0"/>
    <n v="2239060101"/>
    <x v="5"/>
    <n v="-10500"/>
    <x v="0"/>
    <x v="0"/>
    <x v="26"/>
    <x v="5"/>
    <x v="0"/>
    <x v="0"/>
    <x v="5"/>
    <x v="0"/>
  </r>
  <r>
    <x v="0"/>
    <x v="0"/>
    <n v="2239060101"/>
    <x v="6"/>
    <n v="30000"/>
    <x v="0"/>
    <x v="0"/>
    <x v="26"/>
    <x v="6"/>
    <x v="0"/>
    <x v="0"/>
    <x v="5"/>
    <x v="0"/>
  </r>
  <r>
    <x v="0"/>
    <x v="0"/>
    <n v="2239060102"/>
    <x v="5"/>
    <n v="-5000"/>
    <x v="0"/>
    <x v="0"/>
    <x v="26"/>
    <x v="5"/>
    <x v="0"/>
    <x v="0"/>
    <x v="5"/>
    <x v="0"/>
  </r>
  <r>
    <x v="0"/>
    <x v="0"/>
    <n v="2239060102"/>
    <x v="6"/>
    <n v="11500"/>
    <x v="0"/>
    <x v="0"/>
    <x v="26"/>
    <x v="6"/>
    <x v="0"/>
    <x v="0"/>
    <x v="5"/>
    <x v="0"/>
  </r>
  <r>
    <x v="0"/>
    <x v="0"/>
    <n v="2239060103"/>
    <x v="5"/>
    <n v="-600"/>
    <x v="0"/>
    <x v="0"/>
    <x v="26"/>
    <x v="5"/>
    <x v="0"/>
    <x v="0"/>
    <x v="5"/>
    <x v="0"/>
  </r>
  <r>
    <x v="0"/>
    <x v="0"/>
    <n v="2239060103"/>
    <x v="4"/>
    <n v="5000"/>
    <x v="0"/>
    <x v="0"/>
    <x v="26"/>
    <x v="4"/>
    <x v="0"/>
    <x v="0"/>
    <x v="4"/>
    <x v="0"/>
  </r>
  <r>
    <x v="0"/>
    <x v="0"/>
    <n v="2239060104"/>
    <x v="2"/>
    <n v="5400"/>
    <x v="0"/>
    <x v="0"/>
    <x v="26"/>
    <x v="2"/>
    <x v="0"/>
    <x v="0"/>
    <x v="2"/>
    <x v="0"/>
  </r>
  <r>
    <x v="0"/>
    <x v="0"/>
    <n v="2239060105"/>
    <x v="7"/>
    <n v="1500"/>
    <x v="0"/>
    <x v="0"/>
    <x v="26"/>
    <x v="7"/>
    <x v="0"/>
    <x v="0"/>
    <x v="1"/>
    <x v="0"/>
  </r>
  <r>
    <x v="0"/>
    <x v="0"/>
    <n v="2239060106"/>
    <x v="5"/>
    <n v="-2000"/>
    <x v="0"/>
    <x v="0"/>
    <x v="26"/>
    <x v="5"/>
    <x v="0"/>
    <x v="0"/>
    <x v="5"/>
    <x v="0"/>
  </r>
  <r>
    <x v="0"/>
    <x v="0"/>
    <n v="2239060106"/>
    <x v="6"/>
    <n v="5000"/>
    <x v="0"/>
    <x v="0"/>
    <x v="26"/>
    <x v="6"/>
    <x v="0"/>
    <x v="0"/>
    <x v="5"/>
    <x v="0"/>
  </r>
  <r>
    <x v="0"/>
    <x v="0"/>
    <n v="2239060107"/>
    <x v="5"/>
    <n v="-5400"/>
    <x v="0"/>
    <x v="0"/>
    <x v="26"/>
    <x v="5"/>
    <x v="0"/>
    <x v="0"/>
    <x v="5"/>
    <x v="0"/>
  </r>
  <r>
    <x v="0"/>
    <x v="0"/>
    <n v="2239060107"/>
    <x v="4"/>
    <n v="10000"/>
    <x v="0"/>
    <x v="0"/>
    <x v="26"/>
    <x v="4"/>
    <x v="0"/>
    <x v="0"/>
    <x v="4"/>
    <x v="0"/>
  </r>
  <r>
    <x v="0"/>
    <x v="0"/>
    <n v="2239060108"/>
    <x v="5"/>
    <n v="-2000"/>
    <x v="0"/>
    <x v="0"/>
    <x v="26"/>
    <x v="5"/>
    <x v="0"/>
    <x v="0"/>
    <x v="5"/>
    <x v="0"/>
  </r>
  <r>
    <x v="0"/>
    <x v="0"/>
    <n v="2239060108"/>
    <x v="6"/>
    <n v="5150"/>
    <x v="0"/>
    <x v="0"/>
    <x v="26"/>
    <x v="6"/>
    <x v="0"/>
    <x v="0"/>
    <x v="5"/>
    <x v="0"/>
  </r>
  <r>
    <x v="0"/>
    <x v="0"/>
    <n v="2239060109"/>
    <x v="7"/>
    <n v="1500"/>
    <x v="0"/>
    <x v="0"/>
    <x v="26"/>
    <x v="7"/>
    <x v="0"/>
    <x v="0"/>
    <x v="1"/>
    <x v="0"/>
  </r>
  <r>
    <x v="0"/>
    <x v="0"/>
    <n v="2239060110"/>
    <x v="7"/>
    <n v="3800"/>
    <x v="0"/>
    <x v="0"/>
    <x v="26"/>
    <x v="7"/>
    <x v="0"/>
    <x v="0"/>
    <x v="1"/>
    <x v="0"/>
  </r>
  <r>
    <x v="0"/>
    <x v="0"/>
    <n v="2239060111"/>
    <x v="5"/>
    <n v="-1000"/>
    <x v="0"/>
    <x v="0"/>
    <x v="26"/>
    <x v="5"/>
    <x v="0"/>
    <x v="0"/>
    <x v="5"/>
    <x v="0"/>
  </r>
  <r>
    <x v="0"/>
    <x v="0"/>
    <n v="2239060111"/>
    <x v="4"/>
    <n v="5400"/>
    <x v="0"/>
    <x v="0"/>
    <x v="26"/>
    <x v="4"/>
    <x v="0"/>
    <x v="0"/>
    <x v="4"/>
    <x v="0"/>
  </r>
  <r>
    <x v="0"/>
    <x v="0"/>
    <n v="2239060112"/>
    <x v="2"/>
    <n v="8250"/>
    <x v="0"/>
    <x v="0"/>
    <x v="26"/>
    <x v="2"/>
    <x v="0"/>
    <x v="0"/>
    <x v="2"/>
    <x v="0"/>
  </r>
  <r>
    <x v="0"/>
    <x v="0"/>
    <n v="2239060113"/>
    <x v="7"/>
    <n v="1500"/>
    <x v="0"/>
    <x v="0"/>
    <x v="26"/>
    <x v="7"/>
    <x v="0"/>
    <x v="0"/>
    <x v="1"/>
    <x v="0"/>
  </r>
  <r>
    <x v="0"/>
    <x v="0"/>
    <n v="2239060114"/>
    <x v="6"/>
    <n v="5200"/>
    <x v="0"/>
    <x v="0"/>
    <x v="26"/>
    <x v="6"/>
    <x v="0"/>
    <x v="0"/>
    <x v="5"/>
    <x v="0"/>
  </r>
  <r>
    <x v="0"/>
    <x v="0"/>
    <n v="2239060114"/>
    <x v="7"/>
    <n v="1300"/>
    <x v="0"/>
    <x v="0"/>
    <x v="26"/>
    <x v="7"/>
    <x v="0"/>
    <x v="0"/>
    <x v="1"/>
    <x v="0"/>
  </r>
  <r>
    <x v="0"/>
    <x v="0"/>
    <n v="2239060115"/>
    <x v="2"/>
    <n v="11000"/>
    <x v="0"/>
    <x v="0"/>
    <x v="26"/>
    <x v="2"/>
    <x v="0"/>
    <x v="0"/>
    <x v="2"/>
    <x v="0"/>
  </r>
  <r>
    <x v="0"/>
    <x v="0"/>
    <n v="2239060116"/>
    <x v="7"/>
    <n v="1500"/>
    <x v="0"/>
    <x v="0"/>
    <x v="26"/>
    <x v="7"/>
    <x v="0"/>
    <x v="0"/>
    <x v="1"/>
    <x v="0"/>
  </r>
  <r>
    <x v="0"/>
    <x v="0"/>
    <n v="2239060117"/>
    <x v="7"/>
    <n v="1500"/>
    <x v="0"/>
    <x v="0"/>
    <x v="26"/>
    <x v="7"/>
    <x v="0"/>
    <x v="0"/>
    <x v="1"/>
    <x v="0"/>
  </r>
  <r>
    <x v="0"/>
    <x v="0"/>
    <n v="2239060118"/>
    <x v="7"/>
    <n v="3000"/>
    <x v="0"/>
    <x v="0"/>
    <x v="26"/>
    <x v="7"/>
    <x v="0"/>
    <x v="0"/>
    <x v="1"/>
    <x v="0"/>
  </r>
  <r>
    <x v="0"/>
    <x v="0"/>
    <n v="2239060119"/>
    <x v="2"/>
    <n v="3300"/>
    <x v="0"/>
    <x v="0"/>
    <x v="26"/>
    <x v="2"/>
    <x v="0"/>
    <x v="0"/>
    <x v="2"/>
    <x v="0"/>
  </r>
  <r>
    <x v="0"/>
    <x v="0"/>
    <n v="2239060120"/>
    <x v="5"/>
    <n v="-410"/>
    <x v="0"/>
    <x v="0"/>
    <x v="26"/>
    <x v="5"/>
    <x v="0"/>
    <x v="0"/>
    <x v="5"/>
    <x v="0"/>
  </r>
  <r>
    <x v="0"/>
    <x v="0"/>
    <n v="2239060120"/>
    <x v="6"/>
    <n v="10000"/>
    <x v="0"/>
    <x v="0"/>
    <x v="26"/>
    <x v="6"/>
    <x v="0"/>
    <x v="0"/>
    <x v="5"/>
    <x v="0"/>
  </r>
  <r>
    <x v="0"/>
    <x v="0"/>
    <n v="2239060121"/>
    <x v="5"/>
    <n v="-5400"/>
    <x v="0"/>
    <x v="0"/>
    <x v="26"/>
    <x v="5"/>
    <x v="0"/>
    <x v="0"/>
    <x v="5"/>
    <x v="0"/>
  </r>
  <r>
    <x v="0"/>
    <x v="0"/>
    <n v="2239060121"/>
    <x v="4"/>
    <n v="10000"/>
    <x v="0"/>
    <x v="0"/>
    <x v="26"/>
    <x v="4"/>
    <x v="0"/>
    <x v="0"/>
    <x v="4"/>
    <x v="0"/>
  </r>
  <r>
    <x v="0"/>
    <x v="0"/>
    <n v="2239060122"/>
    <x v="7"/>
    <n v="1500"/>
    <x v="0"/>
    <x v="0"/>
    <x v="26"/>
    <x v="7"/>
    <x v="0"/>
    <x v="0"/>
    <x v="1"/>
    <x v="0"/>
  </r>
  <r>
    <x v="0"/>
    <x v="0"/>
    <n v="2239060123"/>
    <x v="5"/>
    <n v="-5400"/>
    <x v="0"/>
    <x v="0"/>
    <x v="26"/>
    <x v="5"/>
    <x v="0"/>
    <x v="0"/>
    <x v="5"/>
    <x v="0"/>
  </r>
  <r>
    <x v="0"/>
    <x v="0"/>
    <n v="2239060123"/>
    <x v="4"/>
    <n v="10000"/>
    <x v="0"/>
    <x v="0"/>
    <x v="26"/>
    <x v="4"/>
    <x v="0"/>
    <x v="0"/>
    <x v="4"/>
    <x v="0"/>
  </r>
  <r>
    <x v="0"/>
    <x v="0"/>
    <n v="2239060124"/>
    <x v="7"/>
    <n v="1500"/>
    <x v="0"/>
    <x v="0"/>
    <x v="26"/>
    <x v="7"/>
    <x v="0"/>
    <x v="0"/>
    <x v="1"/>
    <x v="0"/>
  </r>
  <r>
    <x v="0"/>
    <x v="0"/>
    <n v="2239060125"/>
    <x v="1"/>
    <n v="900"/>
    <x v="0"/>
    <x v="0"/>
    <x v="26"/>
    <x v="1"/>
    <x v="0"/>
    <x v="0"/>
    <x v="1"/>
    <x v="0"/>
  </r>
  <r>
    <x v="0"/>
    <x v="0"/>
    <n v="2239060126"/>
    <x v="2"/>
    <n v="8393"/>
    <x v="0"/>
    <x v="0"/>
    <x v="26"/>
    <x v="2"/>
    <x v="0"/>
    <x v="0"/>
    <x v="2"/>
    <x v="0"/>
  </r>
  <r>
    <x v="0"/>
    <x v="0"/>
    <n v="2239060126"/>
    <x v="7"/>
    <n v="3270"/>
    <x v="0"/>
    <x v="0"/>
    <x v="26"/>
    <x v="7"/>
    <x v="0"/>
    <x v="0"/>
    <x v="1"/>
    <x v="0"/>
  </r>
  <r>
    <x v="0"/>
    <x v="0"/>
    <n v="2239060127"/>
    <x v="1"/>
    <n v="12700"/>
    <x v="0"/>
    <x v="0"/>
    <x v="26"/>
    <x v="1"/>
    <x v="0"/>
    <x v="0"/>
    <x v="1"/>
    <x v="0"/>
  </r>
  <r>
    <x v="0"/>
    <x v="0"/>
    <n v="2239060129"/>
    <x v="5"/>
    <n v="-3500"/>
    <x v="0"/>
    <x v="0"/>
    <x v="26"/>
    <x v="5"/>
    <x v="0"/>
    <x v="0"/>
    <x v="5"/>
    <x v="0"/>
  </r>
  <r>
    <x v="0"/>
    <x v="0"/>
    <n v="2239060129"/>
    <x v="6"/>
    <n v="10000"/>
    <x v="0"/>
    <x v="0"/>
    <x v="26"/>
    <x v="6"/>
    <x v="0"/>
    <x v="0"/>
    <x v="5"/>
    <x v="0"/>
  </r>
  <r>
    <x v="0"/>
    <x v="0"/>
    <n v="2239060130"/>
    <x v="7"/>
    <n v="1500"/>
    <x v="0"/>
    <x v="0"/>
    <x v="26"/>
    <x v="7"/>
    <x v="0"/>
    <x v="0"/>
    <x v="1"/>
    <x v="0"/>
  </r>
  <r>
    <x v="0"/>
    <x v="0"/>
    <n v="2239060131"/>
    <x v="5"/>
    <n v="-400"/>
    <x v="0"/>
    <x v="0"/>
    <x v="26"/>
    <x v="5"/>
    <x v="0"/>
    <x v="0"/>
    <x v="5"/>
    <x v="0"/>
  </r>
  <r>
    <x v="0"/>
    <x v="0"/>
    <n v="2239060131"/>
    <x v="6"/>
    <n v="2000"/>
    <x v="0"/>
    <x v="0"/>
    <x v="26"/>
    <x v="6"/>
    <x v="0"/>
    <x v="0"/>
    <x v="5"/>
    <x v="0"/>
  </r>
  <r>
    <x v="0"/>
    <x v="0"/>
    <n v="2239060132"/>
    <x v="7"/>
    <n v="1500"/>
    <x v="0"/>
    <x v="0"/>
    <x v="26"/>
    <x v="7"/>
    <x v="0"/>
    <x v="0"/>
    <x v="1"/>
    <x v="0"/>
  </r>
  <r>
    <x v="0"/>
    <x v="0"/>
    <n v="2239060133"/>
    <x v="7"/>
    <n v="3000"/>
    <x v="0"/>
    <x v="0"/>
    <x v="26"/>
    <x v="7"/>
    <x v="0"/>
    <x v="0"/>
    <x v="1"/>
    <x v="0"/>
  </r>
  <r>
    <x v="0"/>
    <x v="0"/>
    <n v="2239060134"/>
    <x v="2"/>
    <n v="16500"/>
    <x v="0"/>
    <x v="0"/>
    <x v="26"/>
    <x v="2"/>
    <x v="0"/>
    <x v="0"/>
    <x v="2"/>
    <x v="0"/>
  </r>
  <r>
    <x v="0"/>
    <x v="0"/>
    <n v="2239060135"/>
    <x v="7"/>
    <n v="1500"/>
    <x v="0"/>
    <x v="0"/>
    <x v="26"/>
    <x v="7"/>
    <x v="0"/>
    <x v="0"/>
    <x v="1"/>
    <x v="0"/>
  </r>
  <r>
    <x v="0"/>
    <x v="0"/>
    <n v="2239060136"/>
    <x v="5"/>
    <n v="-240"/>
    <x v="0"/>
    <x v="0"/>
    <x v="26"/>
    <x v="5"/>
    <x v="0"/>
    <x v="0"/>
    <x v="5"/>
    <x v="0"/>
  </r>
  <r>
    <x v="0"/>
    <x v="0"/>
    <n v="2239060136"/>
    <x v="6"/>
    <n v="26000"/>
    <x v="0"/>
    <x v="0"/>
    <x v="26"/>
    <x v="6"/>
    <x v="0"/>
    <x v="0"/>
    <x v="5"/>
    <x v="0"/>
  </r>
  <r>
    <x v="0"/>
    <x v="0"/>
    <n v="2239060136"/>
    <x v="7"/>
    <n v="11040"/>
    <x v="0"/>
    <x v="0"/>
    <x v="26"/>
    <x v="7"/>
    <x v="0"/>
    <x v="0"/>
    <x v="1"/>
    <x v="0"/>
  </r>
  <r>
    <x v="0"/>
    <x v="0"/>
    <n v="2239060137"/>
    <x v="5"/>
    <n v="-500"/>
    <x v="0"/>
    <x v="0"/>
    <x v="26"/>
    <x v="5"/>
    <x v="0"/>
    <x v="0"/>
    <x v="5"/>
    <x v="0"/>
  </r>
  <r>
    <x v="0"/>
    <x v="0"/>
    <n v="2239060137"/>
    <x v="6"/>
    <n v="20000"/>
    <x v="0"/>
    <x v="0"/>
    <x v="26"/>
    <x v="6"/>
    <x v="0"/>
    <x v="0"/>
    <x v="5"/>
    <x v="0"/>
  </r>
  <r>
    <x v="0"/>
    <x v="0"/>
    <n v="2239060138"/>
    <x v="5"/>
    <n v="-9200"/>
    <x v="0"/>
    <x v="0"/>
    <x v="26"/>
    <x v="5"/>
    <x v="0"/>
    <x v="0"/>
    <x v="5"/>
    <x v="0"/>
  </r>
  <r>
    <x v="0"/>
    <x v="0"/>
    <n v="2239060138"/>
    <x v="6"/>
    <n v="20000"/>
    <x v="0"/>
    <x v="0"/>
    <x v="26"/>
    <x v="6"/>
    <x v="0"/>
    <x v="0"/>
    <x v="5"/>
    <x v="0"/>
  </r>
  <r>
    <x v="0"/>
    <x v="0"/>
    <n v="2239060139"/>
    <x v="7"/>
    <n v="1500"/>
    <x v="0"/>
    <x v="0"/>
    <x v="26"/>
    <x v="7"/>
    <x v="0"/>
    <x v="0"/>
    <x v="1"/>
    <x v="0"/>
  </r>
  <r>
    <x v="0"/>
    <x v="0"/>
    <n v="2239060140"/>
    <x v="7"/>
    <n v="1500"/>
    <x v="0"/>
    <x v="0"/>
    <x v="26"/>
    <x v="7"/>
    <x v="0"/>
    <x v="0"/>
    <x v="1"/>
    <x v="0"/>
  </r>
  <r>
    <x v="0"/>
    <x v="0"/>
    <n v="2239060141"/>
    <x v="2"/>
    <n v="5775"/>
    <x v="0"/>
    <x v="0"/>
    <x v="26"/>
    <x v="2"/>
    <x v="0"/>
    <x v="0"/>
    <x v="2"/>
    <x v="0"/>
  </r>
  <r>
    <x v="0"/>
    <x v="0"/>
    <n v="2239060141"/>
    <x v="7"/>
    <n v="2250"/>
    <x v="0"/>
    <x v="0"/>
    <x v="26"/>
    <x v="7"/>
    <x v="0"/>
    <x v="0"/>
    <x v="1"/>
    <x v="0"/>
  </r>
  <r>
    <x v="0"/>
    <x v="0"/>
    <n v="2239060142"/>
    <x v="5"/>
    <n v="-5600"/>
    <x v="0"/>
    <x v="0"/>
    <x v="26"/>
    <x v="5"/>
    <x v="0"/>
    <x v="0"/>
    <x v="5"/>
    <x v="0"/>
  </r>
  <r>
    <x v="0"/>
    <x v="0"/>
    <n v="2239060142"/>
    <x v="4"/>
    <n v="10000"/>
    <x v="0"/>
    <x v="0"/>
    <x v="26"/>
    <x v="4"/>
    <x v="0"/>
    <x v="0"/>
    <x v="4"/>
    <x v="0"/>
  </r>
  <r>
    <x v="0"/>
    <x v="0"/>
    <n v="2239060145"/>
    <x v="5"/>
    <n v="-100"/>
    <x v="0"/>
    <x v="0"/>
    <x v="26"/>
    <x v="5"/>
    <x v="0"/>
    <x v="0"/>
    <x v="5"/>
    <x v="0"/>
  </r>
  <r>
    <x v="0"/>
    <x v="0"/>
    <n v="2239060145"/>
    <x v="6"/>
    <n v="10000"/>
    <x v="0"/>
    <x v="0"/>
    <x v="26"/>
    <x v="6"/>
    <x v="0"/>
    <x v="0"/>
    <x v="5"/>
    <x v="0"/>
  </r>
  <r>
    <x v="0"/>
    <x v="0"/>
    <n v="2239060146"/>
    <x v="5"/>
    <n v="-1100"/>
    <x v="0"/>
    <x v="0"/>
    <x v="26"/>
    <x v="5"/>
    <x v="0"/>
    <x v="0"/>
    <x v="5"/>
    <x v="0"/>
  </r>
  <r>
    <x v="0"/>
    <x v="0"/>
    <n v="2239060146"/>
    <x v="6"/>
    <n v="5000"/>
    <x v="0"/>
    <x v="0"/>
    <x v="26"/>
    <x v="6"/>
    <x v="0"/>
    <x v="0"/>
    <x v="5"/>
    <x v="0"/>
  </r>
  <r>
    <x v="0"/>
    <x v="0"/>
    <n v="2239060146"/>
    <x v="7"/>
    <n v="2600"/>
    <x v="0"/>
    <x v="0"/>
    <x v="26"/>
    <x v="7"/>
    <x v="0"/>
    <x v="0"/>
    <x v="1"/>
    <x v="0"/>
  </r>
  <r>
    <x v="0"/>
    <x v="0"/>
    <n v="2239060147"/>
    <x v="6"/>
    <n v="13000"/>
    <x v="0"/>
    <x v="0"/>
    <x v="26"/>
    <x v="6"/>
    <x v="0"/>
    <x v="0"/>
    <x v="5"/>
    <x v="0"/>
  </r>
  <r>
    <x v="0"/>
    <x v="0"/>
    <n v="2239060148"/>
    <x v="6"/>
    <n v="3150"/>
    <x v="0"/>
    <x v="0"/>
    <x v="26"/>
    <x v="6"/>
    <x v="0"/>
    <x v="0"/>
    <x v="5"/>
    <x v="0"/>
  </r>
  <r>
    <x v="0"/>
    <x v="0"/>
    <n v="2239060149"/>
    <x v="7"/>
    <n v="1500"/>
    <x v="0"/>
    <x v="0"/>
    <x v="26"/>
    <x v="7"/>
    <x v="0"/>
    <x v="0"/>
    <x v="1"/>
    <x v="0"/>
  </r>
  <r>
    <x v="0"/>
    <x v="0"/>
    <n v="2239060150"/>
    <x v="6"/>
    <n v="3000"/>
    <x v="0"/>
    <x v="0"/>
    <x v="26"/>
    <x v="6"/>
    <x v="0"/>
    <x v="0"/>
    <x v="5"/>
    <x v="0"/>
  </r>
  <r>
    <x v="0"/>
    <x v="0"/>
    <n v="2239060150"/>
    <x v="7"/>
    <n v="10000"/>
    <x v="0"/>
    <x v="0"/>
    <x v="26"/>
    <x v="7"/>
    <x v="0"/>
    <x v="0"/>
    <x v="1"/>
    <x v="0"/>
  </r>
  <r>
    <x v="0"/>
    <x v="0"/>
    <n v="2239060151"/>
    <x v="5"/>
    <n v="-1620"/>
    <x v="0"/>
    <x v="0"/>
    <x v="26"/>
    <x v="5"/>
    <x v="0"/>
    <x v="0"/>
    <x v="5"/>
    <x v="0"/>
  </r>
  <r>
    <x v="0"/>
    <x v="0"/>
    <n v="2239060151"/>
    <x v="6"/>
    <n v="15000"/>
    <x v="0"/>
    <x v="0"/>
    <x v="26"/>
    <x v="6"/>
    <x v="0"/>
    <x v="0"/>
    <x v="5"/>
    <x v="0"/>
  </r>
  <r>
    <x v="0"/>
    <x v="0"/>
    <n v="2239060151"/>
    <x v="7"/>
    <n v="8920"/>
    <x v="0"/>
    <x v="0"/>
    <x v="26"/>
    <x v="7"/>
    <x v="0"/>
    <x v="0"/>
    <x v="1"/>
    <x v="0"/>
  </r>
  <r>
    <x v="0"/>
    <x v="0"/>
    <n v="2239060152"/>
    <x v="5"/>
    <n v="-1100"/>
    <x v="0"/>
    <x v="0"/>
    <x v="26"/>
    <x v="5"/>
    <x v="0"/>
    <x v="0"/>
    <x v="5"/>
    <x v="0"/>
  </r>
  <r>
    <x v="0"/>
    <x v="0"/>
    <n v="2239060152"/>
    <x v="6"/>
    <n v="5000"/>
    <x v="0"/>
    <x v="0"/>
    <x v="26"/>
    <x v="6"/>
    <x v="0"/>
    <x v="0"/>
    <x v="5"/>
    <x v="0"/>
  </r>
  <r>
    <x v="0"/>
    <x v="0"/>
    <n v="2239060152"/>
    <x v="7"/>
    <n v="2600"/>
    <x v="0"/>
    <x v="0"/>
    <x v="26"/>
    <x v="7"/>
    <x v="0"/>
    <x v="0"/>
    <x v="1"/>
    <x v="0"/>
  </r>
  <r>
    <x v="0"/>
    <x v="0"/>
    <n v="2239060153"/>
    <x v="2"/>
    <n v="5775"/>
    <x v="0"/>
    <x v="0"/>
    <x v="26"/>
    <x v="2"/>
    <x v="0"/>
    <x v="0"/>
    <x v="2"/>
    <x v="0"/>
  </r>
  <r>
    <x v="0"/>
    <x v="0"/>
    <n v="2239060153"/>
    <x v="7"/>
    <n v="2250"/>
    <x v="0"/>
    <x v="0"/>
    <x v="26"/>
    <x v="7"/>
    <x v="0"/>
    <x v="0"/>
    <x v="1"/>
    <x v="0"/>
  </r>
  <r>
    <x v="0"/>
    <x v="0"/>
    <n v="2239060154"/>
    <x v="7"/>
    <n v="1500"/>
    <x v="0"/>
    <x v="0"/>
    <x v="26"/>
    <x v="7"/>
    <x v="0"/>
    <x v="0"/>
    <x v="1"/>
    <x v="0"/>
  </r>
  <r>
    <x v="0"/>
    <x v="0"/>
    <n v="2239060155"/>
    <x v="5"/>
    <n v="-15600"/>
    <x v="0"/>
    <x v="0"/>
    <x v="26"/>
    <x v="5"/>
    <x v="0"/>
    <x v="0"/>
    <x v="5"/>
    <x v="0"/>
  </r>
  <r>
    <x v="0"/>
    <x v="0"/>
    <n v="2239060155"/>
    <x v="4"/>
    <n v="20000"/>
    <x v="0"/>
    <x v="0"/>
    <x v="26"/>
    <x v="4"/>
    <x v="0"/>
    <x v="0"/>
    <x v="4"/>
    <x v="0"/>
  </r>
  <r>
    <x v="0"/>
    <x v="0"/>
    <n v="2239060156"/>
    <x v="5"/>
    <n v="-1660"/>
    <x v="0"/>
    <x v="0"/>
    <x v="26"/>
    <x v="5"/>
    <x v="0"/>
    <x v="0"/>
    <x v="5"/>
    <x v="0"/>
  </r>
  <r>
    <x v="0"/>
    <x v="0"/>
    <n v="2239060156"/>
    <x v="6"/>
    <n v="10000"/>
    <x v="0"/>
    <x v="0"/>
    <x v="26"/>
    <x v="6"/>
    <x v="0"/>
    <x v="0"/>
    <x v="5"/>
    <x v="0"/>
  </r>
  <r>
    <x v="0"/>
    <x v="0"/>
    <n v="2239060156"/>
    <x v="7"/>
    <n v="5560"/>
    <x v="0"/>
    <x v="0"/>
    <x v="26"/>
    <x v="7"/>
    <x v="0"/>
    <x v="0"/>
    <x v="1"/>
    <x v="0"/>
  </r>
  <r>
    <x v="0"/>
    <x v="0"/>
    <n v="2239060158"/>
    <x v="5"/>
    <n v="-2200"/>
    <x v="0"/>
    <x v="0"/>
    <x v="26"/>
    <x v="5"/>
    <x v="0"/>
    <x v="0"/>
    <x v="5"/>
    <x v="0"/>
  </r>
  <r>
    <x v="0"/>
    <x v="0"/>
    <n v="2239060158"/>
    <x v="6"/>
    <n v="10000"/>
    <x v="0"/>
    <x v="0"/>
    <x v="26"/>
    <x v="6"/>
    <x v="0"/>
    <x v="0"/>
    <x v="5"/>
    <x v="0"/>
  </r>
  <r>
    <x v="0"/>
    <x v="0"/>
    <n v="2239060158"/>
    <x v="7"/>
    <n v="5200"/>
    <x v="0"/>
    <x v="0"/>
    <x v="26"/>
    <x v="7"/>
    <x v="0"/>
    <x v="0"/>
    <x v="1"/>
    <x v="0"/>
  </r>
  <r>
    <x v="0"/>
    <x v="0"/>
    <n v="2239060159"/>
    <x v="7"/>
    <n v="1500"/>
    <x v="0"/>
    <x v="0"/>
    <x v="26"/>
    <x v="7"/>
    <x v="0"/>
    <x v="0"/>
    <x v="1"/>
    <x v="0"/>
  </r>
  <r>
    <x v="0"/>
    <x v="0"/>
    <n v="2239060160"/>
    <x v="7"/>
    <n v="6500"/>
    <x v="0"/>
    <x v="0"/>
    <x v="26"/>
    <x v="7"/>
    <x v="0"/>
    <x v="0"/>
    <x v="1"/>
    <x v="0"/>
  </r>
  <r>
    <x v="0"/>
    <x v="0"/>
    <n v="2239060161"/>
    <x v="7"/>
    <n v="7600"/>
    <x v="0"/>
    <x v="0"/>
    <x v="26"/>
    <x v="7"/>
    <x v="0"/>
    <x v="0"/>
    <x v="1"/>
    <x v="0"/>
  </r>
  <r>
    <x v="0"/>
    <x v="0"/>
    <n v="2239060162"/>
    <x v="5"/>
    <n v="-2500"/>
    <x v="0"/>
    <x v="0"/>
    <x v="26"/>
    <x v="5"/>
    <x v="0"/>
    <x v="0"/>
    <x v="5"/>
    <x v="0"/>
  </r>
  <r>
    <x v="0"/>
    <x v="0"/>
    <n v="2239060162"/>
    <x v="6"/>
    <n v="10000"/>
    <x v="0"/>
    <x v="0"/>
    <x v="26"/>
    <x v="6"/>
    <x v="0"/>
    <x v="0"/>
    <x v="5"/>
    <x v="0"/>
  </r>
  <r>
    <x v="0"/>
    <x v="0"/>
    <n v="2239060163"/>
    <x v="5"/>
    <n v="-100"/>
    <x v="0"/>
    <x v="0"/>
    <x v="26"/>
    <x v="5"/>
    <x v="0"/>
    <x v="0"/>
    <x v="5"/>
    <x v="0"/>
  </r>
  <r>
    <x v="0"/>
    <x v="0"/>
    <n v="2239060163"/>
    <x v="6"/>
    <n v="11000"/>
    <x v="0"/>
    <x v="0"/>
    <x v="26"/>
    <x v="6"/>
    <x v="0"/>
    <x v="0"/>
    <x v="5"/>
    <x v="0"/>
  </r>
  <r>
    <x v="0"/>
    <x v="0"/>
    <n v="2239060164"/>
    <x v="7"/>
    <n v="3000"/>
    <x v="0"/>
    <x v="0"/>
    <x v="26"/>
    <x v="7"/>
    <x v="0"/>
    <x v="0"/>
    <x v="1"/>
    <x v="0"/>
  </r>
  <r>
    <x v="0"/>
    <x v="0"/>
    <n v="2239060165"/>
    <x v="7"/>
    <n v="3000"/>
    <x v="0"/>
    <x v="0"/>
    <x v="26"/>
    <x v="7"/>
    <x v="0"/>
    <x v="0"/>
    <x v="1"/>
    <x v="0"/>
  </r>
  <r>
    <x v="0"/>
    <x v="0"/>
    <n v="2239060166"/>
    <x v="7"/>
    <n v="3000"/>
    <x v="0"/>
    <x v="0"/>
    <x v="26"/>
    <x v="7"/>
    <x v="0"/>
    <x v="0"/>
    <x v="1"/>
    <x v="0"/>
  </r>
  <r>
    <x v="0"/>
    <x v="0"/>
    <n v="2239060167"/>
    <x v="7"/>
    <n v="1500"/>
    <x v="0"/>
    <x v="0"/>
    <x v="26"/>
    <x v="7"/>
    <x v="0"/>
    <x v="0"/>
    <x v="1"/>
    <x v="0"/>
  </r>
  <r>
    <x v="0"/>
    <x v="0"/>
    <n v="2239060168"/>
    <x v="7"/>
    <n v="1500"/>
    <x v="0"/>
    <x v="0"/>
    <x v="26"/>
    <x v="7"/>
    <x v="0"/>
    <x v="0"/>
    <x v="1"/>
    <x v="0"/>
  </r>
  <r>
    <x v="0"/>
    <x v="0"/>
    <n v="2239062371"/>
    <x v="0"/>
    <n v="12800"/>
    <x v="0"/>
    <x v="0"/>
    <x v="27"/>
    <x v="0"/>
    <x v="0"/>
    <x v="0"/>
    <x v="0"/>
    <x v="0"/>
  </r>
  <r>
    <x v="0"/>
    <x v="0"/>
    <n v="2239062372"/>
    <x v="1"/>
    <n v="8550"/>
    <x v="0"/>
    <x v="0"/>
    <x v="27"/>
    <x v="1"/>
    <x v="0"/>
    <x v="0"/>
    <x v="1"/>
    <x v="0"/>
  </r>
  <r>
    <x v="0"/>
    <x v="0"/>
    <n v="2239062374"/>
    <x v="1"/>
    <n v="12900"/>
    <x v="0"/>
    <x v="0"/>
    <x v="27"/>
    <x v="1"/>
    <x v="0"/>
    <x v="0"/>
    <x v="1"/>
    <x v="0"/>
  </r>
  <r>
    <x v="0"/>
    <x v="0"/>
    <n v="2239062375"/>
    <x v="1"/>
    <n v="8550"/>
    <x v="0"/>
    <x v="0"/>
    <x v="27"/>
    <x v="1"/>
    <x v="0"/>
    <x v="0"/>
    <x v="1"/>
    <x v="0"/>
  </r>
  <r>
    <x v="0"/>
    <x v="0"/>
    <n v="2239062376"/>
    <x v="1"/>
    <n v="1200"/>
    <x v="0"/>
    <x v="0"/>
    <x v="27"/>
    <x v="1"/>
    <x v="0"/>
    <x v="0"/>
    <x v="1"/>
    <x v="0"/>
  </r>
  <r>
    <x v="0"/>
    <x v="0"/>
    <n v="2239062377"/>
    <x v="1"/>
    <n v="1050"/>
    <x v="0"/>
    <x v="0"/>
    <x v="27"/>
    <x v="1"/>
    <x v="0"/>
    <x v="0"/>
    <x v="1"/>
    <x v="0"/>
  </r>
  <r>
    <x v="0"/>
    <x v="0"/>
    <n v="2239062378"/>
    <x v="0"/>
    <n v="1500"/>
    <x v="0"/>
    <x v="0"/>
    <x v="27"/>
    <x v="0"/>
    <x v="0"/>
    <x v="0"/>
    <x v="0"/>
    <x v="0"/>
  </r>
  <r>
    <x v="0"/>
    <x v="0"/>
    <n v="2239062379"/>
    <x v="1"/>
    <n v="1440"/>
    <x v="0"/>
    <x v="0"/>
    <x v="27"/>
    <x v="1"/>
    <x v="0"/>
    <x v="0"/>
    <x v="1"/>
    <x v="0"/>
  </r>
  <r>
    <x v="0"/>
    <x v="0"/>
    <n v="2239062380"/>
    <x v="1"/>
    <n v="6000"/>
    <x v="0"/>
    <x v="0"/>
    <x v="27"/>
    <x v="1"/>
    <x v="0"/>
    <x v="0"/>
    <x v="1"/>
    <x v="0"/>
  </r>
  <r>
    <x v="0"/>
    <x v="0"/>
    <n v="2239062381"/>
    <x v="1"/>
    <n v="2850"/>
    <x v="0"/>
    <x v="0"/>
    <x v="27"/>
    <x v="1"/>
    <x v="0"/>
    <x v="0"/>
    <x v="1"/>
    <x v="0"/>
  </r>
  <r>
    <x v="0"/>
    <x v="0"/>
    <n v="2239062382"/>
    <x v="1"/>
    <n v="4770"/>
    <x v="0"/>
    <x v="0"/>
    <x v="27"/>
    <x v="1"/>
    <x v="0"/>
    <x v="0"/>
    <x v="1"/>
    <x v="0"/>
  </r>
  <r>
    <x v="0"/>
    <x v="0"/>
    <n v="2239062383"/>
    <x v="1"/>
    <n v="1050"/>
    <x v="0"/>
    <x v="0"/>
    <x v="27"/>
    <x v="1"/>
    <x v="0"/>
    <x v="0"/>
    <x v="1"/>
    <x v="0"/>
  </r>
  <r>
    <x v="0"/>
    <x v="0"/>
    <n v="2239062384"/>
    <x v="1"/>
    <n v="6750"/>
    <x v="0"/>
    <x v="0"/>
    <x v="27"/>
    <x v="1"/>
    <x v="0"/>
    <x v="0"/>
    <x v="1"/>
    <x v="0"/>
  </r>
  <r>
    <x v="0"/>
    <x v="0"/>
    <n v="2239062385"/>
    <x v="1"/>
    <n v="1800"/>
    <x v="0"/>
    <x v="0"/>
    <x v="27"/>
    <x v="1"/>
    <x v="0"/>
    <x v="0"/>
    <x v="1"/>
    <x v="0"/>
  </r>
  <r>
    <x v="0"/>
    <x v="0"/>
    <n v="2239062386"/>
    <x v="0"/>
    <n v="1800"/>
    <x v="0"/>
    <x v="0"/>
    <x v="27"/>
    <x v="0"/>
    <x v="0"/>
    <x v="0"/>
    <x v="0"/>
    <x v="0"/>
  </r>
  <r>
    <x v="0"/>
    <x v="0"/>
    <n v="2239062387"/>
    <x v="1"/>
    <n v="900"/>
    <x v="0"/>
    <x v="0"/>
    <x v="27"/>
    <x v="1"/>
    <x v="0"/>
    <x v="0"/>
    <x v="1"/>
    <x v="0"/>
  </r>
  <r>
    <x v="0"/>
    <x v="0"/>
    <n v="2239062388"/>
    <x v="1"/>
    <n v="5370"/>
    <x v="0"/>
    <x v="0"/>
    <x v="27"/>
    <x v="1"/>
    <x v="0"/>
    <x v="0"/>
    <x v="1"/>
    <x v="0"/>
  </r>
  <r>
    <x v="0"/>
    <x v="0"/>
    <n v="2239062389"/>
    <x v="1"/>
    <n v="60780"/>
    <x v="0"/>
    <x v="0"/>
    <x v="27"/>
    <x v="1"/>
    <x v="0"/>
    <x v="0"/>
    <x v="1"/>
    <x v="0"/>
  </r>
  <r>
    <x v="0"/>
    <x v="0"/>
    <n v="2239062390"/>
    <x v="1"/>
    <n v="2400"/>
    <x v="0"/>
    <x v="0"/>
    <x v="27"/>
    <x v="1"/>
    <x v="0"/>
    <x v="0"/>
    <x v="1"/>
    <x v="0"/>
  </r>
  <r>
    <x v="0"/>
    <x v="0"/>
    <n v="2239062391"/>
    <x v="1"/>
    <n v="1140"/>
    <x v="0"/>
    <x v="0"/>
    <x v="27"/>
    <x v="1"/>
    <x v="0"/>
    <x v="0"/>
    <x v="1"/>
    <x v="0"/>
  </r>
  <r>
    <x v="0"/>
    <x v="0"/>
    <n v="2239062392"/>
    <x v="0"/>
    <n v="5100"/>
    <x v="0"/>
    <x v="0"/>
    <x v="27"/>
    <x v="0"/>
    <x v="0"/>
    <x v="0"/>
    <x v="0"/>
    <x v="0"/>
  </r>
  <r>
    <x v="0"/>
    <x v="0"/>
    <n v="2239062393"/>
    <x v="1"/>
    <n v="9420"/>
    <x v="0"/>
    <x v="0"/>
    <x v="27"/>
    <x v="1"/>
    <x v="0"/>
    <x v="0"/>
    <x v="1"/>
    <x v="0"/>
  </r>
  <r>
    <x v="0"/>
    <x v="0"/>
    <n v="2239062394"/>
    <x v="1"/>
    <n v="1800"/>
    <x v="0"/>
    <x v="0"/>
    <x v="27"/>
    <x v="1"/>
    <x v="0"/>
    <x v="0"/>
    <x v="1"/>
    <x v="0"/>
  </r>
  <r>
    <x v="0"/>
    <x v="0"/>
    <n v="2239062395"/>
    <x v="0"/>
    <n v="1500"/>
    <x v="0"/>
    <x v="0"/>
    <x v="27"/>
    <x v="0"/>
    <x v="0"/>
    <x v="0"/>
    <x v="0"/>
    <x v="0"/>
  </r>
  <r>
    <x v="0"/>
    <x v="0"/>
    <n v="2239062396"/>
    <x v="0"/>
    <n v="9000"/>
    <x v="0"/>
    <x v="0"/>
    <x v="27"/>
    <x v="0"/>
    <x v="0"/>
    <x v="0"/>
    <x v="0"/>
    <x v="0"/>
  </r>
  <r>
    <x v="0"/>
    <x v="0"/>
    <n v="2239062397"/>
    <x v="6"/>
    <n v="19320"/>
    <x v="0"/>
    <x v="0"/>
    <x v="27"/>
    <x v="6"/>
    <x v="0"/>
    <x v="0"/>
    <x v="5"/>
    <x v="0"/>
  </r>
  <r>
    <x v="0"/>
    <x v="0"/>
    <n v="2239062398"/>
    <x v="7"/>
    <n v="1500"/>
    <x v="0"/>
    <x v="0"/>
    <x v="27"/>
    <x v="7"/>
    <x v="0"/>
    <x v="0"/>
    <x v="1"/>
    <x v="0"/>
  </r>
  <r>
    <x v="0"/>
    <x v="0"/>
    <n v="2239062399"/>
    <x v="7"/>
    <n v="1500"/>
    <x v="0"/>
    <x v="0"/>
    <x v="27"/>
    <x v="7"/>
    <x v="0"/>
    <x v="0"/>
    <x v="1"/>
    <x v="0"/>
  </r>
  <r>
    <x v="0"/>
    <x v="0"/>
    <n v="2239062401"/>
    <x v="6"/>
    <n v="2100"/>
    <x v="0"/>
    <x v="0"/>
    <x v="27"/>
    <x v="6"/>
    <x v="0"/>
    <x v="0"/>
    <x v="5"/>
    <x v="0"/>
  </r>
  <r>
    <x v="0"/>
    <x v="0"/>
    <n v="2239062401"/>
    <x v="7"/>
    <n v="900"/>
    <x v="0"/>
    <x v="0"/>
    <x v="27"/>
    <x v="7"/>
    <x v="0"/>
    <x v="0"/>
    <x v="1"/>
    <x v="0"/>
  </r>
  <r>
    <x v="0"/>
    <x v="0"/>
    <n v="2239062402"/>
    <x v="7"/>
    <n v="1500"/>
    <x v="0"/>
    <x v="0"/>
    <x v="27"/>
    <x v="7"/>
    <x v="0"/>
    <x v="0"/>
    <x v="1"/>
    <x v="0"/>
  </r>
  <r>
    <x v="0"/>
    <x v="0"/>
    <n v="2239062403"/>
    <x v="6"/>
    <n v="4500"/>
    <x v="0"/>
    <x v="0"/>
    <x v="27"/>
    <x v="6"/>
    <x v="0"/>
    <x v="0"/>
    <x v="5"/>
    <x v="0"/>
  </r>
  <r>
    <x v="0"/>
    <x v="0"/>
    <n v="2239062405"/>
    <x v="2"/>
    <n v="17000"/>
    <x v="0"/>
    <x v="0"/>
    <x v="27"/>
    <x v="2"/>
    <x v="0"/>
    <x v="0"/>
    <x v="2"/>
    <x v="0"/>
  </r>
  <r>
    <x v="0"/>
    <x v="0"/>
    <n v="2239062406"/>
    <x v="3"/>
    <n v="2400"/>
    <x v="0"/>
    <x v="0"/>
    <x v="27"/>
    <x v="3"/>
    <x v="0"/>
    <x v="0"/>
    <x v="3"/>
    <x v="0"/>
  </r>
  <r>
    <x v="0"/>
    <x v="0"/>
    <n v="2239062406"/>
    <x v="7"/>
    <n v="2400"/>
    <x v="0"/>
    <x v="0"/>
    <x v="27"/>
    <x v="7"/>
    <x v="0"/>
    <x v="0"/>
    <x v="1"/>
    <x v="0"/>
  </r>
  <r>
    <x v="0"/>
    <x v="0"/>
    <n v="2239062407"/>
    <x v="3"/>
    <n v="6500"/>
    <x v="0"/>
    <x v="0"/>
    <x v="27"/>
    <x v="3"/>
    <x v="0"/>
    <x v="0"/>
    <x v="3"/>
    <x v="0"/>
  </r>
  <r>
    <x v="0"/>
    <x v="0"/>
    <n v="2239062408"/>
    <x v="6"/>
    <n v="5000"/>
    <x v="0"/>
    <x v="0"/>
    <x v="27"/>
    <x v="6"/>
    <x v="0"/>
    <x v="0"/>
    <x v="5"/>
    <x v="0"/>
  </r>
  <r>
    <x v="0"/>
    <x v="0"/>
    <n v="2239062409"/>
    <x v="5"/>
    <n v="-8500"/>
    <x v="0"/>
    <x v="0"/>
    <x v="27"/>
    <x v="5"/>
    <x v="0"/>
    <x v="0"/>
    <x v="5"/>
    <x v="0"/>
  </r>
  <r>
    <x v="0"/>
    <x v="0"/>
    <n v="2239062409"/>
    <x v="6"/>
    <n v="10000"/>
    <x v="0"/>
    <x v="0"/>
    <x v="27"/>
    <x v="6"/>
    <x v="0"/>
    <x v="0"/>
    <x v="5"/>
    <x v="0"/>
  </r>
  <r>
    <x v="0"/>
    <x v="0"/>
    <n v="2239062410"/>
    <x v="5"/>
    <n v="-4100"/>
    <x v="0"/>
    <x v="0"/>
    <x v="27"/>
    <x v="5"/>
    <x v="0"/>
    <x v="0"/>
    <x v="5"/>
    <x v="0"/>
  </r>
  <r>
    <x v="0"/>
    <x v="0"/>
    <n v="2239062410"/>
    <x v="4"/>
    <n v="20000"/>
    <x v="0"/>
    <x v="0"/>
    <x v="27"/>
    <x v="4"/>
    <x v="0"/>
    <x v="0"/>
    <x v="4"/>
    <x v="0"/>
  </r>
  <r>
    <x v="0"/>
    <x v="0"/>
    <n v="2239062411"/>
    <x v="5"/>
    <n v="-1000"/>
    <x v="0"/>
    <x v="0"/>
    <x v="27"/>
    <x v="5"/>
    <x v="0"/>
    <x v="0"/>
    <x v="5"/>
    <x v="0"/>
  </r>
  <r>
    <x v="0"/>
    <x v="0"/>
    <n v="2239062411"/>
    <x v="6"/>
    <n v="5000"/>
    <x v="0"/>
    <x v="0"/>
    <x v="27"/>
    <x v="6"/>
    <x v="0"/>
    <x v="0"/>
    <x v="5"/>
    <x v="0"/>
  </r>
  <r>
    <x v="0"/>
    <x v="0"/>
    <n v="2239062416"/>
    <x v="2"/>
    <n v="15620"/>
    <x v="0"/>
    <x v="0"/>
    <x v="27"/>
    <x v="2"/>
    <x v="0"/>
    <x v="0"/>
    <x v="2"/>
    <x v="0"/>
  </r>
  <r>
    <x v="0"/>
    <x v="0"/>
    <n v="2239062419"/>
    <x v="3"/>
    <n v="12320"/>
    <x v="0"/>
    <x v="0"/>
    <x v="27"/>
    <x v="3"/>
    <x v="0"/>
    <x v="0"/>
    <x v="3"/>
    <x v="0"/>
  </r>
  <r>
    <x v="0"/>
    <x v="0"/>
    <n v="2239062420"/>
    <x v="2"/>
    <n v="19470"/>
    <x v="0"/>
    <x v="0"/>
    <x v="27"/>
    <x v="2"/>
    <x v="0"/>
    <x v="0"/>
    <x v="2"/>
    <x v="0"/>
  </r>
  <r>
    <x v="0"/>
    <x v="0"/>
    <n v="2239062421"/>
    <x v="5"/>
    <n v="-400"/>
    <x v="0"/>
    <x v="0"/>
    <x v="27"/>
    <x v="5"/>
    <x v="0"/>
    <x v="0"/>
    <x v="5"/>
    <x v="0"/>
  </r>
  <r>
    <x v="0"/>
    <x v="0"/>
    <n v="2239062421"/>
    <x v="4"/>
    <n v="6000"/>
    <x v="0"/>
    <x v="0"/>
    <x v="27"/>
    <x v="4"/>
    <x v="0"/>
    <x v="0"/>
    <x v="4"/>
    <x v="0"/>
  </r>
  <r>
    <x v="0"/>
    <x v="0"/>
    <n v="2239062422"/>
    <x v="5"/>
    <n v="-16500"/>
    <x v="0"/>
    <x v="0"/>
    <x v="27"/>
    <x v="5"/>
    <x v="0"/>
    <x v="0"/>
    <x v="5"/>
    <x v="0"/>
  </r>
  <r>
    <x v="0"/>
    <x v="0"/>
    <n v="2239062422"/>
    <x v="6"/>
    <n v="20000"/>
    <x v="0"/>
    <x v="0"/>
    <x v="27"/>
    <x v="6"/>
    <x v="0"/>
    <x v="0"/>
    <x v="5"/>
    <x v="0"/>
  </r>
  <r>
    <x v="0"/>
    <x v="0"/>
    <n v="2239062423"/>
    <x v="5"/>
    <n v="-12000"/>
    <x v="0"/>
    <x v="0"/>
    <x v="27"/>
    <x v="5"/>
    <x v="0"/>
    <x v="0"/>
    <x v="5"/>
    <x v="0"/>
  </r>
  <r>
    <x v="0"/>
    <x v="0"/>
    <n v="2239062423"/>
    <x v="6"/>
    <n v="20000"/>
    <x v="0"/>
    <x v="0"/>
    <x v="27"/>
    <x v="6"/>
    <x v="0"/>
    <x v="0"/>
    <x v="5"/>
    <x v="0"/>
  </r>
  <r>
    <x v="0"/>
    <x v="0"/>
    <n v="2239062423"/>
    <x v="7"/>
    <n v="4250"/>
    <x v="0"/>
    <x v="0"/>
    <x v="27"/>
    <x v="7"/>
    <x v="0"/>
    <x v="0"/>
    <x v="1"/>
    <x v="0"/>
  </r>
  <r>
    <x v="0"/>
    <x v="0"/>
    <n v="2239062424"/>
    <x v="5"/>
    <n v="-3700"/>
    <x v="0"/>
    <x v="0"/>
    <x v="27"/>
    <x v="5"/>
    <x v="0"/>
    <x v="0"/>
    <x v="5"/>
    <x v="0"/>
  </r>
  <r>
    <x v="0"/>
    <x v="0"/>
    <n v="2239062424"/>
    <x v="6"/>
    <n v="10300"/>
    <x v="0"/>
    <x v="0"/>
    <x v="27"/>
    <x v="6"/>
    <x v="0"/>
    <x v="0"/>
    <x v="5"/>
    <x v="0"/>
  </r>
  <r>
    <x v="0"/>
    <x v="0"/>
    <n v="2239062426"/>
    <x v="2"/>
    <n v="39765"/>
    <x v="0"/>
    <x v="0"/>
    <x v="27"/>
    <x v="2"/>
    <x v="0"/>
    <x v="0"/>
    <x v="2"/>
    <x v="0"/>
  </r>
  <r>
    <x v="0"/>
    <x v="0"/>
    <n v="2239062427"/>
    <x v="5"/>
    <n v="-15000"/>
    <x v="0"/>
    <x v="0"/>
    <x v="27"/>
    <x v="5"/>
    <x v="0"/>
    <x v="0"/>
    <x v="5"/>
    <x v="0"/>
  </r>
  <r>
    <x v="0"/>
    <x v="0"/>
    <n v="2239062427"/>
    <x v="4"/>
    <n v="20300"/>
    <x v="0"/>
    <x v="0"/>
    <x v="27"/>
    <x v="4"/>
    <x v="0"/>
    <x v="0"/>
    <x v="4"/>
    <x v="0"/>
  </r>
  <r>
    <x v="0"/>
    <x v="0"/>
    <n v="2239062428"/>
    <x v="7"/>
    <n v="1500"/>
    <x v="0"/>
    <x v="0"/>
    <x v="27"/>
    <x v="7"/>
    <x v="0"/>
    <x v="0"/>
    <x v="1"/>
    <x v="0"/>
  </r>
  <r>
    <x v="0"/>
    <x v="0"/>
    <n v="2239062429"/>
    <x v="2"/>
    <n v="15000"/>
    <x v="0"/>
    <x v="0"/>
    <x v="27"/>
    <x v="2"/>
    <x v="0"/>
    <x v="0"/>
    <x v="2"/>
    <x v="0"/>
  </r>
  <r>
    <x v="0"/>
    <x v="0"/>
    <n v="2239062430"/>
    <x v="7"/>
    <n v="4500"/>
    <x v="0"/>
    <x v="0"/>
    <x v="27"/>
    <x v="7"/>
    <x v="0"/>
    <x v="0"/>
    <x v="1"/>
    <x v="0"/>
  </r>
  <r>
    <x v="0"/>
    <x v="0"/>
    <n v="2239062431"/>
    <x v="7"/>
    <n v="1500"/>
    <x v="0"/>
    <x v="0"/>
    <x v="27"/>
    <x v="7"/>
    <x v="0"/>
    <x v="0"/>
    <x v="1"/>
    <x v="0"/>
  </r>
  <r>
    <x v="0"/>
    <x v="0"/>
    <n v="2239062433"/>
    <x v="2"/>
    <n v="6500"/>
    <x v="0"/>
    <x v="0"/>
    <x v="27"/>
    <x v="2"/>
    <x v="0"/>
    <x v="0"/>
    <x v="2"/>
    <x v="0"/>
  </r>
  <r>
    <x v="0"/>
    <x v="0"/>
    <n v="2239062436"/>
    <x v="7"/>
    <n v="1500"/>
    <x v="0"/>
    <x v="0"/>
    <x v="27"/>
    <x v="7"/>
    <x v="0"/>
    <x v="0"/>
    <x v="1"/>
    <x v="0"/>
  </r>
  <r>
    <x v="0"/>
    <x v="0"/>
    <n v="2239062437"/>
    <x v="7"/>
    <n v="1900"/>
    <x v="0"/>
    <x v="0"/>
    <x v="27"/>
    <x v="7"/>
    <x v="0"/>
    <x v="0"/>
    <x v="1"/>
    <x v="0"/>
  </r>
  <r>
    <x v="0"/>
    <x v="0"/>
    <n v="2239062439"/>
    <x v="5"/>
    <n v="-4700"/>
    <x v="0"/>
    <x v="0"/>
    <x v="27"/>
    <x v="5"/>
    <x v="0"/>
    <x v="0"/>
    <x v="5"/>
    <x v="0"/>
  </r>
  <r>
    <x v="0"/>
    <x v="0"/>
    <n v="2239062439"/>
    <x v="4"/>
    <n v="10000"/>
    <x v="0"/>
    <x v="0"/>
    <x v="27"/>
    <x v="4"/>
    <x v="0"/>
    <x v="0"/>
    <x v="4"/>
    <x v="0"/>
  </r>
  <r>
    <x v="0"/>
    <x v="0"/>
    <n v="2239062440"/>
    <x v="2"/>
    <n v="7865"/>
    <x v="0"/>
    <x v="0"/>
    <x v="27"/>
    <x v="2"/>
    <x v="0"/>
    <x v="0"/>
    <x v="2"/>
    <x v="0"/>
  </r>
  <r>
    <x v="0"/>
    <x v="0"/>
    <n v="2239062440"/>
    <x v="7"/>
    <n v="2600"/>
    <x v="0"/>
    <x v="0"/>
    <x v="27"/>
    <x v="7"/>
    <x v="0"/>
    <x v="0"/>
    <x v="1"/>
    <x v="0"/>
  </r>
  <r>
    <x v="0"/>
    <x v="0"/>
    <n v="2239062441"/>
    <x v="2"/>
    <n v="12045"/>
    <x v="0"/>
    <x v="0"/>
    <x v="27"/>
    <x v="2"/>
    <x v="0"/>
    <x v="0"/>
    <x v="2"/>
    <x v="0"/>
  </r>
  <r>
    <x v="0"/>
    <x v="0"/>
    <n v="2239062443"/>
    <x v="5"/>
    <n v="-400"/>
    <x v="0"/>
    <x v="0"/>
    <x v="27"/>
    <x v="5"/>
    <x v="0"/>
    <x v="0"/>
    <x v="5"/>
    <x v="0"/>
  </r>
  <r>
    <x v="0"/>
    <x v="0"/>
    <n v="2239062443"/>
    <x v="4"/>
    <n v="5000"/>
    <x v="0"/>
    <x v="0"/>
    <x v="27"/>
    <x v="4"/>
    <x v="0"/>
    <x v="0"/>
    <x v="4"/>
    <x v="0"/>
  </r>
  <r>
    <x v="0"/>
    <x v="0"/>
    <n v="2239062445"/>
    <x v="2"/>
    <n v="19745"/>
    <x v="0"/>
    <x v="0"/>
    <x v="27"/>
    <x v="2"/>
    <x v="0"/>
    <x v="0"/>
    <x v="2"/>
    <x v="0"/>
  </r>
  <r>
    <x v="0"/>
    <x v="0"/>
    <n v="2239062446"/>
    <x v="7"/>
    <n v="1500"/>
    <x v="0"/>
    <x v="0"/>
    <x v="27"/>
    <x v="7"/>
    <x v="0"/>
    <x v="0"/>
    <x v="1"/>
    <x v="0"/>
  </r>
  <r>
    <x v="0"/>
    <x v="0"/>
    <n v="2239062447"/>
    <x v="5"/>
    <n v="-4400"/>
    <x v="0"/>
    <x v="0"/>
    <x v="27"/>
    <x v="5"/>
    <x v="0"/>
    <x v="0"/>
    <x v="5"/>
    <x v="0"/>
  </r>
  <r>
    <x v="0"/>
    <x v="0"/>
    <n v="2239062447"/>
    <x v="4"/>
    <n v="10000"/>
    <x v="0"/>
    <x v="0"/>
    <x v="27"/>
    <x v="4"/>
    <x v="0"/>
    <x v="0"/>
    <x v="4"/>
    <x v="0"/>
  </r>
  <r>
    <x v="0"/>
    <x v="0"/>
    <n v="2239062448"/>
    <x v="2"/>
    <n v="10500"/>
    <x v="0"/>
    <x v="0"/>
    <x v="27"/>
    <x v="2"/>
    <x v="0"/>
    <x v="0"/>
    <x v="2"/>
    <x v="0"/>
  </r>
  <r>
    <x v="0"/>
    <x v="0"/>
    <n v="2239062449"/>
    <x v="7"/>
    <n v="1900"/>
    <x v="0"/>
    <x v="0"/>
    <x v="27"/>
    <x v="7"/>
    <x v="0"/>
    <x v="0"/>
    <x v="1"/>
    <x v="0"/>
  </r>
  <r>
    <x v="0"/>
    <x v="0"/>
    <n v="2239062452"/>
    <x v="5"/>
    <n v="-5500"/>
    <x v="0"/>
    <x v="0"/>
    <x v="27"/>
    <x v="5"/>
    <x v="0"/>
    <x v="0"/>
    <x v="5"/>
    <x v="0"/>
  </r>
  <r>
    <x v="0"/>
    <x v="0"/>
    <n v="2239062452"/>
    <x v="6"/>
    <n v="10000"/>
    <x v="0"/>
    <x v="0"/>
    <x v="27"/>
    <x v="6"/>
    <x v="0"/>
    <x v="0"/>
    <x v="5"/>
    <x v="0"/>
  </r>
  <r>
    <x v="0"/>
    <x v="0"/>
    <n v="2239062453"/>
    <x v="7"/>
    <n v="1500"/>
    <x v="0"/>
    <x v="0"/>
    <x v="27"/>
    <x v="7"/>
    <x v="0"/>
    <x v="0"/>
    <x v="1"/>
    <x v="0"/>
  </r>
  <r>
    <x v="0"/>
    <x v="0"/>
    <n v="2239062454"/>
    <x v="7"/>
    <n v="7000"/>
    <x v="0"/>
    <x v="0"/>
    <x v="27"/>
    <x v="7"/>
    <x v="0"/>
    <x v="0"/>
    <x v="1"/>
    <x v="0"/>
  </r>
  <r>
    <x v="0"/>
    <x v="0"/>
    <n v="2239062455"/>
    <x v="3"/>
    <n v="67144"/>
    <x v="0"/>
    <x v="0"/>
    <x v="27"/>
    <x v="3"/>
    <x v="0"/>
    <x v="0"/>
    <x v="3"/>
    <x v="0"/>
  </r>
  <r>
    <x v="0"/>
    <x v="0"/>
    <n v="2239062457"/>
    <x v="2"/>
    <n v="7500"/>
    <x v="0"/>
    <x v="0"/>
    <x v="27"/>
    <x v="2"/>
    <x v="0"/>
    <x v="0"/>
    <x v="2"/>
    <x v="0"/>
  </r>
  <r>
    <x v="0"/>
    <x v="0"/>
    <n v="2239062458"/>
    <x v="3"/>
    <n v="9500"/>
    <x v="0"/>
    <x v="0"/>
    <x v="27"/>
    <x v="3"/>
    <x v="0"/>
    <x v="0"/>
    <x v="3"/>
    <x v="0"/>
  </r>
  <r>
    <x v="0"/>
    <x v="0"/>
    <n v="2239062459"/>
    <x v="7"/>
    <n v="1500"/>
    <x v="0"/>
    <x v="0"/>
    <x v="27"/>
    <x v="7"/>
    <x v="0"/>
    <x v="0"/>
    <x v="1"/>
    <x v="0"/>
  </r>
  <r>
    <x v="0"/>
    <x v="0"/>
    <n v="2239062460"/>
    <x v="2"/>
    <n v="12000"/>
    <x v="0"/>
    <x v="0"/>
    <x v="27"/>
    <x v="2"/>
    <x v="0"/>
    <x v="0"/>
    <x v="2"/>
    <x v="0"/>
  </r>
  <r>
    <x v="0"/>
    <x v="0"/>
    <n v="2239062462"/>
    <x v="5"/>
    <n v="-5000"/>
    <x v="0"/>
    <x v="0"/>
    <x v="27"/>
    <x v="5"/>
    <x v="0"/>
    <x v="0"/>
    <x v="5"/>
    <x v="0"/>
  </r>
  <r>
    <x v="0"/>
    <x v="0"/>
    <n v="2239062462"/>
    <x v="4"/>
    <n v="10000"/>
    <x v="0"/>
    <x v="0"/>
    <x v="27"/>
    <x v="4"/>
    <x v="0"/>
    <x v="0"/>
    <x v="4"/>
    <x v="0"/>
  </r>
  <r>
    <x v="0"/>
    <x v="0"/>
    <n v="2239062463"/>
    <x v="2"/>
    <n v="2200"/>
    <x v="0"/>
    <x v="0"/>
    <x v="27"/>
    <x v="2"/>
    <x v="0"/>
    <x v="0"/>
    <x v="2"/>
    <x v="0"/>
  </r>
  <r>
    <x v="0"/>
    <x v="0"/>
    <n v="2239062465"/>
    <x v="2"/>
    <n v="11550"/>
    <x v="0"/>
    <x v="0"/>
    <x v="27"/>
    <x v="2"/>
    <x v="0"/>
    <x v="0"/>
    <x v="2"/>
    <x v="0"/>
  </r>
  <r>
    <x v="0"/>
    <x v="0"/>
    <n v="2239062466"/>
    <x v="7"/>
    <n v="1500"/>
    <x v="0"/>
    <x v="0"/>
    <x v="27"/>
    <x v="7"/>
    <x v="0"/>
    <x v="0"/>
    <x v="1"/>
    <x v="0"/>
  </r>
  <r>
    <x v="0"/>
    <x v="0"/>
    <n v="2239062467"/>
    <x v="5"/>
    <n v="-3200"/>
    <x v="0"/>
    <x v="0"/>
    <x v="27"/>
    <x v="5"/>
    <x v="0"/>
    <x v="0"/>
    <x v="5"/>
    <x v="0"/>
  </r>
  <r>
    <x v="0"/>
    <x v="0"/>
    <n v="2239062467"/>
    <x v="6"/>
    <n v="5000"/>
    <x v="0"/>
    <x v="0"/>
    <x v="27"/>
    <x v="6"/>
    <x v="0"/>
    <x v="0"/>
    <x v="5"/>
    <x v="0"/>
  </r>
  <r>
    <x v="0"/>
    <x v="0"/>
    <n v="2239062468"/>
    <x v="5"/>
    <n v="-5000"/>
    <x v="0"/>
    <x v="0"/>
    <x v="27"/>
    <x v="5"/>
    <x v="0"/>
    <x v="0"/>
    <x v="5"/>
    <x v="0"/>
  </r>
  <r>
    <x v="0"/>
    <x v="0"/>
    <n v="2239062468"/>
    <x v="4"/>
    <n v="10000"/>
    <x v="0"/>
    <x v="0"/>
    <x v="27"/>
    <x v="4"/>
    <x v="0"/>
    <x v="0"/>
    <x v="4"/>
    <x v="0"/>
  </r>
  <r>
    <x v="0"/>
    <x v="0"/>
    <n v="2239062470"/>
    <x v="2"/>
    <n v="20570"/>
    <x v="0"/>
    <x v="0"/>
    <x v="27"/>
    <x v="2"/>
    <x v="0"/>
    <x v="0"/>
    <x v="2"/>
    <x v="0"/>
  </r>
  <r>
    <x v="0"/>
    <x v="0"/>
    <n v="2239062471"/>
    <x v="5"/>
    <n v="-7000"/>
    <x v="0"/>
    <x v="0"/>
    <x v="27"/>
    <x v="5"/>
    <x v="0"/>
    <x v="0"/>
    <x v="5"/>
    <x v="0"/>
  </r>
  <r>
    <x v="0"/>
    <x v="0"/>
    <n v="2239062471"/>
    <x v="6"/>
    <n v="10000"/>
    <x v="0"/>
    <x v="0"/>
    <x v="27"/>
    <x v="6"/>
    <x v="0"/>
    <x v="0"/>
    <x v="5"/>
    <x v="0"/>
  </r>
  <r>
    <x v="0"/>
    <x v="0"/>
    <n v="2239062472"/>
    <x v="7"/>
    <n v="3800"/>
    <x v="0"/>
    <x v="0"/>
    <x v="27"/>
    <x v="7"/>
    <x v="0"/>
    <x v="0"/>
    <x v="1"/>
    <x v="0"/>
  </r>
  <r>
    <x v="0"/>
    <x v="0"/>
    <n v="2239062473"/>
    <x v="7"/>
    <n v="1500"/>
    <x v="0"/>
    <x v="0"/>
    <x v="27"/>
    <x v="7"/>
    <x v="0"/>
    <x v="0"/>
    <x v="1"/>
    <x v="0"/>
  </r>
  <r>
    <x v="0"/>
    <x v="0"/>
    <n v="2239062474"/>
    <x v="7"/>
    <n v="1500"/>
    <x v="0"/>
    <x v="0"/>
    <x v="27"/>
    <x v="7"/>
    <x v="0"/>
    <x v="0"/>
    <x v="1"/>
    <x v="0"/>
  </r>
  <r>
    <x v="0"/>
    <x v="0"/>
    <n v="2239062475"/>
    <x v="7"/>
    <n v="1500"/>
    <x v="0"/>
    <x v="0"/>
    <x v="27"/>
    <x v="7"/>
    <x v="0"/>
    <x v="0"/>
    <x v="1"/>
    <x v="0"/>
  </r>
  <r>
    <x v="0"/>
    <x v="0"/>
    <n v="2239062476"/>
    <x v="7"/>
    <n v="7500"/>
    <x v="0"/>
    <x v="0"/>
    <x v="27"/>
    <x v="7"/>
    <x v="0"/>
    <x v="0"/>
    <x v="1"/>
    <x v="0"/>
  </r>
  <r>
    <x v="0"/>
    <x v="0"/>
    <n v="2239062477"/>
    <x v="2"/>
    <n v="10450"/>
    <x v="0"/>
    <x v="0"/>
    <x v="27"/>
    <x v="2"/>
    <x v="0"/>
    <x v="0"/>
    <x v="2"/>
    <x v="0"/>
  </r>
  <r>
    <x v="0"/>
    <x v="0"/>
    <n v="2239062478"/>
    <x v="7"/>
    <n v="1500"/>
    <x v="0"/>
    <x v="0"/>
    <x v="27"/>
    <x v="7"/>
    <x v="0"/>
    <x v="0"/>
    <x v="1"/>
    <x v="0"/>
  </r>
  <r>
    <x v="0"/>
    <x v="0"/>
    <n v="2239062479"/>
    <x v="5"/>
    <n v="-6000"/>
    <x v="0"/>
    <x v="0"/>
    <x v="27"/>
    <x v="5"/>
    <x v="0"/>
    <x v="0"/>
    <x v="5"/>
    <x v="0"/>
  </r>
  <r>
    <x v="0"/>
    <x v="0"/>
    <n v="2239062479"/>
    <x v="4"/>
    <n v="10400"/>
    <x v="0"/>
    <x v="0"/>
    <x v="27"/>
    <x v="4"/>
    <x v="0"/>
    <x v="0"/>
    <x v="4"/>
    <x v="0"/>
  </r>
  <r>
    <x v="0"/>
    <x v="0"/>
    <n v="2239062480"/>
    <x v="5"/>
    <n v="-15200"/>
    <x v="0"/>
    <x v="0"/>
    <x v="27"/>
    <x v="5"/>
    <x v="0"/>
    <x v="0"/>
    <x v="5"/>
    <x v="0"/>
  </r>
  <r>
    <x v="0"/>
    <x v="0"/>
    <n v="2239062480"/>
    <x v="4"/>
    <n v="20500"/>
    <x v="0"/>
    <x v="0"/>
    <x v="27"/>
    <x v="4"/>
    <x v="0"/>
    <x v="0"/>
    <x v="4"/>
    <x v="0"/>
  </r>
  <r>
    <x v="0"/>
    <x v="0"/>
    <n v="2239062481"/>
    <x v="7"/>
    <n v="5000"/>
    <x v="0"/>
    <x v="0"/>
    <x v="27"/>
    <x v="7"/>
    <x v="0"/>
    <x v="0"/>
    <x v="1"/>
    <x v="0"/>
  </r>
  <r>
    <x v="0"/>
    <x v="0"/>
    <n v="2239062482"/>
    <x v="5"/>
    <n v="-2260"/>
    <x v="0"/>
    <x v="0"/>
    <x v="27"/>
    <x v="5"/>
    <x v="0"/>
    <x v="0"/>
    <x v="5"/>
    <x v="0"/>
  </r>
  <r>
    <x v="0"/>
    <x v="0"/>
    <n v="2239062482"/>
    <x v="6"/>
    <n v="25000"/>
    <x v="0"/>
    <x v="0"/>
    <x v="27"/>
    <x v="6"/>
    <x v="0"/>
    <x v="0"/>
    <x v="5"/>
    <x v="0"/>
  </r>
  <r>
    <x v="0"/>
    <x v="0"/>
    <n v="2239062482"/>
    <x v="7"/>
    <n v="15160"/>
    <x v="0"/>
    <x v="0"/>
    <x v="27"/>
    <x v="7"/>
    <x v="0"/>
    <x v="0"/>
    <x v="1"/>
    <x v="0"/>
  </r>
  <r>
    <x v="0"/>
    <x v="0"/>
    <n v="2239062484"/>
    <x v="5"/>
    <n v="-15000"/>
    <x v="0"/>
    <x v="0"/>
    <x v="27"/>
    <x v="5"/>
    <x v="0"/>
    <x v="0"/>
    <x v="5"/>
    <x v="0"/>
  </r>
  <r>
    <x v="0"/>
    <x v="0"/>
    <n v="2239062484"/>
    <x v="4"/>
    <n v="20300"/>
    <x v="0"/>
    <x v="0"/>
    <x v="27"/>
    <x v="4"/>
    <x v="0"/>
    <x v="0"/>
    <x v="4"/>
    <x v="0"/>
  </r>
  <r>
    <x v="0"/>
    <x v="0"/>
    <n v="2239062485"/>
    <x v="5"/>
    <n v="-400"/>
    <x v="0"/>
    <x v="0"/>
    <x v="27"/>
    <x v="5"/>
    <x v="0"/>
    <x v="0"/>
    <x v="5"/>
    <x v="0"/>
  </r>
  <r>
    <x v="0"/>
    <x v="0"/>
    <n v="2239062485"/>
    <x v="4"/>
    <n v="5000"/>
    <x v="0"/>
    <x v="0"/>
    <x v="27"/>
    <x v="4"/>
    <x v="0"/>
    <x v="0"/>
    <x v="4"/>
    <x v="0"/>
  </r>
  <r>
    <x v="0"/>
    <x v="0"/>
    <n v="2239062486"/>
    <x v="7"/>
    <n v="3800"/>
    <x v="0"/>
    <x v="0"/>
    <x v="27"/>
    <x v="7"/>
    <x v="0"/>
    <x v="0"/>
    <x v="1"/>
    <x v="0"/>
  </r>
  <r>
    <x v="0"/>
    <x v="0"/>
    <n v="2239062487"/>
    <x v="0"/>
    <n v="14910"/>
    <x v="0"/>
    <x v="0"/>
    <x v="27"/>
    <x v="0"/>
    <x v="0"/>
    <x v="0"/>
    <x v="0"/>
    <x v="0"/>
  </r>
  <r>
    <x v="0"/>
    <x v="0"/>
    <n v="2239062488"/>
    <x v="1"/>
    <n v="31220"/>
    <x v="0"/>
    <x v="0"/>
    <x v="27"/>
    <x v="1"/>
    <x v="0"/>
    <x v="0"/>
    <x v="1"/>
    <x v="0"/>
  </r>
  <r>
    <x v="0"/>
    <x v="0"/>
    <n v="2239062489"/>
    <x v="1"/>
    <n v="2250"/>
    <x v="0"/>
    <x v="0"/>
    <x v="27"/>
    <x v="1"/>
    <x v="0"/>
    <x v="0"/>
    <x v="1"/>
    <x v="0"/>
  </r>
  <r>
    <x v="0"/>
    <x v="0"/>
    <n v="2239062490"/>
    <x v="1"/>
    <n v="4320"/>
    <x v="0"/>
    <x v="0"/>
    <x v="27"/>
    <x v="1"/>
    <x v="0"/>
    <x v="0"/>
    <x v="1"/>
    <x v="0"/>
  </r>
  <r>
    <x v="0"/>
    <x v="0"/>
    <n v="2239062491"/>
    <x v="1"/>
    <n v="3600"/>
    <x v="0"/>
    <x v="0"/>
    <x v="27"/>
    <x v="1"/>
    <x v="0"/>
    <x v="0"/>
    <x v="1"/>
    <x v="0"/>
  </r>
  <r>
    <x v="0"/>
    <x v="0"/>
    <n v="2239062492"/>
    <x v="1"/>
    <n v="1500"/>
    <x v="0"/>
    <x v="0"/>
    <x v="27"/>
    <x v="1"/>
    <x v="0"/>
    <x v="0"/>
    <x v="1"/>
    <x v="0"/>
  </r>
  <r>
    <x v="0"/>
    <x v="0"/>
    <n v="2239062493"/>
    <x v="1"/>
    <n v="1740"/>
    <x v="0"/>
    <x v="0"/>
    <x v="27"/>
    <x v="1"/>
    <x v="0"/>
    <x v="0"/>
    <x v="1"/>
    <x v="0"/>
  </r>
  <r>
    <x v="0"/>
    <x v="0"/>
    <n v="2239062494"/>
    <x v="1"/>
    <n v="34350"/>
    <x v="0"/>
    <x v="0"/>
    <x v="27"/>
    <x v="1"/>
    <x v="0"/>
    <x v="0"/>
    <x v="1"/>
    <x v="0"/>
  </r>
  <r>
    <x v="0"/>
    <x v="0"/>
    <n v="2239062495"/>
    <x v="0"/>
    <n v="7250"/>
    <x v="0"/>
    <x v="0"/>
    <x v="27"/>
    <x v="0"/>
    <x v="0"/>
    <x v="0"/>
    <x v="0"/>
    <x v="0"/>
  </r>
  <r>
    <x v="0"/>
    <x v="0"/>
    <n v="2239062496"/>
    <x v="0"/>
    <n v="3600"/>
    <x v="0"/>
    <x v="0"/>
    <x v="27"/>
    <x v="0"/>
    <x v="0"/>
    <x v="0"/>
    <x v="0"/>
    <x v="0"/>
  </r>
  <r>
    <x v="0"/>
    <x v="0"/>
    <n v="2239062497"/>
    <x v="1"/>
    <n v="12250"/>
    <x v="0"/>
    <x v="0"/>
    <x v="27"/>
    <x v="1"/>
    <x v="0"/>
    <x v="0"/>
    <x v="1"/>
    <x v="0"/>
  </r>
  <r>
    <x v="0"/>
    <x v="0"/>
    <n v="2239062498"/>
    <x v="1"/>
    <n v="2100"/>
    <x v="0"/>
    <x v="0"/>
    <x v="27"/>
    <x v="1"/>
    <x v="0"/>
    <x v="0"/>
    <x v="1"/>
    <x v="0"/>
  </r>
  <r>
    <x v="0"/>
    <x v="0"/>
    <n v="2239062499"/>
    <x v="1"/>
    <n v="3150"/>
    <x v="0"/>
    <x v="0"/>
    <x v="27"/>
    <x v="1"/>
    <x v="0"/>
    <x v="0"/>
    <x v="1"/>
    <x v="0"/>
  </r>
  <r>
    <x v="0"/>
    <x v="0"/>
    <n v="2239062500"/>
    <x v="1"/>
    <n v="27200"/>
    <x v="0"/>
    <x v="0"/>
    <x v="27"/>
    <x v="1"/>
    <x v="0"/>
    <x v="0"/>
    <x v="1"/>
    <x v="0"/>
  </r>
  <r>
    <x v="0"/>
    <x v="0"/>
    <n v="2239062502"/>
    <x v="1"/>
    <n v="900"/>
    <x v="0"/>
    <x v="0"/>
    <x v="27"/>
    <x v="1"/>
    <x v="0"/>
    <x v="0"/>
    <x v="1"/>
    <x v="0"/>
  </r>
  <r>
    <x v="0"/>
    <x v="0"/>
    <n v="2239062503"/>
    <x v="1"/>
    <n v="900"/>
    <x v="0"/>
    <x v="0"/>
    <x v="27"/>
    <x v="1"/>
    <x v="0"/>
    <x v="0"/>
    <x v="1"/>
    <x v="0"/>
  </r>
  <r>
    <x v="0"/>
    <x v="0"/>
    <n v="2239062504"/>
    <x v="1"/>
    <n v="4500"/>
    <x v="0"/>
    <x v="0"/>
    <x v="27"/>
    <x v="1"/>
    <x v="0"/>
    <x v="0"/>
    <x v="1"/>
    <x v="0"/>
  </r>
  <r>
    <x v="0"/>
    <x v="0"/>
    <n v="2239062505"/>
    <x v="0"/>
    <n v="7650"/>
    <x v="0"/>
    <x v="0"/>
    <x v="27"/>
    <x v="0"/>
    <x v="0"/>
    <x v="0"/>
    <x v="0"/>
    <x v="0"/>
  </r>
  <r>
    <x v="0"/>
    <x v="0"/>
    <n v="2239062506"/>
    <x v="0"/>
    <n v="3390"/>
    <x v="0"/>
    <x v="0"/>
    <x v="27"/>
    <x v="0"/>
    <x v="0"/>
    <x v="0"/>
    <x v="0"/>
    <x v="0"/>
  </r>
  <r>
    <x v="0"/>
    <x v="0"/>
    <n v="2239062507"/>
    <x v="1"/>
    <n v="7900"/>
    <x v="0"/>
    <x v="0"/>
    <x v="27"/>
    <x v="1"/>
    <x v="0"/>
    <x v="0"/>
    <x v="1"/>
    <x v="0"/>
  </r>
  <r>
    <x v="0"/>
    <x v="0"/>
    <n v="2239062508"/>
    <x v="0"/>
    <n v="2100"/>
    <x v="0"/>
    <x v="0"/>
    <x v="27"/>
    <x v="0"/>
    <x v="0"/>
    <x v="0"/>
    <x v="0"/>
    <x v="0"/>
  </r>
  <r>
    <x v="0"/>
    <x v="0"/>
    <n v="2239062517"/>
    <x v="0"/>
    <n v="2250"/>
    <x v="0"/>
    <x v="0"/>
    <x v="27"/>
    <x v="0"/>
    <x v="0"/>
    <x v="0"/>
    <x v="0"/>
    <x v="0"/>
  </r>
  <r>
    <x v="0"/>
    <x v="0"/>
    <n v="2239065159"/>
    <x v="1"/>
    <n v="35370"/>
    <x v="0"/>
    <x v="0"/>
    <x v="3"/>
    <x v="1"/>
    <x v="0"/>
    <x v="0"/>
    <x v="1"/>
    <x v="0"/>
  </r>
  <r>
    <x v="0"/>
    <x v="0"/>
    <n v="2239065160"/>
    <x v="1"/>
    <n v="5550"/>
    <x v="0"/>
    <x v="0"/>
    <x v="3"/>
    <x v="1"/>
    <x v="0"/>
    <x v="0"/>
    <x v="1"/>
    <x v="0"/>
  </r>
  <r>
    <x v="0"/>
    <x v="0"/>
    <n v="2239065161"/>
    <x v="1"/>
    <n v="6000"/>
    <x v="0"/>
    <x v="0"/>
    <x v="3"/>
    <x v="1"/>
    <x v="0"/>
    <x v="0"/>
    <x v="1"/>
    <x v="0"/>
  </r>
  <r>
    <x v="0"/>
    <x v="0"/>
    <n v="2239065162"/>
    <x v="1"/>
    <n v="68060"/>
    <x v="0"/>
    <x v="0"/>
    <x v="3"/>
    <x v="1"/>
    <x v="0"/>
    <x v="0"/>
    <x v="1"/>
    <x v="0"/>
  </r>
  <r>
    <x v="0"/>
    <x v="0"/>
    <n v="2239065163"/>
    <x v="1"/>
    <n v="10140"/>
    <x v="0"/>
    <x v="0"/>
    <x v="3"/>
    <x v="1"/>
    <x v="0"/>
    <x v="0"/>
    <x v="1"/>
    <x v="0"/>
  </r>
  <r>
    <x v="0"/>
    <x v="0"/>
    <n v="2239065165"/>
    <x v="1"/>
    <n v="23010"/>
    <x v="0"/>
    <x v="0"/>
    <x v="3"/>
    <x v="1"/>
    <x v="0"/>
    <x v="0"/>
    <x v="1"/>
    <x v="0"/>
  </r>
  <r>
    <x v="0"/>
    <x v="0"/>
    <n v="2239065166"/>
    <x v="1"/>
    <n v="31640"/>
    <x v="0"/>
    <x v="0"/>
    <x v="3"/>
    <x v="1"/>
    <x v="0"/>
    <x v="0"/>
    <x v="1"/>
    <x v="0"/>
  </r>
  <r>
    <x v="0"/>
    <x v="0"/>
    <n v="2239065167"/>
    <x v="1"/>
    <n v="22540"/>
    <x v="0"/>
    <x v="0"/>
    <x v="3"/>
    <x v="1"/>
    <x v="0"/>
    <x v="0"/>
    <x v="1"/>
    <x v="0"/>
  </r>
  <r>
    <x v="0"/>
    <x v="0"/>
    <n v="2239065168"/>
    <x v="1"/>
    <n v="900"/>
    <x v="0"/>
    <x v="0"/>
    <x v="3"/>
    <x v="1"/>
    <x v="0"/>
    <x v="0"/>
    <x v="1"/>
    <x v="0"/>
  </r>
  <r>
    <x v="0"/>
    <x v="0"/>
    <n v="2239065169"/>
    <x v="1"/>
    <n v="1140"/>
    <x v="0"/>
    <x v="0"/>
    <x v="3"/>
    <x v="1"/>
    <x v="0"/>
    <x v="0"/>
    <x v="1"/>
    <x v="0"/>
  </r>
  <r>
    <x v="0"/>
    <x v="0"/>
    <n v="2239065170"/>
    <x v="1"/>
    <n v="41370"/>
    <x v="0"/>
    <x v="0"/>
    <x v="3"/>
    <x v="1"/>
    <x v="0"/>
    <x v="0"/>
    <x v="1"/>
    <x v="0"/>
  </r>
  <r>
    <x v="0"/>
    <x v="0"/>
    <n v="2239065171"/>
    <x v="6"/>
    <n v="12880"/>
    <x v="0"/>
    <x v="0"/>
    <x v="3"/>
    <x v="6"/>
    <x v="0"/>
    <x v="0"/>
    <x v="5"/>
    <x v="0"/>
  </r>
  <r>
    <x v="0"/>
    <x v="0"/>
    <n v="2239065172"/>
    <x v="2"/>
    <n v="14168"/>
    <x v="0"/>
    <x v="0"/>
    <x v="3"/>
    <x v="2"/>
    <x v="0"/>
    <x v="0"/>
    <x v="2"/>
    <x v="0"/>
  </r>
  <r>
    <x v="0"/>
    <x v="0"/>
    <n v="2239065173"/>
    <x v="2"/>
    <n v="14168"/>
    <x v="0"/>
    <x v="0"/>
    <x v="3"/>
    <x v="2"/>
    <x v="0"/>
    <x v="0"/>
    <x v="2"/>
    <x v="0"/>
  </r>
  <r>
    <x v="0"/>
    <x v="0"/>
    <n v="2239065174"/>
    <x v="6"/>
    <n v="12880"/>
    <x v="0"/>
    <x v="0"/>
    <x v="3"/>
    <x v="6"/>
    <x v="0"/>
    <x v="0"/>
    <x v="5"/>
    <x v="0"/>
  </r>
  <r>
    <x v="0"/>
    <x v="0"/>
    <n v="2239065175"/>
    <x v="3"/>
    <n v="7090"/>
    <x v="0"/>
    <x v="0"/>
    <x v="3"/>
    <x v="3"/>
    <x v="0"/>
    <x v="0"/>
    <x v="3"/>
    <x v="0"/>
  </r>
  <r>
    <x v="0"/>
    <x v="0"/>
    <n v="2239065176"/>
    <x v="7"/>
    <n v="1500"/>
    <x v="0"/>
    <x v="0"/>
    <x v="3"/>
    <x v="7"/>
    <x v="0"/>
    <x v="0"/>
    <x v="1"/>
    <x v="0"/>
  </r>
  <r>
    <x v="0"/>
    <x v="0"/>
    <n v="2239065177"/>
    <x v="7"/>
    <n v="1500"/>
    <x v="0"/>
    <x v="0"/>
    <x v="3"/>
    <x v="7"/>
    <x v="0"/>
    <x v="0"/>
    <x v="1"/>
    <x v="0"/>
  </r>
  <r>
    <x v="0"/>
    <x v="0"/>
    <n v="2239065178"/>
    <x v="7"/>
    <n v="4900"/>
    <x v="0"/>
    <x v="0"/>
    <x v="3"/>
    <x v="7"/>
    <x v="0"/>
    <x v="0"/>
    <x v="1"/>
    <x v="0"/>
  </r>
  <r>
    <x v="0"/>
    <x v="0"/>
    <n v="2239065180"/>
    <x v="2"/>
    <n v="16390"/>
    <x v="0"/>
    <x v="0"/>
    <x v="3"/>
    <x v="2"/>
    <x v="0"/>
    <x v="0"/>
    <x v="2"/>
    <x v="0"/>
  </r>
  <r>
    <x v="0"/>
    <x v="0"/>
    <n v="2239065181"/>
    <x v="6"/>
    <n v="3500"/>
    <x v="0"/>
    <x v="0"/>
    <x v="3"/>
    <x v="6"/>
    <x v="0"/>
    <x v="0"/>
    <x v="5"/>
    <x v="0"/>
  </r>
  <r>
    <x v="0"/>
    <x v="0"/>
    <n v="2239065182"/>
    <x v="6"/>
    <n v="1000"/>
    <x v="0"/>
    <x v="0"/>
    <x v="3"/>
    <x v="6"/>
    <x v="0"/>
    <x v="0"/>
    <x v="5"/>
    <x v="0"/>
  </r>
  <r>
    <x v="0"/>
    <x v="0"/>
    <n v="2239065183"/>
    <x v="6"/>
    <n v="5000"/>
    <x v="0"/>
    <x v="0"/>
    <x v="3"/>
    <x v="6"/>
    <x v="0"/>
    <x v="0"/>
    <x v="5"/>
    <x v="0"/>
  </r>
  <r>
    <x v="0"/>
    <x v="0"/>
    <n v="2239065184"/>
    <x v="7"/>
    <n v="1500"/>
    <x v="0"/>
    <x v="0"/>
    <x v="3"/>
    <x v="7"/>
    <x v="0"/>
    <x v="0"/>
    <x v="1"/>
    <x v="0"/>
  </r>
  <r>
    <x v="0"/>
    <x v="0"/>
    <n v="2239065185"/>
    <x v="6"/>
    <n v="7950"/>
    <x v="0"/>
    <x v="0"/>
    <x v="3"/>
    <x v="6"/>
    <x v="0"/>
    <x v="0"/>
    <x v="5"/>
    <x v="0"/>
  </r>
  <r>
    <x v="0"/>
    <x v="0"/>
    <n v="2239065186"/>
    <x v="2"/>
    <n v="40950"/>
    <x v="0"/>
    <x v="0"/>
    <x v="3"/>
    <x v="2"/>
    <x v="0"/>
    <x v="0"/>
    <x v="2"/>
    <x v="0"/>
  </r>
  <r>
    <x v="0"/>
    <x v="0"/>
    <n v="2239065187"/>
    <x v="5"/>
    <n v="-1000"/>
    <x v="0"/>
    <x v="0"/>
    <x v="3"/>
    <x v="5"/>
    <x v="0"/>
    <x v="0"/>
    <x v="5"/>
    <x v="0"/>
  </r>
  <r>
    <x v="0"/>
    <x v="0"/>
    <n v="2239065187"/>
    <x v="6"/>
    <n v="10000"/>
    <x v="0"/>
    <x v="0"/>
    <x v="3"/>
    <x v="6"/>
    <x v="0"/>
    <x v="0"/>
    <x v="5"/>
    <x v="0"/>
  </r>
  <r>
    <x v="0"/>
    <x v="0"/>
    <n v="2239065188"/>
    <x v="6"/>
    <n v="6000"/>
    <x v="0"/>
    <x v="0"/>
    <x v="3"/>
    <x v="6"/>
    <x v="0"/>
    <x v="0"/>
    <x v="5"/>
    <x v="0"/>
  </r>
  <r>
    <x v="0"/>
    <x v="0"/>
    <n v="2239065189"/>
    <x v="3"/>
    <n v="12595"/>
    <x v="0"/>
    <x v="0"/>
    <x v="3"/>
    <x v="3"/>
    <x v="0"/>
    <x v="0"/>
    <x v="3"/>
    <x v="0"/>
  </r>
  <r>
    <x v="0"/>
    <x v="0"/>
    <n v="2239065190"/>
    <x v="7"/>
    <n v="1500"/>
    <x v="0"/>
    <x v="0"/>
    <x v="3"/>
    <x v="7"/>
    <x v="0"/>
    <x v="0"/>
    <x v="1"/>
    <x v="0"/>
  </r>
  <r>
    <x v="0"/>
    <x v="0"/>
    <n v="2239065191"/>
    <x v="7"/>
    <n v="1500"/>
    <x v="0"/>
    <x v="0"/>
    <x v="3"/>
    <x v="7"/>
    <x v="0"/>
    <x v="0"/>
    <x v="1"/>
    <x v="0"/>
  </r>
  <r>
    <x v="0"/>
    <x v="0"/>
    <n v="2239065192"/>
    <x v="6"/>
    <n v="1000"/>
    <x v="0"/>
    <x v="0"/>
    <x v="3"/>
    <x v="6"/>
    <x v="0"/>
    <x v="0"/>
    <x v="5"/>
    <x v="0"/>
  </r>
  <r>
    <x v="0"/>
    <x v="0"/>
    <n v="2239065194"/>
    <x v="7"/>
    <n v="1500"/>
    <x v="0"/>
    <x v="0"/>
    <x v="3"/>
    <x v="7"/>
    <x v="0"/>
    <x v="0"/>
    <x v="1"/>
    <x v="0"/>
  </r>
  <r>
    <x v="0"/>
    <x v="0"/>
    <n v="2239065195"/>
    <x v="2"/>
    <n v="23155"/>
    <x v="0"/>
    <x v="0"/>
    <x v="3"/>
    <x v="2"/>
    <x v="0"/>
    <x v="0"/>
    <x v="2"/>
    <x v="0"/>
  </r>
  <r>
    <x v="0"/>
    <x v="0"/>
    <n v="2239065196"/>
    <x v="6"/>
    <n v="2000"/>
    <x v="0"/>
    <x v="0"/>
    <x v="3"/>
    <x v="6"/>
    <x v="0"/>
    <x v="0"/>
    <x v="5"/>
    <x v="0"/>
  </r>
  <r>
    <x v="0"/>
    <x v="0"/>
    <n v="2239065198"/>
    <x v="2"/>
    <n v="12595"/>
    <x v="0"/>
    <x v="0"/>
    <x v="3"/>
    <x v="2"/>
    <x v="0"/>
    <x v="0"/>
    <x v="2"/>
    <x v="0"/>
  </r>
  <r>
    <x v="0"/>
    <x v="0"/>
    <n v="2239065200"/>
    <x v="6"/>
    <n v="3000"/>
    <x v="0"/>
    <x v="0"/>
    <x v="3"/>
    <x v="6"/>
    <x v="0"/>
    <x v="0"/>
    <x v="5"/>
    <x v="0"/>
  </r>
  <r>
    <x v="0"/>
    <x v="0"/>
    <n v="2239065201"/>
    <x v="2"/>
    <n v="10395"/>
    <x v="0"/>
    <x v="0"/>
    <x v="3"/>
    <x v="2"/>
    <x v="0"/>
    <x v="0"/>
    <x v="2"/>
    <x v="0"/>
  </r>
  <r>
    <x v="0"/>
    <x v="0"/>
    <n v="2239065202"/>
    <x v="6"/>
    <n v="3000"/>
    <x v="0"/>
    <x v="0"/>
    <x v="3"/>
    <x v="6"/>
    <x v="0"/>
    <x v="0"/>
    <x v="5"/>
    <x v="0"/>
  </r>
  <r>
    <x v="0"/>
    <x v="0"/>
    <n v="2239065203"/>
    <x v="2"/>
    <n v="7095"/>
    <x v="0"/>
    <x v="0"/>
    <x v="3"/>
    <x v="2"/>
    <x v="0"/>
    <x v="0"/>
    <x v="2"/>
    <x v="0"/>
  </r>
  <r>
    <x v="0"/>
    <x v="0"/>
    <n v="2239065205"/>
    <x v="2"/>
    <n v="24093"/>
    <x v="0"/>
    <x v="0"/>
    <x v="3"/>
    <x v="2"/>
    <x v="0"/>
    <x v="0"/>
    <x v="2"/>
    <x v="0"/>
  </r>
  <r>
    <x v="0"/>
    <x v="0"/>
    <n v="2239065206"/>
    <x v="3"/>
    <n v="20000"/>
    <x v="0"/>
    <x v="0"/>
    <x v="3"/>
    <x v="3"/>
    <x v="0"/>
    <x v="0"/>
    <x v="3"/>
    <x v="0"/>
  </r>
  <r>
    <x v="0"/>
    <x v="0"/>
    <n v="2239065207"/>
    <x v="3"/>
    <n v="2400"/>
    <x v="0"/>
    <x v="0"/>
    <x v="3"/>
    <x v="3"/>
    <x v="0"/>
    <x v="0"/>
    <x v="3"/>
    <x v="0"/>
  </r>
  <r>
    <x v="0"/>
    <x v="0"/>
    <n v="2239065207"/>
    <x v="7"/>
    <n v="2400"/>
    <x v="0"/>
    <x v="0"/>
    <x v="3"/>
    <x v="7"/>
    <x v="0"/>
    <x v="0"/>
    <x v="1"/>
    <x v="0"/>
  </r>
  <r>
    <x v="0"/>
    <x v="0"/>
    <n v="2239065209"/>
    <x v="2"/>
    <n v="24365"/>
    <x v="0"/>
    <x v="0"/>
    <x v="3"/>
    <x v="2"/>
    <x v="0"/>
    <x v="0"/>
    <x v="2"/>
    <x v="0"/>
  </r>
  <r>
    <x v="0"/>
    <x v="0"/>
    <n v="2239065209"/>
    <x v="7"/>
    <n v="22150"/>
    <x v="0"/>
    <x v="0"/>
    <x v="3"/>
    <x v="7"/>
    <x v="0"/>
    <x v="0"/>
    <x v="1"/>
    <x v="0"/>
  </r>
  <r>
    <x v="0"/>
    <x v="0"/>
    <n v="2239065210"/>
    <x v="1"/>
    <n v="3750"/>
    <x v="0"/>
    <x v="0"/>
    <x v="3"/>
    <x v="1"/>
    <x v="0"/>
    <x v="0"/>
    <x v="1"/>
    <x v="0"/>
  </r>
  <r>
    <x v="0"/>
    <x v="0"/>
    <n v="2239065212"/>
    <x v="2"/>
    <n v="86460"/>
    <x v="0"/>
    <x v="0"/>
    <x v="3"/>
    <x v="2"/>
    <x v="0"/>
    <x v="0"/>
    <x v="2"/>
    <x v="0"/>
  </r>
  <r>
    <x v="0"/>
    <x v="0"/>
    <n v="2239065213"/>
    <x v="4"/>
    <n v="21300"/>
    <x v="0"/>
    <x v="0"/>
    <x v="3"/>
    <x v="4"/>
    <x v="0"/>
    <x v="0"/>
    <x v="4"/>
    <x v="0"/>
  </r>
  <r>
    <x v="0"/>
    <x v="0"/>
    <n v="2239065214"/>
    <x v="2"/>
    <n v="14520"/>
    <x v="0"/>
    <x v="0"/>
    <x v="3"/>
    <x v="2"/>
    <x v="0"/>
    <x v="0"/>
    <x v="2"/>
    <x v="0"/>
  </r>
  <r>
    <x v="0"/>
    <x v="0"/>
    <n v="2239065215"/>
    <x v="1"/>
    <n v="900"/>
    <x v="0"/>
    <x v="0"/>
    <x v="3"/>
    <x v="1"/>
    <x v="0"/>
    <x v="0"/>
    <x v="1"/>
    <x v="0"/>
  </r>
  <r>
    <x v="0"/>
    <x v="0"/>
    <n v="2239065216"/>
    <x v="2"/>
    <n v="37235"/>
    <x v="0"/>
    <x v="0"/>
    <x v="3"/>
    <x v="2"/>
    <x v="0"/>
    <x v="0"/>
    <x v="2"/>
    <x v="0"/>
  </r>
  <r>
    <x v="0"/>
    <x v="0"/>
    <n v="2239065217"/>
    <x v="6"/>
    <n v="2000"/>
    <x v="0"/>
    <x v="0"/>
    <x v="3"/>
    <x v="6"/>
    <x v="0"/>
    <x v="0"/>
    <x v="5"/>
    <x v="0"/>
  </r>
  <r>
    <x v="0"/>
    <x v="0"/>
    <n v="2239065218"/>
    <x v="2"/>
    <n v="6000"/>
    <x v="0"/>
    <x v="0"/>
    <x v="3"/>
    <x v="2"/>
    <x v="0"/>
    <x v="0"/>
    <x v="2"/>
    <x v="0"/>
  </r>
  <r>
    <x v="0"/>
    <x v="0"/>
    <n v="2239065220"/>
    <x v="7"/>
    <n v="1500"/>
    <x v="0"/>
    <x v="0"/>
    <x v="3"/>
    <x v="7"/>
    <x v="0"/>
    <x v="0"/>
    <x v="1"/>
    <x v="0"/>
  </r>
  <r>
    <x v="0"/>
    <x v="0"/>
    <n v="2239065221"/>
    <x v="2"/>
    <n v="2650"/>
    <x v="0"/>
    <x v="0"/>
    <x v="3"/>
    <x v="2"/>
    <x v="0"/>
    <x v="0"/>
    <x v="2"/>
    <x v="0"/>
  </r>
  <r>
    <x v="0"/>
    <x v="0"/>
    <n v="2239065222"/>
    <x v="3"/>
    <n v="13200"/>
    <x v="0"/>
    <x v="0"/>
    <x v="3"/>
    <x v="3"/>
    <x v="0"/>
    <x v="0"/>
    <x v="3"/>
    <x v="0"/>
  </r>
  <r>
    <x v="0"/>
    <x v="0"/>
    <n v="2239065223"/>
    <x v="1"/>
    <n v="1140"/>
    <x v="0"/>
    <x v="0"/>
    <x v="3"/>
    <x v="1"/>
    <x v="0"/>
    <x v="0"/>
    <x v="1"/>
    <x v="0"/>
  </r>
  <r>
    <x v="0"/>
    <x v="0"/>
    <n v="2239065224"/>
    <x v="3"/>
    <n v="11550"/>
    <x v="0"/>
    <x v="0"/>
    <x v="3"/>
    <x v="3"/>
    <x v="0"/>
    <x v="0"/>
    <x v="3"/>
    <x v="0"/>
  </r>
  <r>
    <x v="0"/>
    <x v="0"/>
    <n v="2239065225"/>
    <x v="7"/>
    <n v="1500"/>
    <x v="0"/>
    <x v="0"/>
    <x v="3"/>
    <x v="7"/>
    <x v="0"/>
    <x v="0"/>
    <x v="1"/>
    <x v="0"/>
  </r>
  <r>
    <x v="0"/>
    <x v="0"/>
    <n v="2239065227"/>
    <x v="3"/>
    <n v="50000"/>
    <x v="0"/>
    <x v="0"/>
    <x v="3"/>
    <x v="3"/>
    <x v="0"/>
    <x v="0"/>
    <x v="3"/>
    <x v="0"/>
  </r>
  <r>
    <x v="0"/>
    <x v="0"/>
    <n v="2239065231"/>
    <x v="2"/>
    <n v="37290"/>
    <x v="0"/>
    <x v="0"/>
    <x v="3"/>
    <x v="2"/>
    <x v="0"/>
    <x v="0"/>
    <x v="2"/>
    <x v="0"/>
  </r>
  <r>
    <x v="0"/>
    <x v="0"/>
    <n v="2239065232"/>
    <x v="5"/>
    <n v="-4050"/>
    <x v="0"/>
    <x v="0"/>
    <x v="3"/>
    <x v="5"/>
    <x v="0"/>
    <x v="0"/>
    <x v="5"/>
    <x v="0"/>
  </r>
  <r>
    <x v="0"/>
    <x v="0"/>
    <n v="2239065232"/>
    <x v="6"/>
    <n v="10000"/>
    <x v="0"/>
    <x v="0"/>
    <x v="3"/>
    <x v="6"/>
    <x v="0"/>
    <x v="0"/>
    <x v="5"/>
    <x v="0"/>
  </r>
  <r>
    <x v="0"/>
    <x v="0"/>
    <n v="2239065233"/>
    <x v="1"/>
    <n v="8550"/>
    <x v="0"/>
    <x v="0"/>
    <x v="3"/>
    <x v="1"/>
    <x v="0"/>
    <x v="0"/>
    <x v="1"/>
    <x v="0"/>
  </r>
  <r>
    <x v="0"/>
    <x v="0"/>
    <n v="2239065235"/>
    <x v="2"/>
    <n v="19000"/>
    <x v="0"/>
    <x v="0"/>
    <x v="3"/>
    <x v="2"/>
    <x v="0"/>
    <x v="0"/>
    <x v="2"/>
    <x v="0"/>
  </r>
  <r>
    <x v="0"/>
    <x v="0"/>
    <n v="2239065236"/>
    <x v="5"/>
    <n v="-4700"/>
    <x v="0"/>
    <x v="0"/>
    <x v="3"/>
    <x v="5"/>
    <x v="0"/>
    <x v="0"/>
    <x v="5"/>
    <x v="0"/>
  </r>
  <r>
    <x v="0"/>
    <x v="0"/>
    <n v="2239065236"/>
    <x v="4"/>
    <n v="10000"/>
    <x v="0"/>
    <x v="0"/>
    <x v="3"/>
    <x v="4"/>
    <x v="0"/>
    <x v="0"/>
    <x v="4"/>
    <x v="0"/>
  </r>
  <r>
    <x v="0"/>
    <x v="0"/>
    <n v="2239065237"/>
    <x v="2"/>
    <n v="24970"/>
    <x v="0"/>
    <x v="0"/>
    <x v="3"/>
    <x v="2"/>
    <x v="0"/>
    <x v="0"/>
    <x v="2"/>
    <x v="0"/>
  </r>
  <r>
    <x v="0"/>
    <x v="0"/>
    <n v="2239065238"/>
    <x v="7"/>
    <n v="1500"/>
    <x v="0"/>
    <x v="0"/>
    <x v="3"/>
    <x v="7"/>
    <x v="0"/>
    <x v="0"/>
    <x v="1"/>
    <x v="0"/>
  </r>
  <r>
    <x v="0"/>
    <x v="0"/>
    <n v="2239065239"/>
    <x v="7"/>
    <n v="1500"/>
    <x v="0"/>
    <x v="0"/>
    <x v="3"/>
    <x v="7"/>
    <x v="0"/>
    <x v="0"/>
    <x v="1"/>
    <x v="0"/>
  </r>
  <r>
    <x v="0"/>
    <x v="0"/>
    <n v="2239065240"/>
    <x v="1"/>
    <n v="9870"/>
    <x v="0"/>
    <x v="0"/>
    <x v="3"/>
    <x v="1"/>
    <x v="0"/>
    <x v="0"/>
    <x v="1"/>
    <x v="0"/>
  </r>
  <r>
    <x v="0"/>
    <x v="0"/>
    <n v="2239065242"/>
    <x v="2"/>
    <n v="30800"/>
    <x v="0"/>
    <x v="0"/>
    <x v="3"/>
    <x v="2"/>
    <x v="0"/>
    <x v="0"/>
    <x v="2"/>
    <x v="0"/>
  </r>
  <r>
    <x v="0"/>
    <x v="0"/>
    <n v="2239065243"/>
    <x v="1"/>
    <n v="900"/>
    <x v="0"/>
    <x v="0"/>
    <x v="3"/>
    <x v="1"/>
    <x v="0"/>
    <x v="0"/>
    <x v="1"/>
    <x v="0"/>
  </r>
  <r>
    <x v="0"/>
    <x v="0"/>
    <n v="2239065244"/>
    <x v="2"/>
    <n v="10900"/>
    <x v="0"/>
    <x v="0"/>
    <x v="3"/>
    <x v="2"/>
    <x v="0"/>
    <x v="0"/>
    <x v="2"/>
    <x v="0"/>
  </r>
  <r>
    <x v="0"/>
    <x v="0"/>
    <n v="2239065245"/>
    <x v="7"/>
    <n v="4500"/>
    <x v="0"/>
    <x v="0"/>
    <x v="3"/>
    <x v="7"/>
    <x v="0"/>
    <x v="0"/>
    <x v="1"/>
    <x v="0"/>
  </r>
  <r>
    <x v="0"/>
    <x v="0"/>
    <n v="2239065246"/>
    <x v="4"/>
    <n v="5700"/>
    <x v="0"/>
    <x v="0"/>
    <x v="3"/>
    <x v="4"/>
    <x v="0"/>
    <x v="0"/>
    <x v="4"/>
    <x v="0"/>
  </r>
  <r>
    <x v="0"/>
    <x v="0"/>
    <n v="2239065247"/>
    <x v="2"/>
    <n v="16500"/>
    <x v="0"/>
    <x v="0"/>
    <x v="3"/>
    <x v="2"/>
    <x v="0"/>
    <x v="0"/>
    <x v="2"/>
    <x v="0"/>
  </r>
  <r>
    <x v="0"/>
    <x v="0"/>
    <n v="2239065248"/>
    <x v="6"/>
    <n v="6000"/>
    <x v="0"/>
    <x v="0"/>
    <x v="3"/>
    <x v="6"/>
    <x v="0"/>
    <x v="0"/>
    <x v="5"/>
    <x v="0"/>
  </r>
  <r>
    <x v="0"/>
    <x v="0"/>
    <n v="2239065250"/>
    <x v="6"/>
    <n v="3500"/>
    <x v="0"/>
    <x v="0"/>
    <x v="3"/>
    <x v="6"/>
    <x v="0"/>
    <x v="0"/>
    <x v="5"/>
    <x v="0"/>
  </r>
  <r>
    <x v="0"/>
    <x v="0"/>
    <n v="2239065251"/>
    <x v="2"/>
    <n v="4000"/>
    <x v="0"/>
    <x v="0"/>
    <x v="3"/>
    <x v="2"/>
    <x v="0"/>
    <x v="0"/>
    <x v="2"/>
    <x v="0"/>
  </r>
  <r>
    <x v="0"/>
    <x v="0"/>
    <n v="2239065253"/>
    <x v="5"/>
    <n v="-280"/>
    <x v="0"/>
    <x v="0"/>
    <x v="3"/>
    <x v="5"/>
    <x v="0"/>
    <x v="0"/>
    <x v="5"/>
    <x v="0"/>
  </r>
  <r>
    <x v="0"/>
    <x v="0"/>
    <n v="2239065253"/>
    <x v="6"/>
    <n v="22000"/>
    <x v="0"/>
    <x v="0"/>
    <x v="3"/>
    <x v="6"/>
    <x v="0"/>
    <x v="0"/>
    <x v="5"/>
    <x v="0"/>
  </r>
  <r>
    <x v="0"/>
    <x v="0"/>
    <n v="2239065253"/>
    <x v="7"/>
    <n v="14480"/>
    <x v="0"/>
    <x v="0"/>
    <x v="3"/>
    <x v="7"/>
    <x v="0"/>
    <x v="0"/>
    <x v="1"/>
    <x v="0"/>
  </r>
  <r>
    <x v="0"/>
    <x v="0"/>
    <n v="2239065254"/>
    <x v="2"/>
    <n v="13000"/>
    <x v="0"/>
    <x v="0"/>
    <x v="3"/>
    <x v="2"/>
    <x v="0"/>
    <x v="0"/>
    <x v="2"/>
    <x v="0"/>
  </r>
  <r>
    <x v="0"/>
    <x v="0"/>
    <n v="2239065255"/>
    <x v="1"/>
    <n v="1140"/>
    <x v="0"/>
    <x v="0"/>
    <x v="3"/>
    <x v="1"/>
    <x v="0"/>
    <x v="0"/>
    <x v="1"/>
    <x v="0"/>
  </r>
  <r>
    <x v="0"/>
    <x v="0"/>
    <n v="2239065256"/>
    <x v="1"/>
    <n v="900"/>
    <x v="0"/>
    <x v="0"/>
    <x v="3"/>
    <x v="1"/>
    <x v="0"/>
    <x v="0"/>
    <x v="1"/>
    <x v="0"/>
  </r>
  <r>
    <x v="0"/>
    <x v="0"/>
    <n v="2239065259"/>
    <x v="5"/>
    <n v="-1600"/>
    <x v="0"/>
    <x v="0"/>
    <x v="3"/>
    <x v="5"/>
    <x v="0"/>
    <x v="0"/>
    <x v="5"/>
    <x v="0"/>
  </r>
  <r>
    <x v="0"/>
    <x v="0"/>
    <n v="2239065259"/>
    <x v="6"/>
    <n v="10000"/>
    <x v="0"/>
    <x v="0"/>
    <x v="3"/>
    <x v="6"/>
    <x v="0"/>
    <x v="0"/>
    <x v="5"/>
    <x v="0"/>
  </r>
  <r>
    <x v="0"/>
    <x v="0"/>
    <n v="2239065261"/>
    <x v="5"/>
    <n v="-7280"/>
    <x v="0"/>
    <x v="0"/>
    <x v="3"/>
    <x v="5"/>
    <x v="0"/>
    <x v="0"/>
    <x v="5"/>
    <x v="0"/>
  </r>
  <r>
    <x v="0"/>
    <x v="0"/>
    <n v="2239065261"/>
    <x v="6"/>
    <n v="20000"/>
    <x v="0"/>
    <x v="0"/>
    <x v="3"/>
    <x v="6"/>
    <x v="0"/>
    <x v="0"/>
    <x v="5"/>
    <x v="0"/>
  </r>
  <r>
    <x v="0"/>
    <x v="0"/>
    <n v="2239065262"/>
    <x v="4"/>
    <n v="9900"/>
    <x v="0"/>
    <x v="0"/>
    <x v="3"/>
    <x v="4"/>
    <x v="0"/>
    <x v="0"/>
    <x v="4"/>
    <x v="0"/>
  </r>
  <r>
    <x v="0"/>
    <x v="0"/>
    <n v="2239065263"/>
    <x v="2"/>
    <n v="22500"/>
    <x v="0"/>
    <x v="0"/>
    <x v="3"/>
    <x v="2"/>
    <x v="0"/>
    <x v="0"/>
    <x v="2"/>
    <x v="0"/>
  </r>
  <r>
    <x v="0"/>
    <x v="0"/>
    <n v="2239065264"/>
    <x v="5"/>
    <n v="-3000"/>
    <x v="0"/>
    <x v="0"/>
    <x v="3"/>
    <x v="5"/>
    <x v="0"/>
    <x v="0"/>
    <x v="5"/>
    <x v="0"/>
  </r>
  <r>
    <x v="0"/>
    <x v="0"/>
    <n v="2239065264"/>
    <x v="6"/>
    <n v="10000"/>
    <x v="0"/>
    <x v="0"/>
    <x v="3"/>
    <x v="6"/>
    <x v="0"/>
    <x v="0"/>
    <x v="5"/>
    <x v="0"/>
  </r>
  <r>
    <x v="0"/>
    <x v="0"/>
    <n v="2239065265"/>
    <x v="7"/>
    <n v="1500"/>
    <x v="0"/>
    <x v="0"/>
    <x v="3"/>
    <x v="7"/>
    <x v="0"/>
    <x v="0"/>
    <x v="1"/>
    <x v="0"/>
  </r>
  <r>
    <x v="0"/>
    <x v="0"/>
    <n v="2239065266"/>
    <x v="7"/>
    <n v="1500"/>
    <x v="0"/>
    <x v="0"/>
    <x v="3"/>
    <x v="7"/>
    <x v="0"/>
    <x v="0"/>
    <x v="1"/>
    <x v="0"/>
  </r>
  <r>
    <x v="0"/>
    <x v="0"/>
    <n v="2239065267"/>
    <x v="7"/>
    <n v="1300"/>
    <x v="0"/>
    <x v="0"/>
    <x v="3"/>
    <x v="7"/>
    <x v="0"/>
    <x v="0"/>
    <x v="1"/>
    <x v="0"/>
  </r>
  <r>
    <x v="0"/>
    <x v="0"/>
    <n v="2239065268"/>
    <x v="5"/>
    <n v="-300"/>
    <x v="0"/>
    <x v="0"/>
    <x v="3"/>
    <x v="5"/>
    <x v="0"/>
    <x v="0"/>
    <x v="5"/>
    <x v="0"/>
  </r>
  <r>
    <x v="0"/>
    <x v="0"/>
    <n v="2239065268"/>
    <x v="4"/>
    <n v="6000"/>
    <x v="0"/>
    <x v="0"/>
    <x v="3"/>
    <x v="4"/>
    <x v="0"/>
    <x v="0"/>
    <x v="4"/>
    <x v="0"/>
  </r>
  <r>
    <x v="0"/>
    <x v="0"/>
    <n v="2239065269"/>
    <x v="2"/>
    <n v="4000"/>
    <x v="0"/>
    <x v="0"/>
    <x v="3"/>
    <x v="2"/>
    <x v="0"/>
    <x v="0"/>
    <x v="2"/>
    <x v="0"/>
  </r>
  <r>
    <x v="0"/>
    <x v="0"/>
    <n v="2239065270"/>
    <x v="1"/>
    <n v="1350"/>
    <x v="0"/>
    <x v="0"/>
    <x v="3"/>
    <x v="1"/>
    <x v="0"/>
    <x v="0"/>
    <x v="1"/>
    <x v="0"/>
  </r>
  <r>
    <x v="0"/>
    <x v="0"/>
    <n v="2239065271"/>
    <x v="7"/>
    <n v="1500"/>
    <x v="0"/>
    <x v="0"/>
    <x v="3"/>
    <x v="7"/>
    <x v="0"/>
    <x v="0"/>
    <x v="1"/>
    <x v="0"/>
  </r>
  <r>
    <x v="0"/>
    <x v="0"/>
    <n v="2239065272"/>
    <x v="1"/>
    <n v="900"/>
    <x v="0"/>
    <x v="0"/>
    <x v="3"/>
    <x v="1"/>
    <x v="0"/>
    <x v="0"/>
    <x v="1"/>
    <x v="0"/>
  </r>
  <r>
    <x v="0"/>
    <x v="0"/>
    <n v="2239065273"/>
    <x v="2"/>
    <n v="10500"/>
    <x v="0"/>
    <x v="0"/>
    <x v="3"/>
    <x v="2"/>
    <x v="0"/>
    <x v="0"/>
    <x v="2"/>
    <x v="0"/>
  </r>
  <r>
    <x v="0"/>
    <x v="0"/>
    <n v="2239065274"/>
    <x v="5"/>
    <n v="-14000"/>
    <x v="0"/>
    <x v="0"/>
    <x v="3"/>
    <x v="5"/>
    <x v="0"/>
    <x v="0"/>
    <x v="5"/>
    <x v="0"/>
  </r>
  <r>
    <x v="0"/>
    <x v="0"/>
    <n v="2239065274"/>
    <x v="6"/>
    <n v="20000"/>
    <x v="0"/>
    <x v="0"/>
    <x v="3"/>
    <x v="6"/>
    <x v="0"/>
    <x v="0"/>
    <x v="5"/>
    <x v="0"/>
  </r>
  <r>
    <x v="0"/>
    <x v="0"/>
    <n v="2239065275"/>
    <x v="5"/>
    <n v="-600"/>
    <x v="0"/>
    <x v="0"/>
    <x v="3"/>
    <x v="5"/>
    <x v="0"/>
    <x v="0"/>
    <x v="5"/>
    <x v="0"/>
  </r>
  <r>
    <x v="0"/>
    <x v="0"/>
    <n v="2239065275"/>
    <x v="4"/>
    <n v="5000"/>
    <x v="0"/>
    <x v="0"/>
    <x v="3"/>
    <x v="4"/>
    <x v="0"/>
    <x v="0"/>
    <x v="4"/>
    <x v="0"/>
  </r>
  <r>
    <x v="0"/>
    <x v="0"/>
    <n v="2239065276"/>
    <x v="2"/>
    <n v="14300"/>
    <x v="0"/>
    <x v="0"/>
    <x v="3"/>
    <x v="2"/>
    <x v="0"/>
    <x v="0"/>
    <x v="2"/>
    <x v="0"/>
  </r>
  <r>
    <x v="0"/>
    <x v="0"/>
    <n v="2239065277"/>
    <x v="2"/>
    <n v="4000"/>
    <x v="0"/>
    <x v="0"/>
    <x v="3"/>
    <x v="2"/>
    <x v="0"/>
    <x v="0"/>
    <x v="2"/>
    <x v="0"/>
  </r>
  <r>
    <x v="0"/>
    <x v="0"/>
    <n v="2239065278"/>
    <x v="1"/>
    <n v="900"/>
    <x v="0"/>
    <x v="0"/>
    <x v="3"/>
    <x v="1"/>
    <x v="0"/>
    <x v="0"/>
    <x v="1"/>
    <x v="0"/>
  </r>
  <r>
    <x v="0"/>
    <x v="0"/>
    <n v="2239065279"/>
    <x v="7"/>
    <n v="1500"/>
    <x v="0"/>
    <x v="0"/>
    <x v="3"/>
    <x v="7"/>
    <x v="0"/>
    <x v="0"/>
    <x v="1"/>
    <x v="0"/>
  </r>
  <r>
    <x v="0"/>
    <x v="0"/>
    <n v="2239065280"/>
    <x v="7"/>
    <n v="1500"/>
    <x v="0"/>
    <x v="0"/>
    <x v="3"/>
    <x v="7"/>
    <x v="0"/>
    <x v="0"/>
    <x v="1"/>
    <x v="0"/>
  </r>
  <r>
    <x v="0"/>
    <x v="0"/>
    <n v="2239065281"/>
    <x v="2"/>
    <n v="14300"/>
    <x v="0"/>
    <x v="0"/>
    <x v="3"/>
    <x v="2"/>
    <x v="0"/>
    <x v="0"/>
    <x v="2"/>
    <x v="0"/>
  </r>
  <r>
    <x v="0"/>
    <x v="0"/>
    <n v="2239065284"/>
    <x v="2"/>
    <n v="14300"/>
    <x v="0"/>
    <x v="0"/>
    <x v="3"/>
    <x v="2"/>
    <x v="0"/>
    <x v="0"/>
    <x v="2"/>
    <x v="0"/>
  </r>
  <r>
    <x v="0"/>
    <x v="0"/>
    <n v="2239065285"/>
    <x v="5"/>
    <n v="-2340"/>
    <x v="0"/>
    <x v="0"/>
    <x v="3"/>
    <x v="5"/>
    <x v="0"/>
    <x v="0"/>
    <x v="5"/>
    <x v="0"/>
  </r>
  <r>
    <x v="0"/>
    <x v="0"/>
    <n v="2239065285"/>
    <x v="6"/>
    <n v="5000"/>
    <x v="0"/>
    <x v="0"/>
    <x v="3"/>
    <x v="6"/>
    <x v="0"/>
    <x v="0"/>
    <x v="5"/>
    <x v="0"/>
  </r>
  <r>
    <x v="0"/>
    <x v="0"/>
    <n v="2239065286"/>
    <x v="2"/>
    <n v="4000"/>
    <x v="0"/>
    <x v="0"/>
    <x v="3"/>
    <x v="2"/>
    <x v="0"/>
    <x v="0"/>
    <x v="2"/>
    <x v="0"/>
  </r>
  <r>
    <x v="0"/>
    <x v="0"/>
    <n v="2239065287"/>
    <x v="7"/>
    <n v="7000"/>
    <x v="0"/>
    <x v="0"/>
    <x v="3"/>
    <x v="7"/>
    <x v="0"/>
    <x v="0"/>
    <x v="1"/>
    <x v="0"/>
  </r>
  <r>
    <x v="0"/>
    <x v="0"/>
    <n v="2239065288"/>
    <x v="5"/>
    <n v="-4400"/>
    <x v="0"/>
    <x v="0"/>
    <x v="3"/>
    <x v="5"/>
    <x v="0"/>
    <x v="0"/>
    <x v="5"/>
    <x v="0"/>
  </r>
  <r>
    <x v="0"/>
    <x v="0"/>
    <n v="2239065288"/>
    <x v="4"/>
    <n v="10000"/>
    <x v="0"/>
    <x v="0"/>
    <x v="3"/>
    <x v="4"/>
    <x v="0"/>
    <x v="0"/>
    <x v="4"/>
    <x v="0"/>
  </r>
  <r>
    <x v="0"/>
    <x v="0"/>
    <n v="2239065289"/>
    <x v="7"/>
    <n v="7000"/>
    <x v="0"/>
    <x v="0"/>
    <x v="3"/>
    <x v="7"/>
    <x v="0"/>
    <x v="0"/>
    <x v="1"/>
    <x v="0"/>
  </r>
  <r>
    <x v="0"/>
    <x v="0"/>
    <n v="2239065291"/>
    <x v="2"/>
    <n v="13000"/>
    <x v="0"/>
    <x v="0"/>
    <x v="3"/>
    <x v="2"/>
    <x v="0"/>
    <x v="0"/>
    <x v="2"/>
    <x v="0"/>
  </r>
  <r>
    <x v="0"/>
    <x v="0"/>
    <n v="2239065292"/>
    <x v="7"/>
    <n v="1500"/>
    <x v="0"/>
    <x v="0"/>
    <x v="3"/>
    <x v="7"/>
    <x v="0"/>
    <x v="0"/>
    <x v="1"/>
    <x v="0"/>
  </r>
  <r>
    <x v="0"/>
    <x v="0"/>
    <n v="2239065293"/>
    <x v="5"/>
    <n v="-270"/>
    <x v="0"/>
    <x v="0"/>
    <x v="3"/>
    <x v="5"/>
    <x v="0"/>
    <x v="0"/>
    <x v="5"/>
    <x v="0"/>
  </r>
  <r>
    <x v="0"/>
    <x v="0"/>
    <n v="2239065293"/>
    <x v="6"/>
    <n v="10000"/>
    <x v="0"/>
    <x v="0"/>
    <x v="3"/>
    <x v="6"/>
    <x v="0"/>
    <x v="0"/>
    <x v="5"/>
    <x v="0"/>
  </r>
  <r>
    <x v="0"/>
    <x v="0"/>
    <n v="2239065293"/>
    <x v="7"/>
    <n v="3570"/>
    <x v="0"/>
    <x v="0"/>
    <x v="3"/>
    <x v="7"/>
    <x v="0"/>
    <x v="0"/>
    <x v="1"/>
    <x v="0"/>
  </r>
  <r>
    <x v="0"/>
    <x v="0"/>
    <n v="2239065295"/>
    <x v="5"/>
    <n v="-4300"/>
    <x v="0"/>
    <x v="0"/>
    <x v="3"/>
    <x v="5"/>
    <x v="0"/>
    <x v="0"/>
    <x v="5"/>
    <x v="0"/>
  </r>
  <r>
    <x v="0"/>
    <x v="0"/>
    <n v="2239065295"/>
    <x v="4"/>
    <n v="10000"/>
    <x v="0"/>
    <x v="0"/>
    <x v="3"/>
    <x v="4"/>
    <x v="0"/>
    <x v="0"/>
    <x v="4"/>
    <x v="0"/>
  </r>
  <r>
    <x v="0"/>
    <x v="0"/>
    <n v="2239065297"/>
    <x v="5"/>
    <n v="-4500"/>
    <x v="0"/>
    <x v="0"/>
    <x v="3"/>
    <x v="5"/>
    <x v="0"/>
    <x v="0"/>
    <x v="5"/>
    <x v="0"/>
  </r>
  <r>
    <x v="0"/>
    <x v="0"/>
    <n v="2239065297"/>
    <x v="4"/>
    <n v="10200"/>
    <x v="0"/>
    <x v="0"/>
    <x v="3"/>
    <x v="4"/>
    <x v="0"/>
    <x v="0"/>
    <x v="4"/>
    <x v="0"/>
  </r>
  <r>
    <x v="0"/>
    <x v="0"/>
    <n v="2239065298"/>
    <x v="7"/>
    <n v="1500"/>
    <x v="0"/>
    <x v="0"/>
    <x v="3"/>
    <x v="7"/>
    <x v="0"/>
    <x v="0"/>
    <x v="1"/>
    <x v="0"/>
  </r>
  <r>
    <x v="0"/>
    <x v="0"/>
    <n v="2239065299"/>
    <x v="7"/>
    <n v="1500"/>
    <x v="0"/>
    <x v="0"/>
    <x v="3"/>
    <x v="7"/>
    <x v="0"/>
    <x v="0"/>
    <x v="1"/>
    <x v="0"/>
  </r>
  <r>
    <x v="0"/>
    <x v="0"/>
    <n v="2239065301"/>
    <x v="5"/>
    <n v="-2700"/>
    <x v="0"/>
    <x v="0"/>
    <x v="3"/>
    <x v="5"/>
    <x v="0"/>
    <x v="0"/>
    <x v="5"/>
    <x v="0"/>
  </r>
  <r>
    <x v="0"/>
    <x v="0"/>
    <n v="2239065301"/>
    <x v="6"/>
    <n v="15000"/>
    <x v="0"/>
    <x v="0"/>
    <x v="3"/>
    <x v="6"/>
    <x v="0"/>
    <x v="0"/>
    <x v="5"/>
    <x v="0"/>
  </r>
  <r>
    <x v="0"/>
    <x v="0"/>
    <n v="2239065301"/>
    <x v="7"/>
    <n v="8200"/>
    <x v="0"/>
    <x v="0"/>
    <x v="3"/>
    <x v="7"/>
    <x v="0"/>
    <x v="0"/>
    <x v="1"/>
    <x v="0"/>
  </r>
  <r>
    <x v="0"/>
    <x v="0"/>
    <n v="2239065302"/>
    <x v="7"/>
    <n v="1500"/>
    <x v="0"/>
    <x v="0"/>
    <x v="3"/>
    <x v="7"/>
    <x v="0"/>
    <x v="0"/>
    <x v="1"/>
    <x v="0"/>
  </r>
  <r>
    <x v="0"/>
    <x v="0"/>
    <n v="2239065303"/>
    <x v="7"/>
    <n v="7500"/>
    <x v="0"/>
    <x v="0"/>
    <x v="3"/>
    <x v="7"/>
    <x v="0"/>
    <x v="0"/>
    <x v="1"/>
    <x v="0"/>
  </r>
  <r>
    <x v="0"/>
    <x v="0"/>
    <n v="2239065304"/>
    <x v="7"/>
    <n v="1500"/>
    <x v="0"/>
    <x v="0"/>
    <x v="3"/>
    <x v="7"/>
    <x v="0"/>
    <x v="0"/>
    <x v="1"/>
    <x v="0"/>
  </r>
  <r>
    <x v="0"/>
    <x v="0"/>
    <n v="2239065305"/>
    <x v="2"/>
    <n v="4000"/>
    <x v="0"/>
    <x v="0"/>
    <x v="3"/>
    <x v="2"/>
    <x v="0"/>
    <x v="0"/>
    <x v="2"/>
    <x v="0"/>
  </r>
  <r>
    <x v="0"/>
    <x v="0"/>
    <n v="2239065306"/>
    <x v="2"/>
    <n v="22550"/>
    <x v="0"/>
    <x v="0"/>
    <x v="3"/>
    <x v="2"/>
    <x v="0"/>
    <x v="0"/>
    <x v="2"/>
    <x v="0"/>
  </r>
  <r>
    <x v="0"/>
    <x v="0"/>
    <n v="2239065307"/>
    <x v="2"/>
    <n v="4000"/>
    <x v="0"/>
    <x v="0"/>
    <x v="3"/>
    <x v="2"/>
    <x v="0"/>
    <x v="0"/>
    <x v="2"/>
    <x v="0"/>
  </r>
  <r>
    <x v="0"/>
    <x v="0"/>
    <n v="2239065308"/>
    <x v="2"/>
    <n v="6500"/>
    <x v="0"/>
    <x v="0"/>
    <x v="3"/>
    <x v="2"/>
    <x v="0"/>
    <x v="0"/>
    <x v="2"/>
    <x v="0"/>
  </r>
  <r>
    <x v="0"/>
    <x v="0"/>
    <n v="2239065309"/>
    <x v="7"/>
    <n v="1500"/>
    <x v="0"/>
    <x v="0"/>
    <x v="3"/>
    <x v="7"/>
    <x v="0"/>
    <x v="0"/>
    <x v="1"/>
    <x v="0"/>
  </r>
  <r>
    <x v="0"/>
    <x v="0"/>
    <n v="2239065310"/>
    <x v="7"/>
    <n v="1500"/>
    <x v="0"/>
    <x v="0"/>
    <x v="3"/>
    <x v="7"/>
    <x v="0"/>
    <x v="0"/>
    <x v="1"/>
    <x v="0"/>
  </r>
  <r>
    <x v="0"/>
    <x v="0"/>
    <n v="2239065311"/>
    <x v="1"/>
    <n v="4500"/>
    <x v="0"/>
    <x v="0"/>
    <x v="3"/>
    <x v="1"/>
    <x v="0"/>
    <x v="0"/>
    <x v="1"/>
    <x v="0"/>
  </r>
  <r>
    <x v="0"/>
    <x v="0"/>
    <n v="2239065312"/>
    <x v="1"/>
    <n v="6270"/>
    <x v="0"/>
    <x v="0"/>
    <x v="3"/>
    <x v="1"/>
    <x v="0"/>
    <x v="0"/>
    <x v="1"/>
    <x v="0"/>
  </r>
  <r>
    <x v="0"/>
    <x v="0"/>
    <n v="2239065313"/>
    <x v="1"/>
    <n v="8670"/>
    <x v="0"/>
    <x v="0"/>
    <x v="3"/>
    <x v="1"/>
    <x v="0"/>
    <x v="0"/>
    <x v="1"/>
    <x v="0"/>
  </r>
  <r>
    <x v="0"/>
    <x v="0"/>
    <n v="2239065314"/>
    <x v="1"/>
    <n v="4800"/>
    <x v="0"/>
    <x v="0"/>
    <x v="3"/>
    <x v="1"/>
    <x v="0"/>
    <x v="0"/>
    <x v="1"/>
    <x v="0"/>
  </r>
  <r>
    <x v="0"/>
    <x v="0"/>
    <n v="2239065315"/>
    <x v="1"/>
    <n v="2250"/>
    <x v="0"/>
    <x v="0"/>
    <x v="3"/>
    <x v="1"/>
    <x v="0"/>
    <x v="0"/>
    <x v="1"/>
    <x v="0"/>
  </r>
  <r>
    <x v="0"/>
    <x v="0"/>
    <n v="2239065316"/>
    <x v="1"/>
    <n v="900"/>
    <x v="0"/>
    <x v="0"/>
    <x v="3"/>
    <x v="1"/>
    <x v="0"/>
    <x v="0"/>
    <x v="1"/>
    <x v="0"/>
  </r>
  <r>
    <x v="0"/>
    <x v="0"/>
    <n v="2239065317"/>
    <x v="1"/>
    <n v="19320"/>
    <x v="0"/>
    <x v="0"/>
    <x v="3"/>
    <x v="1"/>
    <x v="0"/>
    <x v="0"/>
    <x v="1"/>
    <x v="0"/>
  </r>
  <r>
    <x v="0"/>
    <x v="0"/>
    <n v="2239065319"/>
    <x v="1"/>
    <n v="42440"/>
    <x v="0"/>
    <x v="0"/>
    <x v="3"/>
    <x v="1"/>
    <x v="0"/>
    <x v="0"/>
    <x v="1"/>
    <x v="0"/>
  </r>
  <r>
    <x v="0"/>
    <x v="0"/>
    <n v="2239068526"/>
    <x v="0"/>
    <n v="1500"/>
    <x v="0"/>
    <x v="0"/>
    <x v="1"/>
    <x v="0"/>
    <x v="0"/>
    <x v="0"/>
    <x v="0"/>
    <x v="0"/>
  </r>
  <r>
    <x v="0"/>
    <x v="0"/>
    <n v="2239068527"/>
    <x v="1"/>
    <n v="1140"/>
    <x v="0"/>
    <x v="0"/>
    <x v="1"/>
    <x v="1"/>
    <x v="0"/>
    <x v="0"/>
    <x v="1"/>
    <x v="0"/>
  </r>
  <r>
    <x v="0"/>
    <x v="0"/>
    <n v="2239068528"/>
    <x v="1"/>
    <n v="1140"/>
    <x v="0"/>
    <x v="0"/>
    <x v="1"/>
    <x v="1"/>
    <x v="0"/>
    <x v="0"/>
    <x v="1"/>
    <x v="0"/>
  </r>
  <r>
    <x v="0"/>
    <x v="0"/>
    <n v="2239068529"/>
    <x v="1"/>
    <n v="900"/>
    <x v="0"/>
    <x v="0"/>
    <x v="1"/>
    <x v="1"/>
    <x v="0"/>
    <x v="0"/>
    <x v="1"/>
    <x v="0"/>
  </r>
  <r>
    <x v="0"/>
    <x v="0"/>
    <n v="2239068530"/>
    <x v="1"/>
    <n v="1140"/>
    <x v="0"/>
    <x v="0"/>
    <x v="1"/>
    <x v="1"/>
    <x v="0"/>
    <x v="0"/>
    <x v="1"/>
    <x v="0"/>
  </r>
  <r>
    <x v="0"/>
    <x v="0"/>
    <n v="2239068531"/>
    <x v="1"/>
    <n v="900"/>
    <x v="0"/>
    <x v="0"/>
    <x v="1"/>
    <x v="1"/>
    <x v="0"/>
    <x v="0"/>
    <x v="1"/>
    <x v="0"/>
  </r>
  <r>
    <x v="0"/>
    <x v="0"/>
    <n v="2239068532"/>
    <x v="1"/>
    <n v="1350"/>
    <x v="0"/>
    <x v="0"/>
    <x v="1"/>
    <x v="1"/>
    <x v="0"/>
    <x v="0"/>
    <x v="1"/>
    <x v="0"/>
  </r>
  <r>
    <x v="0"/>
    <x v="0"/>
    <n v="2239068533"/>
    <x v="1"/>
    <n v="1140"/>
    <x v="0"/>
    <x v="0"/>
    <x v="1"/>
    <x v="1"/>
    <x v="0"/>
    <x v="0"/>
    <x v="1"/>
    <x v="0"/>
  </r>
  <r>
    <x v="0"/>
    <x v="0"/>
    <n v="2239068534"/>
    <x v="1"/>
    <n v="3800"/>
    <x v="0"/>
    <x v="0"/>
    <x v="1"/>
    <x v="1"/>
    <x v="0"/>
    <x v="0"/>
    <x v="1"/>
    <x v="0"/>
  </r>
  <r>
    <x v="0"/>
    <x v="0"/>
    <n v="2239068535"/>
    <x v="1"/>
    <n v="1590"/>
    <x v="0"/>
    <x v="0"/>
    <x v="1"/>
    <x v="1"/>
    <x v="0"/>
    <x v="0"/>
    <x v="1"/>
    <x v="0"/>
  </r>
  <r>
    <x v="0"/>
    <x v="0"/>
    <n v="2239068536"/>
    <x v="1"/>
    <n v="1470"/>
    <x v="0"/>
    <x v="0"/>
    <x v="1"/>
    <x v="1"/>
    <x v="0"/>
    <x v="0"/>
    <x v="1"/>
    <x v="0"/>
  </r>
  <r>
    <x v="0"/>
    <x v="0"/>
    <n v="2239068537"/>
    <x v="1"/>
    <n v="17935"/>
    <x v="0"/>
    <x v="0"/>
    <x v="1"/>
    <x v="1"/>
    <x v="0"/>
    <x v="0"/>
    <x v="1"/>
    <x v="0"/>
  </r>
  <r>
    <x v="0"/>
    <x v="0"/>
    <n v="2239068538"/>
    <x v="0"/>
    <n v="4200"/>
    <x v="0"/>
    <x v="0"/>
    <x v="1"/>
    <x v="0"/>
    <x v="0"/>
    <x v="0"/>
    <x v="0"/>
    <x v="0"/>
  </r>
  <r>
    <x v="0"/>
    <x v="0"/>
    <n v="2239068539"/>
    <x v="1"/>
    <n v="7890"/>
    <x v="0"/>
    <x v="0"/>
    <x v="1"/>
    <x v="1"/>
    <x v="0"/>
    <x v="0"/>
    <x v="1"/>
    <x v="0"/>
  </r>
  <r>
    <x v="0"/>
    <x v="0"/>
    <n v="2239068540"/>
    <x v="1"/>
    <n v="1050"/>
    <x v="0"/>
    <x v="0"/>
    <x v="1"/>
    <x v="1"/>
    <x v="0"/>
    <x v="0"/>
    <x v="1"/>
    <x v="0"/>
  </r>
  <r>
    <x v="0"/>
    <x v="0"/>
    <n v="2239068541"/>
    <x v="1"/>
    <n v="3150"/>
    <x v="0"/>
    <x v="0"/>
    <x v="1"/>
    <x v="1"/>
    <x v="0"/>
    <x v="0"/>
    <x v="1"/>
    <x v="0"/>
  </r>
  <r>
    <x v="0"/>
    <x v="0"/>
    <n v="2239068542"/>
    <x v="1"/>
    <n v="2340"/>
    <x v="0"/>
    <x v="0"/>
    <x v="1"/>
    <x v="1"/>
    <x v="0"/>
    <x v="0"/>
    <x v="1"/>
    <x v="0"/>
  </r>
  <r>
    <x v="0"/>
    <x v="0"/>
    <n v="2239068545"/>
    <x v="1"/>
    <n v="5790"/>
    <x v="0"/>
    <x v="0"/>
    <x v="1"/>
    <x v="1"/>
    <x v="0"/>
    <x v="0"/>
    <x v="1"/>
    <x v="0"/>
  </r>
  <r>
    <x v="0"/>
    <x v="0"/>
    <n v="2239068547"/>
    <x v="1"/>
    <n v="3150"/>
    <x v="0"/>
    <x v="0"/>
    <x v="1"/>
    <x v="1"/>
    <x v="0"/>
    <x v="0"/>
    <x v="1"/>
    <x v="0"/>
  </r>
  <r>
    <x v="0"/>
    <x v="0"/>
    <n v="2239068548"/>
    <x v="1"/>
    <n v="12120"/>
    <x v="0"/>
    <x v="0"/>
    <x v="1"/>
    <x v="1"/>
    <x v="0"/>
    <x v="0"/>
    <x v="1"/>
    <x v="0"/>
  </r>
  <r>
    <x v="0"/>
    <x v="0"/>
    <n v="2239068549"/>
    <x v="1"/>
    <n v="9650"/>
    <x v="0"/>
    <x v="0"/>
    <x v="1"/>
    <x v="1"/>
    <x v="0"/>
    <x v="0"/>
    <x v="1"/>
    <x v="0"/>
  </r>
  <r>
    <x v="0"/>
    <x v="0"/>
    <n v="2239068550"/>
    <x v="1"/>
    <n v="10770"/>
    <x v="0"/>
    <x v="0"/>
    <x v="1"/>
    <x v="1"/>
    <x v="0"/>
    <x v="0"/>
    <x v="1"/>
    <x v="0"/>
  </r>
  <r>
    <x v="0"/>
    <x v="0"/>
    <n v="2239068552"/>
    <x v="1"/>
    <n v="2700"/>
    <x v="0"/>
    <x v="0"/>
    <x v="1"/>
    <x v="1"/>
    <x v="0"/>
    <x v="0"/>
    <x v="1"/>
    <x v="0"/>
  </r>
  <r>
    <x v="0"/>
    <x v="0"/>
    <n v="2239068553"/>
    <x v="1"/>
    <n v="3150"/>
    <x v="0"/>
    <x v="0"/>
    <x v="1"/>
    <x v="1"/>
    <x v="0"/>
    <x v="0"/>
    <x v="1"/>
    <x v="0"/>
  </r>
  <r>
    <x v="0"/>
    <x v="0"/>
    <n v="2239068556"/>
    <x v="1"/>
    <n v="1800"/>
    <x v="0"/>
    <x v="0"/>
    <x v="1"/>
    <x v="1"/>
    <x v="0"/>
    <x v="0"/>
    <x v="1"/>
    <x v="0"/>
  </r>
  <r>
    <x v="0"/>
    <x v="0"/>
    <n v="2239068557"/>
    <x v="1"/>
    <n v="8760"/>
    <x v="0"/>
    <x v="0"/>
    <x v="1"/>
    <x v="1"/>
    <x v="0"/>
    <x v="0"/>
    <x v="1"/>
    <x v="0"/>
  </r>
  <r>
    <x v="0"/>
    <x v="0"/>
    <n v="2239068558"/>
    <x v="0"/>
    <n v="2250"/>
    <x v="0"/>
    <x v="0"/>
    <x v="1"/>
    <x v="0"/>
    <x v="0"/>
    <x v="0"/>
    <x v="0"/>
    <x v="0"/>
  </r>
  <r>
    <x v="0"/>
    <x v="0"/>
    <n v="2239068559"/>
    <x v="2"/>
    <n v="14168"/>
    <x v="0"/>
    <x v="0"/>
    <x v="1"/>
    <x v="2"/>
    <x v="0"/>
    <x v="0"/>
    <x v="2"/>
    <x v="0"/>
  </r>
  <r>
    <x v="0"/>
    <x v="0"/>
    <n v="2239068560"/>
    <x v="6"/>
    <n v="11440"/>
    <x v="0"/>
    <x v="0"/>
    <x v="1"/>
    <x v="6"/>
    <x v="0"/>
    <x v="0"/>
    <x v="5"/>
    <x v="0"/>
  </r>
  <r>
    <x v="0"/>
    <x v="0"/>
    <n v="2239068560"/>
    <x v="8"/>
    <n v="7084"/>
    <x v="0"/>
    <x v="0"/>
    <x v="1"/>
    <x v="8"/>
    <x v="0"/>
    <x v="0"/>
    <x v="3"/>
    <x v="0"/>
  </r>
  <r>
    <x v="0"/>
    <x v="0"/>
    <n v="2239068560"/>
    <x v="2"/>
    <n v="45776"/>
    <x v="0"/>
    <x v="0"/>
    <x v="1"/>
    <x v="2"/>
    <x v="0"/>
    <x v="0"/>
    <x v="2"/>
    <x v="0"/>
  </r>
  <r>
    <x v="0"/>
    <x v="0"/>
    <n v="2239068561"/>
    <x v="6"/>
    <n v="15880"/>
    <x v="0"/>
    <x v="0"/>
    <x v="1"/>
    <x v="6"/>
    <x v="0"/>
    <x v="0"/>
    <x v="5"/>
    <x v="0"/>
  </r>
  <r>
    <x v="0"/>
    <x v="0"/>
    <n v="2239068562"/>
    <x v="6"/>
    <n v="19320"/>
    <x v="0"/>
    <x v="0"/>
    <x v="1"/>
    <x v="6"/>
    <x v="0"/>
    <x v="0"/>
    <x v="5"/>
    <x v="0"/>
  </r>
  <r>
    <x v="0"/>
    <x v="0"/>
    <n v="2239068563"/>
    <x v="2"/>
    <n v="56672"/>
    <x v="0"/>
    <x v="0"/>
    <x v="1"/>
    <x v="2"/>
    <x v="0"/>
    <x v="0"/>
    <x v="2"/>
    <x v="0"/>
  </r>
  <r>
    <x v="0"/>
    <x v="0"/>
    <n v="2239068564"/>
    <x v="2"/>
    <n v="70840"/>
    <x v="0"/>
    <x v="0"/>
    <x v="1"/>
    <x v="2"/>
    <x v="0"/>
    <x v="0"/>
    <x v="2"/>
    <x v="0"/>
  </r>
  <r>
    <x v="0"/>
    <x v="0"/>
    <n v="2239068565"/>
    <x v="6"/>
    <n v="12880"/>
    <x v="0"/>
    <x v="0"/>
    <x v="1"/>
    <x v="6"/>
    <x v="0"/>
    <x v="0"/>
    <x v="5"/>
    <x v="0"/>
  </r>
  <r>
    <x v="0"/>
    <x v="0"/>
    <n v="2239068566"/>
    <x v="2"/>
    <n v="18460"/>
    <x v="0"/>
    <x v="0"/>
    <x v="1"/>
    <x v="2"/>
    <x v="0"/>
    <x v="0"/>
    <x v="2"/>
    <x v="0"/>
  </r>
  <r>
    <x v="0"/>
    <x v="0"/>
    <n v="2239068566"/>
    <x v="7"/>
    <n v="7120"/>
    <x v="0"/>
    <x v="0"/>
    <x v="1"/>
    <x v="7"/>
    <x v="0"/>
    <x v="0"/>
    <x v="1"/>
    <x v="0"/>
  </r>
  <r>
    <x v="0"/>
    <x v="0"/>
    <n v="2239068567"/>
    <x v="2"/>
    <n v="7084"/>
    <x v="0"/>
    <x v="0"/>
    <x v="1"/>
    <x v="2"/>
    <x v="0"/>
    <x v="0"/>
    <x v="2"/>
    <x v="0"/>
  </r>
  <r>
    <x v="0"/>
    <x v="0"/>
    <n v="2239068568"/>
    <x v="1"/>
    <n v="6750"/>
    <x v="0"/>
    <x v="0"/>
    <x v="1"/>
    <x v="1"/>
    <x v="0"/>
    <x v="0"/>
    <x v="1"/>
    <x v="0"/>
  </r>
  <r>
    <x v="0"/>
    <x v="0"/>
    <n v="2239068569"/>
    <x v="1"/>
    <n v="1350"/>
    <x v="0"/>
    <x v="0"/>
    <x v="1"/>
    <x v="1"/>
    <x v="0"/>
    <x v="0"/>
    <x v="1"/>
    <x v="0"/>
  </r>
  <r>
    <x v="0"/>
    <x v="0"/>
    <n v="2239068570"/>
    <x v="6"/>
    <n v="3000"/>
    <x v="0"/>
    <x v="0"/>
    <x v="1"/>
    <x v="6"/>
    <x v="0"/>
    <x v="0"/>
    <x v="5"/>
    <x v="0"/>
  </r>
  <r>
    <x v="0"/>
    <x v="0"/>
    <n v="2239068571"/>
    <x v="7"/>
    <n v="1500"/>
    <x v="0"/>
    <x v="0"/>
    <x v="1"/>
    <x v="7"/>
    <x v="0"/>
    <x v="0"/>
    <x v="1"/>
    <x v="0"/>
  </r>
  <r>
    <x v="0"/>
    <x v="0"/>
    <n v="2239068572"/>
    <x v="7"/>
    <n v="1500"/>
    <x v="0"/>
    <x v="0"/>
    <x v="1"/>
    <x v="7"/>
    <x v="0"/>
    <x v="0"/>
    <x v="1"/>
    <x v="0"/>
  </r>
  <r>
    <x v="0"/>
    <x v="0"/>
    <n v="2239068574"/>
    <x v="6"/>
    <n v="19000"/>
    <x v="0"/>
    <x v="0"/>
    <x v="1"/>
    <x v="6"/>
    <x v="0"/>
    <x v="0"/>
    <x v="5"/>
    <x v="0"/>
  </r>
  <r>
    <x v="0"/>
    <x v="0"/>
    <n v="2239068575"/>
    <x v="2"/>
    <n v="35310"/>
    <x v="0"/>
    <x v="0"/>
    <x v="1"/>
    <x v="2"/>
    <x v="0"/>
    <x v="0"/>
    <x v="2"/>
    <x v="0"/>
  </r>
  <r>
    <x v="0"/>
    <x v="0"/>
    <n v="2239068576"/>
    <x v="7"/>
    <n v="3500"/>
    <x v="0"/>
    <x v="0"/>
    <x v="1"/>
    <x v="7"/>
    <x v="0"/>
    <x v="0"/>
    <x v="1"/>
    <x v="0"/>
  </r>
  <r>
    <x v="0"/>
    <x v="0"/>
    <n v="2239068578"/>
    <x v="1"/>
    <n v="7350"/>
    <x v="0"/>
    <x v="0"/>
    <x v="1"/>
    <x v="1"/>
    <x v="0"/>
    <x v="0"/>
    <x v="1"/>
    <x v="0"/>
  </r>
  <r>
    <x v="0"/>
    <x v="0"/>
    <n v="2239068579"/>
    <x v="2"/>
    <n v="32065"/>
    <x v="0"/>
    <x v="0"/>
    <x v="1"/>
    <x v="2"/>
    <x v="0"/>
    <x v="0"/>
    <x v="2"/>
    <x v="0"/>
  </r>
  <r>
    <x v="0"/>
    <x v="0"/>
    <n v="2239068581"/>
    <x v="2"/>
    <n v="120890"/>
    <x v="0"/>
    <x v="0"/>
    <x v="1"/>
    <x v="2"/>
    <x v="0"/>
    <x v="0"/>
    <x v="2"/>
    <x v="0"/>
  </r>
  <r>
    <x v="0"/>
    <x v="0"/>
    <n v="2239068582"/>
    <x v="2"/>
    <n v="36355"/>
    <x v="0"/>
    <x v="0"/>
    <x v="1"/>
    <x v="2"/>
    <x v="0"/>
    <x v="0"/>
    <x v="2"/>
    <x v="0"/>
  </r>
  <r>
    <x v="0"/>
    <x v="0"/>
    <n v="2239068583"/>
    <x v="1"/>
    <n v="25400"/>
    <x v="0"/>
    <x v="0"/>
    <x v="1"/>
    <x v="1"/>
    <x v="0"/>
    <x v="0"/>
    <x v="1"/>
    <x v="0"/>
  </r>
  <r>
    <x v="0"/>
    <x v="0"/>
    <n v="2239068584"/>
    <x v="2"/>
    <n v="6500"/>
    <x v="0"/>
    <x v="0"/>
    <x v="1"/>
    <x v="2"/>
    <x v="0"/>
    <x v="0"/>
    <x v="2"/>
    <x v="0"/>
  </r>
  <r>
    <x v="0"/>
    <x v="0"/>
    <n v="2239068585"/>
    <x v="2"/>
    <n v="44440"/>
    <x v="0"/>
    <x v="0"/>
    <x v="1"/>
    <x v="2"/>
    <x v="0"/>
    <x v="0"/>
    <x v="2"/>
    <x v="0"/>
  </r>
  <r>
    <x v="0"/>
    <x v="0"/>
    <n v="2239068586"/>
    <x v="5"/>
    <n v="-9050"/>
    <x v="0"/>
    <x v="0"/>
    <x v="1"/>
    <x v="5"/>
    <x v="0"/>
    <x v="0"/>
    <x v="5"/>
    <x v="0"/>
  </r>
  <r>
    <x v="0"/>
    <x v="0"/>
    <n v="2239068586"/>
    <x v="6"/>
    <n v="20000"/>
    <x v="0"/>
    <x v="0"/>
    <x v="1"/>
    <x v="6"/>
    <x v="0"/>
    <x v="0"/>
    <x v="5"/>
    <x v="0"/>
  </r>
  <r>
    <x v="0"/>
    <x v="0"/>
    <n v="2239068587"/>
    <x v="7"/>
    <n v="3250"/>
    <x v="0"/>
    <x v="0"/>
    <x v="1"/>
    <x v="7"/>
    <x v="0"/>
    <x v="0"/>
    <x v="1"/>
    <x v="0"/>
  </r>
  <r>
    <x v="0"/>
    <x v="0"/>
    <n v="2239068587"/>
    <x v="9"/>
    <n v="150300"/>
    <x v="0"/>
    <x v="0"/>
    <x v="1"/>
    <x v="9"/>
    <x v="0"/>
    <x v="0"/>
    <x v="6"/>
    <x v="0"/>
  </r>
  <r>
    <x v="0"/>
    <x v="0"/>
    <n v="2239068589"/>
    <x v="6"/>
    <n v="2500"/>
    <x v="0"/>
    <x v="0"/>
    <x v="1"/>
    <x v="6"/>
    <x v="0"/>
    <x v="0"/>
    <x v="5"/>
    <x v="0"/>
  </r>
  <r>
    <x v="0"/>
    <x v="0"/>
    <n v="2239068590"/>
    <x v="2"/>
    <n v="11495"/>
    <x v="0"/>
    <x v="0"/>
    <x v="1"/>
    <x v="2"/>
    <x v="0"/>
    <x v="0"/>
    <x v="2"/>
    <x v="0"/>
  </r>
  <r>
    <x v="0"/>
    <x v="0"/>
    <n v="2239068591"/>
    <x v="2"/>
    <n v="12870"/>
    <x v="0"/>
    <x v="0"/>
    <x v="1"/>
    <x v="2"/>
    <x v="0"/>
    <x v="0"/>
    <x v="2"/>
    <x v="0"/>
  </r>
  <r>
    <x v="0"/>
    <x v="0"/>
    <n v="2239068591"/>
    <x v="7"/>
    <n v="2250"/>
    <x v="0"/>
    <x v="0"/>
    <x v="1"/>
    <x v="7"/>
    <x v="0"/>
    <x v="0"/>
    <x v="1"/>
    <x v="0"/>
  </r>
  <r>
    <x v="0"/>
    <x v="0"/>
    <n v="2239068592"/>
    <x v="7"/>
    <n v="1500"/>
    <x v="0"/>
    <x v="0"/>
    <x v="1"/>
    <x v="7"/>
    <x v="0"/>
    <x v="0"/>
    <x v="1"/>
    <x v="0"/>
  </r>
  <r>
    <x v="0"/>
    <x v="0"/>
    <n v="2239068595"/>
    <x v="3"/>
    <n v="1500"/>
    <x v="0"/>
    <x v="0"/>
    <x v="1"/>
    <x v="3"/>
    <x v="0"/>
    <x v="0"/>
    <x v="3"/>
    <x v="0"/>
  </r>
  <r>
    <x v="0"/>
    <x v="0"/>
    <n v="2239068596"/>
    <x v="1"/>
    <n v="18970"/>
    <x v="0"/>
    <x v="0"/>
    <x v="1"/>
    <x v="1"/>
    <x v="0"/>
    <x v="0"/>
    <x v="1"/>
    <x v="0"/>
  </r>
  <r>
    <x v="0"/>
    <x v="0"/>
    <n v="2239068597"/>
    <x v="3"/>
    <n v="65010"/>
    <x v="0"/>
    <x v="0"/>
    <x v="1"/>
    <x v="3"/>
    <x v="0"/>
    <x v="0"/>
    <x v="3"/>
    <x v="0"/>
  </r>
  <r>
    <x v="0"/>
    <x v="0"/>
    <n v="2239068598"/>
    <x v="2"/>
    <n v="21900"/>
    <x v="0"/>
    <x v="0"/>
    <x v="1"/>
    <x v="2"/>
    <x v="0"/>
    <x v="0"/>
    <x v="2"/>
    <x v="0"/>
  </r>
  <r>
    <x v="0"/>
    <x v="0"/>
    <n v="2239068599"/>
    <x v="2"/>
    <n v="23430"/>
    <x v="0"/>
    <x v="0"/>
    <x v="1"/>
    <x v="2"/>
    <x v="0"/>
    <x v="0"/>
    <x v="2"/>
    <x v="0"/>
  </r>
  <r>
    <x v="0"/>
    <x v="0"/>
    <n v="2239068600"/>
    <x v="6"/>
    <n v="2100"/>
    <x v="0"/>
    <x v="0"/>
    <x v="1"/>
    <x v="6"/>
    <x v="0"/>
    <x v="0"/>
    <x v="5"/>
    <x v="0"/>
  </r>
  <r>
    <x v="0"/>
    <x v="0"/>
    <n v="2239068601"/>
    <x v="7"/>
    <n v="1500"/>
    <x v="0"/>
    <x v="0"/>
    <x v="1"/>
    <x v="7"/>
    <x v="0"/>
    <x v="0"/>
    <x v="1"/>
    <x v="0"/>
  </r>
  <r>
    <x v="0"/>
    <x v="0"/>
    <n v="2239068602"/>
    <x v="5"/>
    <n v="-500"/>
    <x v="0"/>
    <x v="0"/>
    <x v="1"/>
    <x v="5"/>
    <x v="0"/>
    <x v="0"/>
    <x v="5"/>
    <x v="0"/>
  </r>
  <r>
    <x v="0"/>
    <x v="0"/>
    <n v="2239068602"/>
    <x v="6"/>
    <n v="5000"/>
    <x v="0"/>
    <x v="0"/>
    <x v="1"/>
    <x v="6"/>
    <x v="0"/>
    <x v="0"/>
    <x v="5"/>
    <x v="0"/>
  </r>
  <r>
    <x v="0"/>
    <x v="0"/>
    <n v="2239068604"/>
    <x v="5"/>
    <n v="-400"/>
    <x v="0"/>
    <x v="0"/>
    <x v="1"/>
    <x v="5"/>
    <x v="0"/>
    <x v="0"/>
    <x v="5"/>
    <x v="0"/>
  </r>
  <r>
    <x v="0"/>
    <x v="0"/>
    <n v="2239068604"/>
    <x v="4"/>
    <n v="6000"/>
    <x v="0"/>
    <x v="0"/>
    <x v="1"/>
    <x v="4"/>
    <x v="0"/>
    <x v="0"/>
    <x v="4"/>
    <x v="0"/>
  </r>
  <r>
    <x v="0"/>
    <x v="0"/>
    <n v="2239068605"/>
    <x v="7"/>
    <n v="6500"/>
    <x v="0"/>
    <x v="0"/>
    <x v="1"/>
    <x v="7"/>
    <x v="0"/>
    <x v="0"/>
    <x v="1"/>
    <x v="0"/>
  </r>
  <r>
    <x v="0"/>
    <x v="0"/>
    <n v="2239068606"/>
    <x v="2"/>
    <n v="69795"/>
    <x v="0"/>
    <x v="0"/>
    <x v="1"/>
    <x v="2"/>
    <x v="0"/>
    <x v="0"/>
    <x v="2"/>
    <x v="0"/>
  </r>
  <r>
    <x v="0"/>
    <x v="0"/>
    <n v="2239068607"/>
    <x v="3"/>
    <n v="46365"/>
    <x v="0"/>
    <x v="0"/>
    <x v="1"/>
    <x v="3"/>
    <x v="0"/>
    <x v="0"/>
    <x v="3"/>
    <x v="0"/>
  </r>
  <r>
    <x v="0"/>
    <x v="0"/>
    <n v="2239068608"/>
    <x v="7"/>
    <n v="1500"/>
    <x v="0"/>
    <x v="0"/>
    <x v="1"/>
    <x v="7"/>
    <x v="0"/>
    <x v="0"/>
    <x v="1"/>
    <x v="0"/>
  </r>
  <r>
    <x v="0"/>
    <x v="0"/>
    <n v="2239068611"/>
    <x v="1"/>
    <n v="1800"/>
    <x v="0"/>
    <x v="0"/>
    <x v="1"/>
    <x v="1"/>
    <x v="0"/>
    <x v="0"/>
    <x v="1"/>
    <x v="0"/>
  </r>
  <r>
    <x v="0"/>
    <x v="0"/>
    <n v="2239068612"/>
    <x v="2"/>
    <n v="21120"/>
    <x v="0"/>
    <x v="0"/>
    <x v="1"/>
    <x v="2"/>
    <x v="0"/>
    <x v="0"/>
    <x v="2"/>
    <x v="0"/>
  </r>
  <r>
    <x v="0"/>
    <x v="0"/>
    <n v="2239068613"/>
    <x v="4"/>
    <n v="4400"/>
    <x v="0"/>
    <x v="0"/>
    <x v="1"/>
    <x v="4"/>
    <x v="0"/>
    <x v="0"/>
    <x v="4"/>
    <x v="0"/>
  </r>
  <r>
    <x v="0"/>
    <x v="0"/>
    <n v="2239068614"/>
    <x v="5"/>
    <n v="-15000"/>
    <x v="0"/>
    <x v="0"/>
    <x v="1"/>
    <x v="5"/>
    <x v="0"/>
    <x v="0"/>
    <x v="5"/>
    <x v="0"/>
  </r>
  <r>
    <x v="0"/>
    <x v="0"/>
    <n v="2239068614"/>
    <x v="4"/>
    <n v="20000"/>
    <x v="0"/>
    <x v="0"/>
    <x v="1"/>
    <x v="4"/>
    <x v="0"/>
    <x v="0"/>
    <x v="4"/>
    <x v="0"/>
  </r>
  <r>
    <x v="0"/>
    <x v="0"/>
    <n v="2239068615"/>
    <x v="2"/>
    <n v="25600"/>
    <x v="0"/>
    <x v="0"/>
    <x v="1"/>
    <x v="2"/>
    <x v="0"/>
    <x v="0"/>
    <x v="2"/>
    <x v="0"/>
  </r>
  <r>
    <x v="0"/>
    <x v="0"/>
    <n v="2239068617"/>
    <x v="5"/>
    <n v="-8000"/>
    <x v="0"/>
    <x v="0"/>
    <x v="1"/>
    <x v="5"/>
    <x v="0"/>
    <x v="0"/>
    <x v="5"/>
    <x v="0"/>
  </r>
  <r>
    <x v="0"/>
    <x v="0"/>
    <n v="2239068617"/>
    <x v="6"/>
    <n v="10000"/>
    <x v="0"/>
    <x v="0"/>
    <x v="1"/>
    <x v="6"/>
    <x v="0"/>
    <x v="0"/>
    <x v="5"/>
    <x v="0"/>
  </r>
  <r>
    <x v="0"/>
    <x v="0"/>
    <n v="2239068618"/>
    <x v="6"/>
    <n v="1000"/>
    <x v="0"/>
    <x v="0"/>
    <x v="1"/>
    <x v="6"/>
    <x v="0"/>
    <x v="0"/>
    <x v="5"/>
    <x v="0"/>
  </r>
  <r>
    <x v="0"/>
    <x v="0"/>
    <n v="2239068619"/>
    <x v="2"/>
    <n v="19690"/>
    <x v="0"/>
    <x v="0"/>
    <x v="1"/>
    <x v="2"/>
    <x v="0"/>
    <x v="0"/>
    <x v="2"/>
    <x v="0"/>
  </r>
  <r>
    <x v="0"/>
    <x v="0"/>
    <n v="2239068621"/>
    <x v="5"/>
    <n v="-550"/>
    <x v="0"/>
    <x v="0"/>
    <x v="1"/>
    <x v="5"/>
    <x v="0"/>
    <x v="0"/>
    <x v="5"/>
    <x v="0"/>
  </r>
  <r>
    <x v="0"/>
    <x v="0"/>
    <n v="2239068621"/>
    <x v="6"/>
    <n v="10000"/>
    <x v="0"/>
    <x v="0"/>
    <x v="1"/>
    <x v="6"/>
    <x v="0"/>
    <x v="0"/>
    <x v="5"/>
    <x v="0"/>
  </r>
  <r>
    <x v="0"/>
    <x v="0"/>
    <n v="2239068622"/>
    <x v="3"/>
    <n v="20000"/>
    <x v="0"/>
    <x v="0"/>
    <x v="1"/>
    <x v="3"/>
    <x v="0"/>
    <x v="0"/>
    <x v="3"/>
    <x v="0"/>
  </r>
  <r>
    <x v="0"/>
    <x v="0"/>
    <n v="2239068623"/>
    <x v="1"/>
    <n v="2040"/>
    <x v="0"/>
    <x v="0"/>
    <x v="1"/>
    <x v="1"/>
    <x v="0"/>
    <x v="0"/>
    <x v="1"/>
    <x v="0"/>
  </r>
  <r>
    <x v="0"/>
    <x v="0"/>
    <n v="2239068624"/>
    <x v="2"/>
    <n v="12650"/>
    <x v="0"/>
    <x v="0"/>
    <x v="1"/>
    <x v="2"/>
    <x v="0"/>
    <x v="0"/>
    <x v="2"/>
    <x v="0"/>
  </r>
  <r>
    <x v="0"/>
    <x v="0"/>
    <n v="2239068625"/>
    <x v="5"/>
    <n v="-4700"/>
    <x v="0"/>
    <x v="0"/>
    <x v="1"/>
    <x v="5"/>
    <x v="0"/>
    <x v="0"/>
    <x v="5"/>
    <x v="0"/>
  </r>
  <r>
    <x v="0"/>
    <x v="0"/>
    <n v="2239068625"/>
    <x v="4"/>
    <n v="10000"/>
    <x v="0"/>
    <x v="0"/>
    <x v="1"/>
    <x v="4"/>
    <x v="0"/>
    <x v="0"/>
    <x v="4"/>
    <x v="0"/>
  </r>
  <r>
    <x v="0"/>
    <x v="0"/>
    <n v="2239068626"/>
    <x v="5"/>
    <n v="-1000"/>
    <x v="0"/>
    <x v="0"/>
    <x v="1"/>
    <x v="5"/>
    <x v="0"/>
    <x v="0"/>
    <x v="5"/>
    <x v="0"/>
  </r>
  <r>
    <x v="0"/>
    <x v="0"/>
    <n v="2239068626"/>
    <x v="4"/>
    <n v="5400"/>
    <x v="0"/>
    <x v="0"/>
    <x v="1"/>
    <x v="4"/>
    <x v="0"/>
    <x v="0"/>
    <x v="4"/>
    <x v="0"/>
  </r>
  <r>
    <x v="0"/>
    <x v="0"/>
    <n v="2239068627"/>
    <x v="3"/>
    <n v="72710"/>
    <x v="0"/>
    <x v="0"/>
    <x v="1"/>
    <x v="3"/>
    <x v="0"/>
    <x v="0"/>
    <x v="3"/>
    <x v="0"/>
  </r>
  <r>
    <x v="0"/>
    <x v="0"/>
    <n v="2239068628"/>
    <x v="2"/>
    <n v="26015"/>
    <x v="0"/>
    <x v="0"/>
    <x v="1"/>
    <x v="2"/>
    <x v="0"/>
    <x v="0"/>
    <x v="2"/>
    <x v="0"/>
  </r>
  <r>
    <x v="0"/>
    <x v="0"/>
    <n v="2239068629"/>
    <x v="2"/>
    <n v="101365"/>
    <x v="0"/>
    <x v="0"/>
    <x v="1"/>
    <x v="2"/>
    <x v="0"/>
    <x v="0"/>
    <x v="2"/>
    <x v="0"/>
  </r>
  <r>
    <x v="0"/>
    <x v="0"/>
    <n v="2239068630"/>
    <x v="2"/>
    <n v="18040"/>
    <x v="0"/>
    <x v="0"/>
    <x v="1"/>
    <x v="2"/>
    <x v="0"/>
    <x v="0"/>
    <x v="2"/>
    <x v="0"/>
  </r>
  <r>
    <x v="0"/>
    <x v="0"/>
    <n v="2239068631"/>
    <x v="7"/>
    <n v="1500"/>
    <x v="0"/>
    <x v="0"/>
    <x v="1"/>
    <x v="7"/>
    <x v="0"/>
    <x v="0"/>
    <x v="1"/>
    <x v="0"/>
  </r>
  <r>
    <x v="0"/>
    <x v="0"/>
    <n v="2239068632"/>
    <x v="4"/>
    <n v="5300"/>
    <x v="0"/>
    <x v="0"/>
    <x v="1"/>
    <x v="4"/>
    <x v="0"/>
    <x v="0"/>
    <x v="4"/>
    <x v="0"/>
  </r>
  <r>
    <x v="0"/>
    <x v="0"/>
    <n v="2239068633"/>
    <x v="4"/>
    <n v="5300"/>
    <x v="0"/>
    <x v="0"/>
    <x v="1"/>
    <x v="4"/>
    <x v="0"/>
    <x v="0"/>
    <x v="4"/>
    <x v="0"/>
  </r>
  <r>
    <x v="0"/>
    <x v="0"/>
    <n v="2239068634"/>
    <x v="4"/>
    <n v="5600"/>
    <x v="0"/>
    <x v="0"/>
    <x v="1"/>
    <x v="4"/>
    <x v="0"/>
    <x v="0"/>
    <x v="4"/>
    <x v="0"/>
  </r>
  <r>
    <x v="0"/>
    <x v="0"/>
    <n v="2239068635"/>
    <x v="5"/>
    <n v="-5600"/>
    <x v="0"/>
    <x v="0"/>
    <x v="1"/>
    <x v="5"/>
    <x v="0"/>
    <x v="0"/>
    <x v="5"/>
    <x v="0"/>
  </r>
  <r>
    <x v="0"/>
    <x v="0"/>
    <n v="2239068635"/>
    <x v="4"/>
    <n v="10000"/>
    <x v="0"/>
    <x v="0"/>
    <x v="1"/>
    <x v="4"/>
    <x v="0"/>
    <x v="0"/>
    <x v="4"/>
    <x v="0"/>
  </r>
  <r>
    <x v="0"/>
    <x v="0"/>
    <n v="2239068637"/>
    <x v="2"/>
    <n v="7000"/>
    <x v="0"/>
    <x v="0"/>
    <x v="1"/>
    <x v="2"/>
    <x v="0"/>
    <x v="0"/>
    <x v="2"/>
    <x v="0"/>
  </r>
  <r>
    <x v="0"/>
    <x v="0"/>
    <n v="2239068638"/>
    <x v="2"/>
    <n v="69740"/>
    <x v="0"/>
    <x v="0"/>
    <x v="1"/>
    <x v="2"/>
    <x v="0"/>
    <x v="0"/>
    <x v="2"/>
    <x v="0"/>
  </r>
  <r>
    <x v="0"/>
    <x v="0"/>
    <n v="2239068639"/>
    <x v="1"/>
    <n v="38170"/>
    <x v="0"/>
    <x v="0"/>
    <x v="1"/>
    <x v="1"/>
    <x v="0"/>
    <x v="0"/>
    <x v="1"/>
    <x v="0"/>
  </r>
  <r>
    <x v="0"/>
    <x v="0"/>
    <n v="2239068640"/>
    <x v="1"/>
    <n v="4500"/>
    <x v="0"/>
    <x v="0"/>
    <x v="1"/>
    <x v="1"/>
    <x v="0"/>
    <x v="0"/>
    <x v="1"/>
    <x v="0"/>
  </r>
  <r>
    <x v="0"/>
    <x v="0"/>
    <n v="2239068641"/>
    <x v="5"/>
    <n v="-500"/>
    <x v="0"/>
    <x v="0"/>
    <x v="1"/>
    <x v="5"/>
    <x v="0"/>
    <x v="0"/>
    <x v="5"/>
    <x v="0"/>
  </r>
  <r>
    <x v="0"/>
    <x v="0"/>
    <n v="2239068641"/>
    <x v="6"/>
    <n v="8000"/>
    <x v="0"/>
    <x v="0"/>
    <x v="1"/>
    <x v="6"/>
    <x v="0"/>
    <x v="0"/>
    <x v="5"/>
    <x v="0"/>
  </r>
  <r>
    <x v="0"/>
    <x v="0"/>
    <n v="2239068642"/>
    <x v="5"/>
    <n v="-1250"/>
    <x v="0"/>
    <x v="0"/>
    <x v="1"/>
    <x v="5"/>
    <x v="0"/>
    <x v="0"/>
    <x v="5"/>
    <x v="0"/>
  </r>
  <r>
    <x v="0"/>
    <x v="0"/>
    <n v="2239068642"/>
    <x v="6"/>
    <n v="11000"/>
    <x v="0"/>
    <x v="0"/>
    <x v="1"/>
    <x v="6"/>
    <x v="0"/>
    <x v="0"/>
    <x v="5"/>
    <x v="0"/>
  </r>
  <r>
    <x v="0"/>
    <x v="0"/>
    <n v="2239068643"/>
    <x v="4"/>
    <n v="4400"/>
    <x v="0"/>
    <x v="0"/>
    <x v="1"/>
    <x v="4"/>
    <x v="0"/>
    <x v="0"/>
    <x v="4"/>
    <x v="0"/>
  </r>
  <r>
    <x v="0"/>
    <x v="0"/>
    <n v="2239068644"/>
    <x v="2"/>
    <n v="34540"/>
    <x v="0"/>
    <x v="0"/>
    <x v="1"/>
    <x v="2"/>
    <x v="0"/>
    <x v="0"/>
    <x v="2"/>
    <x v="0"/>
  </r>
  <r>
    <x v="0"/>
    <x v="0"/>
    <n v="2239068645"/>
    <x v="2"/>
    <n v="5300"/>
    <x v="0"/>
    <x v="0"/>
    <x v="1"/>
    <x v="2"/>
    <x v="0"/>
    <x v="0"/>
    <x v="2"/>
    <x v="0"/>
  </r>
  <r>
    <x v="0"/>
    <x v="0"/>
    <n v="2239068647"/>
    <x v="2"/>
    <n v="43945"/>
    <x v="0"/>
    <x v="0"/>
    <x v="1"/>
    <x v="2"/>
    <x v="0"/>
    <x v="0"/>
    <x v="2"/>
    <x v="0"/>
  </r>
  <r>
    <x v="0"/>
    <x v="0"/>
    <n v="2239068648"/>
    <x v="2"/>
    <n v="61545"/>
    <x v="0"/>
    <x v="0"/>
    <x v="1"/>
    <x v="2"/>
    <x v="0"/>
    <x v="0"/>
    <x v="2"/>
    <x v="0"/>
  </r>
  <r>
    <x v="0"/>
    <x v="0"/>
    <n v="2239068649"/>
    <x v="7"/>
    <n v="6000"/>
    <x v="0"/>
    <x v="0"/>
    <x v="1"/>
    <x v="7"/>
    <x v="0"/>
    <x v="0"/>
    <x v="1"/>
    <x v="0"/>
  </r>
  <r>
    <x v="0"/>
    <x v="0"/>
    <n v="2239068651"/>
    <x v="2"/>
    <n v="40040"/>
    <x v="0"/>
    <x v="0"/>
    <x v="1"/>
    <x v="2"/>
    <x v="0"/>
    <x v="0"/>
    <x v="2"/>
    <x v="0"/>
  </r>
  <r>
    <x v="0"/>
    <x v="0"/>
    <n v="2239068652"/>
    <x v="5"/>
    <n v="-5600"/>
    <x v="0"/>
    <x v="0"/>
    <x v="1"/>
    <x v="5"/>
    <x v="0"/>
    <x v="0"/>
    <x v="5"/>
    <x v="0"/>
  </r>
  <r>
    <x v="0"/>
    <x v="0"/>
    <n v="2239068652"/>
    <x v="4"/>
    <n v="10000"/>
    <x v="0"/>
    <x v="0"/>
    <x v="1"/>
    <x v="4"/>
    <x v="0"/>
    <x v="0"/>
    <x v="4"/>
    <x v="0"/>
  </r>
  <r>
    <x v="0"/>
    <x v="0"/>
    <n v="2239068653"/>
    <x v="2"/>
    <n v="13200"/>
    <x v="0"/>
    <x v="0"/>
    <x v="1"/>
    <x v="2"/>
    <x v="0"/>
    <x v="0"/>
    <x v="2"/>
    <x v="0"/>
  </r>
  <r>
    <x v="0"/>
    <x v="0"/>
    <n v="2239068654"/>
    <x v="5"/>
    <n v="-15750"/>
    <x v="0"/>
    <x v="0"/>
    <x v="1"/>
    <x v="5"/>
    <x v="0"/>
    <x v="0"/>
    <x v="5"/>
    <x v="0"/>
  </r>
  <r>
    <x v="0"/>
    <x v="0"/>
    <n v="2239068654"/>
    <x v="6"/>
    <n v="20000"/>
    <x v="0"/>
    <x v="0"/>
    <x v="1"/>
    <x v="6"/>
    <x v="0"/>
    <x v="0"/>
    <x v="5"/>
    <x v="0"/>
  </r>
  <r>
    <x v="0"/>
    <x v="0"/>
    <n v="2239068654"/>
    <x v="7"/>
    <n v="4250"/>
    <x v="0"/>
    <x v="0"/>
    <x v="1"/>
    <x v="7"/>
    <x v="0"/>
    <x v="0"/>
    <x v="1"/>
    <x v="0"/>
  </r>
  <r>
    <x v="0"/>
    <x v="0"/>
    <n v="2239068655"/>
    <x v="7"/>
    <n v="1500"/>
    <x v="0"/>
    <x v="0"/>
    <x v="1"/>
    <x v="7"/>
    <x v="0"/>
    <x v="0"/>
    <x v="1"/>
    <x v="0"/>
  </r>
  <r>
    <x v="0"/>
    <x v="0"/>
    <n v="2239068657"/>
    <x v="5"/>
    <n v="-750"/>
    <x v="0"/>
    <x v="0"/>
    <x v="1"/>
    <x v="5"/>
    <x v="0"/>
    <x v="0"/>
    <x v="5"/>
    <x v="0"/>
  </r>
  <r>
    <x v="0"/>
    <x v="0"/>
    <n v="2239068657"/>
    <x v="6"/>
    <n v="5000"/>
    <x v="0"/>
    <x v="0"/>
    <x v="1"/>
    <x v="6"/>
    <x v="0"/>
    <x v="0"/>
    <x v="5"/>
    <x v="0"/>
  </r>
  <r>
    <x v="0"/>
    <x v="0"/>
    <n v="2239068657"/>
    <x v="7"/>
    <n v="4250"/>
    <x v="0"/>
    <x v="0"/>
    <x v="1"/>
    <x v="7"/>
    <x v="0"/>
    <x v="0"/>
    <x v="1"/>
    <x v="0"/>
  </r>
  <r>
    <x v="0"/>
    <x v="0"/>
    <n v="2239068659"/>
    <x v="2"/>
    <n v="74602"/>
    <x v="0"/>
    <x v="0"/>
    <x v="1"/>
    <x v="2"/>
    <x v="0"/>
    <x v="0"/>
    <x v="2"/>
    <x v="0"/>
  </r>
  <r>
    <x v="0"/>
    <x v="0"/>
    <n v="2239068659"/>
    <x v="7"/>
    <n v="4700"/>
    <x v="0"/>
    <x v="0"/>
    <x v="1"/>
    <x v="7"/>
    <x v="0"/>
    <x v="0"/>
    <x v="1"/>
    <x v="0"/>
  </r>
  <r>
    <x v="0"/>
    <x v="0"/>
    <n v="2239068660"/>
    <x v="2"/>
    <n v="20735"/>
    <x v="0"/>
    <x v="0"/>
    <x v="1"/>
    <x v="2"/>
    <x v="0"/>
    <x v="0"/>
    <x v="2"/>
    <x v="0"/>
  </r>
  <r>
    <x v="0"/>
    <x v="0"/>
    <n v="2239068661"/>
    <x v="5"/>
    <n v="-4700"/>
    <x v="0"/>
    <x v="0"/>
    <x v="1"/>
    <x v="5"/>
    <x v="0"/>
    <x v="0"/>
    <x v="5"/>
    <x v="0"/>
  </r>
  <r>
    <x v="0"/>
    <x v="0"/>
    <n v="2239068661"/>
    <x v="4"/>
    <n v="10000"/>
    <x v="0"/>
    <x v="0"/>
    <x v="1"/>
    <x v="4"/>
    <x v="0"/>
    <x v="0"/>
    <x v="4"/>
    <x v="0"/>
  </r>
  <r>
    <x v="0"/>
    <x v="0"/>
    <n v="2239068662"/>
    <x v="5"/>
    <n v="-4300"/>
    <x v="0"/>
    <x v="0"/>
    <x v="1"/>
    <x v="5"/>
    <x v="0"/>
    <x v="0"/>
    <x v="5"/>
    <x v="0"/>
  </r>
  <r>
    <x v="0"/>
    <x v="0"/>
    <n v="2239068662"/>
    <x v="4"/>
    <n v="10000"/>
    <x v="0"/>
    <x v="0"/>
    <x v="1"/>
    <x v="4"/>
    <x v="0"/>
    <x v="0"/>
    <x v="4"/>
    <x v="0"/>
  </r>
  <r>
    <x v="0"/>
    <x v="0"/>
    <n v="2239068663"/>
    <x v="2"/>
    <n v="17490"/>
    <x v="0"/>
    <x v="0"/>
    <x v="1"/>
    <x v="2"/>
    <x v="0"/>
    <x v="0"/>
    <x v="2"/>
    <x v="0"/>
  </r>
  <r>
    <x v="0"/>
    <x v="0"/>
    <n v="2239068665"/>
    <x v="2"/>
    <n v="8250"/>
    <x v="0"/>
    <x v="0"/>
    <x v="1"/>
    <x v="2"/>
    <x v="0"/>
    <x v="0"/>
    <x v="2"/>
    <x v="0"/>
  </r>
  <r>
    <x v="0"/>
    <x v="0"/>
    <n v="2239068666"/>
    <x v="2"/>
    <n v="7500"/>
    <x v="0"/>
    <x v="0"/>
    <x v="1"/>
    <x v="2"/>
    <x v="0"/>
    <x v="0"/>
    <x v="2"/>
    <x v="0"/>
  </r>
  <r>
    <x v="0"/>
    <x v="0"/>
    <n v="2239068669"/>
    <x v="2"/>
    <n v="4125"/>
    <x v="0"/>
    <x v="0"/>
    <x v="1"/>
    <x v="2"/>
    <x v="0"/>
    <x v="0"/>
    <x v="2"/>
    <x v="0"/>
  </r>
  <r>
    <x v="0"/>
    <x v="0"/>
    <n v="2239068670"/>
    <x v="6"/>
    <n v="63600"/>
    <x v="0"/>
    <x v="0"/>
    <x v="1"/>
    <x v="6"/>
    <x v="0"/>
    <x v="0"/>
    <x v="5"/>
    <x v="0"/>
  </r>
  <r>
    <x v="0"/>
    <x v="0"/>
    <n v="2239068670"/>
    <x v="7"/>
    <n v="2500"/>
    <x v="0"/>
    <x v="0"/>
    <x v="1"/>
    <x v="7"/>
    <x v="0"/>
    <x v="0"/>
    <x v="1"/>
    <x v="0"/>
  </r>
  <r>
    <x v="0"/>
    <x v="0"/>
    <n v="2239068671"/>
    <x v="5"/>
    <n v="-4700"/>
    <x v="0"/>
    <x v="0"/>
    <x v="1"/>
    <x v="5"/>
    <x v="0"/>
    <x v="0"/>
    <x v="5"/>
    <x v="0"/>
  </r>
  <r>
    <x v="0"/>
    <x v="0"/>
    <n v="2239068671"/>
    <x v="4"/>
    <n v="10000"/>
    <x v="0"/>
    <x v="0"/>
    <x v="1"/>
    <x v="4"/>
    <x v="0"/>
    <x v="0"/>
    <x v="4"/>
    <x v="0"/>
  </r>
  <r>
    <x v="0"/>
    <x v="0"/>
    <n v="2239068672"/>
    <x v="2"/>
    <n v="10000"/>
    <x v="0"/>
    <x v="0"/>
    <x v="1"/>
    <x v="2"/>
    <x v="0"/>
    <x v="0"/>
    <x v="2"/>
    <x v="0"/>
  </r>
  <r>
    <x v="0"/>
    <x v="0"/>
    <n v="2239068673"/>
    <x v="3"/>
    <n v="4400"/>
    <x v="0"/>
    <x v="0"/>
    <x v="1"/>
    <x v="3"/>
    <x v="0"/>
    <x v="0"/>
    <x v="3"/>
    <x v="0"/>
  </r>
  <r>
    <x v="0"/>
    <x v="0"/>
    <n v="2239068674"/>
    <x v="5"/>
    <n v="-4700"/>
    <x v="0"/>
    <x v="0"/>
    <x v="1"/>
    <x v="5"/>
    <x v="0"/>
    <x v="0"/>
    <x v="5"/>
    <x v="0"/>
  </r>
  <r>
    <x v="0"/>
    <x v="0"/>
    <n v="2239068674"/>
    <x v="4"/>
    <n v="10000"/>
    <x v="0"/>
    <x v="0"/>
    <x v="1"/>
    <x v="4"/>
    <x v="0"/>
    <x v="0"/>
    <x v="4"/>
    <x v="0"/>
  </r>
  <r>
    <x v="0"/>
    <x v="0"/>
    <n v="2239068675"/>
    <x v="6"/>
    <n v="3000"/>
    <x v="0"/>
    <x v="0"/>
    <x v="1"/>
    <x v="6"/>
    <x v="0"/>
    <x v="0"/>
    <x v="5"/>
    <x v="0"/>
  </r>
  <r>
    <x v="0"/>
    <x v="0"/>
    <n v="2239068676"/>
    <x v="2"/>
    <n v="1000"/>
    <x v="0"/>
    <x v="0"/>
    <x v="1"/>
    <x v="2"/>
    <x v="0"/>
    <x v="0"/>
    <x v="2"/>
    <x v="0"/>
  </r>
  <r>
    <x v="0"/>
    <x v="0"/>
    <n v="2239068677"/>
    <x v="3"/>
    <n v="8250"/>
    <x v="0"/>
    <x v="0"/>
    <x v="1"/>
    <x v="3"/>
    <x v="0"/>
    <x v="0"/>
    <x v="3"/>
    <x v="0"/>
  </r>
  <r>
    <x v="0"/>
    <x v="0"/>
    <n v="2239068678"/>
    <x v="5"/>
    <n v="-4700"/>
    <x v="0"/>
    <x v="0"/>
    <x v="1"/>
    <x v="5"/>
    <x v="0"/>
    <x v="0"/>
    <x v="5"/>
    <x v="0"/>
  </r>
  <r>
    <x v="0"/>
    <x v="0"/>
    <n v="2239068678"/>
    <x v="4"/>
    <n v="10000"/>
    <x v="0"/>
    <x v="0"/>
    <x v="1"/>
    <x v="4"/>
    <x v="0"/>
    <x v="0"/>
    <x v="4"/>
    <x v="0"/>
  </r>
  <r>
    <x v="0"/>
    <x v="0"/>
    <n v="2239068679"/>
    <x v="5"/>
    <n v="-2250"/>
    <x v="0"/>
    <x v="0"/>
    <x v="1"/>
    <x v="5"/>
    <x v="0"/>
    <x v="0"/>
    <x v="5"/>
    <x v="0"/>
  </r>
  <r>
    <x v="0"/>
    <x v="0"/>
    <n v="2239068679"/>
    <x v="6"/>
    <n v="5500"/>
    <x v="0"/>
    <x v="0"/>
    <x v="1"/>
    <x v="6"/>
    <x v="0"/>
    <x v="0"/>
    <x v="5"/>
    <x v="0"/>
  </r>
  <r>
    <x v="0"/>
    <x v="0"/>
    <n v="2239068681"/>
    <x v="1"/>
    <n v="1800"/>
    <x v="0"/>
    <x v="0"/>
    <x v="1"/>
    <x v="1"/>
    <x v="0"/>
    <x v="0"/>
    <x v="1"/>
    <x v="0"/>
  </r>
  <r>
    <x v="0"/>
    <x v="0"/>
    <n v="2239068682"/>
    <x v="5"/>
    <n v="-5000"/>
    <x v="0"/>
    <x v="0"/>
    <x v="1"/>
    <x v="5"/>
    <x v="0"/>
    <x v="0"/>
    <x v="5"/>
    <x v="0"/>
  </r>
  <r>
    <x v="0"/>
    <x v="0"/>
    <n v="2239068682"/>
    <x v="4"/>
    <n v="10000"/>
    <x v="0"/>
    <x v="0"/>
    <x v="1"/>
    <x v="4"/>
    <x v="0"/>
    <x v="0"/>
    <x v="4"/>
    <x v="0"/>
  </r>
  <r>
    <x v="0"/>
    <x v="0"/>
    <n v="2239068684"/>
    <x v="5"/>
    <n v="-3000"/>
    <x v="0"/>
    <x v="0"/>
    <x v="1"/>
    <x v="5"/>
    <x v="0"/>
    <x v="0"/>
    <x v="5"/>
    <x v="0"/>
  </r>
  <r>
    <x v="0"/>
    <x v="0"/>
    <n v="2239068684"/>
    <x v="6"/>
    <n v="10000"/>
    <x v="0"/>
    <x v="0"/>
    <x v="1"/>
    <x v="6"/>
    <x v="0"/>
    <x v="0"/>
    <x v="5"/>
    <x v="0"/>
  </r>
  <r>
    <x v="0"/>
    <x v="0"/>
    <n v="2239068685"/>
    <x v="5"/>
    <n v="-16500"/>
    <x v="0"/>
    <x v="0"/>
    <x v="1"/>
    <x v="5"/>
    <x v="0"/>
    <x v="0"/>
    <x v="5"/>
    <x v="0"/>
  </r>
  <r>
    <x v="0"/>
    <x v="0"/>
    <n v="2239068685"/>
    <x v="6"/>
    <n v="20000"/>
    <x v="0"/>
    <x v="0"/>
    <x v="1"/>
    <x v="6"/>
    <x v="0"/>
    <x v="0"/>
    <x v="5"/>
    <x v="0"/>
  </r>
  <r>
    <x v="0"/>
    <x v="0"/>
    <n v="2239068686"/>
    <x v="6"/>
    <n v="7000"/>
    <x v="0"/>
    <x v="0"/>
    <x v="1"/>
    <x v="6"/>
    <x v="0"/>
    <x v="0"/>
    <x v="5"/>
    <x v="0"/>
  </r>
  <r>
    <x v="0"/>
    <x v="0"/>
    <n v="2239068687"/>
    <x v="2"/>
    <n v="19195"/>
    <x v="0"/>
    <x v="0"/>
    <x v="1"/>
    <x v="2"/>
    <x v="0"/>
    <x v="0"/>
    <x v="2"/>
    <x v="0"/>
  </r>
  <r>
    <x v="0"/>
    <x v="0"/>
    <n v="2239068687"/>
    <x v="7"/>
    <n v="17450"/>
    <x v="0"/>
    <x v="0"/>
    <x v="1"/>
    <x v="7"/>
    <x v="0"/>
    <x v="0"/>
    <x v="1"/>
    <x v="0"/>
  </r>
  <r>
    <x v="0"/>
    <x v="0"/>
    <n v="2239068688"/>
    <x v="2"/>
    <n v="40040"/>
    <x v="0"/>
    <x v="0"/>
    <x v="1"/>
    <x v="2"/>
    <x v="0"/>
    <x v="0"/>
    <x v="2"/>
    <x v="0"/>
  </r>
  <r>
    <x v="0"/>
    <x v="0"/>
    <n v="2239068689"/>
    <x v="2"/>
    <n v="7150"/>
    <x v="0"/>
    <x v="0"/>
    <x v="1"/>
    <x v="2"/>
    <x v="0"/>
    <x v="0"/>
    <x v="2"/>
    <x v="0"/>
  </r>
  <r>
    <x v="0"/>
    <x v="0"/>
    <n v="2239068690"/>
    <x v="5"/>
    <n v="-3000"/>
    <x v="0"/>
    <x v="0"/>
    <x v="1"/>
    <x v="5"/>
    <x v="0"/>
    <x v="0"/>
    <x v="5"/>
    <x v="0"/>
  </r>
  <r>
    <x v="0"/>
    <x v="0"/>
    <n v="2239068690"/>
    <x v="6"/>
    <n v="15000"/>
    <x v="0"/>
    <x v="0"/>
    <x v="1"/>
    <x v="6"/>
    <x v="0"/>
    <x v="0"/>
    <x v="5"/>
    <x v="0"/>
  </r>
  <r>
    <x v="0"/>
    <x v="0"/>
    <n v="2239068693"/>
    <x v="5"/>
    <n v="-4400"/>
    <x v="0"/>
    <x v="0"/>
    <x v="1"/>
    <x v="5"/>
    <x v="0"/>
    <x v="0"/>
    <x v="5"/>
    <x v="0"/>
  </r>
  <r>
    <x v="0"/>
    <x v="0"/>
    <n v="2239068693"/>
    <x v="4"/>
    <n v="10000"/>
    <x v="0"/>
    <x v="0"/>
    <x v="1"/>
    <x v="4"/>
    <x v="0"/>
    <x v="0"/>
    <x v="4"/>
    <x v="0"/>
  </r>
  <r>
    <x v="0"/>
    <x v="0"/>
    <n v="2239068694"/>
    <x v="7"/>
    <n v="1500"/>
    <x v="0"/>
    <x v="0"/>
    <x v="1"/>
    <x v="7"/>
    <x v="0"/>
    <x v="0"/>
    <x v="1"/>
    <x v="0"/>
  </r>
  <r>
    <x v="0"/>
    <x v="0"/>
    <n v="2239068695"/>
    <x v="7"/>
    <n v="1500"/>
    <x v="0"/>
    <x v="0"/>
    <x v="1"/>
    <x v="7"/>
    <x v="0"/>
    <x v="0"/>
    <x v="1"/>
    <x v="0"/>
  </r>
  <r>
    <x v="0"/>
    <x v="0"/>
    <n v="2239068696"/>
    <x v="5"/>
    <n v="-150"/>
    <x v="0"/>
    <x v="0"/>
    <x v="1"/>
    <x v="5"/>
    <x v="0"/>
    <x v="0"/>
    <x v="5"/>
    <x v="0"/>
  </r>
  <r>
    <x v="0"/>
    <x v="0"/>
    <n v="2239068696"/>
    <x v="6"/>
    <n v="25000"/>
    <x v="0"/>
    <x v="0"/>
    <x v="1"/>
    <x v="6"/>
    <x v="0"/>
    <x v="0"/>
    <x v="5"/>
    <x v="0"/>
  </r>
  <r>
    <x v="0"/>
    <x v="0"/>
    <n v="2239068698"/>
    <x v="5"/>
    <n v="-4300"/>
    <x v="0"/>
    <x v="0"/>
    <x v="1"/>
    <x v="5"/>
    <x v="0"/>
    <x v="0"/>
    <x v="5"/>
    <x v="0"/>
  </r>
  <r>
    <x v="0"/>
    <x v="0"/>
    <n v="2239068698"/>
    <x v="6"/>
    <n v="10000"/>
    <x v="0"/>
    <x v="0"/>
    <x v="1"/>
    <x v="6"/>
    <x v="0"/>
    <x v="0"/>
    <x v="5"/>
    <x v="0"/>
  </r>
  <r>
    <x v="0"/>
    <x v="0"/>
    <n v="2239068699"/>
    <x v="2"/>
    <n v="61490"/>
    <x v="0"/>
    <x v="0"/>
    <x v="1"/>
    <x v="2"/>
    <x v="0"/>
    <x v="0"/>
    <x v="2"/>
    <x v="0"/>
  </r>
  <r>
    <x v="0"/>
    <x v="0"/>
    <n v="2239068700"/>
    <x v="2"/>
    <n v="13000"/>
    <x v="0"/>
    <x v="0"/>
    <x v="1"/>
    <x v="2"/>
    <x v="0"/>
    <x v="0"/>
    <x v="2"/>
    <x v="0"/>
  </r>
  <r>
    <x v="0"/>
    <x v="0"/>
    <n v="2239068701"/>
    <x v="2"/>
    <n v="5720"/>
    <x v="0"/>
    <x v="0"/>
    <x v="1"/>
    <x v="2"/>
    <x v="0"/>
    <x v="0"/>
    <x v="2"/>
    <x v="0"/>
  </r>
  <r>
    <x v="0"/>
    <x v="0"/>
    <n v="2239068701"/>
    <x v="7"/>
    <n v="1300"/>
    <x v="0"/>
    <x v="0"/>
    <x v="1"/>
    <x v="7"/>
    <x v="0"/>
    <x v="0"/>
    <x v="1"/>
    <x v="0"/>
  </r>
  <r>
    <x v="0"/>
    <x v="0"/>
    <n v="2239068702"/>
    <x v="7"/>
    <n v="7500"/>
    <x v="0"/>
    <x v="0"/>
    <x v="1"/>
    <x v="7"/>
    <x v="0"/>
    <x v="0"/>
    <x v="1"/>
    <x v="0"/>
  </r>
  <r>
    <x v="0"/>
    <x v="0"/>
    <n v="2239068703"/>
    <x v="7"/>
    <n v="1500"/>
    <x v="0"/>
    <x v="0"/>
    <x v="1"/>
    <x v="7"/>
    <x v="0"/>
    <x v="0"/>
    <x v="1"/>
    <x v="0"/>
  </r>
  <r>
    <x v="0"/>
    <x v="0"/>
    <n v="2239068705"/>
    <x v="7"/>
    <n v="7500"/>
    <x v="0"/>
    <x v="0"/>
    <x v="1"/>
    <x v="7"/>
    <x v="0"/>
    <x v="0"/>
    <x v="1"/>
    <x v="0"/>
  </r>
  <r>
    <x v="0"/>
    <x v="0"/>
    <n v="2239068706"/>
    <x v="7"/>
    <n v="7500"/>
    <x v="0"/>
    <x v="0"/>
    <x v="1"/>
    <x v="7"/>
    <x v="0"/>
    <x v="0"/>
    <x v="1"/>
    <x v="0"/>
  </r>
  <r>
    <x v="0"/>
    <x v="0"/>
    <n v="2239068708"/>
    <x v="5"/>
    <n v="-17550"/>
    <x v="0"/>
    <x v="0"/>
    <x v="1"/>
    <x v="5"/>
    <x v="0"/>
    <x v="0"/>
    <x v="5"/>
    <x v="0"/>
  </r>
  <r>
    <x v="0"/>
    <x v="0"/>
    <n v="2239068708"/>
    <x v="6"/>
    <n v="20000"/>
    <x v="0"/>
    <x v="0"/>
    <x v="1"/>
    <x v="6"/>
    <x v="0"/>
    <x v="0"/>
    <x v="5"/>
    <x v="0"/>
  </r>
  <r>
    <x v="0"/>
    <x v="0"/>
    <n v="2239068710"/>
    <x v="2"/>
    <n v="6600"/>
    <x v="0"/>
    <x v="0"/>
    <x v="1"/>
    <x v="2"/>
    <x v="0"/>
    <x v="0"/>
    <x v="2"/>
    <x v="0"/>
  </r>
  <r>
    <x v="0"/>
    <x v="0"/>
    <n v="2239068711"/>
    <x v="5"/>
    <n v="-500"/>
    <x v="0"/>
    <x v="0"/>
    <x v="1"/>
    <x v="5"/>
    <x v="0"/>
    <x v="0"/>
    <x v="5"/>
    <x v="0"/>
  </r>
  <r>
    <x v="0"/>
    <x v="0"/>
    <n v="2239068711"/>
    <x v="6"/>
    <n v="10000"/>
    <x v="0"/>
    <x v="0"/>
    <x v="1"/>
    <x v="6"/>
    <x v="0"/>
    <x v="0"/>
    <x v="5"/>
    <x v="0"/>
  </r>
  <r>
    <x v="0"/>
    <x v="0"/>
    <n v="2239068713"/>
    <x v="2"/>
    <n v="12650"/>
    <x v="0"/>
    <x v="0"/>
    <x v="1"/>
    <x v="2"/>
    <x v="0"/>
    <x v="0"/>
    <x v="2"/>
    <x v="0"/>
  </r>
  <r>
    <x v="0"/>
    <x v="0"/>
    <n v="2239068714"/>
    <x v="2"/>
    <n v="7150"/>
    <x v="0"/>
    <x v="0"/>
    <x v="1"/>
    <x v="2"/>
    <x v="0"/>
    <x v="0"/>
    <x v="2"/>
    <x v="0"/>
  </r>
  <r>
    <x v="0"/>
    <x v="0"/>
    <n v="2239068715"/>
    <x v="2"/>
    <n v="24750"/>
    <x v="0"/>
    <x v="0"/>
    <x v="1"/>
    <x v="2"/>
    <x v="0"/>
    <x v="0"/>
    <x v="2"/>
    <x v="0"/>
  </r>
  <r>
    <x v="0"/>
    <x v="0"/>
    <n v="2239068716"/>
    <x v="2"/>
    <n v="5500"/>
    <x v="0"/>
    <x v="0"/>
    <x v="1"/>
    <x v="2"/>
    <x v="0"/>
    <x v="0"/>
    <x v="2"/>
    <x v="0"/>
  </r>
  <r>
    <x v="0"/>
    <x v="0"/>
    <n v="2239068719"/>
    <x v="5"/>
    <n v="-5000"/>
    <x v="0"/>
    <x v="0"/>
    <x v="1"/>
    <x v="5"/>
    <x v="0"/>
    <x v="0"/>
    <x v="5"/>
    <x v="0"/>
  </r>
  <r>
    <x v="0"/>
    <x v="0"/>
    <n v="2239068719"/>
    <x v="4"/>
    <n v="10000"/>
    <x v="0"/>
    <x v="0"/>
    <x v="1"/>
    <x v="4"/>
    <x v="0"/>
    <x v="0"/>
    <x v="4"/>
    <x v="0"/>
  </r>
  <r>
    <x v="0"/>
    <x v="0"/>
    <n v="2239068720"/>
    <x v="1"/>
    <n v="1140"/>
    <x v="0"/>
    <x v="0"/>
    <x v="1"/>
    <x v="1"/>
    <x v="0"/>
    <x v="0"/>
    <x v="1"/>
    <x v="0"/>
  </r>
  <r>
    <x v="0"/>
    <x v="0"/>
    <n v="2239068721"/>
    <x v="5"/>
    <n v="-5000"/>
    <x v="0"/>
    <x v="0"/>
    <x v="1"/>
    <x v="5"/>
    <x v="0"/>
    <x v="0"/>
    <x v="5"/>
    <x v="0"/>
  </r>
  <r>
    <x v="0"/>
    <x v="0"/>
    <n v="2239068721"/>
    <x v="6"/>
    <n v="10000"/>
    <x v="0"/>
    <x v="0"/>
    <x v="1"/>
    <x v="6"/>
    <x v="0"/>
    <x v="0"/>
    <x v="5"/>
    <x v="0"/>
  </r>
  <r>
    <x v="0"/>
    <x v="0"/>
    <n v="2239068722"/>
    <x v="1"/>
    <n v="1200"/>
    <x v="0"/>
    <x v="0"/>
    <x v="1"/>
    <x v="1"/>
    <x v="0"/>
    <x v="0"/>
    <x v="1"/>
    <x v="0"/>
  </r>
  <r>
    <x v="0"/>
    <x v="0"/>
    <n v="2239068723"/>
    <x v="2"/>
    <n v="4000"/>
    <x v="0"/>
    <x v="0"/>
    <x v="1"/>
    <x v="2"/>
    <x v="0"/>
    <x v="0"/>
    <x v="2"/>
    <x v="0"/>
  </r>
  <r>
    <x v="0"/>
    <x v="0"/>
    <n v="2239068724"/>
    <x v="2"/>
    <n v="33000"/>
    <x v="0"/>
    <x v="0"/>
    <x v="1"/>
    <x v="2"/>
    <x v="0"/>
    <x v="0"/>
    <x v="2"/>
    <x v="0"/>
  </r>
  <r>
    <x v="0"/>
    <x v="0"/>
    <n v="2239068726"/>
    <x v="5"/>
    <n v="-5000"/>
    <x v="0"/>
    <x v="0"/>
    <x v="1"/>
    <x v="5"/>
    <x v="0"/>
    <x v="0"/>
    <x v="5"/>
    <x v="0"/>
  </r>
  <r>
    <x v="0"/>
    <x v="0"/>
    <n v="2239068726"/>
    <x v="4"/>
    <n v="10000"/>
    <x v="0"/>
    <x v="0"/>
    <x v="1"/>
    <x v="4"/>
    <x v="0"/>
    <x v="0"/>
    <x v="4"/>
    <x v="0"/>
  </r>
  <r>
    <x v="0"/>
    <x v="0"/>
    <n v="2239068727"/>
    <x v="3"/>
    <n v="13475"/>
    <x v="0"/>
    <x v="0"/>
    <x v="1"/>
    <x v="3"/>
    <x v="0"/>
    <x v="0"/>
    <x v="3"/>
    <x v="0"/>
  </r>
  <r>
    <x v="0"/>
    <x v="0"/>
    <n v="2239068728"/>
    <x v="1"/>
    <n v="3000"/>
    <x v="0"/>
    <x v="0"/>
    <x v="1"/>
    <x v="1"/>
    <x v="0"/>
    <x v="0"/>
    <x v="1"/>
    <x v="0"/>
  </r>
  <r>
    <x v="0"/>
    <x v="0"/>
    <n v="2239068729"/>
    <x v="7"/>
    <n v="1500"/>
    <x v="0"/>
    <x v="0"/>
    <x v="1"/>
    <x v="7"/>
    <x v="0"/>
    <x v="0"/>
    <x v="1"/>
    <x v="0"/>
  </r>
  <r>
    <x v="0"/>
    <x v="0"/>
    <n v="2239068730"/>
    <x v="3"/>
    <n v="9350"/>
    <x v="0"/>
    <x v="0"/>
    <x v="1"/>
    <x v="3"/>
    <x v="0"/>
    <x v="0"/>
    <x v="3"/>
    <x v="0"/>
  </r>
  <r>
    <x v="0"/>
    <x v="0"/>
    <n v="2239068731"/>
    <x v="1"/>
    <n v="10620"/>
    <x v="0"/>
    <x v="0"/>
    <x v="1"/>
    <x v="1"/>
    <x v="0"/>
    <x v="0"/>
    <x v="1"/>
    <x v="0"/>
  </r>
  <r>
    <x v="0"/>
    <x v="0"/>
    <n v="2239068732"/>
    <x v="2"/>
    <n v="24090"/>
    <x v="0"/>
    <x v="0"/>
    <x v="1"/>
    <x v="2"/>
    <x v="0"/>
    <x v="0"/>
    <x v="2"/>
    <x v="0"/>
  </r>
  <r>
    <x v="0"/>
    <x v="0"/>
    <n v="2239068733"/>
    <x v="2"/>
    <n v="5280"/>
    <x v="0"/>
    <x v="0"/>
    <x v="1"/>
    <x v="2"/>
    <x v="0"/>
    <x v="0"/>
    <x v="2"/>
    <x v="0"/>
  </r>
  <r>
    <x v="0"/>
    <x v="0"/>
    <n v="2239068734"/>
    <x v="1"/>
    <n v="900"/>
    <x v="0"/>
    <x v="0"/>
    <x v="1"/>
    <x v="1"/>
    <x v="0"/>
    <x v="0"/>
    <x v="1"/>
    <x v="0"/>
  </r>
  <r>
    <x v="0"/>
    <x v="0"/>
    <n v="2239068736"/>
    <x v="5"/>
    <n v="-1400"/>
    <x v="0"/>
    <x v="0"/>
    <x v="1"/>
    <x v="5"/>
    <x v="0"/>
    <x v="0"/>
    <x v="5"/>
    <x v="0"/>
  </r>
  <r>
    <x v="0"/>
    <x v="0"/>
    <n v="2239068736"/>
    <x v="6"/>
    <n v="12000"/>
    <x v="0"/>
    <x v="0"/>
    <x v="1"/>
    <x v="6"/>
    <x v="0"/>
    <x v="0"/>
    <x v="5"/>
    <x v="0"/>
  </r>
  <r>
    <x v="0"/>
    <x v="0"/>
    <n v="2239068738"/>
    <x v="5"/>
    <n v="-15400"/>
    <x v="0"/>
    <x v="0"/>
    <x v="1"/>
    <x v="5"/>
    <x v="0"/>
    <x v="0"/>
    <x v="5"/>
    <x v="0"/>
  </r>
  <r>
    <x v="0"/>
    <x v="0"/>
    <n v="2239068738"/>
    <x v="4"/>
    <n v="20000"/>
    <x v="0"/>
    <x v="0"/>
    <x v="1"/>
    <x v="4"/>
    <x v="0"/>
    <x v="0"/>
    <x v="4"/>
    <x v="0"/>
  </r>
  <r>
    <x v="0"/>
    <x v="0"/>
    <n v="2239068739"/>
    <x v="2"/>
    <n v="13000"/>
    <x v="0"/>
    <x v="0"/>
    <x v="1"/>
    <x v="2"/>
    <x v="0"/>
    <x v="0"/>
    <x v="2"/>
    <x v="0"/>
  </r>
  <r>
    <x v="0"/>
    <x v="0"/>
    <n v="2239068740"/>
    <x v="0"/>
    <n v="6150"/>
    <x v="0"/>
    <x v="0"/>
    <x v="1"/>
    <x v="0"/>
    <x v="0"/>
    <x v="0"/>
    <x v="0"/>
    <x v="0"/>
  </r>
  <r>
    <x v="0"/>
    <x v="0"/>
    <n v="2239068741"/>
    <x v="2"/>
    <n v="36190"/>
    <x v="0"/>
    <x v="0"/>
    <x v="1"/>
    <x v="2"/>
    <x v="0"/>
    <x v="0"/>
    <x v="2"/>
    <x v="0"/>
  </r>
  <r>
    <x v="0"/>
    <x v="0"/>
    <n v="2239068744"/>
    <x v="2"/>
    <n v="14500"/>
    <x v="0"/>
    <x v="0"/>
    <x v="1"/>
    <x v="2"/>
    <x v="0"/>
    <x v="0"/>
    <x v="2"/>
    <x v="0"/>
  </r>
  <r>
    <x v="0"/>
    <x v="0"/>
    <n v="2239068745"/>
    <x v="2"/>
    <n v="20900"/>
    <x v="0"/>
    <x v="0"/>
    <x v="1"/>
    <x v="2"/>
    <x v="0"/>
    <x v="0"/>
    <x v="2"/>
    <x v="0"/>
  </r>
  <r>
    <x v="0"/>
    <x v="0"/>
    <n v="2239068746"/>
    <x v="2"/>
    <n v="38940"/>
    <x v="0"/>
    <x v="0"/>
    <x v="1"/>
    <x v="2"/>
    <x v="0"/>
    <x v="0"/>
    <x v="2"/>
    <x v="0"/>
  </r>
  <r>
    <x v="0"/>
    <x v="0"/>
    <n v="2239068747"/>
    <x v="7"/>
    <n v="3800"/>
    <x v="0"/>
    <x v="0"/>
    <x v="1"/>
    <x v="7"/>
    <x v="0"/>
    <x v="0"/>
    <x v="1"/>
    <x v="0"/>
  </r>
  <r>
    <x v="0"/>
    <x v="0"/>
    <n v="2239068749"/>
    <x v="2"/>
    <n v="12800"/>
    <x v="0"/>
    <x v="0"/>
    <x v="1"/>
    <x v="2"/>
    <x v="0"/>
    <x v="0"/>
    <x v="2"/>
    <x v="0"/>
  </r>
  <r>
    <x v="0"/>
    <x v="0"/>
    <n v="2239068750"/>
    <x v="2"/>
    <n v="9500"/>
    <x v="0"/>
    <x v="0"/>
    <x v="1"/>
    <x v="2"/>
    <x v="0"/>
    <x v="0"/>
    <x v="2"/>
    <x v="0"/>
  </r>
  <r>
    <x v="0"/>
    <x v="0"/>
    <n v="2239068751"/>
    <x v="2"/>
    <n v="9500"/>
    <x v="0"/>
    <x v="0"/>
    <x v="1"/>
    <x v="2"/>
    <x v="0"/>
    <x v="0"/>
    <x v="2"/>
    <x v="0"/>
  </r>
  <r>
    <x v="0"/>
    <x v="0"/>
    <n v="2239068752"/>
    <x v="5"/>
    <n v="-4300"/>
    <x v="0"/>
    <x v="0"/>
    <x v="1"/>
    <x v="5"/>
    <x v="0"/>
    <x v="0"/>
    <x v="5"/>
    <x v="0"/>
  </r>
  <r>
    <x v="0"/>
    <x v="0"/>
    <n v="2239068752"/>
    <x v="4"/>
    <n v="10000"/>
    <x v="0"/>
    <x v="0"/>
    <x v="1"/>
    <x v="4"/>
    <x v="0"/>
    <x v="0"/>
    <x v="4"/>
    <x v="0"/>
  </r>
  <r>
    <x v="0"/>
    <x v="0"/>
    <n v="2239068753"/>
    <x v="1"/>
    <n v="1800"/>
    <x v="0"/>
    <x v="0"/>
    <x v="1"/>
    <x v="1"/>
    <x v="0"/>
    <x v="0"/>
    <x v="1"/>
    <x v="0"/>
  </r>
  <r>
    <x v="0"/>
    <x v="0"/>
    <n v="2239068754"/>
    <x v="5"/>
    <n v="-6000"/>
    <x v="0"/>
    <x v="0"/>
    <x v="1"/>
    <x v="5"/>
    <x v="0"/>
    <x v="0"/>
    <x v="5"/>
    <x v="0"/>
  </r>
  <r>
    <x v="0"/>
    <x v="0"/>
    <n v="2239068754"/>
    <x v="4"/>
    <n v="10400"/>
    <x v="0"/>
    <x v="0"/>
    <x v="1"/>
    <x v="4"/>
    <x v="0"/>
    <x v="0"/>
    <x v="4"/>
    <x v="0"/>
  </r>
  <r>
    <x v="0"/>
    <x v="0"/>
    <n v="2239068755"/>
    <x v="2"/>
    <n v="11440"/>
    <x v="0"/>
    <x v="0"/>
    <x v="1"/>
    <x v="2"/>
    <x v="0"/>
    <x v="0"/>
    <x v="2"/>
    <x v="0"/>
  </r>
  <r>
    <x v="0"/>
    <x v="0"/>
    <n v="2239068755"/>
    <x v="7"/>
    <n v="2600"/>
    <x v="0"/>
    <x v="0"/>
    <x v="1"/>
    <x v="7"/>
    <x v="0"/>
    <x v="0"/>
    <x v="1"/>
    <x v="0"/>
  </r>
  <r>
    <x v="0"/>
    <x v="0"/>
    <n v="2239068756"/>
    <x v="2"/>
    <n v="6000"/>
    <x v="0"/>
    <x v="0"/>
    <x v="1"/>
    <x v="2"/>
    <x v="0"/>
    <x v="0"/>
    <x v="2"/>
    <x v="0"/>
  </r>
  <r>
    <x v="0"/>
    <x v="0"/>
    <n v="2239068757"/>
    <x v="2"/>
    <n v="8000"/>
    <x v="0"/>
    <x v="0"/>
    <x v="1"/>
    <x v="2"/>
    <x v="0"/>
    <x v="0"/>
    <x v="2"/>
    <x v="0"/>
  </r>
  <r>
    <x v="0"/>
    <x v="0"/>
    <n v="2239068758"/>
    <x v="2"/>
    <n v="7500"/>
    <x v="0"/>
    <x v="0"/>
    <x v="1"/>
    <x v="2"/>
    <x v="0"/>
    <x v="0"/>
    <x v="2"/>
    <x v="0"/>
  </r>
  <r>
    <x v="0"/>
    <x v="0"/>
    <n v="2239068759"/>
    <x v="1"/>
    <n v="11800"/>
    <x v="0"/>
    <x v="0"/>
    <x v="1"/>
    <x v="1"/>
    <x v="0"/>
    <x v="0"/>
    <x v="1"/>
    <x v="0"/>
  </r>
  <r>
    <x v="0"/>
    <x v="0"/>
    <n v="2239068760"/>
    <x v="7"/>
    <n v="1500"/>
    <x v="0"/>
    <x v="0"/>
    <x v="1"/>
    <x v="7"/>
    <x v="0"/>
    <x v="0"/>
    <x v="1"/>
    <x v="0"/>
  </r>
  <r>
    <x v="0"/>
    <x v="0"/>
    <n v="2239068761"/>
    <x v="7"/>
    <n v="1500"/>
    <x v="0"/>
    <x v="0"/>
    <x v="1"/>
    <x v="7"/>
    <x v="0"/>
    <x v="0"/>
    <x v="1"/>
    <x v="0"/>
  </r>
  <r>
    <x v="0"/>
    <x v="0"/>
    <n v="2239068762"/>
    <x v="2"/>
    <n v="9000"/>
    <x v="0"/>
    <x v="0"/>
    <x v="1"/>
    <x v="2"/>
    <x v="0"/>
    <x v="0"/>
    <x v="2"/>
    <x v="0"/>
  </r>
  <r>
    <x v="0"/>
    <x v="0"/>
    <n v="2239068763"/>
    <x v="2"/>
    <n v="6500"/>
    <x v="0"/>
    <x v="0"/>
    <x v="1"/>
    <x v="2"/>
    <x v="0"/>
    <x v="0"/>
    <x v="2"/>
    <x v="0"/>
  </r>
  <r>
    <x v="0"/>
    <x v="0"/>
    <n v="2239068764"/>
    <x v="7"/>
    <n v="1500"/>
    <x v="0"/>
    <x v="0"/>
    <x v="1"/>
    <x v="7"/>
    <x v="0"/>
    <x v="0"/>
    <x v="1"/>
    <x v="0"/>
  </r>
  <r>
    <x v="0"/>
    <x v="0"/>
    <n v="2239068765"/>
    <x v="7"/>
    <n v="1500"/>
    <x v="0"/>
    <x v="0"/>
    <x v="1"/>
    <x v="7"/>
    <x v="0"/>
    <x v="0"/>
    <x v="1"/>
    <x v="0"/>
  </r>
  <r>
    <x v="0"/>
    <x v="0"/>
    <n v="2239068766"/>
    <x v="2"/>
    <n v="14300"/>
    <x v="0"/>
    <x v="0"/>
    <x v="1"/>
    <x v="2"/>
    <x v="0"/>
    <x v="0"/>
    <x v="2"/>
    <x v="0"/>
  </r>
  <r>
    <x v="0"/>
    <x v="0"/>
    <n v="2239068767"/>
    <x v="4"/>
    <n v="5300"/>
    <x v="0"/>
    <x v="0"/>
    <x v="1"/>
    <x v="4"/>
    <x v="0"/>
    <x v="0"/>
    <x v="4"/>
    <x v="0"/>
  </r>
  <r>
    <x v="0"/>
    <x v="0"/>
    <n v="2239068768"/>
    <x v="2"/>
    <n v="6200"/>
    <x v="0"/>
    <x v="0"/>
    <x v="1"/>
    <x v="2"/>
    <x v="0"/>
    <x v="0"/>
    <x v="2"/>
    <x v="0"/>
  </r>
  <r>
    <x v="0"/>
    <x v="0"/>
    <n v="2239068769"/>
    <x v="5"/>
    <n v="-3000"/>
    <x v="0"/>
    <x v="0"/>
    <x v="1"/>
    <x v="5"/>
    <x v="0"/>
    <x v="0"/>
    <x v="5"/>
    <x v="0"/>
  </r>
  <r>
    <x v="0"/>
    <x v="0"/>
    <n v="2239068769"/>
    <x v="6"/>
    <n v="10000"/>
    <x v="0"/>
    <x v="0"/>
    <x v="1"/>
    <x v="6"/>
    <x v="0"/>
    <x v="0"/>
    <x v="5"/>
    <x v="0"/>
  </r>
  <r>
    <x v="0"/>
    <x v="0"/>
    <n v="2239068770"/>
    <x v="7"/>
    <n v="1500"/>
    <x v="0"/>
    <x v="0"/>
    <x v="1"/>
    <x v="7"/>
    <x v="0"/>
    <x v="0"/>
    <x v="1"/>
    <x v="0"/>
  </r>
  <r>
    <x v="0"/>
    <x v="0"/>
    <n v="2239068772"/>
    <x v="2"/>
    <n v="19500"/>
    <x v="0"/>
    <x v="0"/>
    <x v="1"/>
    <x v="2"/>
    <x v="0"/>
    <x v="0"/>
    <x v="2"/>
    <x v="0"/>
  </r>
  <r>
    <x v="0"/>
    <x v="0"/>
    <n v="2239068773"/>
    <x v="1"/>
    <n v="1800"/>
    <x v="0"/>
    <x v="0"/>
    <x v="1"/>
    <x v="1"/>
    <x v="0"/>
    <x v="0"/>
    <x v="1"/>
    <x v="0"/>
  </r>
  <r>
    <x v="0"/>
    <x v="0"/>
    <n v="2239068774"/>
    <x v="7"/>
    <n v="1500"/>
    <x v="0"/>
    <x v="0"/>
    <x v="1"/>
    <x v="7"/>
    <x v="0"/>
    <x v="0"/>
    <x v="1"/>
    <x v="0"/>
  </r>
  <r>
    <x v="0"/>
    <x v="0"/>
    <n v="2239068775"/>
    <x v="7"/>
    <n v="1500"/>
    <x v="0"/>
    <x v="0"/>
    <x v="1"/>
    <x v="7"/>
    <x v="0"/>
    <x v="0"/>
    <x v="1"/>
    <x v="0"/>
  </r>
  <r>
    <x v="0"/>
    <x v="0"/>
    <n v="2239068777"/>
    <x v="3"/>
    <n v="7500"/>
    <x v="0"/>
    <x v="0"/>
    <x v="1"/>
    <x v="3"/>
    <x v="0"/>
    <x v="0"/>
    <x v="3"/>
    <x v="0"/>
  </r>
  <r>
    <x v="0"/>
    <x v="0"/>
    <n v="2239068777"/>
    <x v="7"/>
    <n v="500"/>
    <x v="0"/>
    <x v="0"/>
    <x v="1"/>
    <x v="7"/>
    <x v="0"/>
    <x v="0"/>
    <x v="1"/>
    <x v="0"/>
  </r>
  <r>
    <x v="0"/>
    <x v="0"/>
    <n v="2239068780"/>
    <x v="2"/>
    <n v="7200"/>
    <x v="0"/>
    <x v="0"/>
    <x v="1"/>
    <x v="2"/>
    <x v="0"/>
    <x v="0"/>
    <x v="2"/>
    <x v="0"/>
  </r>
  <r>
    <x v="0"/>
    <x v="0"/>
    <n v="2239068781"/>
    <x v="7"/>
    <n v="7500"/>
    <x v="0"/>
    <x v="0"/>
    <x v="1"/>
    <x v="7"/>
    <x v="0"/>
    <x v="0"/>
    <x v="1"/>
    <x v="0"/>
  </r>
  <r>
    <x v="0"/>
    <x v="0"/>
    <n v="2239068782"/>
    <x v="7"/>
    <n v="1500"/>
    <x v="0"/>
    <x v="0"/>
    <x v="1"/>
    <x v="7"/>
    <x v="0"/>
    <x v="0"/>
    <x v="1"/>
    <x v="0"/>
  </r>
  <r>
    <x v="0"/>
    <x v="0"/>
    <n v="2239068783"/>
    <x v="7"/>
    <n v="1500"/>
    <x v="0"/>
    <x v="0"/>
    <x v="1"/>
    <x v="7"/>
    <x v="0"/>
    <x v="0"/>
    <x v="1"/>
    <x v="0"/>
  </r>
  <r>
    <x v="0"/>
    <x v="0"/>
    <n v="2239068784"/>
    <x v="7"/>
    <n v="1500"/>
    <x v="0"/>
    <x v="0"/>
    <x v="1"/>
    <x v="7"/>
    <x v="0"/>
    <x v="0"/>
    <x v="1"/>
    <x v="0"/>
  </r>
  <r>
    <x v="0"/>
    <x v="0"/>
    <n v="2239068785"/>
    <x v="7"/>
    <n v="1500"/>
    <x v="0"/>
    <x v="0"/>
    <x v="1"/>
    <x v="7"/>
    <x v="0"/>
    <x v="0"/>
    <x v="1"/>
    <x v="0"/>
  </r>
  <r>
    <x v="0"/>
    <x v="0"/>
    <n v="2239068786"/>
    <x v="5"/>
    <n v="-14300"/>
    <x v="0"/>
    <x v="0"/>
    <x v="1"/>
    <x v="5"/>
    <x v="0"/>
    <x v="0"/>
    <x v="5"/>
    <x v="0"/>
  </r>
  <r>
    <x v="0"/>
    <x v="0"/>
    <n v="2239068786"/>
    <x v="4"/>
    <n v="20000"/>
    <x v="0"/>
    <x v="0"/>
    <x v="1"/>
    <x v="4"/>
    <x v="0"/>
    <x v="0"/>
    <x v="4"/>
    <x v="0"/>
  </r>
  <r>
    <x v="0"/>
    <x v="0"/>
    <n v="2239068787"/>
    <x v="1"/>
    <n v="5910"/>
    <x v="0"/>
    <x v="0"/>
    <x v="1"/>
    <x v="1"/>
    <x v="0"/>
    <x v="0"/>
    <x v="1"/>
    <x v="0"/>
  </r>
  <r>
    <x v="0"/>
    <x v="0"/>
    <n v="2239068788"/>
    <x v="2"/>
    <n v="5000"/>
    <x v="0"/>
    <x v="0"/>
    <x v="1"/>
    <x v="2"/>
    <x v="0"/>
    <x v="0"/>
    <x v="2"/>
    <x v="0"/>
  </r>
  <r>
    <x v="0"/>
    <x v="0"/>
    <n v="2239068789"/>
    <x v="1"/>
    <n v="12300"/>
    <x v="0"/>
    <x v="0"/>
    <x v="1"/>
    <x v="1"/>
    <x v="0"/>
    <x v="0"/>
    <x v="1"/>
    <x v="0"/>
  </r>
  <r>
    <x v="0"/>
    <x v="0"/>
    <n v="2239068790"/>
    <x v="2"/>
    <n v="15000"/>
    <x v="0"/>
    <x v="0"/>
    <x v="1"/>
    <x v="2"/>
    <x v="0"/>
    <x v="0"/>
    <x v="2"/>
    <x v="0"/>
  </r>
  <r>
    <x v="0"/>
    <x v="0"/>
    <n v="2239068791"/>
    <x v="5"/>
    <n v="-5600"/>
    <x v="0"/>
    <x v="0"/>
    <x v="1"/>
    <x v="5"/>
    <x v="0"/>
    <x v="0"/>
    <x v="5"/>
    <x v="0"/>
  </r>
  <r>
    <x v="0"/>
    <x v="0"/>
    <n v="2239068791"/>
    <x v="4"/>
    <n v="10000"/>
    <x v="0"/>
    <x v="0"/>
    <x v="1"/>
    <x v="4"/>
    <x v="0"/>
    <x v="0"/>
    <x v="4"/>
    <x v="0"/>
  </r>
  <r>
    <x v="0"/>
    <x v="0"/>
    <n v="2239068792"/>
    <x v="5"/>
    <n v="-6950"/>
    <x v="0"/>
    <x v="0"/>
    <x v="1"/>
    <x v="5"/>
    <x v="0"/>
    <x v="0"/>
    <x v="5"/>
    <x v="0"/>
  </r>
  <r>
    <x v="0"/>
    <x v="0"/>
    <n v="2239068792"/>
    <x v="6"/>
    <n v="60150"/>
    <x v="0"/>
    <x v="0"/>
    <x v="1"/>
    <x v="6"/>
    <x v="0"/>
    <x v="0"/>
    <x v="5"/>
    <x v="0"/>
  </r>
  <r>
    <x v="0"/>
    <x v="0"/>
    <n v="2239068793"/>
    <x v="5"/>
    <n v="-5000"/>
    <x v="0"/>
    <x v="0"/>
    <x v="1"/>
    <x v="5"/>
    <x v="0"/>
    <x v="0"/>
    <x v="5"/>
    <x v="0"/>
  </r>
  <r>
    <x v="0"/>
    <x v="0"/>
    <n v="2239068793"/>
    <x v="4"/>
    <n v="10000"/>
    <x v="0"/>
    <x v="0"/>
    <x v="1"/>
    <x v="4"/>
    <x v="0"/>
    <x v="0"/>
    <x v="4"/>
    <x v="0"/>
  </r>
  <r>
    <x v="0"/>
    <x v="0"/>
    <n v="2239068794"/>
    <x v="7"/>
    <n v="1500"/>
    <x v="0"/>
    <x v="0"/>
    <x v="1"/>
    <x v="7"/>
    <x v="0"/>
    <x v="0"/>
    <x v="1"/>
    <x v="0"/>
  </r>
  <r>
    <x v="0"/>
    <x v="0"/>
    <n v="2239068795"/>
    <x v="7"/>
    <n v="1500"/>
    <x v="0"/>
    <x v="0"/>
    <x v="1"/>
    <x v="7"/>
    <x v="0"/>
    <x v="0"/>
    <x v="1"/>
    <x v="0"/>
  </r>
  <r>
    <x v="0"/>
    <x v="0"/>
    <n v="2239068796"/>
    <x v="1"/>
    <n v="1140"/>
    <x v="0"/>
    <x v="0"/>
    <x v="1"/>
    <x v="1"/>
    <x v="0"/>
    <x v="0"/>
    <x v="1"/>
    <x v="0"/>
  </r>
  <r>
    <x v="0"/>
    <x v="0"/>
    <n v="2239068797"/>
    <x v="1"/>
    <n v="4320"/>
    <x v="0"/>
    <x v="0"/>
    <x v="1"/>
    <x v="1"/>
    <x v="0"/>
    <x v="0"/>
    <x v="1"/>
    <x v="0"/>
  </r>
  <r>
    <x v="0"/>
    <x v="0"/>
    <n v="2239068798"/>
    <x v="2"/>
    <n v="8250"/>
    <x v="0"/>
    <x v="0"/>
    <x v="1"/>
    <x v="2"/>
    <x v="0"/>
    <x v="0"/>
    <x v="2"/>
    <x v="0"/>
  </r>
  <r>
    <x v="0"/>
    <x v="0"/>
    <n v="2239068799"/>
    <x v="7"/>
    <n v="3800"/>
    <x v="0"/>
    <x v="0"/>
    <x v="1"/>
    <x v="7"/>
    <x v="0"/>
    <x v="0"/>
    <x v="1"/>
    <x v="0"/>
  </r>
  <r>
    <x v="0"/>
    <x v="0"/>
    <n v="2239068801"/>
    <x v="2"/>
    <n v="8250"/>
    <x v="0"/>
    <x v="0"/>
    <x v="1"/>
    <x v="2"/>
    <x v="0"/>
    <x v="0"/>
    <x v="2"/>
    <x v="0"/>
  </r>
  <r>
    <x v="0"/>
    <x v="0"/>
    <n v="2239068803"/>
    <x v="5"/>
    <n v="-13600"/>
    <x v="0"/>
    <x v="0"/>
    <x v="1"/>
    <x v="5"/>
    <x v="0"/>
    <x v="0"/>
    <x v="5"/>
    <x v="0"/>
  </r>
  <r>
    <x v="0"/>
    <x v="0"/>
    <n v="2239068803"/>
    <x v="6"/>
    <n v="20000"/>
    <x v="0"/>
    <x v="0"/>
    <x v="1"/>
    <x v="6"/>
    <x v="0"/>
    <x v="0"/>
    <x v="5"/>
    <x v="0"/>
  </r>
  <r>
    <x v="0"/>
    <x v="0"/>
    <n v="2239068804"/>
    <x v="2"/>
    <n v="24750"/>
    <x v="0"/>
    <x v="0"/>
    <x v="1"/>
    <x v="2"/>
    <x v="0"/>
    <x v="0"/>
    <x v="2"/>
    <x v="0"/>
  </r>
  <r>
    <x v="0"/>
    <x v="0"/>
    <n v="2239068805"/>
    <x v="2"/>
    <n v="6000"/>
    <x v="0"/>
    <x v="0"/>
    <x v="1"/>
    <x v="2"/>
    <x v="0"/>
    <x v="0"/>
    <x v="2"/>
    <x v="0"/>
  </r>
  <r>
    <x v="0"/>
    <x v="0"/>
    <n v="2239068806"/>
    <x v="7"/>
    <n v="1500"/>
    <x v="0"/>
    <x v="0"/>
    <x v="1"/>
    <x v="7"/>
    <x v="0"/>
    <x v="0"/>
    <x v="1"/>
    <x v="0"/>
  </r>
  <r>
    <x v="0"/>
    <x v="0"/>
    <n v="2239068807"/>
    <x v="2"/>
    <n v="8250"/>
    <x v="0"/>
    <x v="0"/>
    <x v="1"/>
    <x v="2"/>
    <x v="0"/>
    <x v="0"/>
    <x v="2"/>
    <x v="0"/>
  </r>
  <r>
    <x v="0"/>
    <x v="0"/>
    <n v="2239068808"/>
    <x v="5"/>
    <n v="-3080"/>
    <x v="0"/>
    <x v="0"/>
    <x v="1"/>
    <x v="5"/>
    <x v="0"/>
    <x v="0"/>
    <x v="5"/>
    <x v="0"/>
  </r>
  <r>
    <x v="0"/>
    <x v="0"/>
    <n v="2239068808"/>
    <x v="6"/>
    <n v="20000"/>
    <x v="0"/>
    <x v="0"/>
    <x v="1"/>
    <x v="6"/>
    <x v="0"/>
    <x v="0"/>
    <x v="5"/>
    <x v="0"/>
  </r>
  <r>
    <x v="0"/>
    <x v="0"/>
    <n v="2239068808"/>
    <x v="7"/>
    <n v="11280"/>
    <x v="0"/>
    <x v="0"/>
    <x v="1"/>
    <x v="7"/>
    <x v="0"/>
    <x v="0"/>
    <x v="1"/>
    <x v="0"/>
  </r>
  <r>
    <x v="0"/>
    <x v="0"/>
    <n v="2239068810"/>
    <x v="2"/>
    <n v="15000"/>
    <x v="0"/>
    <x v="0"/>
    <x v="1"/>
    <x v="2"/>
    <x v="0"/>
    <x v="0"/>
    <x v="2"/>
    <x v="0"/>
  </r>
  <r>
    <x v="0"/>
    <x v="0"/>
    <n v="2239068811"/>
    <x v="1"/>
    <n v="1050"/>
    <x v="0"/>
    <x v="0"/>
    <x v="1"/>
    <x v="1"/>
    <x v="0"/>
    <x v="0"/>
    <x v="1"/>
    <x v="0"/>
  </r>
  <r>
    <x v="0"/>
    <x v="0"/>
    <n v="2239068812"/>
    <x v="5"/>
    <n v="-5400"/>
    <x v="0"/>
    <x v="0"/>
    <x v="1"/>
    <x v="5"/>
    <x v="0"/>
    <x v="0"/>
    <x v="5"/>
    <x v="0"/>
  </r>
  <r>
    <x v="0"/>
    <x v="0"/>
    <n v="2239068812"/>
    <x v="4"/>
    <n v="10000"/>
    <x v="0"/>
    <x v="0"/>
    <x v="1"/>
    <x v="4"/>
    <x v="0"/>
    <x v="0"/>
    <x v="4"/>
    <x v="0"/>
  </r>
  <r>
    <x v="0"/>
    <x v="0"/>
    <n v="2239068813"/>
    <x v="5"/>
    <n v="-9570"/>
    <x v="0"/>
    <x v="0"/>
    <x v="1"/>
    <x v="5"/>
    <x v="0"/>
    <x v="0"/>
    <x v="5"/>
    <x v="0"/>
  </r>
  <r>
    <x v="0"/>
    <x v="0"/>
    <n v="2239068813"/>
    <x v="6"/>
    <n v="20000"/>
    <x v="0"/>
    <x v="0"/>
    <x v="1"/>
    <x v="6"/>
    <x v="0"/>
    <x v="0"/>
    <x v="5"/>
    <x v="0"/>
  </r>
  <r>
    <x v="0"/>
    <x v="0"/>
    <n v="2239068814"/>
    <x v="1"/>
    <n v="900"/>
    <x v="0"/>
    <x v="0"/>
    <x v="1"/>
    <x v="1"/>
    <x v="0"/>
    <x v="0"/>
    <x v="1"/>
    <x v="0"/>
  </r>
  <r>
    <x v="0"/>
    <x v="0"/>
    <n v="2239068815"/>
    <x v="1"/>
    <n v="1140"/>
    <x v="0"/>
    <x v="0"/>
    <x v="1"/>
    <x v="1"/>
    <x v="0"/>
    <x v="0"/>
    <x v="1"/>
    <x v="0"/>
  </r>
  <r>
    <x v="0"/>
    <x v="0"/>
    <n v="2239068816"/>
    <x v="2"/>
    <n v="12000"/>
    <x v="0"/>
    <x v="0"/>
    <x v="1"/>
    <x v="2"/>
    <x v="0"/>
    <x v="0"/>
    <x v="2"/>
    <x v="0"/>
  </r>
  <r>
    <x v="0"/>
    <x v="0"/>
    <n v="2239068817"/>
    <x v="2"/>
    <n v="7500"/>
    <x v="0"/>
    <x v="0"/>
    <x v="1"/>
    <x v="2"/>
    <x v="0"/>
    <x v="0"/>
    <x v="2"/>
    <x v="0"/>
  </r>
  <r>
    <x v="0"/>
    <x v="0"/>
    <n v="2239068818"/>
    <x v="7"/>
    <n v="1500"/>
    <x v="0"/>
    <x v="0"/>
    <x v="1"/>
    <x v="7"/>
    <x v="0"/>
    <x v="0"/>
    <x v="1"/>
    <x v="0"/>
  </r>
  <r>
    <x v="0"/>
    <x v="0"/>
    <n v="2239068819"/>
    <x v="2"/>
    <n v="5400"/>
    <x v="0"/>
    <x v="0"/>
    <x v="1"/>
    <x v="2"/>
    <x v="0"/>
    <x v="0"/>
    <x v="2"/>
    <x v="0"/>
  </r>
  <r>
    <x v="0"/>
    <x v="0"/>
    <n v="2239068820"/>
    <x v="1"/>
    <n v="900"/>
    <x v="0"/>
    <x v="0"/>
    <x v="1"/>
    <x v="1"/>
    <x v="0"/>
    <x v="0"/>
    <x v="1"/>
    <x v="0"/>
  </r>
  <r>
    <x v="0"/>
    <x v="0"/>
    <n v="2239068821"/>
    <x v="2"/>
    <n v="3000"/>
    <x v="0"/>
    <x v="0"/>
    <x v="1"/>
    <x v="2"/>
    <x v="0"/>
    <x v="0"/>
    <x v="2"/>
    <x v="0"/>
  </r>
  <r>
    <x v="0"/>
    <x v="0"/>
    <n v="2239068822"/>
    <x v="4"/>
    <n v="4600"/>
    <x v="0"/>
    <x v="0"/>
    <x v="1"/>
    <x v="4"/>
    <x v="0"/>
    <x v="0"/>
    <x v="4"/>
    <x v="0"/>
  </r>
  <r>
    <x v="0"/>
    <x v="0"/>
    <n v="2239068823"/>
    <x v="2"/>
    <n v="10800"/>
    <x v="0"/>
    <x v="0"/>
    <x v="1"/>
    <x v="2"/>
    <x v="0"/>
    <x v="0"/>
    <x v="2"/>
    <x v="0"/>
  </r>
  <r>
    <x v="0"/>
    <x v="0"/>
    <n v="2239068824"/>
    <x v="1"/>
    <n v="3000"/>
    <x v="0"/>
    <x v="0"/>
    <x v="1"/>
    <x v="1"/>
    <x v="0"/>
    <x v="0"/>
    <x v="1"/>
    <x v="0"/>
  </r>
  <r>
    <x v="0"/>
    <x v="0"/>
    <n v="2239068825"/>
    <x v="5"/>
    <n v="-600"/>
    <x v="0"/>
    <x v="0"/>
    <x v="1"/>
    <x v="5"/>
    <x v="0"/>
    <x v="0"/>
    <x v="5"/>
    <x v="0"/>
  </r>
  <r>
    <x v="0"/>
    <x v="0"/>
    <n v="2239068825"/>
    <x v="4"/>
    <n v="5000"/>
    <x v="0"/>
    <x v="0"/>
    <x v="1"/>
    <x v="4"/>
    <x v="0"/>
    <x v="0"/>
    <x v="4"/>
    <x v="0"/>
  </r>
  <r>
    <x v="0"/>
    <x v="0"/>
    <n v="2239068827"/>
    <x v="2"/>
    <n v="5400"/>
    <x v="0"/>
    <x v="0"/>
    <x v="1"/>
    <x v="2"/>
    <x v="0"/>
    <x v="0"/>
    <x v="2"/>
    <x v="0"/>
  </r>
  <r>
    <x v="0"/>
    <x v="0"/>
    <n v="2239068832"/>
    <x v="7"/>
    <n v="1500"/>
    <x v="0"/>
    <x v="0"/>
    <x v="1"/>
    <x v="7"/>
    <x v="0"/>
    <x v="0"/>
    <x v="1"/>
    <x v="0"/>
  </r>
  <r>
    <x v="0"/>
    <x v="0"/>
    <n v="2239068833"/>
    <x v="7"/>
    <n v="1500"/>
    <x v="0"/>
    <x v="0"/>
    <x v="1"/>
    <x v="7"/>
    <x v="0"/>
    <x v="0"/>
    <x v="1"/>
    <x v="0"/>
  </r>
  <r>
    <x v="0"/>
    <x v="0"/>
    <n v="2239068834"/>
    <x v="2"/>
    <n v="8250"/>
    <x v="0"/>
    <x v="0"/>
    <x v="1"/>
    <x v="2"/>
    <x v="0"/>
    <x v="0"/>
    <x v="2"/>
    <x v="0"/>
  </r>
  <r>
    <x v="0"/>
    <x v="0"/>
    <n v="2239068835"/>
    <x v="1"/>
    <n v="5700"/>
    <x v="0"/>
    <x v="0"/>
    <x v="1"/>
    <x v="1"/>
    <x v="0"/>
    <x v="0"/>
    <x v="1"/>
    <x v="0"/>
  </r>
  <r>
    <x v="0"/>
    <x v="0"/>
    <n v="2239068836"/>
    <x v="1"/>
    <n v="30550"/>
    <x v="0"/>
    <x v="0"/>
    <x v="1"/>
    <x v="1"/>
    <x v="0"/>
    <x v="0"/>
    <x v="1"/>
    <x v="0"/>
  </r>
  <r>
    <x v="0"/>
    <x v="0"/>
    <n v="2239073308"/>
    <x v="6"/>
    <n v="6000"/>
    <x v="0"/>
    <x v="0"/>
    <x v="28"/>
    <x v="6"/>
    <x v="0"/>
    <x v="0"/>
    <x v="5"/>
    <x v="0"/>
  </r>
  <r>
    <x v="0"/>
    <x v="0"/>
    <n v="2239073309"/>
    <x v="0"/>
    <n v="6000"/>
    <x v="0"/>
    <x v="0"/>
    <x v="28"/>
    <x v="0"/>
    <x v="0"/>
    <x v="0"/>
    <x v="0"/>
    <x v="0"/>
  </r>
  <r>
    <x v="0"/>
    <x v="0"/>
    <n v="2239073310"/>
    <x v="0"/>
    <n v="3900"/>
    <x v="0"/>
    <x v="0"/>
    <x v="28"/>
    <x v="0"/>
    <x v="0"/>
    <x v="0"/>
    <x v="0"/>
    <x v="0"/>
  </r>
  <r>
    <x v="0"/>
    <x v="0"/>
    <n v="2239073311"/>
    <x v="0"/>
    <n v="3450"/>
    <x v="0"/>
    <x v="0"/>
    <x v="28"/>
    <x v="0"/>
    <x v="0"/>
    <x v="0"/>
    <x v="0"/>
    <x v="0"/>
  </r>
  <r>
    <x v="0"/>
    <x v="0"/>
    <n v="2239073312"/>
    <x v="0"/>
    <n v="3300"/>
    <x v="0"/>
    <x v="0"/>
    <x v="28"/>
    <x v="0"/>
    <x v="0"/>
    <x v="0"/>
    <x v="0"/>
    <x v="0"/>
  </r>
  <r>
    <x v="0"/>
    <x v="0"/>
    <n v="2239073313"/>
    <x v="0"/>
    <n v="36450"/>
    <x v="0"/>
    <x v="0"/>
    <x v="28"/>
    <x v="0"/>
    <x v="0"/>
    <x v="0"/>
    <x v="0"/>
    <x v="0"/>
  </r>
  <r>
    <x v="0"/>
    <x v="0"/>
    <n v="2239073314"/>
    <x v="0"/>
    <n v="66750"/>
    <x v="0"/>
    <x v="0"/>
    <x v="28"/>
    <x v="0"/>
    <x v="0"/>
    <x v="0"/>
    <x v="0"/>
    <x v="0"/>
  </r>
  <r>
    <x v="0"/>
    <x v="0"/>
    <n v="2239073315"/>
    <x v="0"/>
    <n v="19320"/>
    <x v="0"/>
    <x v="0"/>
    <x v="28"/>
    <x v="0"/>
    <x v="0"/>
    <x v="0"/>
    <x v="0"/>
    <x v="0"/>
  </r>
  <r>
    <x v="0"/>
    <x v="0"/>
    <n v="2239073318"/>
    <x v="0"/>
    <n v="43350"/>
    <x v="0"/>
    <x v="0"/>
    <x v="28"/>
    <x v="0"/>
    <x v="0"/>
    <x v="0"/>
    <x v="0"/>
    <x v="0"/>
  </r>
  <r>
    <x v="0"/>
    <x v="0"/>
    <n v="2239073320"/>
    <x v="0"/>
    <n v="103650"/>
    <x v="0"/>
    <x v="0"/>
    <x v="28"/>
    <x v="0"/>
    <x v="0"/>
    <x v="0"/>
    <x v="0"/>
    <x v="0"/>
  </r>
  <r>
    <x v="0"/>
    <x v="0"/>
    <n v="2239073321"/>
    <x v="0"/>
    <n v="2700"/>
    <x v="0"/>
    <x v="0"/>
    <x v="28"/>
    <x v="0"/>
    <x v="0"/>
    <x v="0"/>
    <x v="0"/>
    <x v="0"/>
  </r>
  <r>
    <x v="0"/>
    <x v="0"/>
    <n v="2239073322"/>
    <x v="0"/>
    <n v="7200"/>
    <x v="0"/>
    <x v="0"/>
    <x v="28"/>
    <x v="0"/>
    <x v="0"/>
    <x v="0"/>
    <x v="0"/>
    <x v="0"/>
  </r>
  <r>
    <x v="0"/>
    <x v="0"/>
    <n v="2239073323"/>
    <x v="0"/>
    <n v="1800"/>
    <x v="0"/>
    <x v="0"/>
    <x v="28"/>
    <x v="0"/>
    <x v="0"/>
    <x v="0"/>
    <x v="0"/>
    <x v="0"/>
  </r>
  <r>
    <x v="0"/>
    <x v="0"/>
    <n v="2239073324"/>
    <x v="0"/>
    <n v="4200"/>
    <x v="0"/>
    <x v="0"/>
    <x v="28"/>
    <x v="0"/>
    <x v="0"/>
    <x v="0"/>
    <x v="0"/>
    <x v="0"/>
  </r>
  <r>
    <x v="0"/>
    <x v="0"/>
    <n v="2239073325"/>
    <x v="0"/>
    <n v="6600"/>
    <x v="0"/>
    <x v="0"/>
    <x v="28"/>
    <x v="0"/>
    <x v="0"/>
    <x v="0"/>
    <x v="0"/>
    <x v="0"/>
  </r>
  <r>
    <x v="0"/>
    <x v="0"/>
    <n v="2239073326"/>
    <x v="1"/>
    <n v="4500"/>
    <x v="0"/>
    <x v="0"/>
    <x v="28"/>
    <x v="1"/>
    <x v="0"/>
    <x v="0"/>
    <x v="1"/>
    <x v="0"/>
  </r>
  <r>
    <x v="0"/>
    <x v="0"/>
    <n v="2239073327"/>
    <x v="0"/>
    <n v="5520"/>
    <x v="0"/>
    <x v="0"/>
    <x v="28"/>
    <x v="0"/>
    <x v="0"/>
    <x v="0"/>
    <x v="0"/>
    <x v="0"/>
  </r>
  <r>
    <x v="0"/>
    <x v="0"/>
    <n v="2239073328"/>
    <x v="1"/>
    <n v="10950"/>
    <x v="0"/>
    <x v="0"/>
    <x v="28"/>
    <x v="1"/>
    <x v="0"/>
    <x v="0"/>
    <x v="1"/>
    <x v="0"/>
  </r>
  <r>
    <x v="0"/>
    <x v="0"/>
    <n v="2239073329"/>
    <x v="0"/>
    <n v="1800"/>
    <x v="0"/>
    <x v="0"/>
    <x v="28"/>
    <x v="0"/>
    <x v="0"/>
    <x v="0"/>
    <x v="0"/>
    <x v="0"/>
  </r>
  <r>
    <x v="0"/>
    <x v="0"/>
    <n v="2239073330"/>
    <x v="0"/>
    <n v="7350"/>
    <x v="0"/>
    <x v="0"/>
    <x v="28"/>
    <x v="0"/>
    <x v="0"/>
    <x v="0"/>
    <x v="0"/>
    <x v="0"/>
  </r>
  <r>
    <x v="0"/>
    <x v="0"/>
    <n v="2239073331"/>
    <x v="0"/>
    <n v="1800"/>
    <x v="0"/>
    <x v="0"/>
    <x v="28"/>
    <x v="0"/>
    <x v="0"/>
    <x v="0"/>
    <x v="0"/>
    <x v="0"/>
  </r>
  <r>
    <x v="0"/>
    <x v="0"/>
    <n v="2239073332"/>
    <x v="0"/>
    <n v="8700"/>
    <x v="0"/>
    <x v="0"/>
    <x v="28"/>
    <x v="0"/>
    <x v="0"/>
    <x v="0"/>
    <x v="0"/>
    <x v="0"/>
  </r>
  <r>
    <x v="0"/>
    <x v="0"/>
    <n v="2239073333"/>
    <x v="0"/>
    <n v="2100"/>
    <x v="0"/>
    <x v="0"/>
    <x v="28"/>
    <x v="0"/>
    <x v="0"/>
    <x v="0"/>
    <x v="0"/>
    <x v="0"/>
  </r>
  <r>
    <x v="0"/>
    <x v="0"/>
    <n v="2239073334"/>
    <x v="0"/>
    <n v="4500"/>
    <x v="0"/>
    <x v="0"/>
    <x v="28"/>
    <x v="0"/>
    <x v="0"/>
    <x v="0"/>
    <x v="0"/>
    <x v="0"/>
  </r>
  <r>
    <x v="0"/>
    <x v="0"/>
    <n v="2239073335"/>
    <x v="0"/>
    <n v="26500"/>
    <x v="0"/>
    <x v="0"/>
    <x v="28"/>
    <x v="0"/>
    <x v="0"/>
    <x v="0"/>
    <x v="0"/>
    <x v="0"/>
  </r>
  <r>
    <x v="0"/>
    <x v="0"/>
    <n v="2239073336"/>
    <x v="0"/>
    <n v="3600"/>
    <x v="0"/>
    <x v="0"/>
    <x v="28"/>
    <x v="0"/>
    <x v="0"/>
    <x v="0"/>
    <x v="0"/>
    <x v="0"/>
  </r>
  <r>
    <x v="0"/>
    <x v="0"/>
    <n v="2239073337"/>
    <x v="0"/>
    <n v="7250"/>
    <x v="0"/>
    <x v="0"/>
    <x v="28"/>
    <x v="0"/>
    <x v="0"/>
    <x v="0"/>
    <x v="0"/>
    <x v="0"/>
  </r>
  <r>
    <x v="0"/>
    <x v="0"/>
    <n v="2239073338"/>
    <x v="0"/>
    <n v="900"/>
    <x v="0"/>
    <x v="0"/>
    <x v="28"/>
    <x v="0"/>
    <x v="0"/>
    <x v="0"/>
    <x v="0"/>
    <x v="0"/>
  </r>
  <r>
    <x v="0"/>
    <x v="0"/>
    <n v="2239073340"/>
    <x v="3"/>
    <n v="14168"/>
    <x v="0"/>
    <x v="0"/>
    <x v="28"/>
    <x v="3"/>
    <x v="0"/>
    <x v="0"/>
    <x v="3"/>
    <x v="0"/>
  </r>
  <r>
    <x v="0"/>
    <x v="0"/>
    <n v="2239073341"/>
    <x v="2"/>
    <n v="5500"/>
    <x v="0"/>
    <x v="0"/>
    <x v="28"/>
    <x v="2"/>
    <x v="0"/>
    <x v="0"/>
    <x v="2"/>
    <x v="0"/>
  </r>
  <r>
    <x v="0"/>
    <x v="0"/>
    <n v="2239073342"/>
    <x v="6"/>
    <n v="6440"/>
    <x v="0"/>
    <x v="0"/>
    <x v="28"/>
    <x v="6"/>
    <x v="0"/>
    <x v="0"/>
    <x v="5"/>
    <x v="0"/>
  </r>
  <r>
    <x v="0"/>
    <x v="0"/>
    <n v="2239073342"/>
    <x v="3"/>
    <n v="14168"/>
    <x v="0"/>
    <x v="0"/>
    <x v="28"/>
    <x v="3"/>
    <x v="0"/>
    <x v="0"/>
    <x v="3"/>
    <x v="0"/>
  </r>
  <r>
    <x v="0"/>
    <x v="0"/>
    <n v="2239073342"/>
    <x v="2"/>
    <n v="129406"/>
    <x v="0"/>
    <x v="0"/>
    <x v="28"/>
    <x v="2"/>
    <x v="0"/>
    <x v="0"/>
    <x v="2"/>
    <x v="0"/>
  </r>
  <r>
    <x v="0"/>
    <x v="0"/>
    <n v="2239073343"/>
    <x v="6"/>
    <n v="17900"/>
    <x v="0"/>
    <x v="0"/>
    <x v="28"/>
    <x v="6"/>
    <x v="0"/>
    <x v="0"/>
    <x v="5"/>
    <x v="0"/>
  </r>
  <r>
    <x v="0"/>
    <x v="0"/>
    <n v="2239073344"/>
    <x v="7"/>
    <n v="1500"/>
    <x v="0"/>
    <x v="0"/>
    <x v="28"/>
    <x v="7"/>
    <x v="0"/>
    <x v="0"/>
    <x v="1"/>
    <x v="0"/>
  </r>
  <r>
    <x v="0"/>
    <x v="0"/>
    <n v="2239073345"/>
    <x v="3"/>
    <n v="7084"/>
    <x v="0"/>
    <x v="0"/>
    <x v="28"/>
    <x v="3"/>
    <x v="0"/>
    <x v="0"/>
    <x v="3"/>
    <x v="0"/>
  </r>
  <r>
    <x v="0"/>
    <x v="0"/>
    <n v="2239073346"/>
    <x v="2"/>
    <n v="12710"/>
    <x v="0"/>
    <x v="0"/>
    <x v="28"/>
    <x v="2"/>
    <x v="0"/>
    <x v="0"/>
    <x v="2"/>
    <x v="0"/>
  </r>
  <r>
    <x v="0"/>
    <x v="0"/>
    <n v="2239073346"/>
    <x v="7"/>
    <n v="530"/>
    <x v="0"/>
    <x v="0"/>
    <x v="28"/>
    <x v="7"/>
    <x v="0"/>
    <x v="0"/>
    <x v="1"/>
    <x v="0"/>
  </r>
  <r>
    <x v="0"/>
    <x v="0"/>
    <n v="2239073347"/>
    <x v="7"/>
    <n v="1500"/>
    <x v="0"/>
    <x v="0"/>
    <x v="28"/>
    <x v="7"/>
    <x v="0"/>
    <x v="0"/>
    <x v="1"/>
    <x v="0"/>
  </r>
  <r>
    <x v="0"/>
    <x v="0"/>
    <n v="2239073348"/>
    <x v="1"/>
    <n v="900"/>
    <x v="0"/>
    <x v="0"/>
    <x v="28"/>
    <x v="1"/>
    <x v="0"/>
    <x v="0"/>
    <x v="1"/>
    <x v="0"/>
  </r>
  <r>
    <x v="0"/>
    <x v="0"/>
    <n v="2239073349"/>
    <x v="2"/>
    <n v="5500"/>
    <x v="0"/>
    <x v="0"/>
    <x v="28"/>
    <x v="2"/>
    <x v="0"/>
    <x v="0"/>
    <x v="2"/>
    <x v="0"/>
  </r>
  <r>
    <x v="0"/>
    <x v="0"/>
    <n v="2239073351"/>
    <x v="7"/>
    <n v="1500"/>
    <x v="0"/>
    <x v="0"/>
    <x v="28"/>
    <x v="7"/>
    <x v="0"/>
    <x v="0"/>
    <x v="1"/>
    <x v="0"/>
  </r>
  <r>
    <x v="0"/>
    <x v="0"/>
    <n v="2239073352"/>
    <x v="6"/>
    <n v="6500"/>
    <x v="0"/>
    <x v="0"/>
    <x v="28"/>
    <x v="6"/>
    <x v="0"/>
    <x v="0"/>
    <x v="5"/>
    <x v="0"/>
  </r>
  <r>
    <x v="0"/>
    <x v="0"/>
    <n v="2239073353"/>
    <x v="2"/>
    <n v="14300"/>
    <x v="0"/>
    <x v="0"/>
    <x v="28"/>
    <x v="2"/>
    <x v="0"/>
    <x v="0"/>
    <x v="2"/>
    <x v="0"/>
  </r>
  <r>
    <x v="0"/>
    <x v="0"/>
    <n v="2239073354"/>
    <x v="6"/>
    <n v="2400"/>
    <x v="0"/>
    <x v="0"/>
    <x v="28"/>
    <x v="6"/>
    <x v="0"/>
    <x v="0"/>
    <x v="5"/>
    <x v="0"/>
  </r>
  <r>
    <x v="0"/>
    <x v="0"/>
    <n v="2239073354"/>
    <x v="7"/>
    <n v="600"/>
    <x v="0"/>
    <x v="0"/>
    <x v="28"/>
    <x v="7"/>
    <x v="0"/>
    <x v="0"/>
    <x v="1"/>
    <x v="0"/>
  </r>
  <r>
    <x v="0"/>
    <x v="0"/>
    <n v="2239073355"/>
    <x v="1"/>
    <n v="2100"/>
    <x v="0"/>
    <x v="0"/>
    <x v="28"/>
    <x v="1"/>
    <x v="0"/>
    <x v="0"/>
    <x v="1"/>
    <x v="0"/>
  </r>
  <r>
    <x v="0"/>
    <x v="0"/>
    <n v="2239073356"/>
    <x v="2"/>
    <n v="3500"/>
    <x v="0"/>
    <x v="0"/>
    <x v="28"/>
    <x v="2"/>
    <x v="0"/>
    <x v="0"/>
    <x v="2"/>
    <x v="0"/>
  </r>
  <r>
    <x v="0"/>
    <x v="0"/>
    <n v="2239073357"/>
    <x v="1"/>
    <n v="900"/>
    <x v="0"/>
    <x v="0"/>
    <x v="28"/>
    <x v="1"/>
    <x v="0"/>
    <x v="0"/>
    <x v="1"/>
    <x v="0"/>
  </r>
  <r>
    <x v="0"/>
    <x v="0"/>
    <n v="2239073358"/>
    <x v="7"/>
    <n v="3000"/>
    <x v="0"/>
    <x v="0"/>
    <x v="28"/>
    <x v="7"/>
    <x v="0"/>
    <x v="0"/>
    <x v="1"/>
    <x v="0"/>
  </r>
  <r>
    <x v="0"/>
    <x v="0"/>
    <n v="2239073359"/>
    <x v="2"/>
    <n v="3500"/>
    <x v="0"/>
    <x v="0"/>
    <x v="28"/>
    <x v="2"/>
    <x v="0"/>
    <x v="0"/>
    <x v="2"/>
    <x v="0"/>
  </r>
  <r>
    <x v="0"/>
    <x v="0"/>
    <n v="2239073362"/>
    <x v="6"/>
    <n v="1000"/>
    <x v="0"/>
    <x v="0"/>
    <x v="28"/>
    <x v="6"/>
    <x v="0"/>
    <x v="0"/>
    <x v="5"/>
    <x v="0"/>
  </r>
  <r>
    <x v="0"/>
    <x v="0"/>
    <n v="2239073363"/>
    <x v="1"/>
    <n v="1800"/>
    <x v="0"/>
    <x v="0"/>
    <x v="28"/>
    <x v="1"/>
    <x v="0"/>
    <x v="0"/>
    <x v="1"/>
    <x v="0"/>
  </r>
  <r>
    <x v="0"/>
    <x v="0"/>
    <n v="2239073364"/>
    <x v="7"/>
    <n v="2500"/>
    <x v="0"/>
    <x v="0"/>
    <x v="28"/>
    <x v="7"/>
    <x v="0"/>
    <x v="0"/>
    <x v="1"/>
    <x v="0"/>
  </r>
  <r>
    <x v="0"/>
    <x v="0"/>
    <n v="2239073366"/>
    <x v="7"/>
    <n v="1500"/>
    <x v="0"/>
    <x v="0"/>
    <x v="28"/>
    <x v="7"/>
    <x v="0"/>
    <x v="0"/>
    <x v="1"/>
    <x v="0"/>
  </r>
  <r>
    <x v="0"/>
    <x v="0"/>
    <n v="2239073367"/>
    <x v="3"/>
    <n v="55660"/>
    <x v="0"/>
    <x v="0"/>
    <x v="28"/>
    <x v="3"/>
    <x v="0"/>
    <x v="0"/>
    <x v="3"/>
    <x v="0"/>
  </r>
  <r>
    <x v="0"/>
    <x v="0"/>
    <n v="2239073368"/>
    <x v="2"/>
    <n v="9295"/>
    <x v="0"/>
    <x v="0"/>
    <x v="28"/>
    <x v="2"/>
    <x v="0"/>
    <x v="0"/>
    <x v="2"/>
    <x v="0"/>
  </r>
  <r>
    <x v="0"/>
    <x v="0"/>
    <n v="2239073369"/>
    <x v="3"/>
    <n v="19470"/>
    <x v="0"/>
    <x v="0"/>
    <x v="28"/>
    <x v="3"/>
    <x v="0"/>
    <x v="0"/>
    <x v="3"/>
    <x v="0"/>
  </r>
  <r>
    <x v="0"/>
    <x v="0"/>
    <n v="2239073370"/>
    <x v="7"/>
    <n v="1500"/>
    <x v="0"/>
    <x v="0"/>
    <x v="28"/>
    <x v="7"/>
    <x v="0"/>
    <x v="0"/>
    <x v="1"/>
    <x v="0"/>
  </r>
  <r>
    <x v="0"/>
    <x v="0"/>
    <n v="2239073372"/>
    <x v="6"/>
    <n v="1000"/>
    <x v="0"/>
    <x v="0"/>
    <x v="28"/>
    <x v="6"/>
    <x v="0"/>
    <x v="0"/>
    <x v="5"/>
    <x v="0"/>
  </r>
  <r>
    <x v="0"/>
    <x v="0"/>
    <n v="2239073373"/>
    <x v="3"/>
    <n v="1000"/>
    <x v="0"/>
    <x v="0"/>
    <x v="28"/>
    <x v="3"/>
    <x v="0"/>
    <x v="0"/>
    <x v="3"/>
    <x v="0"/>
  </r>
  <r>
    <x v="0"/>
    <x v="0"/>
    <n v="2239073374"/>
    <x v="2"/>
    <n v="1750"/>
    <x v="0"/>
    <x v="0"/>
    <x v="28"/>
    <x v="2"/>
    <x v="0"/>
    <x v="0"/>
    <x v="2"/>
    <x v="0"/>
  </r>
  <r>
    <x v="0"/>
    <x v="0"/>
    <n v="2239073375"/>
    <x v="6"/>
    <n v="6950"/>
    <x v="0"/>
    <x v="0"/>
    <x v="28"/>
    <x v="6"/>
    <x v="0"/>
    <x v="0"/>
    <x v="5"/>
    <x v="0"/>
  </r>
  <r>
    <x v="0"/>
    <x v="0"/>
    <n v="2239073376"/>
    <x v="2"/>
    <n v="60555"/>
    <x v="0"/>
    <x v="0"/>
    <x v="28"/>
    <x v="2"/>
    <x v="0"/>
    <x v="0"/>
    <x v="2"/>
    <x v="0"/>
  </r>
  <r>
    <x v="0"/>
    <x v="0"/>
    <n v="2239073377"/>
    <x v="2"/>
    <n v="25685"/>
    <x v="0"/>
    <x v="0"/>
    <x v="28"/>
    <x v="2"/>
    <x v="0"/>
    <x v="0"/>
    <x v="2"/>
    <x v="0"/>
  </r>
  <r>
    <x v="0"/>
    <x v="0"/>
    <n v="2239073379"/>
    <x v="6"/>
    <n v="1000"/>
    <x v="0"/>
    <x v="0"/>
    <x v="28"/>
    <x v="6"/>
    <x v="0"/>
    <x v="0"/>
    <x v="5"/>
    <x v="0"/>
  </r>
  <r>
    <x v="0"/>
    <x v="0"/>
    <n v="2239073381"/>
    <x v="3"/>
    <n v="18865"/>
    <x v="0"/>
    <x v="0"/>
    <x v="28"/>
    <x v="3"/>
    <x v="0"/>
    <x v="0"/>
    <x v="3"/>
    <x v="0"/>
  </r>
  <r>
    <x v="0"/>
    <x v="0"/>
    <n v="2239073382"/>
    <x v="7"/>
    <n v="1500"/>
    <x v="0"/>
    <x v="0"/>
    <x v="28"/>
    <x v="7"/>
    <x v="0"/>
    <x v="0"/>
    <x v="1"/>
    <x v="0"/>
  </r>
  <r>
    <x v="0"/>
    <x v="0"/>
    <n v="2239073383"/>
    <x v="2"/>
    <n v="11495"/>
    <x v="0"/>
    <x v="0"/>
    <x v="28"/>
    <x v="2"/>
    <x v="0"/>
    <x v="0"/>
    <x v="2"/>
    <x v="0"/>
  </r>
  <r>
    <x v="0"/>
    <x v="0"/>
    <n v="2239073384"/>
    <x v="6"/>
    <n v="2000"/>
    <x v="0"/>
    <x v="0"/>
    <x v="28"/>
    <x v="6"/>
    <x v="0"/>
    <x v="0"/>
    <x v="5"/>
    <x v="0"/>
  </r>
  <r>
    <x v="0"/>
    <x v="0"/>
    <n v="2239073385"/>
    <x v="2"/>
    <n v="21065"/>
    <x v="0"/>
    <x v="0"/>
    <x v="28"/>
    <x v="2"/>
    <x v="0"/>
    <x v="0"/>
    <x v="2"/>
    <x v="0"/>
  </r>
  <r>
    <x v="0"/>
    <x v="0"/>
    <n v="2239073386"/>
    <x v="6"/>
    <n v="1000"/>
    <x v="0"/>
    <x v="0"/>
    <x v="28"/>
    <x v="6"/>
    <x v="0"/>
    <x v="0"/>
    <x v="5"/>
    <x v="0"/>
  </r>
  <r>
    <x v="0"/>
    <x v="0"/>
    <n v="2239073389"/>
    <x v="5"/>
    <n v="-3500"/>
    <x v="0"/>
    <x v="0"/>
    <x v="28"/>
    <x v="5"/>
    <x v="0"/>
    <x v="0"/>
    <x v="5"/>
    <x v="0"/>
  </r>
  <r>
    <x v="0"/>
    <x v="0"/>
    <n v="2239073389"/>
    <x v="6"/>
    <n v="10000"/>
    <x v="0"/>
    <x v="0"/>
    <x v="28"/>
    <x v="6"/>
    <x v="0"/>
    <x v="0"/>
    <x v="5"/>
    <x v="0"/>
  </r>
  <r>
    <x v="0"/>
    <x v="0"/>
    <n v="2239073390"/>
    <x v="6"/>
    <n v="2000"/>
    <x v="0"/>
    <x v="0"/>
    <x v="28"/>
    <x v="6"/>
    <x v="0"/>
    <x v="0"/>
    <x v="5"/>
    <x v="0"/>
  </r>
  <r>
    <x v="0"/>
    <x v="0"/>
    <n v="2239073391"/>
    <x v="2"/>
    <n v="2640"/>
    <x v="0"/>
    <x v="0"/>
    <x v="28"/>
    <x v="2"/>
    <x v="0"/>
    <x v="0"/>
    <x v="2"/>
    <x v="0"/>
  </r>
  <r>
    <x v="0"/>
    <x v="0"/>
    <n v="2239073391"/>
    <x v="7"/>
    <n v="2400"/>
    <x v="0"/>
    <x v="0"/>
    <x v="28"/>
    <x v="7"/>
    <x v="0"/>
    <x v="0"/>
    <x v="1"/>
    <x v="0"/>
  </r>
  <r>
    <x v="0"/>
    <x v="0"/>
    <n v="2239073392"/>
    <x v="6"/>
    <n v="16200"/>
    <x v="0"/>
    <x v="0"/>
    <x v="28"/>
    <x v="6"/>
    <x v="0"/>
    <x v="0"/>
    <x v="5"/>
    <x v="0"/>
  </r>
  <r>
    <x v="0"/>
    <x v="0"/>
    <n v="2239073393"/>
    <x v="7"/>
    <n v="1500"/>
    <x v="0"/>
    <x v="0"/>
    <x v="28"/>
    <x v="7"/>
    <x v="0"/>
    <x v="0"/>
    <x v="1"/>
    <x v="0"/>
  </r>
  <r>
    <x v="0"/>
    <x v="0"/>
    <n v="2239073394"/>
    <x v="2"/>
    <n v="21670"/>
    <x v="0"/>
    <x v="0"/>
    <x v="28"/>
    <x v="2"/>
    <x v="0"/>
    <x v="0"/>
    <x v="2"/>
    <x v="0"/>
  </r>
  <r>
    <x v="0"/>
    <x v="0"/>
    <n v="2239073395"/>
    <x v="6"/>
    <n v="3800"/>
    <x v="0"/>
    <x v="0"/>
    <x v="28"/>
    <x v="6"/>
    <x v="0"/>
    <x v="0"/>
    <x v="5"/>
    <x v="0"/>
  </r>
  <r>
    <x v="0"/>
    <x v="0"/>
    <n v="2239073396"/>
    <x v="7"/>
    <n v="1500"/>
    <x v="0"/>
    <x v="0"/>
    <x v="28"/>
    <x v="7"/>
    <x v="0"/>
    <x v="0"/>
    <x v="1"/>
    <x v="0"/>
  </r>
  <r>
    <x v="0"/>
    <x v="0"/>
    <n v="2239073398"/>
    <x v="3"/>
    <n v="14245"/>
    <x v="0"/>
    <x v="0"/>
    <x v="28"/>
    <x v="3"/>
    <x v="0"/>
    <x v="0"/>
    <x v="3"/>
    <x v="0"/>
  </r>
  <r>
    <x v="0"/>
    <x v="0"/>
    <n v="2239073400"/>
    <x v="3"/>
    <n v="31350"/>
    <x v="0"/>
    <x v="0"/>
    <x v="28"/>
    <x v="3"/>
    <x v="0"/>
    <x v="0"/>
    <x v="3"/>
    <x v="0"/>
  </r>
  <r>
    <x v="0"/>
    <x v="0"/>
    <n v="2239073401"/>
    <x v="2"/>
    <n v="2090"/>
    <x v="0"/>
    <x v="0"/>
    <x v="28"/>
    <x v="2"/>
    <x v="0"/>
    <x v="0"/>
    <x v="2"/>
    <x v="0"/>
  </r>
  <r>
    <x v="0"/>
    <x v="0"/>
    <n v="2239073401"/>
    <x v="7"/>
    <n v="1900"/>
    <x v="0"/>
    <x v="0"/>
    <x v="28"/>
    <x v="7"/>
    <x v="0"/>
    <x v="0"/>
    <x v="1"/>
    <x v="0"/>
  </r>
  <r>
    <x v="0"/>
    <x v="0"/>
    <n v="2239073402"/>
    <x v="6"/>
    <n v="3800"/>
    <x v="0"/>
    <x v="0"/>
    <x v="28"/>
    <x v="6"/>
    <x v="0"/>
    <x v="0"/>
    <x v="5"/>
    <x v="0"/>
  </r>
  <r>
    <x v="0"/>
    <x v="0"/>
    <n v="2239073402"/>
    <x v="7"/>
    <n v="3800"/>
    <x v="0"/>
    <x v="0"/>
    <x v="28"/>
    <x v="7"/>
    <x v="0"/>
    <x v="0"/>
    <x v="1"/>
    <x v="0"/>
  </r>
  <r>
    <x v="0"/>
    <x v="0"/>
    <n v="2239073403"/>
    <x v="1"/>
    <n v="900"/>
    <x v="0"/>
    <x v="0"/>
    <x v="28"/>
    <x v="1"/>
    <x v="0"/>
    <x v="0"/>
    <x v="1"/>
    <x v="0"/>
  </r>
  <r>
    <x v="0"/>
    <x v="0"/>
    <n v="2239073405"/>
    <x v="2"/>
    <n v="34045"/>
    <x v="0"/>
    <x v="0"/>
    <x v="28"/>
    <x v="2"/>
    <x v="0"/>
    <x v="0"/>
    <x v="2"/>
    <x v="0"/>
  </r>
  <r>
    <x v="0"/>
    <x v="0"/>
    <n v="2239073407"/>
    <x v="2"/>
    <n v="6000"/>
    <x v="0"/>
    <x v="0"/>
    <x v="28"/>
    <x v="2"/>
    <x v="0"/>
    <x v="0"/>
    <x v="2"/>
    <x v="0"/>
  </r>
  <r>
    <x v="0"/>
    <x v="0"/>
    <n v="2239073408"/>
    <x v="2"/>
    <n v="9845"/>
    <x v="0"/>
    <x v="0"/>
    <x v="28"/>
    <x v="2"/>
    <x v="0"/>
    <x v="0"/>
    <x v="2"/>
    <x v="0"/>
  </r>
  <r>
    <x v="0"/>
    <x v="0"/>
    <n v="2239073409"/>
    <x v="3"/>
    <n v="1000"/>
    <x v="0"/>
    <x v="0"/>
    <x v="28"/>
    <x v="3"/>
    <x v="0"/>
    <x v="0"/>
    <x v="3"/>
    <x v="0"/>
  </r>
  <r>
    <x v="0"/>
    <x v="0"/>
    <n v="2239073410"/>
    <x v="5"/>
    <n v="-1000"/>
    <x v="0"/>
    <x v="0"/>
    <x v="28"/>
    <x v="5"/>
    <x v="0"/>
    <x v="0"/>
    <x v="5"/>
    <x v="0"/>
  </r>
  <r>
    <x v="0"/>
    <x v="0"/>
    <n v="2239073410"/>
    <x v="6"/>
    <n v="5000"/>
    <x v="0"/>
    <x v="0"/>
    <x v="28"/>
    <x v="6"/>
    <x v="0"/>
    <x v="0"/>
    <x v="5"/>
    <x v="0"/>
  </r>
  <r>
    <x v="0"/>
    <x v="0"/>
    <n v="2239073410"/>
    <x v="2"/>
    <n v="12000"/>
    <x v="0"/>
    <x v="0"/>
    <x v="28"/>
    <x v="2"/>
    <x v="0"/>
    <x v="0"/>
    <x v="2"/>
    <x v="0"/>
  </r>
  <r>
    <x v="0"/>
    <x v="0"/>
    <n v="2239073411"/>
    <x v="2"/>
    <n v="41580"/>
    <x v="0"/>
    <x v="0"/>
    <x v="28"/>
    <x v="2"/>
    <x v="0"/>
    <x v="0"/>
    <x v="2"/>
    <x v="0"/>
  </r>
  <r>
    <x v="0"/>
    <x v="0"/>
    <n v="2239073412"/>
    <x v="2"/>
    <n v="1000"/>
    <x v="0"/>
    <x v="0"/>
    <x v="28"/>
    <x v="2"/>
    <x v="0"/>
    <x v="0"/>
    <x v="2"/>
    <x v="0"/>
  </r>
  <r>
    <x v="0"/>
    <x v="0"/>
    <n v="2239073413"/>
    <x v="6"/>
    <n v="1000"/>
    <x v="0"/>
    <x v="0"/>
    <x v="28"/>
    <x v="6"/>
    <x v="0"/>
    <x v="0"/>
    <x v="5"/>
    <x v="0"/>
  </r>
  <r>
    <x v="0"/>
    <x v="0"/>
    <n v="2239073414"/>
    <x v="2"/>
    <n v="7700"/>
    <x v="0"/>
    <x v="0"/>
    <x v="28"/>
    <x v="2"/>
    <x v="0"/>
    <x v="0"/>
    <x v="2"/>
    <x v="0"/>
  </r>
  <r>
    <x v="0"/>
    <x v="0"/>
    <n v="2239073415"/>
    <x v="7"/>
    <n v="1500"/>
    <x v="0"/>
    <x v="0"/>
    <x v="28"/>
    <x v="7"/>
    <x v="0"/>
    <x v="0"/>
    <x v="1"/>
    <x v="0"/>
  </r>
  <r>
    <x v="0"/>
    <x v="0"/>
    <n v="2239073416"/>
    <x v="5"/>
    <n v="-7000"/>
    <x v="0"/>
    <x v="0"/>
    <x v="28"/>
    <x v="5"/>
    <x v="0"/>
    <x v="0"/>
    <x v="5"/>
    <x v="0"/>
  </r>
  <r>
    <x v="0"/>
    <x v="0"/>
    <n v="2239073416"/>
    <x v="6"/>
    <n v="10000"/>
    <x v="0"/>
    <x v="0"/>
    <x v="28"/>
    <x v="6"/>
    <x v="0"/>
    <x v="0"/>
    <x v="5"/>
    <x v="0"/>
  </r>
  <r>
    <x v="0"/>
    <x v="0"/>
    <n v="2239073417"/>
    <x v="6"/>
    <n v="2000"/>
    <x v="0"/>
    <x v="0"/>
    <x v="28"/>
    <x v="6"/>
    <x v="0"/>
    <x v="0"/>
    <x v="5"/>
    <x v="0"/>
  </r>
  <r>
    <x v="0"/>
    <x v="0"/>
    <n v="2239073418"/>
    <x v="5"/>
    <n v="-3600"/>
    <x v="0"/>
    <x v="0"/>
    <x v="28"/>
    <x v="5"/>
    <x v="0"/>
    <x v="0"/>
    <x v="5"/>
    <x v="0"/>
  </r>
  <r>
    <x v="0"/>
    <x v="0"/>
    <n v="2239073418"/>
    <x v="6"/>
    <n v="40000"/>
    <x v="0"/>
    <x v="0"/>
    <x v="28"/>
    <x v="6"/>
    <x v="0"/>
    <x v="0"/>
    <x v="5"/>
    <x v="0"/>
  </r>
  <r>
    <x v="0"/>
    <x v="0"/>
    <n v="2239073419"/>
    <x v="2"/>
    <n v="13145"/>
    <x v="0"/>
    <x v="0"/>
    <x v="28"/>
    <x v="2"/>
    <x v="0"/>
    <x v="0"/>
    <x v="2"/>
    <x v="0"/>
  </r>
  <r>
    <x v="0"/>
    <x v="0"/>
    <n v="2239073420"/>
    <x v="5"/>
    <n v="-8250"/>
    <x v="0"/>
    <x v="0"/>
    <x v="28"/>
    <x v="5"/>
    <x v="0"/>
    <x v="0"/>
    <x v="5"/>
    <x v="0"/>
  </r>
  <r>
    <x v="0"/>
    <x v="0"/>
    <n v="2239073420"/>
    <x v="6"/>
    <n v="30000"/>
    <x v="0"/>
    <x v="0"/>
    <x v="28"/>
    <x v="6"/>
    <x v="0"/>
    <x v="0"/>
    <x v="5"/>
    <x v="0"/>
  </r>
  <r>
    <x v="0"/>
    <x v="0"/>
    <n v="2239073421"/>
    <x v="7"/>
    <n v="1500"/>
    <x v="0"/>
    <x v="0"/>
    <x v="28"/>
    <x v="7"/>
    <x v="0"/>
    <x v="0"/>
    <x v="1"/>
    <x v="0"/>
  </r>
  <r>
    <x v="0"/>
    <x v="0"/>
    <n v="2239073422"/>
    <x v="6"/>
    <n v="2000"/>
    <x v="0"/>
    <x v="0"/>
    <x v="28"/>
    <x v="6"/>
    <x v="0"/>
    <x v="0"/>
    <x v="5"/>
    <x v="0"/>
  </r>
  <r>
    <x v="0"/>
    <x v="0"/>
    <n v="2239073423"/>
    <x v="3"/>
    <n v="15000"/>
    <x v="0"/>
    <x v="0"/>
    <x v="28"/>
    <x v="3"/>
    <x v="0"/>
    <x v="0"/>
    <x v="3"/>
    <x v="0"/>
  </r>
  <r>
    <x v="0"/>
    <x v="0"/>
    <n v="2239073424"/>
    <x v="6"/>
    <n v="2000"/>
    <x v="0"/>
    <x v="0"/>
    <x v="28"/>
    <x v="6"/>
    <x v="0"/>
    <x v="0"/>
    <x v="5"/>
    <x v="0"/>
  </r>
  <r>
    <x v="0"/>
    <x v="0"/>
    <n v="2239073425"/>
    <x v="2"/>
    <n v="2000"/>
    <x v="0"/>
    <x v="0"/>
    <x v="28"/>
    <x v="2"/>
    <x v="0"/>
    <x v="0"/>
    <x v="2"/>
    <x v="0"/>
  </r>
  <r>
    <x v="0"/>
    <x v="0"/>
    <n v="2239073426"/>
    <x v="7"/>
    <n v="1500"/>
    <x v="0"/>
    <x v="0"/>
    <x v="28"/>
    <x v="7"/>
    <x v="0"/>
    <x v="0"/>
    <x v="1"/>
    <x v="0"/>
  </r>
  <r>
    <x v="0"/>
    <x v="0"/>
    <n v="2239073427"/>
    <x v="6"/>
    <n v="1000"/>
    <x v="0"/>
    <x v="0"/>
    <x v="28"/>
    <x v="6"/>
    <x v="0"/>
    <x v="0"/>
    <x v="5"/>
    <x v="0"/>
  </r>
  <r>
    <x v="0"/>
    <x v="0"/>
    <n v="2239073428"/>
    <x v="2"/>
    <n v="21065"/>
    <x v="0"/>
    <x v="0"/>
    <x v="28"/>
    <x v="2"/>
    <x v="0"/>
    <x v="0"/>
    <x v="2"/>
    <x v="0"/>
  </r>
  <r>
    <x v="0"/>
    <x v="0"/>
    <n v="2239073429"/>
    <x v="5"/>
    <n v="-17000"/>
    <x v="0"/>
    <x v="0"/>
    <x v="28"/>
    <x v="5"/>
    <x v="0"/>
    <x v="0"/>
    <x v="5"/>
    <x v="0"/>
  </r>
  <r>
    <x v="0"/>
    <x v="0"/>
    <n v="2239073429"/>
    <x v="6"/>
    <n v="20000"/>
    <x v="0"/>
    <x v="0"/>
    <x v="28"/>
    <x v="6"/>
    <x v="0"/>
    <x v="0"/>
    <x v="5"/>
    <x v="0"/>
  </r>
  <r>
    <x v="0"/>
    <x v="0"/>
    <n v="2239073430"/>
    <x v="6"/>
    <n v="2000"/>
    <x v="0"/>
    <x v="0"/>
    <x v="28"/>
    <x v="6"/>
    <x v="0"/>
    <x v="0"/>
    <x v="5"/>
    <x v="0"/>
  </r>
  <r>
    <x v="0"/>
    <x v="0"/>
    <n v="2239073432"/>
    <x v="1"/>
    <n v="3150"/>
    <x v="0"/>
    <x v="0"/>
    <x v="28"/>
    <x v="1"/>
    <x v="0"/>
    <x v="0"/>
    <x v="1"/>
    <x v="0"/>
  </r>
  <r>
    <x v="0"/>
    <x v="0"/>
    <n v="2239073433"/>
    <x v="2"/>
    <n v="15620"/>
    <x v="0"/>
    <x v="0"/>
    <x v="28"/>
    <x v="2"/>
    <x v="0"/>
    <x v="0"/>
    <x v="2"/>
    <x v="0"/>
  </r>
  <r>
    <x v="0"/>
    <x v="0"/>
    <n v="2239073434"/>
    <x v="7"/>
    <n v="1500"/>
    <x v="0"/>
    <x v="0"/>
    <x v="28"/>
    <x v="7"/>
    <x v="0"/>
    <x v="0"/>
    <x v="1"/>
    <x v="0"/>
  </r>
  <r>
    <x v="0"/>
    <x v="0"/>
    <n v="2239073435"/>
    <x v="2"/>
    <n v="3000"/>
    <x v="0"/>
    <x v="0"/>
    <x v="28"/>
    <x v="2"/>
    <x v="0"/>
    <x v="0"/>
    <x v="2"/>
    <x v="0"/>
  </r>
  <r>
    <x v="0"/>
    <x v="0"/>
    <n v="2239073436"/>
    <x v="2"/>
    <n v="54175"/>
    <x v="0"/>
    <x v="0"/>
    <x v="28"/>
    <x v="2"/>
    <x v="0"/>
    <x v="0"/>
    <x v="2"/>
    <x v="0"/>
  </r>
  <r>
    <x v="0"/>
    <x v="0"/>
    <n v="2239073438"/>
    <x v="2"/>
    <n v="19305"/>
    <x v="0"/>
    <x v="0"/>
    <x v="28"/>
    <x v="2"/>
    <x v="0"/>
    <x v="0"/>
    <x v="2"/>
    <x v="0"/>
  </r>
  <r>
    <x v="0"/>
    <x v="0"/>
    <n v="2239073439"/>
    <x v="7"/>
    <n v="750"/>
    <x v="0"/>
    <x v="0"/>
    <x v="28"/>
    <x v="7"/>
    <x v="0"/>
    <x v="0"/>
    <x v="1"/>
    <x v="0"/>
  </r>
  <r>
    <x v="0"/>
    <x v="0"/>
    <n v="2239073440"/>
    <x v="2"/>
    <n v="35145"/>
    <x v="0"/>
    <x v="0"/>
    <x v="28"/>
    <x v="2"/>
    <x v="0"/>
    <x v="0"/>
    <x v="2"/>
    <x v="0"/>
  </r>
  <r>
    <x v="0"/>
    <x v="0"/>
    <n v="2239073441"/>
    <x v="5"/>
    <n v="-6000"/>
    <x v="0"/>
    <x v="0"/>
    <x v="28"/>
    <x v="5"/>
    <x v="0"/>
    <x v="0"/>
    <x v="5"/>
    <x v="0"/>
  </r>
  <r>
    <x v="0"/>
    <x v="0"/>
    <n v="2239073441"/>
    <x v="4"/>
    <n v="10400"/>
    <x v="0"/>
    <x v="0"/>
    <x v="28"/>
    <x v="4"/>
    <x v="0"/>
    <x v="0"/>
    <x v="4"/>
    <x v="0"/>
  </r>
  <r>
    <x v="0"/>
    <x v="0"/>
    <n v="2239073442"/>
    <x v="4"/>
    <n v="5600"/>
    <x v="0"/>
    <x v="0"/>
    <x v="28"/>
    <x v="4"/>
    <x v="0"/>
    <x v="0"/>
    <x v="4"/>
    <x v="0"/>
  </r>
  <r>
    <x v="0"/>
    <x v="0"/>
    <n v="2239073444"/>
    <x v="7"/>
    <n v="1500"/>
    <x v="0"/>
    <x v="0"/>
    <x v="28"/>
    <x v="7"/>
    <x v="0"/>
    <x v="0"/>
    <x v="1"/>
    <x v="0"/>
  </r>
  <r>
    <x v="0"/>
    <x v="0"/>
    <n v="2239073446"/>
    <x v="2"/>
    <n v="3000"/>
    <x v="0"/>
    <x v="0"/>
    <x v="28"/>
    <x v="2"/>
    <x v="0"/>
    <x v="0"/>
    <x v="2"/>
    <x v="0"/>
  </r>
  <r>
    <x v="0"/>
    <x v="0"/>
    <n v="2239073448"/>
    <x v="2"/>
    <n v="12595"/>
    <x v="0"/>
    <x v="0"/>
    <x v="28"/>
    <x v="2"/>
    <x v="0"/>
    <x v="0"/>
    <x v="2"/>
    <x v="0"/>
  </r>
  <r>
    <x v="0"/>
    <x v="0"/>
    <n v="2239073449"/>
    <x v="2"/>
    <n v="33990"/>
    <x v="0"/>
    <x v="0"/>
    <x v="28"/>
    <x v="2"/>
    <x v="0"/>
    <x v="0"/>
    <x v="2"/>
    <x v="0"/>
  </r>
  <r>
    <x v="0"/>
    <x v="0"/>
    <n v="2239073450"/>
    <x v="5"/>
    <n v="-2800"/>
    <x v="0"/>
    <x v="0"/>
    <x v="28"/>
    <x v="5"/>
    <x v="0"/>
    <x v="0"/>
    <x v="5"/>
    <x v="0"/>
  </r>
  <r>
    <x v="0"/>
    <x v="0"/>
    <n v="2239073450"/>
    <x v="6"/>
    <n v="10000"/>
    <x v="0"/>
    <x v="0"/>
    <x v="28"/>
    <x v="6"/>
    <x v="0"/>
    <x v="0"/>
    <x v="5"/>
    <x v="0"/>
  </r>
  <r>
    <x v="0"/>
    <x v="0"/>
    <n v="2239073450"/>
    <x v="7"/>
    <n v="800"/>
    <x v="0"/>
    <x v="0"/>
    <x v="28"/>
    <x v="7"/>
    <x v="0"/>
    <x v="0"/>
    <x v="1"/>
    <x v="0"/>
  </r>
  <r>
    <x v="0"/>
    <x v="0"/>
    <n v="2239073451"/>
    <x v="5"/>
    <n v="-8000"/>
    <x v="0"/>
    <x v="0"/>
    <x v="28"/>
    <x v="5"/>
    <x v="0"/>
    <x v="0"/>
    <x v="5"/>
    <x v="0"/>
  </r>
  <r>
    <x v="0"/>
    <x v="0"/>
    <n v="2239073451"/>
    <x v="6"/>
    <n v="10000"/>
    <x v="0"/>
    <x v="0"/>
    <x v="28"/>
    <x v="6"/>
    <x v="0"/>
    <x v="0"/>
    <x v="5"/>
    <x v="0"/>
  </r>
  <r>
    <x v="0"/>
    <x v="0"/>
    <n v="2239073452"/>
    <x v="5"/>
    <n v="-1100"/>
    <x v="0"/>
    <x v="0"/>
    <x v="28"/>
    <x v="5"/>
    <x v="0"/>
    <x v="0"/>
    <x v="5"/>
    <x v="0"/>
  </r>
  <r>
    <x v="0"/>
    <x v="0"/>
    <n v="2239073452"/>
    <x v="4"/>
    <n v="5500"/>
    <x v="0"/>
    <x v="0"/>
    <x v="28"/>
    <x v="4"/>
    <x v="0"/>
    <x v="0"/>
    <x v="4"/>
    <x v="0"/>
  </r>
  <r>
    <x v="0"/>
    <x v="0"/>
    <n v="2239073453"/>
    <x v="2"/>
    <n v="2000"/>
    <x v="0"/>
    <x v="0"/>
    <x v="28"/>
    <x v="2"/>
    <x v="0"/>
    <x v="0"/>
    <x v="2"/>
    <x v="0"/>
  </r>
  <r>
    <x v="0"/>
    <x v="0"/>
    <n v="2239073454"/>
    <x v="7"/>
    <n v="1500"/>
    <x v="0"/>
    <x v="0"/>
    <x v="28"/>
    <x v="7"/>
    <x v="0"/>
    <x v="0"/>
    <x v="1"/>
    <x v="0"/>
  </r>
  <r>
    <x v="0"/>
    <x v="0"/>
    <n v="2239073455"/>
    <x v="6"/>
    <n v="2000"/>
    <x v="0"/>
    <x v="0"/>
    <x v="28"/>
    <x v="6"/>
    <x v="0"/>
    <x v="0"/>
    <x v="5"/>
    <x v="0"/>
  </r>
  <r>
    <x v="0"/>
    <x v="0"/>
    <n v="2239073456"/>
    <x v="2"/>
    <n v="4000"/>
    <x v="0"/>
    <x v="0"/>
    <x v="28"/>
    <x v="2"/>
    <x v="0"/>
    <x v="0"/>
    <x v="2"/>
    <x v="0"/>
  </r>
  <r>
    <x v="0"/>
    <x v="0"/>
    <n v="2239073458"/>
    <x v="4"/>
    <n v="30200"/>
    <x v="0"/>
    <x v="0"/>
    <x v="28"/>
    <x v="4"/>
    <x v="0"/>
    <x v="0"/>
    <x v="4"/>
    <x v="0"/>
  </r>
  <r>
    <x v="0"/>
    <x v="0"/>
    <n v="2239073459"/>
    <x v="5"/>
    <n v="-6800"/>
    <x v="0"/>
    <x v="0"/>
    <x v="28"/>
    <x v="5"/>
    <x v="0"/>
    <x v="0"/>
    <x v="5"/>
    <x v="0"/>
  </r>
  <r>
    <x v="0"/>
    <x v="0"/>
    <n v="2239073459"/>
    <x v="6"/>
    <n v="20000"/>
    <x v="0"/>
    <x v="0"/>
    <x v="28"/>
    <x v="6"/>
    <x v="0"/>
    <x v="0"/>
    <x v="5"/>
    <x v="0"/>
  </r>
  <r>
    <x v="0"/>
    <x v="0"/>
    <n v="2239073461"/>
    <x v="2"/>
    <n v="8800"/>
    <x v="0"/>
    <x v="0"/>
    <x v="28"/>
    <x v="2"/>
    <x v="0"/>
    <x v="0"/>
    <x v="2"/>
    <x v="0"/>
  </r>
  <r>
    <x v="0"/>
    <x v="0"/>
    <n v="2239073462"/>
    <x v="2"/>
    <n v="45155"/>
    <x v="0"/>
    <x v="0"/>
    <x v="28"/>
    <x v="2"/>
    <x v="0"/>
    <x v="0"/>
    <x v="2"/>
    <x v="0"/>
  </r>
  <r>
    <x v="0"/>
    <x v="0"/>
    <n v="2239073463"/>
    <x v="7"/>
    <n v="1500"/>
    <x v="0"/>
    <x v="0"/>
    <x v="28"/>
    <x v="7"/>
    <x v="0"/>
    <x v="0"/>
    <x v="1"/>
    <x v="0"/>
  </r>
  <r>
    <x v="0"/>
    <x v="0"/>
    <n v="2239073464"/>
    <x v="2"/>
    <n v="54230"/>
    <x v="0"/>
    <x v="0"/>
    <x v="28"/>
    <x v="2"/>
    <x v="0"/>
    <x v="0"/>
    <x v="2"/>
    <x v="0"/>
  </r>
  <r>
    <x v="0"/>
    <x v="0"/>
    <n v="2239073465"/>
    <x v="5"/>
    <n v="-2000"/>
    <x v="0"/>
    <x v="0"/>
    <x v="28"/>
    <x v="5"/>
    <x v="0"/>
    <x v="0"/>
    <x v="5"/>
    <x v="0"/>
  </r>
  <r>
    <x v="0"/>
    <x v="0"/>
    <n v="2239073465"/>
    <x v="6"/>
    <n v="5000"/>
    <x v="0"/>
    <x v="0"/>
    <x v="28"/>
    <x v="6"/>
    <x v="0"/>
    <x v="0"/>
    <x v="5"/>
    <x v="0"/>
  </r>
  <r>
    <x v="0"/>
    <x v="0"/>
    <n v="2239073467"/>
    <x v="1"/>
    <n v="900"/>
    <x v="0"/>
    <x v="0"/>
    <x v="28"/>
    <x v="1"/>
    <x v="0"/>
    <x v="0"/>
    <x v="1"/>
    <x v="0"/>
  </r>
  <r>
    <x v="0"/>
    <x v="0"/>
    <n v="2239073468"/>
    <x v="5"/>
    <n v="-9050"/>
    <x v="0"/>
    <x v="0"/>
    <x v="28"/>
    <x v="5"/>
    <x v="0"/>
    <x v="0"/>
    <x v="5"/>
    <x v="0"/>
  </r>
  <r>
    <x v="0"/>
    <x v="0"/>
    <n v="2239073468"/>
    <x v="6"/>
    <n v="20000"/>
    <x v="0"/>
    <x v="0"/>
    <x v="28"/>
    <x v="6"/>
    <x v="0"/>
    <x v="0"/>
    <x v="5"/>
    <x v="0"/>
  </r>
  <r>
    <x v="0"/>
    <x v="0"/>
    <n v="2239073469"/>
    <x v="5"/>
    <n v="-7000"/>
    <x v="0"/>
    <x v="0"/>
    <x v="28"/>
    <x v="5"/>
    <x v="0"/>
    <x v="0"/>
    <x v="5"/>
    <x v="0"/>
  </r>
  <r>
    <x v="0"/>
    <x v="0"/>
    <n v="2239073469"/>
    <x v="6"/>
    <n v="10000"/>
    <x v="0"/>
    <x v="0"/>
    <x v="28"/>
    <x v="6"/>
    <x v="0"/>
    <x v="0"/>
    <x v="5"/>
    <x v="0"/>
  </r>
  <r>
    <x v="0"/>
    <x v="0"/>
    <n v="2239073470"/>
    <x v="2"/>
    <n v="89540"/>
    <x v="0"/>
    <x v="0"/>
    <x v="28"/>
    <x v="2"/>
    <x v="0"/>
    <x v="0"/>
    <x v="2"/>
    <x v="0"/>
  </r>
  <r>
    <x v="0"/>
    <x v="0"/>
    <n v="2239073471"/>
    <x v="5"/>
    <n v="-300"/>
    <x v="0"/>
    <x v="0"/>
    <x v="28"/>
    <x v="5"/>
    <x v="0"/>
    <x v="0"/>
    <x v="5"/>
    <x v="0"/>
  </r>
  <r>
    <x v="0"/>
    <x v="0"/>
    <n v="2239073471"/>
    <x v="4"/>
    <n v="6000"/>
    <x v="0"/>
    <x v="0"/>
    <x v="28"/>
    <x v="4"/>
    <x v="0"/>
    <x v="0"/>
    <x v="4"/>
    <x v="0"/>
  </r>
  <r>
    <x v="0"/>
    <x v="0"/>
    <n v="2239073473"/>
    <x v="2"/>
    <n v="25740"/>
    <x v="0"/>
    <x v="0"/>
    <x v="28"/>
    <x v="2"/>
    <x v="0"/>
    <x v="0"/>
    <x v="2"/>
    <x v="0"/>
  </r>
  <r>
    <x v="0"/>
    <x v="0"/>
    <n v="2239073474"/>
    <x v="1"/>
    <n v="7550"/>
    <x v="0"/>
    <x v="0"/>
    <x v="28"/>
    <x v="1"/>
    <x v="0"/>
    <x v="0"/>
    <x v="1"/>
    <x v="0"/>
  </r>
  <r>
    <x v="0"/>
    <x v="0"/>
    <n v="2239073475"/>
    <x v="2"/>
    <n v="6600"/>
    <x v="0"/>
    <x v="0"/>
    <x v="28"/>
    <x v="2"/>
    <x v="0"/>
    <x v="0"/>
    <x v="2"/>
    <x v="0"/>
  </r>
  <r>
    <x v="0"/>
    <x v="0"/>
    <n v="2239073476"/>
    <x v="2"/>
    <n v="6600"/>
    <x v="0"/>
    <x v="0"/>
    <x v="28"/>
    <x v="2"/>
    <x v="0"/>
    <x v="0"/>
    <x v="2"/>
    <x v="0"/>
  </r>
  <r>
    <x v="0"/>
    <x v="0"/>
    <n v="2239073477"/>
    <x v="2"/>
    <n v="2000"/>
    <x v="0"/>
    <x v="0"/>
    <x v="28"/>
    <x v="2"/>
    <x v="0"/>
    <x v="0"/>
    <x v="2"/>
    <x v="0"/>
  </r>
  <r>
    <x v="0"/>
    <x v="0"/>
    <n v="2239073478"/>
    <x v="2"/>
    <n v="4000"/>
    <x v="0"/>
    <x v="0"/>
    <x v="28"/>
    <x v="2"/>
    <x v="0"/>
    <x v="0"/>
    <x v="2"/>
    <x v="0"/>
  </r>
  <r>
    <x v="0"/>
    <x v="0"/>
    <n v="2239073478"/>
    <x v="7"/>
    <n v="3500"/>
    <x v="0"/>
    <x v="0"/>
    <x v="28"/>
    <x v="7"/>
    <x v="0"/>
    <x v="0"/>
    <x v="1"/>
    <x v="0"/>
  </r>
  <r>
    <x v="0"/>
    <x v="0"/>
    <n v="2239073479"/>
    <x v="3"/>
    <n v="45342"/>
    <x v="0"/>
    <x v="0"/>
    <x v="28"/>
    <x v="3"/>
    <x v="0"/>
    <x v="0"/>
    <x v="3"/>
    <x v="0"/>
  </r>
  <r>
    <x v="0"/>
    <x v="0"/>
    <n v="2239073481"/>
    <x v="2"/>
    <n v="29920"/>
    <x v="0"/>
    <x v="0"/>
    <x v="28"/>
    <x v="2"/>
    <x v="0"/>
    <x v="0"/>
    <x v="2"/>
    <x v="0"/>
  </r>
  <r>
    <x v="0"/>
    <x v="0"/>
    <n v="2239073482"/>
    <x v="5"/>
    <n v="-500"/>
    <x v="0"/>
    <x v="0"/>
    <x v="28"/>
    <x v="5"/>
    <x v="0"/>
    <x v="0"/>
    <x v="5"/>
    <x v="0"/>
  </r>
  <r>
    <x v="0"/>
    <x v="0"/>
    <n v="2239073482"/>
    <x v="6"/>
    <n v="5000"/>
    <x v="0"/>
    <x v="0"/>
    <x v="28"/>
    <x v="6"/>
    <x v="0"/>
    <x v="0"/>
    <x v="5"/>
    <x v="0"/>
  </r>
  <r>
    <x v="0"/>
    <x v="0"/>
    <n v="2239073483"/>
    <x v="2"/>
    <n v="72710"/>
    <x v="0"/>
    <x v="0"/>
    <x v="28"/>
    <x v="2"/>
    <x v="0"/>
    <x v="0"/>
    <x v="2"/>
    <x v="0"/>
  </r>
  <r>
    <x v="0"/>
    <x v="0"/>
    <n v="2239073484"/>
    <x v="6"/>
    <n v="15000"/>
    <x v="0"/>
    <x v="0"/>
    <x v="28"/>
    <x v="6"/>
    <x v="0"/>
    <x v="0"/>
    <x v="5"/>
    <x v="0"/>
  </r>
  <r>
    <x v="0"/>
    <x v="0"/>
    <n v="2239073485"/>
    <x v="5"/>
    <n v="-500"/>
    <x v="0"/>
    <x v="0"/>
    <x v="28"/>
    <x v="5"/>
    <x v="0"/>
    <x v="0"/>
    <x v="5"/>
    <x v="0"/>
  </r>
  <r>
    <x v="0"/>
    <x v="0"/>
    <n v="2239073485"/>
    <x v="6"/>
    <n v="33000"/>
    <x v="0"/>
    <x v="0"/>
    <x v="28"/>
    <x v="6"/>
    <x v="0"/>
    <x v="0"/>
    <x v="5"/>
    <x v="0"/>
  </r>
  <r>
    <x v="0"/>
    <x v="0"/>
    <n v="2239073486"/>
    <x v="5"/>
    <n v="-2000"/>
    <x v="0"/>
    <x v="0"/>
    <x v="28"/>
    <x v="5"/>
    <x v="0"/>
    <x v="0"/>
    <x v="5"/>
    <x v="0"/>
  </r>
  <r>
    <x v="0"/>
    <x v="0"/>
    <n v="2239073486"/>
    <x v="6"/>
    <n v="5000"/>
    <x v="0"/>
    <x v="0"/>
    <x v="28"/>
    <x v="6"/>
    <x v="0"/>
    <x v="0"/>
    <x v="5"/>
    <x v="0"/>
  </r>
  <r>
    <x v="0"/>
    <x v="0"/>
    <n v="2239073487"/>
    <x v="2"/>
    <n v="4125"/>
    <x v="0"/>
    <x v="0"/>
    <x v="28"/>
    <x v="2"/>
    <x v="0"/>
    <x v="0"/>
    <x v="2"/>
    <x v="0"/>
  </r>
  <r>
    <x v="0"/>
    <x v="0"/>
    <n v="2239073488"/>
    <x v="2"/>
    <n v="61215"/>
    <x v="0"/>
    <x v="0"/>
    <x v="28"/>
    <x v="2"/>
    <x v="0"/>
    <x v="0"/>
    <x v="2"/>
    <x v="0"/>
  </r>
  <r>
    <x v="0"/>
    <x v="0"/>
    <n v="2239073489"/>
    <x v="2"/>
    <n v="31790"/>
    <x v="0"/>
    <x v="0"/>
    <x v="28"/>
    <x v="2"/>
    <x v="0"/>
    <x v="0"/>
    <x v="2"/>
    <x v="0"/>
  </r>
  <r>
    <x v="0"/>
    <x v="0"/>
    <n v="2239073490"/>
    <x v="3"/>
    <n v="1000"/>
    <x v="0"/>
    <x v="0"/>
    <x v="28"/>
    <x v="3"/>
    <x v="0"/>
    <x v="0"/>
    <x v="3"/>
    <x v="0"/>
  </r>
  <r>
    <x v="0"/>
    <x v="0"/>
    <n v="2239073492"/>
    <x v="6"/>
    <n v="2000"/>
    <x v="0"/>
    <x v="0"/>
    <x v="28"/>
    <x v="6"/>
    <x v="0"/>
    <x v="0"/>
    <x v="5"/>
    <x v="0"/>
  </r>
  <r>
    <x v="0"/>
    <x v="0"/>
    <n v="2239073493"/>
    <x v="6"/>
    <n v="2000"/>
    <x v="0"/>
    <x v="0"/>
    <x v="28"/>
    <x v="6"/>
    <x v="0"/>
    <x v="0"/>
    <x v="5"/>
    <x v="0"/>
  </r>
  <r>
    <x v="0"/>
    <x v="0"/>
    <n v="2239073494"/>
    <x v="1"/>
    <n v="1200"/>
    <x v="0"/>
    <x v="0"/>
    <x v="28"/>
    <x v="1"/>
    <x v="0"/>
    <x v="0"/>
    <x v="1"/>
    <x v="0"/>
  </r>
  <r>
    <x v="0"/>
    <x v="0"/>
    <n v="2239073495"/>
    <x v="2"/>
    <n v="37950"/>
    <x v="0"/>
    <x v="0"/>
    <x v="28"/>
    <x v="2"/>
    <x v="0"/>
    <x v="0"/>
    <x v="2"/>
    <x v="0"/>
  </r>
  <r>
    <x v="0"/>
    <x v="0"/>
    <n v="2239073496"/>
    <x v="5"/>
    <n v="-4700"/>
    <x v="0"/>
    <x v="0"/>
    <x v="28"/>
    <x v="5"/>
    <x v="0"/>
    <x v="0"/>
    <x v="5"/>
    <x v="0"/>
  </r>
  <r>
    <x v="0"/>
    <x v="0"/>
    <n v="2239073496"/>
    <x v="4"/>
    <n v="10000"/>
    <x v="0"/>
    <x v="0"/>
    <x v="28"/>
    <x v="4"/>
    <x v="0"/>
    <x v="0"/>
    <x v="4"/>
    <x v="0"/>
  </r>
  <r>
    <x v="0"/>
    <x v="0"/>
    <n v="2239073497"/>
    <x v="7"/>
    <n v="1500"/>
    <x v="0"/>
    <x v="0"/>
    <x v="28"/>
    <x v="7"/>
    <x v="0"/>
    <x v="0"/>
    <x v="1"/>
    <x v="0"/>
  </r>
  <r>
    <x v="0"/>
    <x v="0"/>
    <n v="2239073498"/>
    <x v="2"/>
    <n v="3150"/>
    <x v="0"/>
    <x v="0"/>
    <x v="28"/>
    <x v="2"/>
    <x v="0"/>
    <x v="0"/>
    <x v="2"/>
    <x v="0"/>
  </r>
  <r>
    <x v="0"/>
    <x v="0"/>
    <n v="2239073498"/>
    <x v="7"/>
    <n v="1350"/>
    <x v="0"/>
    <x v="0"/>
    <x v="28"/>
    <x v="7"/>
    <x v="0"/>
    <x v="0"/>
    <x v="1"/>
    <x v="0"/>
  </r>
  <r>
    <x v="0"/>
    <x v="0"/>
    <n v="2239073499"/>
    <x v="2"/>
    <n v="58630"/>
    <x v="0"/>
    <x v="0"/>
    <x v="28"/>
    <x v="2"/>
    <x v="0"/>
    <x v="0"/>
    <x v="2"/>
    <x v="0"/>
  </r>
  <r>
    <x v="0"/>
    <x v="0"/>
    <n v="2239073500"/>
    <x v="2"/>
    <n v="46640"/>
    <x v="0"/>
    <x v="0"/>
    <x v="28"/>
    <x v="2"/>
    <x v="0"/>
    <x v="0"/>
    <x v="2"/>
    <x v="0"/>
  </r>
  <r>
    <x v="0"/>
    <x v="0"/>
    <n v="2239073501"/>
    <x v="5"/>
    <n v="-4000"/>
    <x v="0"/>
    <x v="0"/>
    <x v="28"/>
    <x v="5"/>
    <x v="0"/>
    <x v="0"/>
    <x v="5"/>
    <x v="0"/>
  </r>
  <r>
    <x v="0"/>
    <x v="0"/>
    <n v="2239073501"/>
    <x v="6"/>
    <n v="10500"/>
    <x v="0"/>
    <x v="0"/>
    <x v="28"/>
    <x v="6"/>
    <x v="0"/>
    <x v="0"/>
    <x v="5"/>
    <x v="0"/>
  </r>
  <r>
    <x v="0"/>
    <x v="0"/>
    <n v="2239073502"/>
    <x v="1"/>
    <n v="34100"/>
    <x v="0"/>
    <x v="0"/>
    <x v="28"/>
    <x v="1"/>
    <x v="0"/>
    <x v="0"/>
    <x v="1"/>
    <x v="0"/>
  </r>
  <r>
    <x v="0"/>
    <x v="0"/>
    <n v="2239073503"/>
    <x v="2"/>
    <n v="9625"/>
    <x v="0"/>
    <x v="0"/>
    <x v="28"/>
    <x v="2"/>
    <x v="0"/>
    <x v="0"/>
    <x v="2"/>
    <x v="0"/>
  </r>
  <r>
    <x v="0"/>
    <x v="0"/>
    <n v="2239073503"/>
    <x v="7"/>
    <n v="3800"/>
    <x v="0"/>
    <x v="0"/>
    <x v="28"/>
    <x v="7"/>
    <x v="0"/>
    <x v="0"/>
    <x v="1"/>
    <x v="0"/>
  </r>
  <r>
    <x v="0"/>
    <x v="0"/>
    <n v="2239073504"/>
    <x v="2"/>
    <n v="4500"/>
    <x v="0"/>
    <x v="0"/>
    <x v="28"/>
    <x v="2"/>
    <x v="0"/>
    <x v="0"/>
    <x v="2"/>
    <x v="0"/>
  </r>
  <r>
    <x v="0"/>
    <x v="0"/>
    <n v="2239073505"/>
    <x v="2"/>
    <n v="43890"/>
    <x v="0"/>
    <x v="0"/>
    <x v="28"/>
    <x v="2"/>
    <x v="0"/>
    <x v="0"/>
    <x v="2"/>
    <x v="0"/>
  </r>
  <r>
    <x v="0"/>
    <x v="0"/>
    <n v="2239073508"/>
    <x v="2"/>
    <n v="40590"/>
    <x v="0"/>
    <x v="0"/>
    <x v="28"/>
    <x v="2"/>
    <x v="0"/>
    <x v="0"/>
    <x v="2"/>
    <x v="0"/>
  </r>
  <r>
    <x v="0"/>
    <x v="0"/>
    <n v="2239073509"/>
    <x v="7"/>
    <n v="1500"/>
    <x v="0"/>
    <x v="0"/>
    <x v="28"/>
    <x v="7"/>
    <x v="0"/>
    <x v="0"/>
    <x v="1"/>
    <x v="0"/>
  </r>
  <r>
    <x v="0"/>
    <x v="0"/>
    <n v="2239073511"/>
    <x v="5"/>
    <n v="-5400"/>
    <x v="0"/>
    <x v="0"/>
    <x v="28"/>
    <x v="5"/>
    <x v="0"/>
    <x v="0"/>
    <x v="5"/>
    <x v="0"/>
  </r>
  <r>
    <x v="0"/>
    <x v="0"/>
    <n v="2239073511"/>
    <x v="4"/>
    <n v="10000"/>
    <x v="0"/>
    <x v="0"/>
    <x v="28"/>
    <x v="4"/>
    <x v="0"/>
    <x v="0"/>
    <x v="4"/>
    <x v="0"/>
  </r>
  <r>
    <x v="0"/>
    <x v="0"/>
    <n v="2239073513"/>
    <x v="1"/>
    <n v="2400"/>
    <x v="0"/>
    <x v="0"/>
    <x v="28"/>
    <x v="1"/>
    <x v="0"/>
    <x v="0"/>
    <x v="1"/>
    <x v="0"/>
  </r>
  <r>
    <x v="0"/>
    <x v="0"/>
    <n v="2239073514"/>
    <x v="7"/>
    <n v="1500"/>
    <x v="0"/>
    <x v="0"/>
    <x v="28"/>
    <x v="7"/>
    <x v="0"/>
    <x v="0"/>
    <x v="1"/>
    <x v="0"/>
  </r>
  <r>
    <x v="0"/>
    <x v="0"/>
    <n v="2239073515"/>
    <x v="3"/>
    <n v="37400"/>
    <x v="0"/>
    <x v="0"/>
    <x v="28"/>
    <x v="3"/>
    <x v="0"/>
    <x v="0"/>
    <x v="3"/>
    <x v="0"/>
  </r>
  <r>
    <x v="0"/>
    <x v="0"/>
    <n v="2239073516"/>
    <x v="5"/>
    <n v="-5600"/>
    <x v="0"/>
    <x v="0"/>
    <x v="28"/>
    <x v="5"/>
    <x v="0"/>
    <x v="0"/>
    <x v="5"/>
    <x v="0"/>
  </r>
  <r>
    <x v="0"/>
    <x v="0"/>
    <n v="2239073516"/>
    <x v="4"/>
    <n v="10000"/>
    <x v="0"/>
    <x v="0"/>
    <x v="28"/>
    <x v="4"/>
    <x v="0"/>
    <x v="0"/>
    <x v="4"/>
    <x v="0"/>
  </r>
  <r>
    <x v="0"/>
    <x v="0"/>
    <n v="2239073517"/>
    <x v="7"/>
    <n v="7500"/>
    <x v="0"/>
    <x v="0"/>
    <x v="28"/>
    <x v="7"/>
    <x v="0"/>
    <x v="0"/>
    <x v="1"/>
    <x v="0"/>
  </r>
  <r>
    <x v="0"/>
    <x v="0"/>
    <n v="2239073518"/>
    <x v="2"/>
    <n v="18590"/>
    <x v="0"/>
    <x v="0"/>
    <x v="28"/>
    <x v="2"/>
    <x v="0"/>
    <x v="0"/>
    <x v="2"/>
    <x v="0"/>
  </r>
  <r>
    <x v="0"/>
    <x v="0"/>
    <n v="2239073519"/>
    <x v="2"/>
    <n v="7500"/>
    <x v="0"/>
    <x v="0"/>
    <x v="28"/>
    <x v="2"/>
    <x v="0"/>
    <x v="0"/>
    <x v="2"/>
    <x v="0"/>
  </r>
  <r>
    <x v="0"/>
    <x v="0"/>
    <n v="2239073520"/>
    <x v="1"/>
    <n v="10490"/>
    <x v="0"/>
    <x v="0"/>
    <x v="28"/>
    <x v="1"/>
    <x v="0"/>
    <x v="0"/>
    <x v="1"/>
    <x v="0"/>
  </r>
  <r>
    <x v="0"/>
    <x v="0"/>
    <n v="2239073521"/>
    <x v="2"/>
    <n v="7700"/>
    <x v="0"/>
    <x v="0"/>
    <x v="28"/>
    <x v="2"/>
    <x v="0"/>
    <x v="0"/>
    <x v="2"/>
    <x v="0"/>
  </r>
  <r>
    <x v="0"/>
    <x v="0"/>
    <n v="2239073524"/>
    <x v="1"/>
    <n v="1950"/>
    <x v="0"/>
    <x v="0"/>
    <x v="28"/>
    <x v="1"/>
    <x v="0"/>
    <x v="0"/>
    <x v="1"/>
    <x v="0"/>
  </r>
  <r>
    <x v="0"/>
    <x v="0"/>
    <n v="2239073526"/>
    <x v="2"/>
    <n v="16830"/>
    <x v="0"/>
    <x v="0"/>
    <x v="28"/>
    <x v="2"/>
    <x v="0"/>
    <x v="0"/>
    <x v="2"/>
    <x v="0"/>
  </r>
  <r>
    <x v="0"/>
    <x v="0"/>
    <n v="2239073527"/>
    <x v="1"/>
    <n v="1590"/>
    <x v="0"/>
    <x v="0"/>
    <x v="28"/>
    <x v="1"/>
    <x v="0"/>
    <x v="0"/>
    <x v="1"/>
    <x v="0"/>
  </r>
  <r>
    <x v="0"/>
    <x v="0"/>
    <n v="2239073528"/>
    <x v="3"/>
    <n v="16500"/>
    <x v="0"/>
    <x v="0"/>
    <x v="28"/>
    <x v="3"/>
    <x v="0"/>
    <x v="0"/>
    <x v="3"/>
    <x v="0"/>
  </r>
  <r>
    <x v="0"/>
    <x v="0"/>
    <n v="2239073529"/>
    <x v="2"/>
    <n v="4400"/>
    <x v="0"/>
    <x v="0"/>
    <x v="28"/>
    <x v="2"/>
    <x v="0"/>
    <x v="0"/>
    <x v="2"/>
    <x v="0"/>
  </r>
  <r>
    <x v="0"/>
    <x v="0"/>
    <n v="2239073530"/>
    <x v="2"/>
    <n v="3000"/>
    <x v="0"/>
    <x v="0"/>
    <x v="28"/>
    <x v="2"/>
    <x v="0"/>
    <x v="0"/>
    <x v="2"/>
    <x v="0"/>
  </r>
  <r>
    <x v="0"/>
    <x v="0"/>
    <n v="2239073531"/>
    <x v="2"/>
    <n v="32890"/>
    <x v="0"/>
    <x v="0"/>
    <x v="28"/>
    <x v="2"/>
    <x v="0"/>
    <x v="0"/>
    <x v="2"/>
    <x v="0"/>
  </r>
  <r>
    <x v="0"/>
    <x v="0"/>
    <n v="2239073532"/>
    <x v="2"/>
    <n v="24420"/>
    <x v="0"/>
    <x v="0"/>
    <x v="28"/>
    <x v="2"/>
    <x v="0"/>
    <x v="0"/>
    <x v="2"/>
    <x v="0"/>
  </r>
  <r>
    <x v="0"/>
    <x v="0"/>
    <n v="2239073533"/>
    <x v="3"/>
    <n v="10890"/>
    <x v="0"/>
    <x v="0"/>
    <x v="28"/>
    <x v="3"/>
    <x v="0"/>
    <x v="0"/>
    <x v="3"/>
    <x v="0"/>
  </r>
  <r>
    <x v="0"/>
    <x v="0"/>
    <n v="2239073534"/>
    <x v="1"/>
    <n v="20100"/>
    <x v="0"/>
    <x v="0"/>
    <x v="28"/>
    <x v="1"/>
    <x v="0"/>
    <x v="0"/>
    <x v="1"/>
    <x v="0"/>
  </r>
  <r>
    <x v="0"/>
    <x v="0"/>
    <n v="2239073535"/>
    <x v="3"/>
    <n v="54560"/>
    <x v="0"/>
    <x v="0"/>
    <x v="28"/>
    <x v="3"/>
    <x v="0"/>
    <x v="0"/>
    <x v="3"/>
    <x v="0"/>
  </r>
  <r>
    <x v="0"/>
    <x v="0"/>
    <n v="2239073536"/>
    <x v="2"/>
    <n v="3500"/>
    <x v="0"/>
    <x v="0"/>
    <x v="28"/>
    <x v="2"/>
    <x v="0"/>
    <x v="0"/>
    <x v="2"/>
    <x v="0"/>
  </r>
  <r>
    <x v="0"/>
    <x v="0"/>
    <n v="2239073537"/>
    <x v="5"/>
    <n v="-4400"/>
    <x v="0"/>
    <x v="0"/>
    <x v="28"/>
    <x v="5"/>
    <x v="0"/>
    <x v="0"/>
    <x v="5"/>
    <x v="0"/>
  </r>
  <r>
    <x v="0"/>
    <x v="0"/>
    <n v="2239073537"/>
    <x v="4"/>
    <n v="10000"/>
    <x v="0"/>
    <x v="0"/>
    <x v="28"/>
    <x v="4"/>
    <x v="0"/>
    <x v="0"/>
    <x v="4"/>
    <x v="0"/>
  </r>
  <r>
    <x v="0"/>
    <x v="0"/>
    <n v="2239073538"/>
    <x v="2"/>
    <n v="28600"/>
    <x v="0"/>
    <x v="0"/>
    <x v="28"/>
    <x v="2"/>
    <x v="0"/>
    <x v="0"/>
    <x v="2"/>
    <x v="0"/>
  </r>
  <r>
    <x v="0"/>
    <x v="0"/>
    <n v="2239073539"/>
    <x v="2"/>
    <n v="127820"/>
    <x v="0"/>
    <x v="0"/>
    <x v="28"/>
    <x v="2"/>
    <x v="0"/>
    <x v="0"/>
    <x v="2"/>
    <x v="0"/>
  </r>
  <r>
    <x v="0"/>
    <x v="0"/>
    <n v="2239073540"/>
    <x v="1"/>
    <n v="3150"/>
    <x v="0"/>
    <x v="0"/>
    <x v="28"/>
    <x v="1"/>
    <x v="0"/>
    <x v="0"/>
    <x v="1"/>
    <x v="0"/>
  </r>
  <r>
    <x v="0"/>
    <x v="0"/>
    <n v="2239073541"/>
    <x v="6"/>
    <n v="3000"/>
    <x v="0"/>
    <x v="0"/>
    <x v="28"/>
    <x v="6"/>
    <x v="0"/>
    <x v="0"/>
    <x v="5"/>
    <x v="0"/>
  </r>
  <r>
    <x v="0"/>
    <x v="0"/>
    <n v="2239073542"/>
    <x v="2"/>
    <n v="12100"/>
    <x v="0"/>
    <x v="0"/>
    <x v="28"/>
    <x v="2"/>
    <x v="0"/>
    <x v="0"/>
    <x v="2"/>
    <x v="0"/>
  </r>
  <r>
    <x v="0"/>
    <x v="0"/>
    <n v="2239073543"/>
    <x v="1"/>
    <n v="36770"/>
    <x v="0"/>
    <x v="0"/>
    <x v="28"/>
    <x v="1"/>
    <x v="0"/>
    <x v="0"/>
    <x v="1"/>
    <x v="0"/>
  </r>
  <r>
    <x v="0"/>
    <x v="0"/>
    <n v="2239073544"/>
    <x v="2"/>
    <n v="13000"/>
    <x v="0"/>
    <x v="0"/>
    <x v="28"/>
    <x v="2"/>
    <x v="0"/>
    <x v="0"/>
    <x v="2"/>
    <x v="0"/>
  </r>
  <r>
    <x v="0"/>
    <x v="0"/>
    <n v="2239073545"/>
    <x v="2"/>
    <n v="3300"/>
    <x v="0"/>
    <x v="0"/>
    <x v="28"/>
    <x v="2"/>
    <x v="0"/>
    <x v="0"/>
    <x v="2"/>
    <x v="0"/>
  </r>
  <r>
    <x v="0"/>
    <x v="0"/>
    <n v="2239073546"/>
    <x v="2"/>
    <n v="15400"/>
    <x v="0"/>
    <x v="0"/>
    <x v="28"/>
    <x v="2"/>
    <x v="0"/>
    <x v="0"/>
    <x v="2"/>
    <x v="0"/>
  </r>
  <r>
    <x v="0"/>
    <x v="0"/>
    <n v="2239073548"/>
    <x v="3"/>
    <n v="112200"/>
    <x v="0"/>
    <x v="0"/>
    <x v="28"/>
    <x v="3"/>
    <x v="0"/>
    <x v="0"/>
    <x v="3"/>
    <x v="0"/>
  </r>
  <r>
    <x v="0"/>
    <x v="0"/>
    <n v="2239073549"/>
    <x v="3"/>
    <n v="41690"/>
    <x v="0"/>
    <x v="0"/>
    <x v="28"/>
    <x v="3"/>
    <x v="0"/>
    <x v="0"/>
    <x v="3"/>
    <x v="0"/>
  </r>
  <r>
    <x v="0"/>
    <x v="0"/>
    <n v="2239073550"/>
    <x v="2"/>
    <n v="8800"/>
    <x v="0"/>
    <x v="0"/>
    <x v="28"/>
    <x v="2"/>
    <x v="0"/>
    <x v="0"/>
    <x v="2"/>
    <x v="0"/>
  </r>
  <r>
    <x v="0"/>
    <x v="0"/>
    <n v="2239073551"/>
    <x v="7"/>
    <n v="7000"/>
    <x v="0"/>
    <x v="0"/>
    <x v="28"/>
    <x v="7"/>
    <x v="0"/>
    <x v="0"/>
    <x v="1"/>
    <x v="0"/>
  </r>
  <r>
    <x v="0"/>
    <x v="0"/>
    <n v="2239073553"/>
    <x v="3"/>
    <n v="8250"/>
    <x v="0"/>
    <x v="0"/>
    <x v="28"/>
    <x v="3"/>
    <x v="0"/>
    <x v="0"/>
    <x v="3"/>
    <x v="0"/>
  </r>
  <r>
    <x v="0"/>
    <x v="0"/>
    <n v="2239073554"/>
    <x v="3"/>
    <n v="6500"/>
    <x v="0"/>
    <x v="0"/>
    <x v="28"/>
    <x v="3"/>
    <x v="0"/>
    <x v="0"/>
    <x v="3"/>
    <x v="0"/>
  </r>
  <r>
    <x v="0"/>
    <x v="0"/>
    <n v="2239073555"/>
    <x v="2"/>
    <n v="3000"/>
    <x v="0"/>
    <x v="0"/>
    <x v="28"/>
    <x v="2"/>
    <x v="0"/>
    <x v="0"/>
    <x v="2"/>
    <x v="0"/>
  </r>
  <r>
    <x v="0"/>
    <x v="0"/>
    <n v="2239073556"/>
    <x v="3"/>
    <n v="3000"/>
    <x v="0"/>
    <x v="0"/>
    <x v="28"/>
    <x v="3"/>
    <x v="0"/>
    <x v="0"/>
    <x v="3"/>
    <x v="0"/>
  </r>
  <r>
    <x v="0"/>
    <x v="0"/>
    <n v="2239073557"/>
    <x v="5"/>
    <n v="-2000"/>
    <x v="0"/>
    <x v="0"/>
    <x v="28"/>
    <x v="5"/>
    <x v="0"/>
    <x v="0"/>
    <x v="5"/>
    <x v="0"/>
  </r>
  <r>
    <x v="0"/>
    <x v="0"/>
    <n v="2239073557"/>
    <x v="6"/>
    <n v="5000"/>
    <x v="0"/>
    <x v="0"/>
    <x v="28"/>
    <x v="6"/>
    <x v="0"/>
    <x v="0"/>
    <x v="5"/>
    <x v="0"/>
  </r>
  <r>
    <x v="0"/>
    <x v="0"/>
    <n v="2239073558"/>
    <x v="3"/>
    <n v="4950"/>
    <x v="0"/>
    <x v="0"/>
    <x v="28"/>
    <x v="3"/>
    <x v="0"/>
    <x v="0"/>
    <x v="3"/>
    <x v="0"/>
  </r>
  <r>
    <x v="0"/>
    <x v="0"/>
    <n v="2239073560"/>
    <x v="3"/>
    <n v="3000"/>
    <x v="0"/>
    <x v="0"/>
    <x v="28"/>
    <x v="3"/>
    <x v="0"/>
    <x v="0"/>
    <x v="3"/>
    <x v="0"/>
  </r>
  <r>
    <x v="0"/>
    <x v="0"/>
    <n v="2239073561"/>
    <x v="5"/>
    <n v="-1060"/>
    <x v="0"/>
    <x v="0"/>
    <x v="28"/>
    <x v="5"/>
    <x v="0"/>
    <x v="0"/>
    <x v="5"/>
    <x v="0"/>
  </r>
  <r>
    <x v="0"/>
    <x v="0"/>
    <n v="2239073561"/>
    <x v="6"/>
    <n v="25000"/>
    <x v="0"/>
    <x v="0"/>
    <x v="28"/>
    <x v="6"/>
    <x v="0"/>
    <x v="0"/>
    <x v="5"/>
    <x v="0"/>
  </r>
  <r>
    <x v="0"/>
    <x v="0"/>
    <n v="2239073562"/>
    <x v="3"/>
    <n v="5005"/>
    <x v="0"/>
    <x v="0"/>
    <x v="28"/>
    <x v="3"/>
    <x v="0"/>
    <x v="0"/>
    <x v="3"/>
    <x v="0"/>
  </r>
  <r>
    <x v="0"/>
    <x v="0"/>
    <n v="2239073562"/>
    <x v="7"/>
    <n v="1950"/>
    <x v="0"/>
    <x v="0"/>
    <x v="28"/>
    <x v="7"/>
    <x v="0"/>
    <x v="0"/>
    <x v="1"/>
    <x v="0"/>
  </r>
  <r>
    <x v="0"/>
    <x v="0"/>
    <n v="2239073564"/>
    <x v="2"/>
    <n v="24090"/>
    <x v="0"/>
    <x v="0"/>
    <x v="28"/>
    <x v="2"/>
    <x v="0"/>
    <x v="0"/>
    <x v="2"/>
    <x v="0"/>
  </r>
  <r>
    <x v="0"/>
    <x v="0"/>
    <n v="2239073565"/>
    <x v="3"/>
    <n v="68530"/>
    <x v="0"/>
    <x v="0"/>
    <x v="28"/>
    <x v="3"/>
    <x v="0"/>
    <x v="0"/>
    <x v="3"/>
    <x v="0"/>
  </r>
  <r>
    <x v="0"/>
    <x v="0"/>
    <n v="2239073566"/>
    <x v="5"/>
    <n v="-12500"/>
    <x v="0"/>
    <x v="0"/>
    <x v="28"/>
    <x v="5"/>
    <x v="0"/>
    <x v="0"/>
    <x v="5"/>
    <x v="0"/>
  </r>
  <r>
    <x v="0"/>
    <x v="0"/>
    <n v="2239073566"/>
    <x v="6"/>
    <n v="20000"/>
    <x v="0"/>
    <x v="0"/>
    <x v="28"/>
    <x v="6"/>
    <x v="0"/>
    <x v="0"/>
    <x v="5"/>
    <x v="0"/>
  </r>
  <r>
    <x v="0"/>
    <x v="0"/>
    <n v="2239073568"/>
    <x v="2"/>
    <n v="6000"/>
    <x v="0"/>
    <x v="0"/>
    <x v="28"/>
    <x v="2"/>
    <x v="0"/>
    <x v="0"/>
    <x v="2"/>
    <x v="0"/>
  </r>
  <r>
    <x v="0"/>
    <x v="0"/>
    <n v="2239073569"/>
    <x v="2"/>
    <n v="20900"/>
    <x v="0"/>
    <x v="0"/>
    <x v="28"/>
    <x v="2"/>
    <x v="0"/>
    <x v="0"/>
    <x v="2"/>
    <x v="0"/>
  </r>
  <r>
    <x v="0"/>
    <x v="0"/>
    <n v="2239073570"/>
    <x v="2"/>
    <n v="24090"/>
    <x v="0"/>
    <x v="0"/>
    <x v="28"/>
    <x v="2"/>
    <x v="0"/>
    <x v="0"/>
    <x v="2"/>
    <x v="0"/>
  </r>
  <r>
    <x v="0"/>
    <x v="0"/>
    <n v="2239073571"/>
    <x v="2"/>
    <n v="30140"/>
    <x v="0"/>
    <x v="0"/>
    <x v="28"/>
    <x v="2"/>
    <x v="0"/>
    <x v="0"/>
    <x v="2"/>
    <x v="0"/>
  </r>
  <r>
    <x v="0"/>
    <x v="0"/>
    <n v="2239073572"/>
    <x v="3"/>
    <n v="6500"/>
    <x v="0"/>
    <x v="0"/>
    <x v="28"/>
    <x v="3"/>
    <x v="0"/>
    <x v="0"/>
    <x v="3"/>
    <x v="0"/>
  </r>
  <r>
    <x v="0"/>
    <x v="0"/>
    <n v="2239073573"/>
    <x v="2"/>
    <n v="18590"/>
    <x v="0"/>
    <x v="0"/>
    <x v="28"/>
    <x v="2"/>
    <x v="0"/>
    <x v="0"/>
    <x v="2"/>
    <x v="0"/>
  </r>
  <r>
    <x v="0"/>
    <x v="0"/>
    <n v="2239073575"/>
    <x v="2"/>
    <n v="6500"/>
    <x v="0"/>
    <x v="0"/>
    <x v="28"/>
    <x v="2"/>
    <x v="0"/>
    <x v="0"/>
    <x v="2"/>
    <x v="0"/>
  </r>
  <r>
    <x v="0"/>
    <x v="0"/>
    <n v="2239073576"/>
    <x v="1"/>
    <n v="1470"/>
    <x v="0"/>
    <x v="0"/>
    <x v="28"/>
    <x v="1"/>
    <x v="0"/>
    <x v="0"/>
    <x v="1"/>
    <x v="0"/>
  </r>
  <r>
    <x v="0"/>
    <x v="0"/>
    <n v="2239073577"/>
    <x v="2"/>
    <n v="34760"/>
    <x v="0"/>
    <x v="0"/>
    <x v="28"/>
    <x v="2"/>
    <x v="0"/>
    <x v="0"/>
    <x v="2"/>
    <x v="0"/>
  </r>
  <r>
    <x v="0"/>
    <x v="0"/>
    <n v="2239073578"/>
    <x v="3"/>
    <n v="3000"/>
    <x v="0"/>
    <x v="0"/>
    <x v="28"/>
    <x v="3"/>
    <x v="0"/>
    <x v="0"/>
    <x v="3"/>
    <x v="0"/>
  </r>
  <r>
    <x v="0"/>
    <x v="0"/>
    <n v="2239073579"/>
    <x v="2"/>
    <n v="16500"/>
    <x v="0"/>
    <x v="0"/>
    <x v="28"/>
    <x v="2"/>
    <x v="0"/>
    <x v="0"/>
    <x v="2"/>
    <x v="0"/>
  </r>
  <r>
    <x v="0"/>
    <x v="0"/>
    <n v="2239073580"/>
    <x v="2"/>
    <n v="13000"/>
    <x v="0"/>
    <x v="0"/>
    <x v="28"/>
    <x v="2"/>
    <x v="0"/>
    <x v="0"/>
    <x v="2"/>
    <x v="0"/>
  </r>
  <r>
    <x v="0"/>
    <x v="0"/>
    <n v="2239073581"/>
    <x v="6"/>
    <n v="5000"/>
    <x v="0"/>
    <x v="0"/>
    <x v="28"/>
    <x v="6"/>
    <x v="0"/>
    <x v="0"/>
    <x v="5"/>
    <x v="0"/>
  </r>
  <r>
    <x v="0"/>
    <x v="0"/>
    <n v="2239073582"/>
    <x v="2"/>
    <n v="10890"/>
    <x v="0"/>
    <x v="0"/>
    <x v="28"/>
    <x v="2"/>
    <x v="0"/>
    <x v="0"/>
    <x v="2"/>
    <x v="0"/>
  </r>
  <r>
    <x v="0"/>
    <x v="0"/>
    <n v="2239073583"/>
    <x v="2"/>
    <n v="14500"/>
    <x v="0"/>
    <x v="0"/>
    <x v="28"/>
    <x v="2"/>
    <x v="0"/>
    <x v="0"/>
    <x v="2"/>
    <x v="0"/>
  </r>
  <r>
    <x v="0"/>
    <x v="0"/>
    <n v="2239073584"/>
    <x v="3"/>
    <n v="7150"/>
    <x v="0"/>
    <x v="0"/>
    <x v="28"/>
    <x v="3"/>
    <x v="0"/>
    <x v="0"/>
    <x v="3"/>
    <x v="0"/>
  </r>
  <r>
    <x v="0"/>
    <x v="0"/>
    <n v="2239073585"/>
    <x v="5"/>
    <n v="-7000"/>
    <x v="0"/>
    <x v="0"/>
    <x v="28"/>
    <x v="5"/>
    <x v="0"/>
    <x v="0"/>
    <x v="5"/>
    <x v="0"/>
  </r>
  <r>
    <x v="0"/>
    <x v="0"/>
    <n v="2239073585"/>
    <x v="6"/>
    <n v="10000"/>
    <x v="0"/>
    <x v="0"/>
    <x v="28"/>
    <x v="6"/>
    <x v="0"/>
    <x v="0"/>
    <x v="5"/>
    <x v="0"/>
  </r>
  <r>
    <x v="0"/>
    <x v="0"/>
    <n v="2239073586"/>
    <x v="2"/>
    <n v="19690"/>
    <x v="0"/>
    <x v="0"/>
    <x v="28"/>
    <x v="2"/>
    <x v="0"/>
    <x v="0"/>
    <x v="2"/>
    <x v="0"/>
  </r>
  <r>
    <x v="0"/>
    <x v="0"/>
    <n v="2239073587"/>
    <x v="2"/>
    <n v="13000"/>
    <x v="0"/>
    <x v="0"/>
    <x v="28"/>
    <x v="2"/>
    <x v="0"/>
    <x v="0"/>
    <x v="2"/>
    <x v="0"/>
  </r>
  <r>
    <x v="0"/>
    <x v="0"/>
    <n v="2239073590"/>
    <x v="3"/>
    <n v="10890"/>
    <x v="0"/>
    <x v="0"/>
    <x v="28"/>
    <x v="3"/>
    <x v="0"/>
    <x v="0"/>
    <x v="3"/>
    <x v="0"/>
  </r>
  <r>
    <x v="0"/>
    <x v="0"/>
    <n v="2239073591"/>
    <x v="5"/>
    <n v="-12500"/>
    <x v="0"/>
    <x v="0"/>
    <x v="28"/>
    <x v="5"/>
    <x v="0"/>
    <x v="0"/>
    <x v="5"/>
    <x v="0"/>
  </r>
  <r>
    <x v="0"/>
    <x v="0"/>
    <n v="2239073591"/>
    <x v="6"/>
    <n v="20000"/>
    <x v="0"/>
    <x v="0"/>
    <x v="28"/>
    <x v="6"/>
    <x v="0"/>
    <x v="0"/>
    <x v="5"/>
    <x v="0"/>
  </r>
  <r>
    <x v="0"/>
    <x v="0"/>
    <n v="2239073592"/>
    <x v="2"/>
    <n v="7500"/>
    <x v="0"/>
    <x v="0"/>
    <x v="28"/>
    <x v="2"/>
    <x v="0"/>
    <x v="0"/>
    <x v="2"/>
    <x v="0"/>
  </r>
  <r>
    <x v="0"/>
    <x v="0"/>
    <n v="2239073593"/>
    <x v="2"/>
    <n v="24090"/>
    <x v="0"/>
    <x v="0"/>
    <x v="28"/>
    <x v="2"/>
    <x v="0"/>
    <x v="0"/>
    <x v="2"/>
    <x v="0"/>
  </r>
  <r>
    <x v="0"/>
    <x v="0"/>
    <n v="2239073594"/>
    <x v="2"/>
    <n v="7000"/>
    <x v="0"/>
    <x v="0"/>
    <x v="28"/>
    <x v="2"/>
    <x v="0"/>
    <x v="0"/>
    <x v="2"/>
    <x v="0"/>
  </r>
  <r>
    <x v="0"/>
    <x v="0"/>
    <n v="2239073595"/>
    <x v="2"/>
    <n v="22440"/>
    <x v="0"/>
    <x v="0"/>
    <x v="28"/>
    <x v="2"/>
    <x v="0"/>
    <x v="0"/>
    <x v="2"/>
    <x v="0"/>
  </r>
  <r>
    <x v="0"/>
    <x v="0"/>
    <n v="2239073596"/>
    <x v="5"/>
    <n v="-2500"/>
    <x v="0"/>
    <x v="0"/>
    <x v="28"/>
    <x v="5"/>
    <x v="0"/>
    <x v="0"/>
    <x v="5"/>
    <x v="0"/>
  </r>
  <r>
    <x v="0"/>
    <x v="0"/>
    <n v="2239073596"/>
    <x v="6"/>
    <n v="10000"/>
    <x v="0"/>
    <x v="0"/>
    <x v="28"/>
    <x v="6"/>
    <x v="0"/>
    <x v="0"/>
    <x v="5"/>
    <x v="0"/>
  </r>
  <r>
    <x v="0"/>
    <x v="0"/>
    <n v="2239073598"/>
    <x v="2"/>
    <n v="17050"/>
    <x v="0"/>
    <x v="0"/>
    <x v="28"/>
    <x v="2"/>
    <x v="0"/>
    <x v="0"/>
    <x v="2"/>
    <x v="0"/>
  </r>
  <r>
    <x v="0"/>
    <x v="0"/>
    <n v="2239073599"/>
    <x v="5"/>
    <n v="-2650"/>
    <x v="0"/>
    <x v="0"/>
    <x v="28"/>
    <x v="5"/>
    <x v="0"/>
    <x v="0"/>
    <x v="5"/>
    <x v="0"/>
  </r>
  <r>
    <x v="0"/>
    <x v="0"/>
    <n v="2239073599"/>
    <x v="6"/>
    <n v="10000"/>
    <x v="0"/>
    <x v="0"/>
    <x v="28"/>
    <x v="6"/>
    <x v="0"/>
    <x v="0"/>
    <x v="5"/>
    <x v="0"/>
  </r>
  <r>
    <x v="0"/>
    <x v="0"/>
    <n v="2239073602"/>
    <x v="2"/>
    <n v="4500"/>
    <x v="0"/>
    <x v="0"/>
    <x v="28"/>
    <x v="2"/>
    <x v="0"/>
    <x v="0"/>
    <x v="2"/>
    <x v="0"/>
  </r>
  <r>
    <x v="0"/>
    <x v="0"/>
    <n v="2239073603"/>
    <x v="7"/>
    <n v="1500"/>
    <x v="0"/>
    <x v="0"/>
    <x v="28"/>
    <x v="7"/>
    <x v="0"/>
    <x v="0"/>
    <x v="1"/>
    <x v="0"/>
  </r>
  <r>
    <x v="0"/>
    <x v="0"/>
    <n v="2239073604"/>
    <x v="2"/>
    <n v="7700"/>
    <x v="0"/>
    <x v="0"/>
    <x v="28"/>
    <x v="2"/>
    <x v="0"/>
    <x v="0"/>
    <x v="2"/>
    <x v="0"/>
  </r>
  <r>
    <x v="0"/>
    <x v="0"/>
    <n v="2239073605"/>
    <x v="2"/>
    <n v="7500"/>
    <x v="0"/>
    <x v="0"/>
    <x v="28"/>
    <x v="2"/>
    <x v="0"/>
    <x v="0"/>
    <x v="2"/>
    <x v="0"/>
  </r>
  <r>
    <x v="0"/>
    <x v="0"/>
    <n v="2239073606"/>
    <x v="3"/>
    <n v="4400"/>
    <x v="0"/>
    <x v="0"/>
    <x v="28"/>
    <x v="3"/>
    <x v="0"/>
    <x v="0"/>
    <x v="3"/>
    <x v="0"/>
  </r>
  <r>
    <x v="0"/>
    <x v="0"/>
    <n v="2239073607"/>
    <x v="2"/>
    <n v="12000"/>
    <x v="0"/>
    <x v="0"/>
    <x v="28"/>
    <x v="2"/>
    <x v="0"/>
    <x v="0"/>
    <x v="2"/>
    <x v="0"/>
  </r>
  <r>
    <x v="0"/>
    <x v="0"/>
    <n v="2239073608"/>
    <x v="6"/>
    <n v="30000"/>
    <x v="0"/>
    <x v="0"/>
    <x v="28"/>
    <x v="6"/>
    <x v="0"/>
    <x v="0"/>
    <x v="5"/>
    <x v="0"/>
  </r>
  <r>
    <x v="0"/>
    <x v="0"/>
    <n v="2239073609"/>
    <x v="5"/>
    <n v="-3500"/>
    <x v="0"/>
    <x v="0"/>
    <x v="28"/>
    <x v="5"/>
    <x v="0"/>
    <x v="0"/>
    <x v="5"/>
    <x v="0"/>
  </r>
  <r>
    <x v="0"/>
    <x v="0"/>
    <n v="2239073609"/>
    <x v="6"/>
    <n v="10000"/>
    <x v="0"/>
    <x v="0"/>
    <x v="28"/>
    <x v="6"/>
    <x v="0"/>
    <x v="0"/>
    <x v="5"/>
    <x v="0"/>
  </r>
  <r>
    <x v="0"/>
    <x v="0"/>
    <n v="2239073610"/>
    <x v="3"/>
    <n v="43340"/>
    <x v="0"/>
    <x v="0"/>
    <x v="28"/>
    <x v="3"/>
    <x v="0"/>
    <x v="0"/>
    <x v="3"/>
    <x v="0"/>
  </r>
  <r>
    <x v="0"/>
    <x v="0"/>
    <n v="2239073611"/>
    <x v="5"/>
    <n v="-11000"/>
    <x v="0"/>
    <x v="0"/>
    <x v="28"/>
    <x v="5"/>
    <x v="0"/>
    <x v="0"/>
    <x v="5"/>
    <x v="0"/>
  </r>
  <r>
    <x v="0"/>
    <x v="0"/>
    <n v="2239073611"/>
    <x v="6"/>
    <n v="20000"/>
    <x v="0"/>
    <x v="0"/>
    <x v="28"/>
    <x v="6"/>
    <x v="0"/>
    <x v="0"/>
    <x v="5"/>
    <x v="0"/>
  </r>
  <r>
    <x v="0"/>
    <x v="0"/>
    <n v="2239073612"/>
    <x v="7"/>
    <n v="1500"/>
    <x v="0"/>
    <x v="0"/>
    <x v="28"/>
    <x v="7"/>
    <x v="0"/>
    <x v="0"/>
    <x v="1"/>
    <x v="0"/>
  </r>
  <r>
    <x v="0"/>
    <x v="0"/>
    <n v="2239073613"/>
    <x v="2"/>
    <n v="11550"/>
    <x v="0"/>
    <x v="0"/>
    <x v="28"/>
    <x v="2"/>
    <x v="0"/>
    <x v="0"/>
    <x v="2"/>
    <x v="0"/>
  </r>
  <r>
    <x v="0"/>
    <x v="0"/>
    <n v="2239073614"/>
    <x v="2"/>
    <n v="10890"/>
    <x v="0"/>
    <x v="0"/>
    <x v="28"/>
    <x v="2"/>
    <x v="0"/>
    <x v="0"/>
    <x v="2"/>
    <x v="0"/>
  </r>
  <r>
    <x v="0"/>
    <x v="0"/>
    <n v="2239073616"/>
    <x v="5"/>
    <n v="-4300"/>
    <x v="0"/>
    <x v="0"/>
    <x v="28"/>
    <x v="5"/>
    <x v="0"/>
    <x v="0"/>
    <x v="5"/>
    <x v="0"/>
  </r>
  <r>
    <x v="0"/>
    <x v="0"/>
    <n v="2239073616"/>
    <x v="4"/>
    <n v="10000"/>
    <x v="0"/>
    <x v="0"/>
    <x v="28"/>
    <x v="4"/>
    <x v="0"/>
    <x v="0"/>
    <x v="4"/>
    <x v="0"/>
  </r>
  <r>
    <x v="0"/>
    <x v="0"/>
    <n v="2239073617"/>
    <x v="6"/>
    <n v="6000"/>
    <x v="0"/>
    <x v="0"/>
    <x v="28"/>
    <x v="6"/>
    <x v="0"/>
    <x v="0"/>
    <x v="5"/>
    <x v="0"/>
  </r>
  <r>
    <x v="0"/>
    <x v="0"/>
    <n v="2239073618"/>
    <x v="2"/>
    <n v="7500"/>
    <x v="0"/>
    <x v="0"/>
    <x v="28"/>
    <x v="2"/>
    <x v="0"/>
    <x v="0"/>
    <x v="2"/>
    <x v="0"/>
  </r>
  <r>
    <x v="0"/>
    <x v="0"/>
    <n v="2239073619"/>
    <x v="2"/>
    <n v="11550"/>
    <x v="0"/>
    <x v="0"/>
    <x v="28"/>
    <x v="2"/>
    <x v="0"/>
    <x v="0"/>
    <x v="2"/>
    <x v="0"/>
  </r>
  <r>
    <x v="0"/>
    <x v="0"/>
    <n v="2239073620"/>
    <x v="3"/>
    <n v="13000"/>
    <x v="0"/>
    <x v="0"/>
    <x v="28"/>
    <x v="3"/>
    <x v="0"/>
    <x v="0"/>
    <x v="3"/>
    <x v="0"/>
  </r>
  <r>
    <x v="0"/>
    <x v="0"/>
    <n v="2239073621"/>
    <x v="2"/>
    <n v="13000"/>
    <x v="0"/>
    <x v="0"/>
    <x v="28"/>
    <x v="2"/>
    <x v="0"/>
    <x v="0"/>
    <x v="2"/>
    <x v="0"/>
  </r>
  <r>
    <x v="0"/>
    <x v="0"/>
    <n v="2239073622"/>
    <x v="3"/>
    <n v="6500"/>
    <x v="0"/>
    <x v="0"/>
    <x v="28"/>
    <x v="3"/>
    <x v="0"/>
    <x v="0"/>
    <x v="3"/>
    <x v="0"/>
  </r>
  <r>
    <x v="0"/>
    <x v="0"/>
    <n v="2239073623"/>
    <x v="2"/>
    <n v="23500"/>
    <x v="0"/>
    <x v="0"/>
    <x v="28"/>
    <x v="2"/>
    <x v="0"/>
    <x v="0"/>
    <x v="2"/>
    <x v="0"/>
  </r>
  <r>
    <x v="0"/>
    <x v="0"/>
    <n v="2239073624"/>
    <x v="5"/>
    <n v="-4400"/>
    <x v="0"/>
    <x v="0"/>
    <x v="28"/>
    <x v="5"/>
    <x v="0"/>
    <x v="0"/>
    <x v="5"/>
    <x v="0"/>
  </r>
  <r>
    <x v="0"/>
    <x v="0"/>
    <n v="2239073624"/>
    <x v="4"/>
    <n v="10000"/>
    <x v="0"/>
    <x v="0"/>
    <x v="28"/>
    <x v="4"/>
    <x v="0"/>
    <x v="0"/>
    <x v="4"/>
    <x v="0"/>
  </r>
  <r>
    <x v="0"/>
    <x v="0"/>
    <n v="2239073625"/>
    <x v="5"/>
    <n v="-4300"/>
    <x v="0"/>
    <x v="0"/>
    <x v="28"/>
    <x v="5"/>
    <x v="0"/>
    <x v="0"/>
    <x v="5"/>
    <x v="0"/>
  </r>
  <r>
    <x v="0"/>
    <x v="0"/>
    <n v="2239073625"/>
    <x v="4"/>
    <n v="10000"/>
    <x v="0"/>
    <x v="0"/>
    <x v="28"/>
    <x v="4"/>
    <x v="0"/>
    <x v="0"/>
    <x v="4"/>
    <x v="0"/>
  </r>
  <r>
    <x v="0"/>
    <x v="0"/>
    <n v="2239073626"/>
    <x v="2"/>
    <n v="20900"/>
    <x v="0"/>
    <x v="0"/>
    <x v="28"/>
    <x v="2"/>
    <x v="0"/>
    <x v="0"/>
    <x v="2"/>
    <x v="0"/>
  </r>
  <r>
    <x v="0"/>
    <x v="0"/>
    <n v="2239073627"/>
    <x v="1"/>
    <n v="2280"/>
    <x v="0"/>
    <x v="0"/>
    <x v="28"/>
    <x v="1"/>
    <x v="0"/>
    <x v="0"/>
    <x v="1"/>
    <x v="0"/>
  </r>
  <r>
    <x v="0"/>
    <x v="0"/>
    <n v="2239073628"/>
    <x v="2"/>
    <n v="6500"/>
    <x v="0"/>
    <x v="0"/>
    <x v="28"/>
    <x v="2"/>
    <x v="0"/>
    <x v="0"/>
    <x v="2"/>
    <x v="0"/>
  </r>
  <r>
    <x v="0"/>
    <x v="0"/>
    <n v="2239073629"/>
    <x v="2"/>
    <n v="13900"/>
    <x v="0"/>
    <x v="0"/>
    <x v="28"/>
    <x v="2"/>
    <x v="0"/>
    <x v="0"/>
    <x v="2"/>
    <x v="0"/>
  </r>
  <r>
    <x v="0"/>
    <x v="0"/>
    <n v="2239073630"/>
    <x v="2"/>
    <n v="6500"/>
    <x v="0"/>
    <x v="0"/>
    <x v="28"/>
    <x v="2"/>
    <x v="0"/>
    <x v="0"/>
    <x v="2"/>
    <x v="0"/>
  </r>
  <r>
    <x v="0"/>
    <x v="0"/>
    <n v="2239073631"/>
    <x v="2"/>
    <n v="10890"/>
    <x v="0"/>
    <x v="0"/>
    <x v="28"/>
    <x v="2"/>
    <x v="0"/>
    <x v="0"/>
    <x v="2"/>
    <x v="0"/>
  </r>
  <r>
    <x v="0"/>
    <x v="0"/>
    <n v="2239073632"/>
    <x v="5"/>
    <n v="-2500"/>
    <x v="0"/>
    <x v="0"/>
    <x v="28"/>
    <x v="5"/>
    <x v="0"/>
    <x v="0"/>
    <x v="5"/>
    <x v="0"/>
  </r>
  <r>
    <x v="0"/>
    <x v="0"/>
    <n v="2239073632"/>
    <x v="6"/>
    <n v="10000"/>
    <x v="0"/>
    <x v="0"/>
    <x v="28"/>
    <x v="6"/>
    <x v="0"/>
    <x v="0"/>
    <x v="5"/>
    <x v="0"/>
  </r>
  <r>
    <x v="0"/>
    <x v="0"/>
    <n v="2239073633"/>
    <x v="2"/>
    <n v="4000"/>
    <x v="0"/>
    <x v="0"/>
    <x v="28"/>
    <x v="2"/>
    <x v="0"/>
    <x v="0"/>
    <x v="2"/>
    <x v="0"/>
  </r>
  <r>
    <x v="0"/>
    <x v="0"/>
    <n v="2239073634"/>
    <x v="3"/>
    <n v="54900"/>
    <x v="0"/>
    <x v="0"/>
    <x v="28"/>
    <x v="3"/>
    <x v="0"/>
    <x v="0"/>
    <x v="3"/>
    <x v="0"/>
  </r>
  <r>
    <x v="0"/>
    <x v="0"/>
    <n v="2239073635"/>
    <x v="2"/>
    <n v="11550"/>
    <x v="0"/>
    <x v="0"/>
    <x v="28"/>
    <x v="2"/>
    <x v="0"/>
    <x v="0"/>
    <x v="2"/>
    <x v="0"/>
  </r>
  <r>
    <x v="0"/>
    <x v="0"/>
    <n v="2239073636"/>
    <x v="2"/>
    <n v="3300"/>
    <x v="0"/>
    <x v="0"/>
    <x v="28"/>
    <x v="2"/>
    <x v="0"/>
    <x v="0"/>
    <x v="2"/>
    <x v="0"/>
  </r>
  <r>
    <x v="0"/>
    <x v="0"/>
    <n v="2239073637"/>
    <x v="2"/>
    <n v="8000"/>
    <x v="0"/>
    <x v="0"/>
    <x v="28"/>
    <x v="2"/>
    <x v="0"/>
    <x v="0"/>
    <x v="2"/>
    <x v="0"/>
  </r>
  <r>
    <x v="0"/>
    <x v="0"/>
    <n v="2239073638"/>
    <x v="1"/>
    <n v="1950"/>
    <x v="0"/>
    <x v="0"/>
    <x v="28"/>
    <x v="1"/>
    <x v="0"/>
    <x v="0"/>
    <x v="1"/>
    <x v="0"/>
  </r>
  <r>
    <x v="0"/>
    <x v="0"/>
    <n v="2239073639"/>
    <x v="2"/>
    <n v="15000"/>
    <x v="0"/>
    <x v="0"/>
    <x v="28"/>
    <x v="2"/>
    <x v="0"/>
    <x v="0"/>
    <x v="2"/>
    <x v="0"/>
  </r>
  <r>
    <x v="0"/>
    <x v="0"/>
    <n v="2239073640"/>
    <x v="2"/>
    <n v="6500"/>
    <x v="0"/>
    <x v="0"/>
    <x v="28"/>
    <x v="2"/>
    <x v="0"/>
    <x v="0"/>
    <x v="2"/>
    <x v="0"/>
  </r>
  <r>
    <x v="0"/>
    <x v="0"/>
    <n v="2239073641"/>
    <x v="5"/>
    <n v="-4200"/>
    <x v="0"/>
    <x v="0"/>
    <x v="28"/>
    <x v="5"/>
    <x v="0"/>
    <x v="0"/>
    <x v="5"/>
    <x v="0"/>
  </r>
  <r>
    <x v="0"/>
    <x v="0"/>
    <n v="2239073641"/>
    <x v="6"/>
    <n v="15000"/>
    <x v="0"/>
    <x v="0"/>
    <x v="28"/>
    <x v="6"/>
    <x v="0"/>
    <x v="0"/>
    <x v="5"/>
    <x v="0"/>
  </r>
  <r>
    <x v="0"/>
    <x v="0"/>
    <n v="2239073642"/>
    <x v="2"/>
    <n v="24090"/>
    <x v="0"/>
    <x v="0"/>
    <x v="28"/>
    <x v="2"/>
    <x v="0"/>
    <x v="0"/>
    <x v="2"/>
    <x v="0"/>
  </r>
  <r>
    <x v="0"/>
    <x v="0"/>
    <n v="2239073643"/>
    <x v="3"/>
    <n v="32890"/>
    <x v="0"/>
    <x v="0"/>
    <x v="28"/>
    <x v="3"/>
    <x v="0"/>
    <x v="0"/>
    <x v="3"/>
    <x v="0"/>
  </r>
  <r>
    <x v="0"/>
    <x v="0"/>
    <n v="2239073644"/>
    <x v="5"/>
    <n v="-5200"/>
    <x v="0"/>
    <x v="0"/>
    <x v="28"/>
    <x v="5"/>
    <x v="0"/>
    <x v="0"/>
    <x v="5"/>
    <x v="0"/>
  </r>
  <r>
    <x v="0"/>
    <x v="0"/>
    <n v="2239073644"/>
    <x v="4"/>
    <n v="10500"/>
    <x v="0"/>
    <x v="0"/>
    <x v="28"/>
    <x v="4"/>
    <x v="0"/>
    <x v="0"/>
    <x v="4"/>
    <x v="0"/>
  </r>
  <r>
    <x v="0"/>
    <x v="0"/>
    <n v="2239073645"/>
    <x v="3"/>
    <n v="18590"/>
    <x v="0"/>
    <x v="0"/>
    <x v="28"/>
    <x v="3"/>
    <x v="0"/>
    <x v="0"/>
    <x v="3"/>
    <x v="0"/>
  </r>
  <r>
    <x v="0"/>
    <x v="0"/>
    <n v="2239073646"/>
    <x v="2"/>
    <n v="14000"/>
    <x v="0"/>
    <x v="0"/>
    <x v="28"/>
    <x v="2"/>
    <x v="0"/>
    <x v="0"/>
    <x v="2"/>
    <x v="0"/>
  </r>
  <r>
    <x v="0"/>
    <x v="0"/>
    <n v="2239073647"/>
    <x v="5"/>
    <n v="-1600"/>
    <x v="0"/>
    <x v="0"/>
    <x v="28"/>
    <x v="5"/>
    <x v="0"/>
    <x v="0"/>
    <x v="5"/>
    <x v="0"/>
  </r>
  <r>
    <x v="0"/>
    <x v="0"/>
    <n v="2239073647"/>
    <x v="6"/>
    <n v="10000"/>
    <x v="0"/>
    <x v="0"/>
    <x v="28"/>
    <x v="6"/>
    <x v="0"/>
    <x v="0"/>
    <x v="5"/>
    <x v="0"/>
  </r>
  <r>
    <x v="0"/>
    <x v="0"/>
    <n v="2239073648"/>
    <x v="5"/>
    <n v="-300"/>
    <x v="0"/>
    <x v="0"/>
    <x v="28"/>
    <x v="5"/>
    <x v="0"/>
    <x v="0"/>
    <x v="5"/>
    <x v="0"/>
  </r>
  <r>
    <x v="0"/>
    <x v="0"/>
    <n v="2239073648"/>
    <x v="4"/>
    <n v="6000"/>
    <x v="0"/>
    <x v="0"/>
    <x v="28"/>
    <x v="4"/>
    <x v="0"/>
    <x v="0"/>
    <x v="4"/>
    <x v="0"/>
  </r>
  <r>
    <x v="0"/>
    <x v="0"/>
    <n v="2239073649"/>
    <x v="5"/>
    <n v="-2000"/>
    <x v="0"/>
    <x v="0"/>
    <x v="28"/>
    <x v="5"/>
    <x v="0"/>
    <x v="0"/>
    <x v="5"/>
    <x v="0"/>
  </r>
  <r>
    <x v="0"/>
    <x v="0"/>
    <n v="2239073649"/>
    <x v="6"/>
    <n v="5000"/>
    <x v="0"/>
    <x v="0"/>
    <x v="28"/>
    <x v="6"/>
    <x v="0"/>
    <x v="0"/>
    <x v="5"/>
    <x v="0"/>
  </r>
  <r>
    <x v="0"/>
    <x v="0"/>
    <n v="2239073650"/>
    <x v="5"/>
    <n v="-12000"/>
    <x v="0"/>
    <x v="0"/>
    <x v="28"/>
    <x v="5"/>
    <x v="0"/>
    <x v="0"/>
    <x v="5"/>
    <x v="0"/>
  </r>
  <r>
    <x v="0"/>
    <x v="0"/>
    <n v="2239073650"/>
    <x v="6"/>
    <n v="20500"/>
    <x v="0"/>
    <x v="0"/>
    <x v="28"/>
    <x v="6"/>
    <x v="0"/>
    <x v="0"/>
    <x v="5"/>
    <x v="0"/>
  </r>
  <r>
    <x v="0"/>
    <x v="0"/>
    <n v="2239073651"/>
    <x v="3"/>
    <n v="10450"/>
    <x v="0"/>
    <x v="0"/>
    <x v="28"/>
    <x v="3"/>
    <x v="0"/>
    <x v="0"/>
    <x v="3"/>
    <x v="0"/>
  </r>
  <r>
    <x v="0"/>
    <x v="0"/>
    <n v="2239073653"/>
    <x v="3"/>
    <n v="31900"/>
    <x v="0"/>
    <x v="0"/>
    <x v="28"/>
    <x v="3"/>
    <x v="0"/>
    <x v="0"/>
    <x v="3"/>
    <x v="0"/>
  </r>
  <r>
    <x v="0"/>
    <x v="0"/>
    <n v="2239073657"/>
    <x v="1"/>
    <n v="2400"/>
    <x v="0"/>
    <x v="0"/>
    <x v="28"/>
    <x v="1"/>
    <x v="0"/>
    <x v="0"/>
    <x v="1"/>
    <x v="0"/>
  </r>
  <r>
    <x v="0"/>
    <x v="0"/>
    <n v="2239073659"/>
    <x v="3"/>
    <n v="31240"/>
    <x v="0"/>
    <x v="0"/>
    <x v="28"/>
    <x v="3"/>
    <x v="0"/>
    <x v="0"/>
    <x v="3"/>
    <x v="0"/>
  </r>
  <r>
    <x v="0"/>
    <x v="0"/>
    <n v="2239073661"/>
    <x v="2"/>
    <n v="6000"/>
    <x v="0"/>
    <x v="0"/>
    <x v="28"/>
    <x v="2"/>
    <x v="0"/>
    <x v="0"/>
    <x v="2"/>
    <x v="0"/>
  </r>
  <r>
    <x v="0"/>
    <x v="0"/>
    <n v="2239073662"/>
    <x v="3"/>
    <n v="8000"/>
    <x v="0"/>
    <x v="0"/>
    <x v="28"/>
    <x v="3"/>
    <x v="0"/>
    <x v="0"/>
    <x v="3"/>
    <x v="0"/>
  </r>
  <r>
    <x v="0"/>
    <x v="0"/>
    <n v="2239073663"/>
    <x v="3"/>
    <n v="5000"/>
    <x v="0"/>
    <x v="0"/>
    <x v="28"/>
    <x v="3"/>
    <x v="0"/>
    <x v="0"/>
    <x v="3"/>
    <x v="0"/>
  </r>
  <r>
    <x v="0"/>
    <x v="0"/>
    <n v="2239073664"/>
    <x v="2"/>
    <n v="18590"/>
    <x v="0"/>
    <x v="0"/>
    <x v="28"/>
    <x v="2"/>
    <x v="0"/>
    <x v="0"/>
    <x v="2"/>
    <x v="0"/>
  </r>
  <r>
    <x v="0"/>
    <x v="0"/>
    <n v="2239073665"/>
    <x v="1"/>
    <n v="900"/>
    <x v="0"/>
    <x v="0"/>
    <x v="28"/>
    <x v="1"/>
    <x v="0"/>
    <x v="0"/>
    <x v="1"/>
    <x v="0"/>
  </r>
  <r>
    <x v="0"/>
    <x v="0"/>
    <n v="2239073666"/>
    <x v="2"/>
    <n v="5300"/>
    <x v="0"/>
    <x v="0"/>
    <x v="28"/>
    <x v="2"/>
    <x v="0"/>
    <x v="0"/>
    <x v="2"/>
    <x v="0"/>
  </r>
  <r>
    <x v="0"/>
    <x v="0"/>
    <n v="2239073667"/>
    <x v="2"/>
    <n v="6500"/>
    <x v="0"/>
    <x v="0"/>
    <x v="28"/>
    <x v="2"/>
    <x v="0"/>
    <x v="0"/>
    <x v="2"/>
    <x v="0"/>
  </r>
  <r>
    <x v="0"/>
    <x v="0"/>
    <n v="2239073668"/>
    <x v="2"/>
    <n v="13000"/>
    <x v="0"/>
    <x v="0"/>
    <x v="28"/>
    <x v="2"/>
    <x v="0"/>
    <x v="0"/>
    <x v="2"/>
    <x v="0"/>
  </r>
  <r>
    <x v="0"/>
    <x v="0"/>
    <n v="2239073669"/>
    <x v="7"/>
    <n v="7500"/>
    <x v="0"/>
    <x v="0"/>
    <x v="28"/>
    <x v="7"/>
    <x v="0"/>
    <x v="0"/>
    <x v="1"/>
    <x v="0"/>
  </r>
  <r>
    <x v="0"/>
    <x v="0"/>
    <n v="2239073670"/>
    <x v="2"/>
    <n v="7500"/>
    <x v="0"/>
    <x v="0"/>
    <x v="28"/>
    <x v="2"/>
    <x v="0"/>
    <x v="0"/>
    <x v="2"/>
    <x v="0"/>
  </r>
  <r>
    <x v="0"/>
    <x v="0"/>
    <n v="2239073671"/>
    <x v="2"/>
    <n v="6500"/>
    <x v="0"/>
    <x v="0"/>
    <x v="28"/>
    <x v="2"/>
    <x v="0"/>
    <x v="0"/>
    <x v="2"/>
    <x v="0"/>
  </r>
  <r>
    <x v="0"/>
    <x v="0"/>
    <n v="2239073672"/>
    <x v="2"/>
    <n v="4500"/>
    <x v="0"/>
    <x v="0"/>
    <x v="28"/>
    <x v="2"/>
    <x v="0"/>
    <x v="0"/>
    <x v="2"/>
    <x v="0"/>
  </r>
  <r>
    <x v="0"/>
    <x v="0"/>
    <n v="2239073673"/>
    <x v="2"/>
    <n v="11500"/>
    <x v="0"/>
    <x v="0"/>
    <x v="28"/>
    <x v="2"/>
    <x v="0"/>
    <x v="0"/>
    <x v="2"/>
    <x v="0"/>
  </r>
  <r>
    <x v="0"/>
    <x v="0"/>
    <n v="2239073674"/>
    <x v="6"/>
    <n v="12000"/>
    <x v="0"/>
    <x v="0"/>
    <x v="28"/>
    <x v="6"/>
    <x v="0"/>
    <x v="0"/>
    <x v="5"/>
    <x v="0"/>
  </r>
  <r>
    <x v="0"/>
    <x v="0"/>
    <n v="2239073675"/>
    <x v="7"/>
    <n v="1500"/>
    <x v="0"/>
    <x v="0"/>
    <x v="28"/>
    <x v="7"/>
    <x v="0"/>
    <x v="0"/>
    <x v="1"/>
    <x v="0"/>
  </r>
  <r>
    <x v="0"/>
    <x v="0"/>
    <n v="2239073676"/>
    <x v="7"/>
    <n v="1500"/>
    <x v="0"/>
    <x v="0"/>
    <x v="28"/>
    <x v="7"/>
    <x v="0"/>
    <x v="0"/>
    <x v="1"/>
    <x v="0"/>
  </r>
  <r>
    <x v="0"/>
    <x v="0"/>
    <n v="2239073677"/>
    <x v="2"/>
    <n v="9500"/>
    <x v="0"/>
    <x v="0"/>
    <x v="28"/>
    <x v="2"/>
    <x v="0"/>
    <x v="0"/>
    <x v="2"/>
    <x v="0"/>
  </r>
  <r>
    <x v="0"/>
    <x v="0"/>
    <n v="2239073678"/>
    <x v="3"/>
    <n v="13000"/>
    <x v="0"/>
    <x v="0"/>
    <x v="28"/>
    <x v="3"/>
    <x v="0"/>
    <x v="0"/>
    <x v="3"/>
    <x v="0"/>
  </r>
  <r>
    <x v="0"/>
    <x v="0"/>
    <n v="2239073679"/>
    <x v="2"/>
    <n v="4000"/>
    <x v="0"/>
    <x v="0"/>
    <x v="28"/>
    <x v="2"/>
    <x v="0"/>
    <x v="0"/>
    <x v="2"/>
    <x v="0"/>
  </r>
  <r>
    <x v="0"/>
    <x v="0"/>
    <n v="2239073680"/>
    <x v="2"/>
    <n v="21450"/>
    <x v="0"/>
    <x v="0"/>
    <x v="28"/>
    <x v="2"/>
    <x v="0"/>
    <x v="0"/>
    <x v="2"/>
    <x v="0"/>
  </r>
  <r>
    <x v="0"/>
    <x v="0"/>
    <n v="2239073681"/>
    <x v="5"/>
    <n v="-120"/>
    <x v="0"/>
    <x v="0"/>
    <x v="28"/>
    <x v="5"/>
    <x v="0"/>
    <x v="0"/>
    <x v="5"/>
    <x v="0"/>
  </r>
  <r>
    <x v="0"/>
    <x v="0"/>
    <n v="2239073681"/>
    <x v="6"/>
    <n v="30000"/>
    <x v="0"/>
    <x v="0"/>
    <x v="28"/>
    <x v="6"/>
    <x v="0"/>
    <x v="0"/>
    <x v="5"/>
    <x v="0"/>
  </r>
  <r>
    <x v="0"/>
    <x v="0"/>
    <n v="2239073682"/>
    <x v="6"/>
    <n v="11500"/>
    <x v="0"/>
    <x v="0"/>
    <x v="28"/>
    <x v="6"/>
    <x v="0"/>
    <x v="0"/>
    <x v="5"/>
    <x v="0"/>
  </r>
  <r>
    <x v="0"/>
    <x v="0"/>
    <n v="2239073683"/>
    <x v="7"/>
    <n v="1500"/>
    <x v="0"/>
    <x v="0"/>
    <x v="28"/>
    <x v="7"/>
    <x v="0"/>
    <x v="0"/>
    <x v="1"/>
    <x v="0"/>
  </r>
  <r>
    <x v="0"/>
    <x v="0"/>
    <n v="2239073684"/>
    <x v="3"/>
    <n v="8000"/>
    <x v="0"/>
    <x v="0"/>
    <x v="28"/>
    <x v="3"/>
    <x v="0"/>
    <x v="0"/>
    <x v="3"/>
    <x v="0"/>
  </r>
  <r>
    <x v="0"/>
    <x v="0"/>
    <n v="2239073685"/>
    <x v="2"/>
    <n v="9500"/>
    <x v="0"/>
    <x v="0"/>
    <x v="28"/>
    <x v="2"/>
    <x v="0"/>
    <x v="0"/>
    <x v="2"/>
    <x v="0"/>
  </r>
  <r>
    <x v="0"/>
    <x v="0"/>
    <n v="2239073686"/>
    <x v="2"/>
    <n v="8500"/>
    <x v="0"/>
    <x v="0"/>
    <x v="28"/>
    <x v="2"/>
    <x v="0"/>
    <x v="0"/>
    <x v="2"/>
    <x v="0"/>
  </r>
  <r>
    <x v="0"/>
    <x v="0"/>
    <n v="2239073687"/>
    <x v="3"/>
    <n v="6500"/>
    <x v="0"/>
    <x v="0"/>
    <x v="28"/>
    <x v="3"/>
    <x v="0"/>
    <x v="0"/>
    <x v="3"/>
    <x v="0"/>
  </r>
  <r>
    <x v="0"/>
    <x v="0"/>
    <n v="2239073688"/>
    <x v="2"/>
    <n v="8250"/>
    <x v="0"/>
    <x v="0"/>
    <x v="28"/>
    <x v="2"/>
    <x v="0"/>
    <x v="0"/>
    <x v="2"/>
    <x v="0"/>
  </r>
  <r>
    <x v="0"/>
    <x v="0"/>
    <n v="2239073689"/>
    <x v="2"/>
    <n v="7500"/>
    <x v="0"/>
    <x v="0"/>
    <x v="28"/>
    <x v="2"/>
    <x v="0"/>
    <x v="0"/>
    <x v="2"/>
    <x v="0"/>
  </r>
  <r>
    <x v="0"/>
    <x v="0"/>
    <n v="2239073691"/>
    <x v="2"/>
    <n v="8250"/>
    <x v="0"/>
    <x v="0"/>
    <x v="28"/>
    <x v="2"/>
    <x v="0"/>
    <x v="0"/>
    <x v="2"/>
    <x v="0"/>
  </r>
  <r>
    <x v="0"/>
    <x v="0"/>
    <n v="2239073693"/>
    <x v="2"/>
    <n v="10500"/>
    <x v="0"/>
    <x v="0"/>
    <x v="28"/>
    <x v="2"/>
    <x v="0"/>
    <x v="0"/>
    <x v="2"/>
    <x v="0"/>
  </r>
  <r>
    <x v="0"/>
    <x v="0"/>
    <n v="2239073694"/>
    <x v="4"/>
    <n v="5700"/>
    <x v="0"/>
    <x v="0"/>
    <x v="28"/>
    <x v="4"/>
    <x v="0"/>
    <x v="0"/>
    <x v="4"/>
    <x v="0"/>
  </r>
  <r>
    <x v="0"/>
    <x v="0"/>
    <n v="2239073695"/>
    <x v="2"/>
    <n v="6500"/>
    <x v="0"/>
    <x v="0"/>
    <x v="28"/>
    <x v="2"/>
    <x v="0"/>
    <x v="0"/>
    <x v="2"/>
    <x v="0"/>
  </r>
  <r>
    <x v="0"/>
    <x v="0"/>
    <n v="2239073696"/>
    <x v="5"/>
    <n v="-6000"/>
    <x v="0"/>
    <x v="0"/>
    <x v="28"/>
    <x v="5"/>
    <x v="0"/>
    <x v="0"/>
    <x v="5"/>
    <x v="0"/>
  </r>
  <r>
    <x v="0"/>
    <x v="0"/>
    <n v="2239073696"/>
    <x v="6"/>
    <n v="10000"/>
    <x v="0"/>
    <x v="0"/>
    <x v="28"/>
    <x v="6"/>
    <x v="0"/>
    <x v="0"/>
    <x v="5"/>
    <x v="0"/>
  </r>
  <r>
    <x v="0"/>
    <x v="0"/>
    <n v="2239073697"/>
    <x v="2"/>
    <n v="4500"/>
    <x v="0"/>
    <x v="0"/>
    <x v="28"/>
    <x v="2"/>
    <x v="0"/>
    <x v="0"/>
    <x v="2"/>
    <x v="0"/>
  </r>
  <r>
    <x v="0"/>
    <x v="0"/>
    <n v="2239073699"/>
    <x v="2"/>
    <n v="6500"/>
    <x v="0"/>
    <x v="0"/>
    <x v="28"/>
    <x v="2"/>
    <x v="0"/>
    <x v="0"/>
    <x v="2"/>
    <x v="0"/>
  </r>
  <r>
    <x v="0"/>
    <x v="0"/>
    <n v="2239073702"/>
    <x v="2"/>
    <n v="21780"/>
    <x v="0"/>
    <x v="0"/>
    <x v="28"/>
    <x v="2"/>
    <x v="0"/>
    <x v="0"/>
    <x v="2"/>
    <x v="0"/>
  </r>
  <r>
    <x v="0"/>
    <x v="0"/>
    <n v="2239073703"/>
    <x v="3"/>
    <n v="9500"/>
    <x v="0"/>
    <x v="0"/>
    <x v="28"/>
    <x v="3"/>
    <x v="0"/>
    <x v="0"/>
    <x v="3"/>
    <x v="0"/>
  </r>
  <r>
    <x v="0"/>
    <x v="0"/>
    <n v="2239073704"/>
    <x v="2"/>
    <n v="6050"/>
    <x v="0"/>
    <x v="0"/>
    <x v="28"/>
    <x v="2"/>
    <x v="0"/>
    <x v="0"/>
    <x v="2"/>
    <x v="0"/>
  </r>
  <r>
    <x v="0"/>
    <x v="0"/>
    <n v="2239073706"/>
    <x v="2"/>
    <n v="34540"/>
    <x v="0"/>
    <x v="0"/>
    <x v="28"/>
    <x v="2"/>
    <x v="0"/>
    <x v="0"/>
    <x v="2"/>
    <x v="0"/>
  </r>
  <r>
    <x v="0"/>
    <x v="0"/>
    <n v="2239073708"/>
    <x v="3"/>
    <n v="3000"/>
    <x v="0"/>
    <x v="0"/>
    <x v="28"/>
    <x v="3"/>
    <x v="0"/>
    <x v="0"/>
    <x v="3"/>
    <x v="0"/>
  </r>
  <r>
    <x v="0"/>
    <x v="0"/>
    <n v="2239073709"/>
    <x v="2"/>
    <n v="4500"/>
    <x v="0"/>
    <x v="0"/>
    <x v="28"/>
    <x v="2"/>
    <x v="0"/>
    <x v="0"/>
    <x v="2"/>
    <x v="0"/>
  </r>
  <r>
    <x v="0"/>
    <x v="0"/>
    <n v="2239073711"/>
    <x v="2"/>
    <n v="23650"/>
    <x v="0"/>
    <x v="0"/>
    <x v="28"/>
    <x v="2"/>
    <x v="0"/>
    <x v="0"/>
    <x v="2"/>
    <x v="0"/>
  </r>
  <r>
    <x v="0"/>
    <x v="0"/>
    <n v="2239073712"/>
    <x v="2"/>
    <n v="11000"/>
    <x v="0"/>
    <x v="0"/>
    <x v="28"/>
    <x v="2"/>
    <x v="0"/>
    <x v="0"/>
    <x v="2"/>
    <x v="0"/>
  </r>
  <r>
    <x v="0"/>
    <x v="0"/>
    <n v="2239073713"/>
    <x v="2"/>
    <n v="24090"/>
    <x v="0"/>
    <x v="0"/>
    <x v="28"/>
    <x v="2"/>
    <x v="0"/>
    <x v="0"/>
    <x v="2"/>
    <x v="0"/>
  </r>
  <r>
    <x v="0"/>
    <x v="0"/>
    <n v="2239073714"/>
    <x v="5"/>
    <n v="-6500"/>
    <x v="0"/>
    <x v="0"/>
    <x v="28"/>
    <x v="5"/>
    <x v="0"/>
    <x v="0"/>
    <x v="5"/>
    <x v="0"/>
  </r>
  <r>
    <x v="0"/>
    <x v="0"/>
    <n v="2239073714"/>
    <x v="6"/>
    <n v="20000"/>
    <x v="0"/>
    <x v="0"/>
    <x v="28"/>
    <x v="6"/>
    <x v="0"/>
    <x v="0"/>
    <x v="5"/>
    <x v="0"/>
  </r>
  <r>
    <x v="0"/>
    <x v="0"/>
    <n v="2239073714"/>
    <x v="7"/>
    <n v="9000"/>
    <x v="0"/>
    <x v="0"/>
    <x v="28"/>
    <x v="7"/>
    <x v="0"/>
    <x v="0"/>
    <x v="1"/>
    <x v="0"/>
  </r>
  <r>
    <x v="0"/>
    <x v="0"/>
    <n v="2239073716"/>
    <x v="3"/>
    <n v="21450"/>
    <x v="0"/>
    <x v="0"/>
    <x v="28"/>
    <x v="3"/>
    <x v="0"/>
    <x v="0"/>
    <x v="3"/>
    <x v="0"/>
  </r>
  <r>
    <x v="0"/>
    <x v="0"/>
    <n v="2239073717"/>
    <x v="5"/>
    <n v="-1"/>
    <x v="0"/>
    <x v="0"/>
    <x v="28"/>
    <x v="5"/>
    <x v="0"/>
    <x v="0"/>
    <x v="5"/>
    <x v="0"/>
  </r>
  <r>
    <x v="0"/>
    <x v="0"/>
    <n v="2239073717"/>
    <x v="6"/>
    <n v="1"/>
    <x v="0"/>
    <x v="0"/>
    <x v="28"/>
    <x v="6"/>
    <x v="0"/>
    <x v="0"/>
    <x v="5"/>
    <x v="0"/>
  </r>
  <r>
    <x v="0"/>
    <x v="0"/>
    <n v="2239073718"/>
    <x v="7"/>
    <n v="7500"/>
    <x v="0"/>
    <x v="0"/>
    <x v="28"/>
    <x v="7"/>
    <x v="0"/>
    <x v="0"/>
    <x v="1"/>
    <x v="0"/>
  </r>
  <r>
    <x v="0"/>
    <x v="0"/>
    <n v="2239073719"/>
    <x v="5"/>
    <n v="-9500"/>
    <x v="0"/>
    <x v="0"/>
    <x v="28"/>
    <x v="5"/>
    <x v="0"/>
    <x v="0"/>
    <x v="5"/>
    <x v="0"/>
  </r>
  <r>
    <x v="0"/>
    <x v="0"/>
    <n v="2239073719"/>
    <x v="6"/>
    <n v="20000"/>
    <x v="0"/>
    <x v="0"/>
    <x v="28"/>
    <x v="6"/>
    <x v="0"/>
    <x v="0"/>
    <x v="5"/>
    <x v="0"/>
  </r>
  <r>
    <x v="0"/>
    <x v="0"/>
    <n v="2239073720"/>
    <x v="2"/>
    <n v="10450"/>
    <x v="0"/>
    <x v="0"/>
    <x v="28"/>
    <x v="2"/>
    <x v="0"/>
    <x v="0"/>
    <x v="2"/>
    <x v="0"/>
  </r>
  <r>
    <x v="0"/>
    <x v="0"/>
    <n v="2239073721"/>
    <x v="7"/>
    <n v="1500"/>
    <x v="0"/>
    <x v="0"/>
    <x v="28"/>
    <x v="7"/>
    <x v="0"/>
    <x v="0"/>
    <x v="1"/>
    <x v="0"/>
  </r>
  <r>
    <x v="0"/>
    <x v="0"/>
    <n v="2239073722"/>
    <x v="2"/>
    <n v="23100"/>
    <x v="0"/>
    <x v="0"/>
    <x v="28"/>
    <x v="2"/>
    <x v="0"/>
    <x v="0"/>
    <x v="2"/>
    <x v="0"/>
  </r>
  <r>
    <x v="0"/>
    <x v="0"/>
    <n v="2239073723"/>
    <x v="3"/>
    <n v="6000"/>
    <x v="0"/>
    <x v="0"/>
    <x v="28"/>
    <x v="3"/>
    <x v="0"/>
    <x v="0"/>
    <x v="3"/>
    <x v="0"/>
  </r>
  <r>
    <x v="0"/>
    <x v="0"/>
    <n v="2239073724"/>
    <x v="2"/>
    <n v="14300"/>
    <x v="0"/>
    <x v="0"/>
    <x v="28"/>
    <x v="2"/>
    <x v="0"/>
    <x v="0"/>
    <x v="2"/>
    <x v="0"/>
  </r>
  <r>
    <x v="0"/>
    <x v="0"/>
    <n v="2239073725"/>
    <x v="2"/>
    <n v="13000"/>
    <x v="0"/>
    <x v="0"/>
    <x v="28"/>
    <x v="2"/>
    <x v="0"/>
    <x v="0"/>
    <x v="2"/>
    <x v="0"/>
  </r>
  <r>
    <x v="0"/>
    <x v="0"/>
    <n v="2239073726"/>
    <x v="3"/>
    <n v="6500"/>
    <x v="0"/>
    <x v="0"/>
    <x v="28"/>
    <x v="3"/>
    <x v="0"/>
    <x v="0"/>
    <x v="3"/>
    <x v="0"/>
  </r>
  <r>
    <x v="0"/>
    <x v="0"/>
    <n v="2239073727"/>
    <x v="1"/>
    <n v="7550"/>
    <x v="0"/>
    <x v="0"/>
    <x v="28"/>
    <x v="1"/>
    <x v="0"/>
    <x v="0"/>
    <x v="1"/>
    <x v="0"/>
  </r>
  <r>
    <x v="0"/>
    <x v="0"/>
    <n v="2239073728"/>
    <x v="2"/>
    <n v="13000"/>
    <x v="0"/>
    <x v="0"/>
    <x v="28"/>
    <x v="2"/>
    <x v="0"/>
    <x v="0"/>
    <x v="2"/>
    <x v="0"/>
  </r>
  <r>
    <x v="0"/>
    <x v="0"/>
    <n v="2239073729"/>
    <x v="7"/>
    <n v="1500"/>
    <x v="0"/>
    <x v="0"/>
    <x v="28"/>
    <x v="7"/>
    <x v="0"/>
    <x v="0"/>
    <x v="1"/>
    <x v="0"/>
  </r>
  <r>
    <x v="0"/>
    <x v="0"/>
    <n v="2239073730"/>
    <x v="2"/>
    <n v="4500"/>
    <x v="0"/>
    <x v="0"/>
    <x v="28"/>
    <x v="2"/>
    <x v="0"/>
    <x v="0"/>
    <x v="2"/>
    <x v="0"/>
  </r>
  <r>
    <x v="0"/>
    <x v="0"/>
    <n v="2239073731"/>
    <x v="3"/>
    <n v="21450"/>
    <x v="0"/>
    <x v="0"/>
    <x v="28"/>
    <x v="3"/>
    <x v="0"/>
    <x v="0"/>
    <x v="3"/>
    <x v="0"/>
  </r>
  <r>
    <x v="0"/>
    <x v="0"/>
    <n v="2239073732"/>
    <x v="3"/>
    <n v="17600"/>
    <x v="0"/>
    <x v="0"/>
    <x v="28"/>
    <x v="3"/>
    <x v="0"/>
    <x v="0"/>
    <x v="3"/>
    <x v="0"/>
  </r>
  <r>
    <x v="0"/>
    <x v="0"/>
    <n v="2239073733"/>
    <x v="2"/>
    <n v="7500"/>
    <x v="0"/>
    <x v="0"/>
    <x v="28"/>
    <x v="2"/>
    <x v="0"/>
    <x v="0"/>
    <x v="2"/>
    <x v="0"/>
  </r>
  <r>
    <x v="0"/>
    <x v="0"/>
    <n v="2239073735"/>
    <x v="2"/>
    <n v="9500"/>
    <x v="0"/>
    <x v="0"/>
    <x v="28"/>
    <x v="2"/>
    <x v="0"/>
    <x v="0"/>
    <x v="2"/>
    <x v="0"/>
  </r>
  <r>
    <x v="0"/>
    <x v="0"/>
    <n v="2239073737"/>
    <x v="2"/>
    <n v="15400"/>
    <x v="0"/>
    <x v="0"/>
    <x v="28"/>
    <x v="2"/>
    <x v="0"/>
    <x v="0"/>
    <x v="2"/>
    <x v="0"/>
  </r>
  <r>
    <x v="0"/>
    <x v="0"/>
    <n v="2239073739"/>
    <x v="5"/>
    <n v="-400"/>
    <x v="0"/>
    <x v="0"/>
    <x v="28"/>
    <x v="5"/>
    <x v="0"/>
    <x v="0"/>
    <x v="5"/>
    <x v="0"/>
  </r>
  <r>
    <x v="0"/>
    <x v="0"/>
    <n v="2239073739"/>
    <x v="4"/>
    <n v="5000"/>
    <x v="0"/>
    <x v="0"/>
    <x v="28"/>
    <x v="4"/>
    <x v="0"/>
    <x v="0"/>
    <x v="4"/>
    <x v="0"/>
  </r>
  <r>
    <x v="0"/>
    <x v="0"/>
    <n v="2239073742"/>
    <x v="2"/>
    <n v="18960"/>
    <x v="0"/>
    <x v="0"/>
    <x v="28"/>
    <x v="2"/>
    <x v="0"/>
    <x v="0"/>
    <x v="2"/>
    <x v="0"/>
  </r>
  <r>
    <x v="0"/>
    <x v="0"/>
    <n v="2239073743"/>
    <x v="2"/>
    <n v="3000"/>
    <x v="0"/>
    <x v="0"/>
    <x v="28"/>
    <x v="2"/>
    <x v="0"/>
    <x v="0"/>
    <x v="2"/>
    <x v="0"/>
  </r>
  <r>
    <x v="0"/>
    <x v="0"/>
    <n v="2239073744"/>
    <x v="2"/>
    <n v="14300"/>
    <x v="0"/>
    <x v="0"/>
    <x v="28"/>
    <x v="2"/>
    <x v="0"/>
    <x v="0"/>
    <x v="2"/>
    <x v="0"/>
  </r>
  <r>
    <x v="0"/>
    <x v="0"/>
    <n v="2239073746"/>
    <x v="1"/>
    <n v="900"/>
    <x v="0"/>
    <x v="0"/>
    <x v="28"/>
    <x v="1"/>
    <x v="0"/>
    <x v="0"/>
    <x v="1"/>
    <x v="0"/>
  </r>
  <r>
    <x v="0"/>
    <x v="0"/>
    <n v="2239073747"/>
    <x v="2"/>
    <n v="15000"/>
    <x v="0"/>
    <x v="0"/>
    <x v="28"/>
    <x v="2"/>
    <x v="0"/>
    <x v="0"/>
    <x v="2"/>
    <x v="0"/>
  </r>
  <r>
    <x v="0"/>
    <x v="0"/>
    <n v="2239073750"/>
    <x v="7"/>
    <n v="1500"/>
    <x v="0"/>
    <x v="0"/>
    <x v="28"/>
    <x v="7"/>
    <x v="0"/>
    <x v="0"/>
    <x v="1"/>
    <x v="0"/>
  </r>
  <r>
    <x v="0"/>
    <x v="0"/>
    <n v="2239073751"/>
    <x v="2"/>
    <n v="6600"/>
    <x v="0"/>
    <x v="0"/>
    <x v="28"/>
    <x v="2"/>
    <x v="0"/>
    <x v="0"/>
    <x v="2"/>
    <x v="0"/>
  </r>
  <r>
    <x v="0"/>
    <x v="0"/>
    <n v="2239073753"/>
    <x v="2"/>
    <n v="19500"/>
    <x v="0"/>
    <x v="0"/>
    <x v="28"/>
    <x v="2"/>
    <x v="0"/>
    <x v="0"/>
    <x v="2"/>
    <x v="0"/>
  </r>
  <r>
    <x v="0"/>
    <x v="0"/>
    <n v="2239073754"/>
    <x v="7"/>
    <n v="1500"/>
    <x v="0"/>
    <x v="0"/>
    <x v="28"/>
    <x v="7"/>
    <x v="0"/>
    <x v="0"/>
    <x v="1"/>
    <x v="0"/>
  </r>
  <r>
    <x v="0"/>
    <x v="0"/>
    <n v="2239073755"/>
    <x v="7"/>
    <n v="1500"/>
    <x v="0"/>
    <x v="0"/>
    <x v="28"/>
    <x v="7"/>
    <x v="0"/>
    <x v="0"/>
    <x v="1"/>
    <x v="0"/>
  </r>
  <r>
    <x v="0"/>
    <x v="0"/>
    <n v="2239073756"/>
    <x v="5"/>
    <n v="-5500"/>
    <x v="0"/>
    <x v="0"/>
    <x v="28"/>
    <x v="5"/>
    <x v="0"/>
    <x v="0"/>
    <x v="5"/>
    <x v="0"/>
  </r>
  <r>
    <x v="0"/>
    <x v="0"/>
    <n v="2239073756"/>
    <x v="6"/>
    <n v="10000"/>
    <x v="0"/>
    <x v="0"/>
    <x v="28"/>
    <x v="6"/>
    <x v="0"/>
    <x v="0"/>
    <x v="5"/>
    <x v="0"/>
  </r>
  <r>
    <x v="0"/>
    <x v="0"/>
    <n v="2239073757"/>
    <x v="5"/>
    <n v="-260"/>
    <x v="0"/>
    <x v="0"/>
    <x v="28"/>
    <x v="5"/>
    <x v="0"/>
    <x v="0"/>
    <x v="5"/>
    <x v="0"/>
  </r>
  <r>
    <x v="0"/>
    <x v="0"/>
    <n v="2239073757"/>
    <x v="6"/>
    <n v="11000"/>
    <x v="0"/>
    <x v="0"/>
    <x v="28"/>
    <x v="6"/>
    <x v="0"/>
    <x v="0"/>
    <x v="5"/>
    <x v="0"/>
  </r>
  <r>
    <x v="0"/>
    <x v="0"/>
    <n v="2239073758"/>
    <x v="7"/>
    <n v="1500"/>
    <x v="0"/>
    <x v="0"/>
    <x v="28"/>
    <x v="7"/>
    <x v="0"/>
    <x v="0"/>
    <x v="1"/>
    <x v="0"/>
  </r>
  <r>
    <x v="0"/>
    <x v="0"/>
    <n v="2239073759"/>
    <x v="7"/>
    <n v="1500"/>
    <x v="0"/>
    <x v="0"/>
    <x v="28"/>
    <x v="7"/>
    <x v="0"/>
    <x v="0"/>
    <x v="1"/>
    <x v="0"/>
  </r>
  <r>
    <x v="0"/>
    <x v="0"/>
    <n v="2239073760"/>
    <x v="7"/>
    <n v="1500"/>
    <x v="0"/>
    <x v="0"/>
    <x v="28"/>
    <x v="7"/>
    <x v="0"/>
    <x v="0"/>
    <x v="1"/>
    <x v="0"/>
  </r>
  <r>
    <x v="0"/>
    <x v="0"/>
    <n v="2239073761"/>
    <x v="5"/>
    <n v="-400"/>
    <x v="0"/>
    <x v="0"/>
    <x v="28"/>
    <x v="5"/>
    <x v="0"/>
    <x v="0"/>
    <x v="5"/>
    <x v="0"/>
  </r>
  <r>
    <x v="0"/>
    <x v="0"/>
    <n v="2239073761"/>
    <x v="4"/>
    <n v="5000"/>
    <x v="0"/>
    <x v="0"/>
    <x v="28"/>
    <x v="4"/>
    <x v="0"/>
    <x v="0"/>
    <x v="4"/>
    <x v="0"/>
  </r>
  <r>
    <x v="0"/>
    <x v="0"/>
    <n v="2239073763"/>
    <x v="5"/>
    <n v="-1000"/>
    <x v="0"/>
    <x v="0"/>
    <x v="28"/>
    <x v="5"/>
    <x v="0"/>
    <x v="0"/>
    <x v="5"/>
    <x v="0"/>
  </r>
  <r>
    <x v="0"/>
    <x v="0"/>
    <n v="2239073763"/>
    <x v="6"/>
    <n v="4000"/>
    <x v="0"/>
    <x v="0"/>
    <x v="28"/>
    <x v="6"/>
    <x v="0"/>
    <x v="0"/>
    <x v="5"/>
    <x v="0"/>
  </r>
  <r>
    <x v="0"/>
    <x v="0"/>
    <n v="2239073768"/>
    <x v="1"/>
    <n v="6300"/>
    <x v="0"/>
    <x v="0"/>
    <x v="28"/>
    <x v="1"/>
    <x v="0"/>
    <x v="0"/>
    <x v="1"/>
    <x v="0"/>
  </r>
  <r>
    <x v="0"/>
    <x v="0"/>
    <n v="2239073772"/>
    <x v="1"/>
    <n v="10800"/>
    <x v="0"/>
    <x v="0"/>
    <x v="28"/>
    <x v="1"/>
    <x v="0"/>
    <x v="0"/>
    <x v="1"/>
    <x v="0"/>
  </r>
  <r>
    <x v="0"/>
    <x v="0"/>
    <n v="2239080552"/>
    <x v="2"/>
    <n v="33880"/>
    <x v="0"/>
    <x v="0"/>
    <x v="4"/>
    <x v="2"/>
    <x v="0"/>
    <x v="0"/>
    <x v="2"/>
    <x v="0"/>
  </r>
  <r>
    <x v="0"/>
    <x v="0"/>
    <n v="2239080554"/>
    <x v="1"/>
    <n v="10900"/>
    <x v="0"/>
    <x v="0"/>
    <x v="4"/>
    <x v="1"/>
    <x v="0"/>
    <x v="0"/>
    <x v="1"/>
    <x v="0"/>
  </r>
  <r>
    <x v="0"/>
    <x v="0"/>
    <n v="2239080555"/>
    <x v="1"/>
    <n v="1500"/>
    <x v="0"/>
    <x v="0"/>
    <x v="4"/>
    <x v="1"/>
    <x v="0"/>
    <x v="0"/>
    <x v="1"/>
    <x v="0"/>
  </r>
  <r>
    <x v="0"/>
    <x v="0"/>
    <n v="2239080556"/>
    <x v="1"/>
    <n v="12800"/>
    <x v="0"/>
    <x v="0"/>
    <x v="4"/>
    <x v="1"/>
    <x v="0"/>
    <x v="0"/>
    <x v="1"/>
    <x v="0"/>
  </r>
  <r>
    <x v="0"/>
    <x v="0"/>
    <n v="2239080557"/>
    <x v="1"/>
    <n v="6500"/>
    <x v="0"/>
    <x v="0"/>
    <x v="4"/>
    <x v="1"/>
    <x v="0"/>
    <x v="0"/>
    <x v="1"/>
    <x v="0"/>
  </r>
  <r>
    <x v="0"/>
    <x v="0"/>
    <n v="2239080558"/>
    <x v="7"/>
    <n v="1500"/>
    <x v="0"/>
    <x v="0"/>
    <x v="4"/>
    <x v="7"/>
    <x v="0"/>
    <x v="0"/>
    <x v="1"/>
    <x v="0"/>
  </r>
  <r>
    <x v="0"/>
    <x v="0"/>
    <n v="2239080560"/>
    <x v="1"/>
    <n v="11800"/>
    <x v="0"/>
    <x v="0"/>
    <x v="4"/>
    <x v="1"/>
    <x v="0"/>
    <x v="0"/>
    <x v="1"/>
    <x v="0"/>
  </r>
  <r>
    <x v="0"/>
    <x v="0"/>
    <n v="2239080562"/>
    <x v="1"/>
    <n v="3300"/>
    <x v="0"/>
    <x v="0"/>
    <x v="4"/>
    <x v="1"/>
    <x v="0"/>
    <x v="0"/>
    <x v="1"/>
    <x v="0"/>
  </r>
  <r>
    <x v="0"/>
    <x v="0"/>
    <n v="2239080563"/>
    <x v="1"/>
    <n v="10020"/>
    <x v="0"/>
    <x v="0"/>
    <x v="4"/>
    <x v="1"/>
    <x v="0"/>
    <x v="0"/>
    <x v="1"/>
    <x v="0"/>
  </r>
  <r>
    <x v="0"/>
    <x v="0"/>
    <n v="2239080565"/>
    <x v="1"/>
    <n v="4650"/>
    <x v="0"/>
    <x v="0"/>
    <x v="4"/>
    <x v="1"/>
    <x v="0"/>
    <x v="0"/>
    <x v="1"/>
    <x v="0"/>
  </r>
  <r>
    <x v="0"/>
    <x v="0"/>
    <n v="2239080568"/>
    <x v="0"/>
    <n v="13400"/>
    <x v="0"/>
    <x v="0"/>
    <x v="4"/>
    <x v="0"/>
    <x v="0"/>
    <x v="0"/>
    <x v="0"/>
    <x v="0"/>
  </r>
  <r>
    <x v="0"/>
    <x v="0"/>
    <n v="2239080569"/>
    <x v="0"/>
    <n v="12800"/>
    <x v="0"/>
    <x v="0"/>
    <x v="4"/>
    <x v="0"/>
    <x v="0"/>
    <x v="0"/>
    <x v="0"/>
    <x v="0"/>
  </r>
  <r>
    <x v="0"/>
    <x v="0"/>
    <n v="2239080570"/>
    <x v="0"/>
    <n v="900"/>
    <x v="0"/>
    <x v="0"/>
    <x v="4"/>
    <x v="0"/>
    <x v="0"/>
    <x v="0"/>
    <x v="0"/>
    <x v="0"/>
  </r>
  <r>
    <x v="0"/>
    <x v="0"/>
    <n v="2239080571"/>
    <x v="0"/>
    <n v="13140"/>
    <x v="0"/>
    <x v="0"/>
    <x v="4"/>
    <x v="0"/>
    <x v="0"/>
    <x v="0"/>
    <x v="0"/>
    <x v="0"/>
  </r>
  <r>
    <x v="0"/>
    <x v="0"/>
    <n v="2239080572"/>
    <x v="0"/>
    <n v="31500"/>
    <x v="0"/>
    <x v="0"/>
    <x v="4"/>
    <x v="0"/>
    <x v="0"/>
    <x v="0"/>
    <x v="0"/>
    <x v="0"/>
  </r>
  <r>
    <x v="0"/>
    <x v="0"/>
    <n v="2239080573"/>
    <x v="0"/>
    <n v="1350"/>
    <x v="0"/>
    <x v="0"/>
    <x v="4"/>
    <x v="0"/>
    <x v="0"/>
    <x v="0"/>
    <x v="0"/>
    <x v="0"/>
  </r>
  <r>
    <x v="0"/>
    <x v="0"/>
    <n v="2239080574"/>
    <x v="0"/>
    <n v="1950"/>
    <x v="0"/>
    <x v="0"/>
    <x v="4"/>
    <x v="0"/>
    <x v="0"/>
    <x v="0"/>
    <x v="0"/>
    <x v="0"/>
  </r>
  <r>
    <x v="0"/>
    <x v="0"/>
    <n v="2239080576"/>
    <x v="0"/>
    <n v="143800"/>
    <x v="0"/>
    <x v="0"/>
    <x v="4"/>
    <x v="0"/>
    <x v="0"/>
    <x v="0"/>
    <x v="0"/>
    <x v="0"/>
  </r>
  <r>
    <x v="0"/>
    <x v="0"/>
    <n v="2239080577"/>
    <x v="1"/>
    <n v="31370"/>
    <x v="0"/>
    <x v="0"/>
    <x v="4"/>
    <x v="1"/>
    <x v="0"/>
    <x v="0"/>
    <x v="1"/>
    <x v="0"/>
  </r>
  <r>
    <x v="0"/>
    <x v="0"/>
    <n v="2239080578"/>
    <x v="1"/>
    <n v="11650"/>
    <x v="0"/>
    <x v="0"/>
    <x v="4"/>
    <x v="1"/>
    <x v="0"/>
    <x v="0"/>
    <x v="1"/>
    <x v="0"/>
  </r>
  <r>
    <x v="0"/>
    <x v="0"/>
    <n v="2239080579"/>
    <x v="0"/>
    <n v="97800"/>
    <x v="0"/>
    <x v="0"/>
    <x v="4"/>
    <x v="0"/>
    <x v="0"/>
    <x v="0"/>
    <x v="0"/>
    <x v="0"/>
  </r>
  <r>
    <x v="0"/>
    <x v="0"/>
    <n v="2239080580"/>
    <x v="1"/>
    <n v="2280"/>
    <x v="0"/>
    <x v="0"/>
    <x v="4"/>
    <x v="1"/>
    <x v="0"/>
    <x v="0"/>
    <x v="1"/>
    <x v="0"/>
  </r>
  <r>
    <x v="0"/>
    <x v="0"/>
    <n v="2239080582"/>
    <x v="0"/>
    <n v="2100"/>
    <x v="0"/>
    <x v="0"/>
    <x v="4"/>
    <x v="0"/>
    <x v="0"/>
    <x v="0"/>
    <x v="0"/>
    <x v="0"/>
  </r>
  <r>
    <x v="0"/>
    <x v="0"/>
    <n v="2239080583"/>
    <x v="0"/>
    <n v="16500"/>
    <x v="0"/>
    <x v="0"/>
    <x v="4"/>
    <x v="0"/>
    <x v="0"/>
    <x v="0"/>
    <x v="0"/>
    <x v="0"/>
  </r>
  <r>
    <x v="0"/>
    <x v="0"/>
    <n v="2239080584"/>
    <x v="1"/>
    <n v="13650"/>
    <x v="0"/>
    <x v="0"/>
    <x v="4"/>
    <x v="1"/>
    <x v="0"/>
    <x v="0"/>
    <x v="1"/>
    <x v="0"/>
  </r>
  <r>
    <x v="0"/>
    <x v="0"/>
    <n v="2239080585"/>
    <x v="0"/>
    <n v="3900"/>
    <x v="0"/>
    <x v="0"/>
    <x v="4"/>
    <x v="0"/>
    <x v="0"/>
    <x v="0"/>
    <x v="0"/>
    <x v="0"/>
  </r>
  <r>
    <x v="0"/>
    <x v="0"/>
    <n v="2239080586"/>
    <x v="0"/>
    <n v="4500"/>
    <x v="0"/>
    <x v="0"/>
    <x v="4"/>
    <x v="0"/>
    <x v="0"/>
    <x v="0"/>
    <x v="0"/>
    <x v="0"/>
  </r>
  <r>
    <x v="0"/>
    <x v="0"/>
    <n v="2239080587"/>
    <x v="0"/>
    <n v="6750"/>
    <x v="0"/>
    <x v="0"/>
    <x v="4"/>
    <x v="0"/>
    <x v="0"/>
    <x v="0"/>
    <x v="0"/>
    <x v="0"/>
  </r>
  <r>
    <x v="0"/>
    <x v="0"/>
    <n v="2239080589"/>
    <x v="0"/>
    <n v="3900"/>
    <x v="0"/>
    <x v="0"/>
    <x v="4"/>
    <x v="0"/>
    <x v="0"/>
    <x v="0"/>
    <x v="0"/>
    <x v="0"/>
  </r>
  <r>
    <x v="0"/>
    <x v="0"/>
    <n v="2239080590"/>
    <x v="0"/>
    <n v="900"/>
    <x v="0"/>
    <x v="0"/>
    <x v="4"/>
    <x v="0"/>
    <x v="0"/>
    <x v="0"/>
    <x v="0"/>
    <x v="0"/>
  </r>
  <r>
    <x v="0"/>
    <x v="0"/>
    <n v="2239080591"/>
    <x v="0"/>
    <n v="900"/>
    <x v="0"/>
    <x v="0"/>
    <x v="4"/>
    <x v="0"/>
    <x v="0"/>
    <x v="0"/>
    <x v="0"/>
    <x v="0"/>
  </r>
  <r>
    <x v="0"/>
    <x v="0"/>
    <n v="2239080592"/>
    <x v="0"/>
    <n v="1050"/>
    <x v="0"/>
    <x v="0"/>
    <x v="4"/>
    <x v="0"/>
    <x v="0"/>
    <x v="0"/>
    <x v="0"/>
    <x v="0"/>
  </r>
  <r>
    <x v="0"/>
    <x v="0"/>
    <n v="2239080593"/>
    <x v="0"/>
    <n v="4050"/>
    <x v="0"/>
    <x v="0"/>
    <x v="4"/>
    <x v="0"/>
    <x v="0"/>
    <x v="0"/>
    <x v="0"/>
    <x v="0"/>
  </r>
  <r>
    <x v="0"/>
    <x v="0"/>
    <n v="2239080594"/>
    <x v="0"/>
    <n v="1050"/>
    <x v="0"/>
    <x v="0"/>
    <x v="4"/>
    <x v="0"/>
    <x v="0"/>
    <x v="0"/>
    <x v="0"/>
    <x v="0"/>
  </r>
  <r>
    <x v="0"/>
    <x v="0"/>
    <n v="2239080595"/>
    <x v="0"/>
    <n v="2250"/>
    <x v="0"/>
    <x v="0"/>
    <x v="4"/>
    <x v="0"/>
    <x v="0"/>
    <x v="0"/>
    <x v="0"/>
    <x v="0"/>
  </r>
  <r>
    <x v="0"/>
    <x v="0"/>
    <n v="2239080596"/>
    <x v="0"/>
    <n v="1350"/>
    <x v="0"/>
    <x v="0"/>
    <x v="4"/>
    <x v="0"/>
    <x v="0"/>
    <x v="0"/>
    <x v="0"/>
    <x v="0"/>
  </r>
  <r>
    <x v="0"/>
    <x v="0"/>
    <n v="2239080597"/>
    <x v="0"/>
    <n v="1350"/>
    <x v="0"/>
    <x v="0"/>
    <x v="4"/>
    <x v="0"/>
    <x v="0"/>
    <x v="0"/>
    <x v="0"/>
    <x v="0"/>
  </r>
  <r>
    <x v="0"/>
    <x v="0"/>
    <n v="2239080598"/>
    <x v="0"/>
    <n v="2100"/>
    <x v="0"/>
    <x v="0"/>
    <x v="4"/>
    <x v="0"/>
    <x v="0"/>
    <x v="0"/>
    <x v="0"/>
    <x v="0"/>
  </r>
  <r>
    <x v="0"/>
    <x v="0"/>
    <n v="2239080599"/>
    <x v="0"/>
    <n v="3600"/>
    <x v="0"/>
    <x v="0"/>
    <x v="4"/>
    <x v="0"/>
    <x v="0"/>
    <x v="0"/>
    <x v="0"/>
    <x v="0"/>
  </r>
  <r>
    <x v="0"/>
    <x v="0"/>
    <n v="2239080600"/>
    <x v="0"/>
    <n v="1950"/>
    <x v="0"/>
    <x v="0"/>
    <x v="4"/>
    <x v="0"/>
    <x v="0"/>
    <x v="0"/>
    <x v="0"/>
    <x v="0"/>
  </r>
  <r>
    <x v="0"/>
    <x v="0"/>
    <n v="2239080601"/>
    <x v="0"/>
    <n v="12600"/>
    <x v="0"/>
    <x v="0"/>
    <x v="4"/>
    <x v="0"/>
    <x v="0"/>
    <x v="0"/>
    <x v="0"/>
    <x v="0"/>
  </r>
  <r>
    <x v="0"/>
    <x v="0"/>
    <n v="2239080602"/>
    <x v="0"/>
    <n v="1800"/>
    <x v="0"/>
    <x v="0"/>
    <x v="4"/>
    <x v="0"/>
    <x v="0"/>
    <x v="0"/>
    <x v="0"/>
    <x v="0"/>
  </r>
  <r>
    <x v="0"/>
    <x v="0"/>
    <n v="2239080603"/>
    <x v="0"/>
    <n v="2250"/>
    <x v="0"/>
    <x v="0"/>
    <x v="4"/>
    <x v="0"/>
    <x v="0"/>
    <x v="0"/>
    <x v="0"/>
    <x v="0"/>
  </r>
  <r>
    <x v="0"/>
    <x v="0"/>
    <n v="2239080604"/>
    <x v="0"/>
    <n v="1050"/>
    <x v="0"/>
    <x v="0"/>
    <x v="4"/>
    <x v="0"/>
    <x v="0"/>
    <x v="0"/>
    <x v="0"/>
    <x v="0"/>
  </r>
  <r>
    <x v="0"/>
    <x v="0"/>
    <n v="2239080605"/>
    <x v="0"/>
    <n v="5850"/>
    <x v="0"/>
    <x v="0"/>
    <x v="4"/>
    <x v="0"/>
    <x v="0"/>
    <x v="0"/>
    <x v="0"/>
    <x v="0"/>
  </r>
  <r>
    <x v="0"/>
    <x v="0"/>
    <n v="2239080606"/>
    <x v="0"/>
    <n v="2250"/>
    <x v="0"/>
    <x v="0"/>
    <x v="4"/>
    <x v="0"/>
    <x v="0"/>
    <x v="0"/>
    <x v="0"/>
    <x v="0"/>
  </r>
  <r>
    <x v="0"/>
    <x v="0"/>
    <n v="2239080607"/>
    <x v="0"/>
    <n v="2250"/>
    <x v="0"/>
    <x v="0"/>
    <x v="4"/>
    <x v="0"/>
    <x v="0"/>
    <x v="0"/>
    <x v="0"/>
    <x v="0"/>
  </r>
  <r>
    <x v="0"/>
    <x v="0"/>
    <n v="2239080608"/>
    <x v="0"/>
    <n v="1950"/>
    <x v="0"/>
    <x v="0"/>
    <x v="4"/>
    <x v="0"/>
    <x v="0"/>
    <x v="0"/>
    <x v="0"/>
    <x v="0"/>
  </r>
  <r>
    <x v="0"/>
    <x v="0"/>
    <n v="2239080609"/>
    <x v="5"/>
    <n v="-750"/>
    <x v="0"/>
    <x v="0"/>
    <x v="4"/>
    <x v="5"/>
    <x v="0"/>
    <x v="0"/>
    <x v="5"/>
    <x v="0"/>
  </r>
  <r>
    <x v="0"/>
    <x v="0"/>
    <n v="2239080609"/>
    <x v="6"/>
    <n v="12270"/>
    <x v="0"/>
    <x v="0"/>
    <x v="4"/>
    <x v="6"/>
    <x v="0"/>
    <x v="0"/>
    <x v="5"/>
    <x v="0"/>
  </r>
  <r>
    <x v="0"/>
    <x v="0"/>
    <n v="2239080609"/>
    <x v="7"/>
    <n v="1280"/>
    <x v="0"/>
    <x v="0"/>
    <x v="4"/>
    <x v="7"/>
    <x v="0"/>
    <x v="0"/>
    <x v="1"/>
    <x v="0"/>
  </r>
  <r>
    <x v="0"/>
    <x v="0"/>
    <n v="2239080610"/>
    <x v="0"/>
    <n v="900"/>
    <x v="0"/>
    <x v="0"/>
    <x v="4"/>
    <x v="0"/>
    <x v="0"/>
    <x v="0"/>
    <x v="0"/>
    <x v="0"/>
  </r>
  <r>
    <x v="0"/>
    <x v="0"/>
    <n v="2239080611"/>
    <x v="0"/>
    <n v="900"/>
    <x v="0"/>
    <x v="0"/>
    <x v="4"/>
    <x v="0"/>
    <x v="0"/>
    <x v="0"/>
    <x v="0"/>
    <x v="0"/>
  </r>
  <r>
    <x v="0"/>
    <x v="0"/>
    <n v="2239080612"/>
    <x v="0"/>
    <n v="12250"/>
    <x v="0"/>
    <x v="0"/>
    <x v="4"/>
    <x v="0"/>
    <x v="0"/>
    <x v="0"/>
    <x v="0"/>
    <x v="0"/>
  </r>
  <r>
    <x v="0"/>
    <x v="0"/>
    <n v="2239080613"/>
    <x v="0"/>
    <n v="900"/>
    <x v="0"/>
    <x v="0"/>
    <x v="4"/>
    <x v="0"/>
    <x v="0"/>
    <x v="0"/>
    <x v="0"/>
    <x v="0"/>
  </r>
  <r>
    <x v="0"/>
    <x v="0"/>
    <n v="2239080615"/>
    <x v="0"/>
    <n v="19500"/>
    <x v="0"/>
    <x v="0"/>
    <x v="4"/>
    <x v="0"/>
    <x v="0"/>
    <x v="0"/>
    <x v="0"/>
    <x v="0"/>
  </r>
  <r>
    <x v="0"/>
    <x v="0"/>
    <n v="2239080616"/>
    <x v="1"/>
    <n v="11040"/>
    <x v="0"/>
    <x v="0"/>
    <x v="4"/>
    <x v="1"/>
    <x v="0"/>
    <x v="0"/>
    <x v="1"/>
    <x v="0"/>
  </r>
  <r>
    <x v="0"/>
    <x v="0"/>
    <n v="2239080617"/>
    <x v="1"/>
    <n v="5850"/>
    <x v="0"/>
    <x v="0"/>
    <x v="4"/>
    <x v="1"/>
    <x v="0"/>
    <x v="0"/>
    <x v="1"/>
    <x v="0"/>
  </r>
  <r>
    <x v="0"/>
    <x v="0"/>
    <n v="2239080618"/>
    <x v="1"/>
    <n v="1500"/>
    <x v="0"/>
    <x v="0"/>
    <x v="4"/>
    <x v="1"/>
    <x v="0"/>
    <x v="0"/>
    <x v="1"/>
    <x v="0"/>
  </r>
  <r>
    <x v="0"/>
    <x v="0"/>
    <n v="2239080619"/>
    <x v="1"/>
    <n v="750"/>
    <x v="0"/>
    <x v="0"/>
    <x v="4"/>
    <x v="1"/>
    <x v="0"/>
    <x v="0"/>
    <x v="1"/>
    <x v="0"/>
  </r>
  <r>
    <x v="0"/>
    <x v="0"/>
    <n v="2239080620"/>
    <x v="1"/>
    <n v="30350"/>
    <x v="0"/>
    <x v="0"/>
    <x v="4"/>
    <x v="1"/>
    <x v="0"/>
    <x v="0"/>
    <x v="1"/>
    <x v="0"/>
  </r>
  <r>
    <x v="0"/>
    <x v="0"/>
    <n v="2239080622"/>
    <x v="1"/>
    <n v="13780"/>
    <x v="0"/>
    <x v="0"/>
    <x v="4"/>
    <x v="1"/>
    <x v="0"/>
    <x v="0"/>
    <x v="1"/>
    <x v="0"/>
  </r>
  <r>
    <x v="0"/>
    <x v="0"/>
    <n v="2239080623"/>
    <x v="3"/>
    <n v="7084"/>
    <x v="0"/>
    <x v="0"/>
    <x v="4"/>
    <x v="3"/>
    <x v="0"/>
    <x v="0"/>
    <x v="3"/>
    <x v="0"/>
  </r>
  <r>
    <x v="0"/>
    <x v="0"/>
    <n v="2239080624"/>
    <x v="1"/>
    <n v="2700"/>
    <x v="0"/>
    <x v="0"/>
    <x v="4"/>
    <x v="1"/>
    <x v="0"/>
    <x v="0"/>
    <x v="1"/>
    <x v="0"/>
  </r>
  <r>
    <x v="0"/>
    <x v="0"/>
    <n v="2239080625"/>
    <x v="6"/>
    <n v="2000"/>
    <x v="0"/>
    <x v="0"/>
    <x v="4"/>
    <x v="6"/>
    <x v="0"/>
    <x v="0"/>
    <x v="5"/>
    <x v="0"/>
  </r>
  <r>
    <x v="0"/>
    <x v="0"/>
    <n v="2239080627"/>
    <x v="7"/>
    <n v="1500"/>
    <x v="0"/>
    <x v="0"/>
    <x v="4"/>
    <x v="7"/>
    <x v="0"/>
    <x v="0"/>
    <x v="1"/>
    <x v="0"/>
  </r>
  <r>
    <x v="0"/>
    <x v="0"/>
    <n v="2239080628"/>
    <x v="6"/>
    <n v="9730"/>
    <x v="0"/>
    <x v="0"/>
    <x v="4"/>
    <x v="6"/>
    <x v="0"/>
    <x v="0"/>
    <x v="5"/>
    <x v="0"/>
  </r>
  <r>
    <x v="0"/>
    <x v="0"/>
    <n v="2239080628"/>
    <x v="7"/>
    <n v="4170"/>
    <x v="0"/>
    <x v="0"/>
    <x v="4"/>
    <x v="7"/>
    <x v="0"/>
    <x v="0"/>
    <x v="1"/>
    <x v="0"/>
  </r>
  <r>
    <x v="0"/>
    <x v="0"/>
    <n v="2239080629"/>
    <x v="1"/>
    <n v="11950"/>
    <x v="0"/>
    <x v="0"/>
    <x v="4"/>
    <x v="1"/>
    <x v="0"/>
    <x v="0"/>
    <x v="1"/>
    <x v="0"/>
  </r>
  <r>
    <x v="0"/>
    <x v="0"/>
    <n v="2239080630"/>
    <x v="2"/>
    <n v="7000"/>
    <x v="0"/>
    <x v="0"/>
    <x v="4"/>
    <x v="2"/>
    <x v="0"/>
    <x v="0"/>
    <x v="2"/>
    <x v="0"/>
  </r>
  <r>
    <x v="0"/>
    <x v="0"/>
    <n v="2239080631"/>
    <x v="6"/>
    <n v="5000"/>
    <x v="0"/>
    <x v="0"/>
    <x v="4"/>
    <x v="6"/>
    <x v="0"/>
    <x v="0"/>
    <x v="5"/>
    <x v="0"/>
  </r>
  <r>
    <x v="0"/>
    <x v="0"/>
    <n v="2239080632"/>
    <x v="3"/>
    <n v="2400"/>
    <x v="0"/>
    <x v="0"/>
    <x v="4"/>
    <x v="3"/>
    <x v="0"/>
    <x v="0"/>
    <x v="3"/>
    <x v="0"/>
  </r>
  <r>
    <x v="0"/>
    <x v="0"/>
    <n v="2239080632"/>
    <x v="7"/>
    <n v="2400"/>
    <x v="0"/>
    <x v="0"/>
    <x v="4"/>
    <x v="7"/>
    <x v="0"/>
    <x v="0"/>
    <x v="1"/>
    <x v="0"/>
  </r>
  <r>
    <x v="0"/>
    <x v="0"/>
    <n v="2239080633"/>
    <x v="7"/>
    <n v="1500"/>
    <x v="0"/>
    <x v="0"/>
    <x v="4"/>
    <x v="7"/>
    <x v="0"/>
    <x v="0"/>
    <x v="1"/>
    <x v="0"/>
  </r>
  <r>
    <x v="0"/>
    <x v="0"/>
    <n v="2239080634"/>
    <x v="2"/>
    <n v="30470"/>
    <x v="0"/>
    <x v="0"/>
    <x v="4"/>
    <x v="2"/>
    <x v="0"/>
    <x v="0"/>
    <x v="2"/>
    <x v="0"/>
  </r>
  <r>
    <x v="0"/>
    <x v="0"/>
    <n v="2239080635"/>
    <x v="5"/>
    <n v="-4400"/>
    <x v="0"/>
    <x v="0"/>
    <x v="4"/>
    <x v="5"/>
    <x v="0"/>
    <x v="0"/>
    <x v="5"/>
    <x v="0"/>
  </r>
  <r>
    <x v="0"/>
    <x v="0"/>
    <n v="2239080635"/>
    <x v="4"/>
    <n v="10000"/>
    <x v="0"/>
    <x v="0"/>
    <x v="4"/>
    <x v="4"/>
    <x v="0"/>
    <x v="0"/>
    <x v="4"/>
    <x v="0"/>
  </r>
  <r>
    <x v="0"/>
    <x v="0"/>
    <n v="2239080636"/>
    <x v="2"/>
    <n v="27995"/>
    <x v="0"/>
    <x v="0"/>
    <x v="4"/>
    <x v="2"/>
    <x v="0"/>
    <x v="0"/>
    <x v="2"/>
    <x v="0"/>
  </r>
  <r>
    <x v="0"/>
    <x v="0"/>
    <n v="2239080636"/>
    <x v="7"/>
    <n v="3500"/>
    <x v="0"/>
    <x v="0"/>
    <x v="4"/>
    <x v="7"/>
    <x v="0"/>
    <x v="0"/>
    <x v="1"/>
    <x v="0"/>
  </r>
  <r>
    <x v="0"/>
    <x v="0"/>
    <n v="2239080637"/>
    <x v="2"/>
    <n v="16995"/>
    <x v="0"/>
    <x v="0"/>
    <x v="4"/>
    <x v="2"/>
    <x v="0"/>
    <x v="0"/>
    <x v="2"/>
    <x v="0"/>
  </r>
  <r>
    <x v="0"/>
    <x v="0"/>
    <n v="2239080638"/>
    <x v="7"/>
    <n v="1500"/>
    <x v="0"/>
    <x v="0"/>
    <x v="4"/>
    <x v="7"/>
    <x v="0"/>
    <x v="0"/>
    <x v="1"/>
    <x v="0"/>
  </r>
  <r>
    <x v="0"/>
    <x v="0"/>
    <n v="2239080639"/>
    <x v="2"/>
    <n v="6500"/>
    <x v="0"/>
    <x v="0"/>
    <x v="4"/>
    <x v="2"/>
    <x v="0"/>
    <x v="0"/>
    <x v="2"/>
    <x v="0"/>
  </r>
  <r>
    <x v="0"/>
    <x v="0"/>
    <n v="2239080640"/>
    <x v="5"/>
    <n v="-3800"/>
    <x v="0"/>
    <x v="0"/>
    <x v="4"/>
    <x v="5"/>
    <x v="0"/>
    <x v="0"/>
    <x v="5"/>
    <x v="0"/>
  </r>
  <r>
    <x v="0"/>
    <x v="0"/>
    <n v="2239080640"/>
    <x v="6"/>
    <n v="30000"/>
    <x v="0"/>
    <x v="0"/>
    <x v="4"/>
    <x v="6"/>
    <x v="0"/>
    <x v="0"/>
    <x v="5"/>
    <x v="0"/>
  </r>
  <r>
    <x v="0"/>
    <x v="0"/>
    <n v="2239080641"/>
    <x v="4"/>
    <n v="4600"/>
    <x v="0"/>
    <x v="0"/>
    <x v="4"/>
    <x v="4"/>
    <x v="0"/>
    <x v="0"/>
    <x v="4"/>
    <x v="0"/>
  </r>
  <r>
    <x v="0"/>
    <x v="0"/>
    <n v="2239080642"/>
    <x v="2"/>
    <n v="264055"/>
    <x v="0"/>
    <x v="0"/>
    <x v="4"/>
    <x v="2"/>
    <x v="0"/>
    <x v="0"/>
    <x v="2"/>
    <x v="0"/>
  </r>
  <r>
    <x v="0"/>
    <x v="0"/>
    <n v="2239080643"/>
    <x v="1"/>
    <n v="24570"/>
    <x v="0"/>
    <x v="0"/>
    <x v="4"/>
    <x v="1"/>
    <x v="0"/>
    <x v="0"/>
    <x v="1"/>
    <x v="0"/>
  </r>
  <r>
    <x v="0"/>
    <x v="0"/>
    <n v="2239080644"/>
    <x v="7"/>
    <n v="1500"/>
    <x v="0"/>
    <x v="0"/>
    <x v="4"/>
    <x v="7"/>
    <x v="0"/>
    <x v="0"/>
    <x v="1"/>
    <x v="0"/>
  </r>
  <r>
    <x v="0"/>
    <x v="0"/>
    <n v="2239080645"/>
    <x v="7"/>
    <n v="1500"/>
    <x v="0"/>
    <x v="0"/>
    <x v="4"/>
    <x v="7"/>
    <x v="0"/>
    <x v="0"/>
    <x v="1"/>
    <x v="0"/>
  </r>
  <r>
    <x v="0"/>
    <x v="0"/>
    <n v="2239080647"/>
    <x v="3"/>
    <n v="81675"/>
    <x v="0"/>
    <x v="0"/>
    <x v="4"/>
    <x v="3"/>
    <x v="0"/>
    <x v="0"/>
    <x v="3"/>
    <x v="0"/>
  </r>
  <r>
    <x v="0"/>
    <x v="0"/>
    <n v="2239080648"/>
    <x v="2"/>
    <n v="7500"/>
    <x v="0"/>
    <x v="0"/>
    <x v="4"/>
    <x v="2"/>
    <x v="0"/>
    <x v="0"/>
    <x v="2"/>
    <x v="0"/>
  </r>
  <r>
    <x v="0"/>
    <x v="0"/>
    <n v="2239080649"/>
    <x v="7"/>
    <n v="1500"/>
    <x v="0"/>
    <x v="0"/>
    <x v="4"/>
    <x v="7"/>
    <x v="0"/>
    <x v="0"/>
    <x v="1"/>
    <x v="0"/>
  </r>
  <r>
    <x v="0"/>
    <x v="0"/>
    <n v="2239080650"/>
    <x v="5"/>
    <n v="-4400"/>
    <x v="0"/>
    <x v="0"/>
    <x v="4"/>
    <x v="5"/>
    <x v="0"/>
    <x v="0"/>
    <x v="5"/>
    <x v="0"/>
  </r>
  <r>
    <x v="0"/>
    <x v="0"/>
    <n v="2239080650"/>
    <x v="4"/>
    <n v="10000"/>
    <x v="0"/>
    <x v="0"/>
    <x v="4"/>
    <x v="4"/>
    <x v="0"/>
    <x v="0"/>
    <x v="4"/>
    <x v="0"/>
  </r>
  <r>
    <x v="0"/>
    <x v="0"/>
    <n v="2239080651"/>
    <x v="5"/>
    <n v="-7000"/>
    <x v="0"/>
    <x v="0"/>
    <x v="4"/>
    <x v="5"/>
    <x v="0"/>
    <x v="0"/>
    <x v="5"/>
    <x v="0"/>
  </r>
  <r>
    <x v="0"/>
    <x v="0"/>
    <n v="2239080651"/>
    <x v="6"/>
    <n v="10000"/>
    <x v="0"/>
    <x v="0"/>
    <x v="4"/>
    <x v="6"/>
    <x v="0"/>
    <x v="0"/>
    <x v="5"/>
    <x v="0"/>
  </r>
  <r>
    <x v="0"/>
    <x v="0"/>
    <n v="2239080652"/>
    <x v="5"/>
    <n v="-4400"/>
    <x v="0"/>
    <x v="0"/>
    <x v="4"/>
    <x v="5"/>
    <x v="0"/>
    <x v="0"/>
    <x v="5"/>
    <x v="0"/>
  </r>
  <r>
    <x v="0"/>
    <x v="0"/>
    <n v="2239080652"/>
    <x v="4"/>
    <n v="10000"/>
    <x v="0"/>
    <x v="0"/>
    <x v="4"/>
    <x v="4"/>
    <x v="0"/>
    <x v="0"/>
    <x v="4"/>
    <x v="0"/>
  </r>
  <r>
    <x v="0"/>
    <x v="0"/>
    <n v="2239080653"/>
    <x v="2"/>
    <n v="9245"/>
    <x v="0"/>
    <x v="0"/>
    <x v="4"/>
    <x v="2"/>
    <x v="0"/>
    <x v="0"/>
    <x v="2"/>
    <x v="0"/>
  </r>
  <r>
    <x v="0"/>
    <x v="0"/>
    <n v="2239080654"/>
    <x v="3"/>
    <n v="12320"/>
    <x v="0"/>
    <x v="0"/>
    <x v="4"/>
    <x v="3"/>
    <x v="0"/>
    <x v="0"/>
    <x v="3"/>
    <x v="0"/>
  </r>
  <r>
    <x v="0"/>
    <x v="0"/>
    <n v="2239080655"/>
    <x v="7"/>
    <n v="1500"/>
    <x v="0"/>
    <x v="0"/>
    <x v="4"/>
    <x v="7"/>
    <x v="0"/>
    <x v="0"/>
    <x v="1"/>
    <x v="0"/>
  </r>
  <r>
    <x v="0"/>
    <x v="0"/>
    <n v="2239080656"/>
    <x v="2"/>
    <n v="28050"/>
    <x v="0"/>
    <x v="0"/>
    <x v="4"/>
    <x v="2"/>
    <x v="0"/>
    <x v="0"/>
    <x v="2"/>
    <x v="0"/>
  </r>
  <r>
    <x v="0"/>
    <x v="0"/>
    <n v="2239080657"/>
    <x v="7"/>
    <n v="1500"/>
    <x v="0"/>
    <x v="0"/>
    <x v="4"/>
    <x v="7"/>
    <x v="0"/>
    <x v="0"/>
    <x v="1"/>
    <x v="0"/>
  </r>
  <r>
    <x v="0"/>
    <x v="0"/>
    <n v="2239080658"/>
    <x v="2"/>
    <n v="24145"/>
    <x v="0"/>
    <x v="0"/>
    <x v="4"/>
    <x v="2"/>
    <x v="0"/>
    <x v="0"/>
    <x v="2"/>
    <x v="0"/>
  </r>
  <r>
    <x v="0"/>
    <x v="0"/>
    <n v="2239080659"/>
    <x v="2"/>
    <n v="45815"/>
    <x v="0"/>
    <x v="0"/>
    <x v="4"/>
    <x v="2"/>
    <x v="0"/>
    <x v="0"/>
    <x v="2"/>
    <x v="0"/>
  </r>
  <r>
    <x v="0"/>
    <x v="0"/>
    <n v="2239080661"/>
    <x v="2"/>
    <n v="46090"/>
    <x v="0"/>
    <x v="0"/>
    <x v="4"/>
    <x v="2"/>
    <x v="0"/>
    <x v="0"/>
    <x v="2"/>
    <x v="0"/>
  </r>
  <r>
    <x v="0"/>
    <x v="0"/>
    <n v="2239080662"/>
    <x v="5"/>
    <n v="-3500"/>
    <x v="0"/>
    <x v="0"/>
    <x v="4"/>
    <x v="5"/>
    <x v="0"/>
    <x v="0"/>
    <x v="5"/>
    <x v="0"/>
  </r>
  <r>
    <x v="0"/>
    <x v="0"/>
    <n v="2239080662"/>
    <x v="6"/>
    <n v="10000"/>
    <x v="0"/>
    <x v="0"/>
    <x v="4"/>
    <x v="6"/>
    <x v="0"/>
    <x v="0"/>
    <x v="5"/>
    <x v="0"/>
  </r>
  <r>
    <x v="0"/>
    <x v="0"/>
    <n v="2239080663"/>
    <x v="2"/>
    <n v="16500"/>
    <x v="0"/>
    <x v="0"/>
    <x v="4"/>
    <x v="2"/>
    <x v="0"/>
    <x v="0"/>
    <x v="2"/>
    <x v="0"/>
  </r>
  <r>
    <x v="0"/>
    <x v="0"/>
    <n v="2239080664"/>
    <x v="2"/>
    <n v="3738"/>
    <x v="0"/>
    <x v="0"/>
    <x v="4"/>
    <x v="2"/>
    <x v="0"/>
    <x v="0"/>
    <x v="2"/>
    <x v="0"/>
  </r>
  <r>
    <x v="0"/>
    <x v="0"/>
    <n v="2239080665"/>
    <x v="2"/>
    <n v="30745"/>
    <x v="0"/>
    <x v="0"/>
    <x v="4"/>
    <x v="2"/>
    <x v="0"/>
    <x v="0"/>
    <x v="2"/>
    <x v="0"/>
  </r>
  <r>
    <x v="0"/>
    <x v="0"/>
    <n v="2239080666"/>
    <x v="5"/>
    <n v="-100"/>
    <x v="0"/>
    <x v="0"/>
    <x v="4"/>
    <x v="5"/>
    <x v="0"/>
    <x v="0"/>
    <x v="5"/>
    <x v="0"/>
  </r>
  <r>
    <x v="0"/>
    <x v="0"/>
    <n v="2239080666"/>
    <x v="6"/>
    <n v="2000"/>
    <x v="0"/>
    <x v="0"/>
    <x v="4"/>
    <x v="6"/>
    <x v="0"/>
    <x v="0"/>
    <x v="5"/>
    <x v="0"/>
  </r>
  <r>
    <x v="0"/>
    <x v="0"/>
    <n v="2239080666"/>
    <x v="7"/>
    <n v="1900"/>
    <x v="0"/>
    <x v="0"/>
    <x v="4"/>
    <x v="7"/>
    <x v="0"/>
    <x v="0"/>
    <x v="1"/>
    <x v="0"/>
  </r>
  <r>
    <x v="0"/>
    <x v="0"/>
    <n v="2239080667"/>
    <x v="2"/>
    <n v="16720"/>
    <x v="0"/>
    <x v="0"/>
    <x v="4"/>
    <x v="2"/>
    <x v="0"/>
    <x v="0"/>
    <x v="2"/>
    <x v="0"/>
  </r>
  <r>
    <x v="0"/>
    <x v="0"/>
    <n v="2239080668"/>
    <x v="2"/>
    <n v="30195"/>
    <x v="0"/>
    <x v="0"/>
    <x v="4"/>
    <x v="2"/>
    <x v="0"/>
    <x v="0"/>
    <x v="2"/>
    <x v="0"/>
  </r>
  <r>
    <x v="0"/>
    <x v="0"/>
    <n v="2239080669"/>
    <x v="7"/>
    <n v="1500"/>
    <x v="0"/>
    <x v="0"/>
    <x v="4"/>
    <x v="7"/>
    <x v="0"/>
    <x v="0"/>
    <x v="1"/>
    <x v="0"/>
  </r>
  <r>
    <x v="0"/>
    <x v="0"/>
    <n v="2239080670"/>
    <x v="5"/>
    <n v="-1050"/>
    <x v="0"/>
    <x v="0"/>
    <x v="4"/>
    <x v="5"/>
    <x v="0"/>
    <x v="0"/>
    <x v="5"/>
    <x v="0"/>
  </r>
  <r>
    <x v="0"/>
    <x v="0"/>
    <n v="2239080670"/>
    <x v="6"/>
    <n v="30000"/>
    <x v="0"/>
    <x v="0"/>
    <x v="4"/>
    <x v="6"/>
    <x v="0"/>
    <x v="0"/>
    <x v="5"/>
    <x v="0"/>
  </r>
  <r>
    <x v="0"/>
    <x v="0"/>
    <n v="2239080671"/>
    <x v="5"/>
    <n v="-6850"/>
    <x v="0"/>
    <x v="0"/>
    <x v="4"/>
    <x v="5"/>
    <x v="0"/>
    <x v="0"/>
    <x v="5"/>
    <x v="0"/>
  </r>
  <r>
    <x v="0"/>
    <x v="0"/>
    <n v="2239080671"/>
    <x v="6"/>
    <n v="45000"/>
    <x v="0"/>
    <x v="0"/>
    <x v="4"/>
    <x v="6"/>
    <x v="0"/>
    <x v="0"/>
    <x v="5"/>
    <x v="0"/>
  </r>
  <r>
    <x v="0"/>
    <x v="0"/>
    <n v="2239080673"/>
    <x v="2"/>
    <n v="46090"/>
    <x v="0"/>
    <x v="0"/>
    <x v="4"/>
    <x v="2"/>
    <x v="0"/>
    <x v="0"/>
    <x v="2"/>
    <x v="0"/>
  </r>
  <r>
    <x v="0"/>
    <x v="0"/>
    <n v="2239080674"/>
    <x v="5"/>
    <n v="-250"/>
    <x v="0"/>
    <x v="0"/>
    <x v="4"/>
    <x v="5"/>
    <x v="0"/>
    <x v="0"/>
    <x v="5"/>
    <x v="0"/>
  </r>
  <r>
    <x v="0"/>
    <x v="0"/>
    <n v="2239080674"/>
    <x v="6"/>
    <n v="2000"/>
    <x v="0"/>
    <x v="0"/>
    <x v="4"/>
    <x v="6"/>
    <x v="0"/>
    <x v="0"/>
    <x v="5"/>
    <x v="0"/>
  </r>
  <r>
    <x v="0"/>
    <x v="0"/>
    <n v="2239080675"/>
    <x v="2"/>
    <n v="5000"/>
    <x v="0"/>
    <x v="0"/>
    <x v="4"/>
    <x v="2"/>
    <x v="0"/>
    <x v="0"/>
    <x v="2"/>
    <x v="0"/>
  </r>
  <r>
    <x v="0"/>
    <x v="0"/>
    <n v="2239080676"/>
    <x v="3"/>
    <n v="41140"/>
    <x v="0"/>
    <x v="0"/>
    <x v="4"/>
    <x v="3"/>
    <x v="0"/>
    <x v="0"/>
    <x v="3"/>
    <x v="0"/>
  </r>
  <r>
    <x v="0"/>
    <x v="0"/>
    <n v="2239080677"/>
    <x v="2"/>
    <n v="1750"/>
    <x v="0"/>
    <x v="0"/>
    <x v="4"/>
    <x v="2"/>
    <x v="0"/>
    <x v="0"/>
    <x v="2"/>
    <x v="0"/>
  </r>
  <r>
    <x v="0"/>
    <x v="0"/>
    <n v="2239080678"/>
    <x v="2"/>
    <n v="35000"/>
    <x v="0"/>
    <x v="0"/>
    <x v="4"/>
    <x v="2"/>
    <x v="0"/>
    <x v="0"/>
    <x v="2"/>
    <x v="0"/>
  </r>
  <r>
    <x v="0"/>
    <x v="0"/>
    <n v="2239080679"/>
    <x v="3"/>
    <n v="4313"/>
    <x v="0"/>
    <x v="0"/>
    <x v="4"/>
    <x v="3"/>
    <x v="0"/>
    <x v="0"/>
    <x v="3"/>
    <x v="0"/>
  </r>
  <r>
    <x v="0"/>
    <x v="0"/>
    <n v="2239080680"/>
    <x v="2"/>
    <n v="24365"/>
    <x v="0"/>
    <x v="0"/>
    <x v="4"/>
    <x v="2"/>
    <x v="0"/>
    <x v="0"/>
    <x v="2"/>
    <x v="0"/>
  </r>
  <r>
    <x v="0"/>
    <x v="0"/>
    <n v="2239080681"/>
    <x v="2"/>
    <n v="4750"/>
    <x v="0"/>
    <x v="0"/>
    <x v="4"/>
    <x v="2"/>
    <x v="0"/>
    <x v="0"/>
    <x v="2"/>
    <x v="0"/>
  </r>
  <r>
    <x v="0"/>
    <x v="0"/>
    <n v="2239080682"/>
    <x v="2"/>
    <n v="11000"/>
    <x v="0"/>
    <x v="0"/>
    <x v="4"/>
    <x v="2"/>
    <x v="0"/>
    <x v="0"/>
    <x v="2"/>
    <x v="0"/>
  </r>
  <r>
    <x v="0"/>
    <x v="0"/>
    <n v="2239080683"/>
    <x v="5"/>
    <n v="-1950"/>
    <x v="0"/>
    <x v="0"/>
    <x v="4"/>
    <x v="5"/>
    <x v="0"/>
    <x v="0"/>
    <x v="5"/>
    <x v="0"/>
  </r>
  <r>
    <x v="0"/>
    <x v="0"/>
    <n v="2239080683"/>
    <x v="6"/>
    <n v="30000"/>
    <x v="0"/>
    <x v="0"/>
    <x v="4"/>
    <x v="6"/>
    <x v="0"/>
    <x v="0"/>
    <x v="5"/>
    <x v="0"/>
  </r>
  <r>
    <x v="0"/>
    <x v="0"/>
    <n v="2239080684"/>
    <x v="2"/>
    <n v="11770"/>
    <x v="0"/>
    <x v="0"/>
    <x v="4"/>
    <x v="2"/>
    <x v="0"/>
    <x v="0"/>
    <x v="2"/>
    <x v="0"/>
  </r>
  <r>
    <x v="0"/>
    <x v="0"/>
    <n v="2239080685"/>
    <x v="5"/>
    <n v="-5100"/>
    <x v="0"/>
    <x v="0"/>
    <x v="4"/>
    <x v="5"/>
    <x v="0"/>
    <x v="0"/>
    <x v="5"/>
    <x v="0"/>
  </r>
  <r>
    <x v="0"/>
    <x v="0"/>
    <n v="2239080685"/>
    <x v="6"/>
    <n v="25000"/>
    <x v="0"/>
    <x v="0"/>
    <x v="4"/>
    <x v="6"/>
    <x v="0"/>
    <x v="0"/>
    <x v="5"/>
    <x v="0"/>
  </r>
  <r>
    <x v="0"/>
    <x v="0"/>
    <n v="2239080687"/>
    <x v="2"/>
    <n v="13420"/>
    <x v="0"/>
    <x v="0"/>
    <x v="4"/>
    <x v="2"/>
    <x v="0"/>
    <x v="0"/>
    <x v="2"/>
    <x v="0"/>
  </r>
  <r>
    <x v="0"/>
    <x v="0"/>
    <n v="2239080687"/>
    <x v="7"/>
    <n v="12200"/>
    <x v="0"/>
    <x v="0"/>
    <x v="4"/>
    <x v="7"/>
    <x v="0"/>
    <x v="0"/>
    <x v="1"/>
    <x v="0"/>
  </r>
  <r>
    <x v="0"/>
    <x v="0"/>
    <n v="2239080688"/>
    <x v="7"/>
    <n v="7500"/>
    <x v="0"/>
    <x v="0"/>
    <x v="4"/>
    <x v="7"/>
    <x v="0"/>
    <x v="0"/>
    <x v="1"/>
    <x v="0"/>
  </r>
  <r>
    <x v="0"/>
    <x v="0"/>
    <n v="2239080689"/>
    <x v="3"/>
    <n v="20790"/>
    <x v="0"/>
    <x v="0"/>
    <x v="4"/>
    <x v="3"/>
    <x v="0"/>
    <x v="0"/>
    <x v="3"/>
    <x v="0"/>
  </r>
  <r>
    <x v="0"/>
    <x v="0"/>
    <n v="2239080691"/>
    <x v="7"/>
    <n v="1500"/>
    <x v="0"/>
    <x v="0"/>
    <x v="4"/>
    <x v="7"/>
    <x v="0"/>
    <x v="0"/>
    <x v="1"/>
    <x v="0"/>
  </r>
  <r>
    <x v="0"/>
    <x v="0"/>
    <n v="2239080692"/>
    <x v="5"/>
    <n v="-500"/>
    <x v="0"/>
    <x v="0"/>
    <x v="4"/>
    <x v="5"/>
    <x v="0"/>
    <x v="0"/>
    <x v="5"/>
    <x v="0"/>
  </r>
  <r>
    <x v="0"/>
    <x v="0"/>
    <n v="2239080692"/>
    <x v="6"/>
    <n v="10000"/>
    <x v="0"/>
    <x v="0"/>
    <x v="4"/>
    <x v="6"/>
    <x v="0"/>
    <x v="0"/>
    <x v="5"/>
    <x v="0"/>
  </r>
  <r>
    <x v="0"/>
    <x v="0"/>
    <n v="2239080693"/>
    <x v="5"/>
    <n v="-7750"/>
    <x v="0"/>
    <x v="0"/>
    <x v="4"/>
    <x v="5"/>
    <x v="0"/>
    <x v="0"/>
    <x v="5"/>
    <x v="0"/>
  </r>
  <r>
    <x v="0"/>
    <x v="0"/>
    <n v="2239080693"/>
    <x v="6"/>
    <n v="10000"/>
    <x v="0"/>
    <x v="0"/>
    <x v="4"/>
    <x v="6"/>
    <x v="0"/>
    <x v="0"/>
    <x v="5"/>
    <x v="0"/>
  </r>
  <r>
    <x v="0"/>
    <x v="0"/>
    <n v="2239080694"/>
    <x v="2"/>
    <n v="45100"/>
    <x v="0"/>
    <x v="0"/>
    <x v="4"/>
    <x v="2"/>
    <x v="0"/>
    <x v="0"/>
    <x v="2"/>
    <x v="0"/>
  </r>
  <r>
    <x v="0"/>
    <x v="0"/>
    <n v="2239080695"/>
    <x v="2"/>
    <n v="24090"/>
    <x v="0"/>
    <x v="0"/>
    <x v="4"/>
    <x v="2"/>
    <x v="0"/>
    <x v="0"/>
    <x v="2"/>
    <x v="0"/>
  </r>
  <r>
    <x v="0"/>
    <x v="0"/>
    <n v="2239080696"/>
    <x v="1"/>
    <n v="4290"/>
    <x v="0"/>
    <x v="0"/>
    <x v="4"/>
    <x v="1"/>
    <x v="0"/>
    <x v="0"/>
    <x v="1"/>
    <x v="0"/>
  </r>
  <r>
    <x v="0"/>
    <x v="0"/>
    <n v="2239080697"/>
    <x v="5"/>
    <n v="-3100"/>
    <x v="0"/>
    <x v="0"/>
    <x v="4"/>
    <x v="5"/>
    <x v="0"/>
    <x v="0"/>
    <x v="5"/>
    <x v="0"/>
  </r>
  <r>
    <x v="0"/>
    <x v="0"/>
    <n v="2239080697"/>
    <x v="6"/>
    <n v="25000"/>
    <x v="0"/>
    <x v="0"/>
    <x v="4"/>
    <x v="6"/>
    <x v="0"/>
    <x v="0"/>
    <x v="5"/>
    <x v="0"/>
  </r>
  <r>
    <x v="0"/>
    <x v="0"/>
    <n v="2239080698"/>
    <x v="2"/>
    <n v="3000"/>
    <x v="0"/>
    <x v="0"/>
    <x v="4"/>
    <x v="2"/>
    <x v="0"/>
    <x v="0"/>
    <x v="2"/>
    <x v="0"/>
  </r>
  <r>
    <x v="0"/>
    <x v="0"/>
    <n v="2239080699"/>
    <x v="5"/>
    <n v="-5400"/>
    <x v="0"/>
    <x v="0"/>
    <x v="4"/>
    <x v="5"/>
    <x v="0"/>
    <x v="0"/>
    <x v="5"/>
    <x v="0"/>
  </r>
  <r>
    <x v="0"/>
    <x v="0"/>
    <n v="2239080699"/>
    <x v="4"/>
    <n v="10000"/>
    <x v="0"/>
    <x v="0"/>
    <x v="4"/>
    <x v="4"/>
    <x v="0"/>
    <x v="0"/>
    <x v="4"/>
    <x v="0"/>
  </r>
  <r>
    <x v="0"/>
    <x v="0"/>
    <n v="2239080700"/>
    <x v="6"/>
    <n v="5200"/>
    <x v="0"/>
    <x v="0"/>
    <x v="4"/>
    <x v="6"/>
    <x v="0"/>
    <x v="0"/>
    <x v="5"/>
    <x v="0"/>
  </r>
  <r>
    <x v="0"/>
    <x v="0"/>
    <n v="2239080700"/>
    <x v="7"/>
    <n v="1300"/>
    <x v="0"/>
    <x v="0"/>
    <x v="4"/>
    <x v="7"/>
    <x v="0"/>
    <x v="0"/>
    <x v="1"/>
    <x v="0"/>
  </r>
  <r>
    <x v="0"/>
    <x v="0"/>
    <n v="2239080701"/>
    <x v="2"/>
    <n v="6900"/>
    <x v="0"/>
    <x v="0"/>
    <x v="4"/>
    <x v="2"/>
    <x v="0"/>
    <x v="0"/>
    <x v="2"/>
    <x v="0"/>
  </r>
  <r>
    <x v="0"/>
    <x v="0"/>
    <n v="2239080702"/>
    <x v="2"/>
    <n v="8250"/>
    <x v="0"/>
    <x v="0"/>
    <x v="4"/>
    <x v="2"/>
    <x v="0"/>
    <x v="0"/>
    <x v="2"/>
    <x v="0"/>
  </r>
  <r>
    <x v="0"/>
    <x v="0"/>
    <n v="2239080703"/>
    <x v="3"/>
    <n v="114180"/>
    <x v="0"/>
    <x v="0"/>
    <x v="4"/>
    <x v="3"/>
    <x v="0"/>
    <x v="0"/>
    <x v="3"/>
    <x v="0"/>
  </r>
  <r>
    <x v="0"/>
    <x v="0"/>
    <n v="2239080704"/>
    <x v="2"/>
    <n v="14300"/>
    <x v="0"/>
    <x v="0"/>
    <x v="4"/>
    <x v="2"/>
    <x v="0"/>
    <x v="0"/>
    <x v="2"/>
    <x v="0"/>
  </r>
  <r>
    <x v="0"/>
    <x v="0"/>
    <n v="2239080705"/>
    <x v="2"/>
    <n v="6500"/>
    <x v="0"/>
    <x v="0"/>
    <x v="4"/>
    <x v="2"/>
    <x v="0"/>
    <x v="0"/>
    <x v="2"/>
    <x v="0"/>
  </r>
  <r>
    <x v="0"/>
    <x v="0"/>
    <n v="2239080706"/>
    <x v="2"/>
    <n v="56540"/>
    <x v="0"/>
    <x v="0"/>
    <x v="4"/>
    <x v="2"/>
    <x v="0"/>
    <x v="0"/>
    <x v="2"/>
    <x v="0"/>
  </r>
  <r>
    <x v="0"/>
    <x v="0"/>
    <n v="2239080707"/>
    <x v="1"/>
    <n v="900"/>
    <x v="0"/>
    <x v="0"/>
    <x v="4"/>
    <x v="1"/>
    <x v="0"/>
    <x v="0"/>
    <x v="1"/>
    <x v="0"/>
  </r>
  <r>
    <x v="0"/>
    <x v="0"/>
    <n v="2239080709"/>
    <x v="2"/>
    <n v="14850"/>
    <x v="0"/>
    <x v="0"/>
    <x v="4"/>
    <x v="2"/>
    <x v="0"/>
    <x v="0"/>
    <x v="2"/>
    <x v="0"/>
  </r>
  <r>
    <x v="0"/>
    <x v="0"/>
    <n v="2239080710"/>
    <x v="3"/>
    <n v="26730"/>
    <x v="0"/>
    <x v="0"/>
    <x v="4"/>
    <x v="3"/>
    <x v="0"/>
    <x v="0"/>
    <x v="3"/>
    <x v="0"/>
  </r>
  <r>
    <x v="0"/>
    <x v="0"/>
    <n v="2239080711"/>
    <x v="2"/>
    <n v="7500"/>
    <x v="0"/>
    <x v="0"/>
    <x v="4"/>
    <x v="2"/>
    <x v="0"/>
    <x v="0"/>
    <x v="2"/>
    <x v="0"/>
  </r>
  <r>
    <x v="0"/>
    <x v="0"/>
    <n v="2239080713"/>
    <x v="5"/>
    <n v="-3500"/>
    <x v="0"/>
    <x v="0"/>
    <x v="4"/>
    <x v="5"/>
    <x v="0"/>
    <x v="0"/>
    <x v="5"/>
    <x v="0"/>
  </r>
  <r>
    <x v="0"/>
    <x v="0"/>
    <n v="2239080713"/>
    <x v="6"/>
    <n v="10000"/>
    <x v="0"/>
    <x v="0"/>
    <x v="4"/>
    <x v="6"/>
    <x v="0"/>
    <x v="0"/>
    <x v="5"/>
    <x v="0"/>
  </r>
  <r>
    <x v="0"/>
    <x v="0"/>
    <n v="2239080716"/>
    <x v="3"/>
    <n v="32450"/>
    <x v="0"/>
    <x v="0"/>
    <x v="4"/>
    <x v="3"/>
    <x v="0"/>
    <x v="0"/>
    <x v="3"/>
    <x v="0"/>
  </r>
  <r>
    <x v="0"/>
    <x v="0"/>
    <n v="2239080717"/>
    <x v="3"/>
    <n v="13475"/>
    <x v="0"/>
    <x v="0"/>
    <x v="4"/>
    <x v="3"/>
    <x v="0"/>
    <x v="0"/>
    <x v="3"/>
    <x v="0"/>
  </r>
  <r>
    <x v="0"/>
    <x v="0"/>
    <n v="2239080718"/>
    <x v="5"/>
    <n v="-4000"/>
    <x v="0"/>
    <x v="0"/>
    <x v="4"/>
    <x v="5"/>
    <x v="0"/>
    <x v="0"/>
    <x v="5"/>
    <x v="0"/>
  </r>
  <r>
    <x v="0"/>
    <x v="0"/>
    <n v="2239080718"/>
    <x v="6"/>
    <n v="10000"/>
    <x v="0"/>
    <x v="0"/>
    <x v="4"/>
    <x v="6"/>
    <x v="0"/>
    <x v="0"/>
    <x v="5"/>
    <x v="0"/>
  </r>
  <r>
    <x v="0"/>
    <x v="0"/>
    <n v="2239080719"/>
    <x v="2"/>
    <n v="15500"/>
    <x v="0"/>
    <x v="0"/>
    <x v="4"/>
    <x v="2"/>
    <x v="0"/>
    <x v="0"/>
    <x v="2"/>
    <x v="0"/>
  </r>
  <r>
    <x v="0"/>
    <x v="0"/>
    <n v="2239080720"/>
    <x v="2"/>
    <n v="8250"/>
    <x v="0"/>
    <x v="0"/>
    <x v="4"/>
    <x v="2"/>
    <x v="0"/>
    <x v="0"/>
    <x v="2"/>
    <x v="0"/>
  </r>
  <r>
    <x v="0"/>
    <x v="0"/>
    <n v="2239080721"/>
    <x v="3"/>
    <n v="63580"/>
    <x v="0"/>
    <x v="0"/>
    <x v="4"/>
    <x v="3"/>
    <x v="0"/>
    <x v="0"/>
    <x v="3"/>
    <x v="0"/>
  </r>
  <r>
    <x v="0"/>
    <x v="0"/>
    <n v="2239080722"/>
    <x v="5"/>
    <n v="-400"/>
    <x v="0"/>
    <x v="0"/>
    <x v="4"/>
    <x v="5"/>
    <x v="0"/>
    <x v="0"/>
    <x v="5"/>
    <x v="0"/>
  </r>
  <r>
    <x v="0"/>
    <x v="0"/>
    <n v="2239080722"/>
    <x v="4"/>
    <n v="5000"/>
    <x v="0"/>
    <x v="0"/>
    <x v="4"/>
    <x v="4"/>
    <x v="0"/>
    <x v="0"/>
    <x v="4"/>
    <x v="0"/>
  </r>
  <r>
    <x v="0"/>
    <x v="0"/>
    <n v="2239080723"/>
    <x v="2"/>
    <n v="30140"/>
    <x v="0"/>
    <x v="0"/>
    <x v="4"/>
    <x v="2"/>
    <x v="0"/>
    <x v="0"/>
    <x v="2"/>
    <x v="0"/>
  </r>
  <r>
    <x v="0"/>
    <x v="0"/>
    <n v="2239080725"/>
    <x v="7"/>
    <n v="7500"/>
    <x v="0"/>
    <x v="0"/>
    <x v="4"/>
    <x v="7"/>
    <x v="0"/>
    <x v="0"/>
    <x v="1"/>
    <x v="0"/>
  </r>
  <r>
    <x v="0"/>
    <x v="0"/>
    <n v="2239080727"/>
    <x v="5"/>
    <n v="-450"/>
    <x v="0"/>
    <x v="0"/>
    <x v="4"/>
    <x v="5"/>
    <x v="0"/>
    <x v="0"/>
    <x v="5"/>
    <x v="0"/>
  </r>
  <r>
    <x v="0"/>
    <x v="0"/>
    <n v="2239080727"/>
    <x v="6"/>
    <n v="5000"/>
    <x v="0"/>
    <x v="0"/>
    <x v="4"/>
    <x v="6"/>
    <x v="0"/>
    <x v="0"/>
    <x v="5"/>
    <x v="0"/>
  </r>
  <r>
    <x v="0"/>
    <x v="0"/>
    <n v="2239080727"/>
    <x v="7"/>
    <n v="1950"/>
    <x v="0"/>
    <x v="0"/>
    <x v="4"/>
    <x v="7"/>
    <x v="0"/>
    <x v="0"/>
    <x v="1"/>
    <x v="0"/>
  </r>
  <r>
    <x v="0"/>
    <x v="0"/>
    <n v="2239080728"/>
    <x v="5"/>
    <n v="-500"/>
    <x v="0"/>
    <x v="0"/>
    <x v="4"/>
    <x v="5"/>
    <x v="0"/>
    <x v="0"/>
    <x v="5"/>
    <x v="0"/>
  </r>
  <r>
    <x v="0"/>
    <x v="0"/>
    <n v="2239080728"/>
    <x v="6"/>
    <n v="7000"/>
    <x v="0"/>
    <x v="0"/>
    <x v="4"/>
    <x v="6"/>
    <x v="0"/>
    <x v="0"/>
    <x v="5"/>
    <x v="0"/>
  </r>
  <r>
    <x v="0"/>
    <x v="0"/>
    <n v="2239080730"/>
    <x v="5"/>
    <n v="-14700"/>
    <x v="0"/>
    <x v="0"/>
    <x v="4"/>
    <x v="5"/>
    <x v="0"/>
    <x v="0"/>
    <x v="5"/>
    <x v="0"/>
  </r>
  <r>
    <x v="0"/>
    <x v="0"/>
    <n v="2239080730"/>
    <x v="4"/>
    <n v="20000"/>
    <x v="0"/>
    <x v="0"/>
    <x v="4"/>
    <x v="4"/>
    <x v="0"/>
    <x v="0"/>
    <x v="4"/>
    <x v="0"/>
  </r>
  <r>
    <x v="0"/>
    <x v="0"/>
    <n v="2239080731"/>
    <x v="2"/>
    <n v="67375"/>
    <x v="0"/>
    <x v="0"/>
    <x v="4"/>
    <x v="2"/>
    <x v="0"/>
    <x v="0"/>
    <x v="2"/>
    <x v="0"/>
  </r>
  <r>
    <x v="0"/>
    <x v="0"/>
    <n v="2239080732"/>
    <x v="2"/>
    <n v="6600"/>
    <x v="0"/>
    <x v="0"/>
    <x v="4"/>
    <x v="2"/>
    <x v="0"/>
    <x v="0"/>
    <x v="2"/>
    <x v="0"/>
  </r>
  <r>
    <x v="0"/>
    <x v="0"/>
    <n v="2239080733"/>
    <x v="4"/>
    <n v="5700"/>
    <x v="0"/>
    <x v="0"/>
    <x v="4"/>
    <x v="4"/>
    <x v="0"/>
    <x v="0"/>
    <x v="4"/>
    <x v="0"/>
  </r>
  <r>
    <x v="0"/>
    <x v="0"/>
    <n v="2239080734"/>
    <x v="3"/>
    <n v="7480"/>
    <x v="0"/>
    <x v="0"/>
    <x v="4"/>
    <x v="3"/>
    <x v="0"/>
    <x v="0"/>
    <x v="3"/>
    <x v="0"/>
  </r>
  <r>
    <x v="0"/>
    <x v="0"/>
    <n v="2239080735"/>
    <x v="2"/>
    <n v="50490"/>
    <x v="0"/>
    <x v="0"/>
    <x v="4"/>
    <x v="2"/>
    <x v="0"/>
    <x v="0"/>
    <x v="2"/>
    <x v="0"/>
  </r>
  <r>
    <x v="0"/>
    <x v="0"/>
    <n v="2239080737"/>
    <x v="5"/>
    <n v="-1000"/>
    <x v="0"/>
    <x v="0"/>
    <x v="4"/>
    <x v="5"/>
    <x v="0"/>
    <x v="0"/>
    <x v="5"/>
    <x v="0"/>
  </r>
  <r>
    <x v="0"/>
    <x v="0"/>
    <n v="2239080737"/>
    <x v="6"/>
    <n v="7000"/>
    <x v="0"/>
    <x v="0"/>
    <x v="4"/>
    <x v="6"/>
    <x v="0"/>
    <x v="0"/>
    <x v="5"/>
    <x v="0"/>
  </r>
  <r>
    <x v="0"/>
    <x v="0"/>
    <n v="2239080738"/>
    <x v="4"/>
    <n v="10600"/>
    <x v="0"/>
    <x v="0"/>
    <x v="4"/>
    <x v="4"/>
    <x v="0"/>
    <x v="0"/>
    <x v="4"/>
    <x v="0"/>
  </r>
  <r>
    <x v="0"/>
    <x v="0"/>
    <n v="2239080740"/>
    <x v="5"/>
    <n v="-2000"/>
    <x v="0"/>
    <x v="0"/>
    <x v="4"/>
    <x v="5"/>
    <x v="0"/>
    <x v="0"/>
    <x v="5"/>
    <x v="0"/>
  </r>
  <r>
    <x v="0"/>
    <x v="0"/>
    <n v="2239080740"/>
    <x v="6"/>
    <n v="5000"/>
    <x v="0"/>
    <x v="0"/>
    <x v="4"/>
    <x v="6"/>
    <x v="0"/>
    <x v="0"/>
    <x v="5"/>
    <x v="0"/>
  </r>
  <r>
    <x v="0"/>
    <x v="0"/>
    <n v="2239080741"/>
    <x v="6"/>
    <n v="3000"/>
    <x v="0"/>
    <x v="0"/>
    <x v="4"/>
    <x v="6"/>
    <x v="0"/>
    <x v="0"/>
    <x v="5"/>
    <x v="0"/>
  </r>
  <r>
    <x v="0"/>
    <x v="0"/>
    <n v="2239080742"/>
    <x v="5"/>
    <n v="-12650"/>
    <x v="0"/>
    <x v="0"/>
    <x v="4"/>
    <x v="5"/>
    <x v="0"/>
    <x v="0"/>
    <x v="5"/>
    <x v="0"/>
  </r>
  <r>
    <x v="0"/>
    <x v="0"/>
    <n v="2239080742"/>
    <x v="6"/>
    <n v="20000"/>
    <x v="0"/>
    <x v="0"/>
    <x v="4"/>
    <x v="6"/>
    <x v="0"/>
    <x v="0"/>
    <x v="5"/>
    <x v="0"/>
  </r>
  <r>
    <x v="0"/>
    <x v="0"/>
    <n v="2239080743"/>
    <x v="3"/>
    <n v="15000"/>
    <x v="0"/>
    <x v="0"/>
    <x v="4"/>
    <x v="3"/>
    <x v="0"/>
    <x v="0"/>
    <x v="3"/>
    <x v="0"/>
  </r>
  <r>
    <x v="0"/>
    <x v="0"/>
    <n v="2239080744"/>
    <x v="2"/>
    <n v="12650"/>
    <x v="0"/>
    <x v="0"/>
    <x v="4"/>
    <x v="2"/>
    <x v="0"/>
    <x v="0"/>
    <x v="2"/>
    <x v="0"/>
  </r>
  <r>
    <x v="0"/>
    <x v="0"/>
    <n v="2239080745"/>
    <x v="7"/>
    <n v="1500"/>
    <x v="0"/>
    <x v="0"/>
    <x v="4"/>
    <x v="7"/>
    <x v="0"/>
    <x v="0"/>
    <x v="1"/>
    <x v="0"/>
  </r>
  <r>
    <x v="0"/>
    <x v="0"/>
    <n v="2239080746"/>
    <x v="3"/>
    <n v="34500"/>
    <x v="0"/>
    <x v="0"/>
    <x v="4"/>
    <x v="3"/>
    <x v="0"/>
    <x v="0"/>
    <x v="3"/>
    <x v="0"/>
  </r>
  <r>
    <x v="0"/>
    <x v="0"/>
    <n v="2239080747"/>
    <x v="5"/>
    <n v="-4400"/>
    <x v="0"/>
    <x v="0"/>
    <x v="4"/>
    <x v="5"/>
    <x v="0"/>
    <x v="0"/>
    <x v="5"/>
    <x v="0"/>
  </r>
  <r>
    <x v="0"/>
    <x v="0"/>
    <n v="2239080747"/>
    <x v="4"/>
    <n v="10000"/>
    <x v="0"/>
    <x v="0"/>
    <x v="4"/>
    <x v="4"/>
    <x v="0"/>
    <x v="0"/>
    <x v="4"/>
    <x v="0"/>
  </r>
  <r>
    <x v="0"/>
    <x v="0"/>
    <n v="2239080748"/>
    <x v="2"/>
    <n v="6930"/>
    <x v="0"/>
    <x v="0"/>
    <x v="4"/>
    <x v="2"/>
    <x v="0"/>
    <x v="0"/>
    <x v="2"/>
    <x v="0"/>
  </r>
  <r>
    <x v="0"/>
    <x v="0"/>
    <n v="2239080749"/>
    <x v="5"/>
    <n v="-7000"/>
    <x v="0"/>
    <x v="0"/>
    <x v="4"/>
    <x v="5"/>
    <x v="0"/>
    <x v="0"/>
    <x v="5"/>
    <x v="0"/>
  </r>
  <r>
    <x v="0"/>
    <x v="0"/>
    <n v="2239080749"/>
    <x v="6"/>
    <n v="10500"/>
    <x v="0"/>
    <x v="0"/>
    <x v="4"/>
    <x v="6"/>
    <x v="0"/>
    <x v="0"/>
    <x v="5"/>
    <x v="0"/>
  </r>
  <r>
    <x v="0"/>
    <x v="0"/>
    <n v="2239080750"/>
    <x v="3"/>
    <n v="16500"/>
    <x v="0"/>
    <x v="0"/>
    <x v="4"/>
    <x v="3"/>
    <x v="0"/>
    <x v="0"/>
    <x v="3"/>
    <x v="0"/>
  </r>
  <r>
    <x v="0"/>
    <x v="0"/>
    <n v="2239080751"/>
    <x v="2"/>
    <n v="32890"/>
    <x v="0"/>
    <x v="0"/>
    <x v="4"/>
    <x v="2"/>
    <x v="0"/>
    <x v="0"/>
    <x v="2"/>
    <x v="0"/>
  </r>
  <r>
    <x v="0"/>
    <x v="0"/>
    <n v="2239080752"/>
    <x v="3"/>
    <n v="14300"/>
    <x v="0"/>
    <x v="0"/>
    <x v="4"/>
    <x v="3"/>
    <x v="0"/>
    <x v="0"/>
    <x v="3"/>
    <x v="0"/>
  </r>
  <r>
    <x v="0"/>
    <x v="0"/>
    <n v="2239080753"/>
    <x v="2"/>
    <n v="8250"/>
    <x v="0"/>
    <x v="0"/>
    <x v="4"/>
    <x v="2"/>
    <x v="0"/>
    <x v="0"/>
    <x v="2"/>
    <x v="0"/>
  </r>
  <r>
    <x v="0"/>
    <x v="0"/>
    <n v="2239080754"/>
    <x v="5"/>
    <n v="-4700"/>
    <x v="0"/>
    <x v="0"/>
    <x v="4"/>
    <x v="5"/>
    <x v="0"/>
    <x v="0"/>
    <x v="5"/>
    <x v="0"/>
  </r>
  <r>
    <x v="0"/>
    <x v="0"/>
    <n v="2239080754"/>
    <x v="4"/>
    <n v="10000"/>
    <x v="0"/>
    <x v="0"/>
    <x v="4"/>
    <x v="4"/>
    <x v="0"/>
    <x v="0"/>
    <x v="4"/>
    <x v="0"/>
  </r>
  <r>
    <x v="0"/>
    <x v="0"/>
    <n v="2239080755"/>
    <x v="3"/>
    <n v="18700"/>
    <x v="0"/>
    <x v="0"/>
    <x v="4"/>
    <x v="3"/>
    <x v="0"/>
    <x v="0"/>
    <x v="3"/>
    <x v="0"/>
  </r>
  <r>
    <x v="0"/>
    <x v="0"/>
    <n v="2239080756"/>
    <x v="3"/>
    <n v="23100"/>
    <x v="0"/>
    <x v="0"/>
    <x v="4"/>
    <x v="3"/>
    <x v="0"/>
    <x v="0"/>
    <x v="3"/>
    <x v="0"/>
  </r>
  <r>
    <x v="0"/>
    <x v="0"/>
    <n v="2239080757"/>
    <x v="5"/>
    <n v="-4800"/>
    <x v="0"/>
    <x v="0"/>
    <x v="4"/>
    <x v="5"/>
    <x v="0"/>
    <x v="0"/>
    <x v="5"/>
    <x v="0"/>
  </r>
  <r>
    <x v="0"/>
    <x v="0"/>
    <n v="2239080757"/>
    <x v="6"/>
    <n v="10000"/>
    <x v="0"/>
    <x v="0"/>
    <x v="4"/>
    <x v="6"/>
    <x v="0"/>
    <x v="0"/>
    <x v="5"/>
    <x v="0"/>
  </r>
  <r>
    <x v="0"/>
    <x v="0"/>
    <n v="2239080757"/>
    <x v="7"/>
    <n v="1300"/>
    <x v="0"/>
    <x v="0"/>
    <x v="4"/>
    <x v="7"/>
    <x v="0"/>
    <x v="0"/>
    <x v="1"/>
    <x v="0"/>
  </r>
  <r>
    <x v="0"/>
    <x v="0"/>
    <n v="2239080758"/>
    <x v="5"/>
    <n v="-650"/>
    <x v="0"/>
    <x v="0"/>
    <x v="4"/>
    <x v="5"/>
    <x v="0"/>
    <x v="0"/>
    <x v="5"/>
    <x v="0"/>
  </r>
  <r>
    <x v="0"/>
    <x v="0"/>
    <n v="2239080758"/>
    <x v="6"/>
    <n v="8000"/>
    <x v="0"/>
    <x v="0"/>
    <x v="4"/>
    <x v="6"/>
    <x v="0"/>
    <x v="0"/>
    <x v="5"/>
    <x v="0"/>
  </r>
  <r>
    <x v="0"/>
    <x v="0"/>
    <n v="2239080759"/>
    <x v="2"/>
    <n v="5000"/>
    <x v="0"/>
    <x v="0"/>
    <x v="4"/>
    <x v="2"/>
    <x v="0"/>
    <x v="0"/>
    <x v="2"/>
    <x v="0"/>
  </r>
  <r>
    <x v="0"/>
    <x v="0"/>
    <n v="2239080760"/>
    <x v="7"/>
    <n v="3000"/>
    <x v="0"/>
    <x v="0"/>
    <x v="4"/>
    <x v="7"/>
    <x v="0"/>
    <x v="0"/>
    <x v="1"/>
    <x v="0"/>
  </r>
  <r>
    <x v="0"/>
    <x v="0"/>
    <n v="2239080761"/>
    <x v="2"/>
    <n v="22990"/>
    <x v="0"/>
    <x v="0"/>
    <x v="4"/>
    <x v="2"/>
    <x v="0"/>
    <x v="0"/>
    <x v="2"/>
    <x v="0"/>
  </r>
  <r>
    <x v="0"/>
    <x v="0"/>
    <n v="2239080763"/>
    <x v="2"/>
    <n v="9900"/>
    <x v="0"/>
    <x v="0"/>
    <x v="4"/>
    <x v="2"/>
    <x v="0"/>
    <x v="0"/>
    <x v="2"/>
    <x v="0"/>
  </r>
  <r>
    <x v="0"/>
    <x v="0"/>
    <n v="2239080764"/>
    <x v="5"/>
    <n v="-4700"/>
    <x v="0"/>
    <x v="0"/>
    <x v="4"/>
    <x v="5"/>
    <x v="0"/>
    <x v="0"/>
    <x v="5"/>
    <x v="0"/>
  </r>
  <r>
    <x v="0"/>
    <x v="0"/>
    <n v="2239080764"/>
    <x v="4"/>
    <n v="10000"/>
    <x v="0"/>
    <x v="0"/>
    <x v="4"/>
    <x v="4"/>
    <x v="0"/>
    <x v="0"/>
    <x v="4"/>
    <x v="0"/>
  </r>
  <r>
    <x v="0"/>
    <x v="0"/>
    <n v="2239080765"/>
    <x v="5"/>
    <n v="-12000"/>
    <x v="0"/>
    <x v="0"/>
    <x v="4"/>
    <x v="5"/>
    <x v="0"/>
    <x v="0"/>
    <x v="5"/>
    <x v="0"/>
  </r>
  <r>
    <x v="0"/>
    <x v="0"/>
    <n v="2239080765"/>
    <x v="6"/>
    <n v="20000"/>
    <x v="0"/>
    <x v="0"/>
    <x v="4"/>
    <x v="6"/>
    <x v="0"/>
    <x v="0"/>
    <x v="5"/>
    <x v="0"/>
  </r>
  <r>
    <x v="0"/>
    <x v="0"/>
    <n v="2239080766"/>
    <x v="2"/>
    <n v="47300"/>
    <x v="0"/>
    <x v="0"/>
    <x v="4"/>
    <x v="2"/>
    <x v="0"/>
    <x v="0"/>
    <x v="2"/>
    <x v="0"/>
  </r>
  <r>
    <x v="0"/>
    <x v="0"/>
    <n v="2239080767"/>
    <x v="2"/>
    <n v="6600"/>
    <x v="0"/>
    <x v="0"/>
    <x v="4"/>
    <x v="2"/>
    <x v="0"/>
    <x v="0"/>
    <x v="2"/>
    <x v="0"/>
  </r>
  <r>
    <x v="0"/>
    <x v="0"/>
    <n v="2239080768"/>
    <x v="2"/>
    <n v="77880"/>
    <x v="0"/>
    <x v="0"/>
    <x v="4"/>
    <x v="2"/>
    <x v="0"/>
    <x v="0"/>
    <x v="2"/>
    <x v="0"/>
  </r>
  <r>
    <x v="0"/>
    <x v="0"/>
    <n v="2239080769"/>
    <x v="4"/>
    <n v="5700"/>
    <x v="0"/>
    <x v="0"/>
    <x v="4"/>
    <x v="4"/>
    <x v="0"/>
    <x v="0"/>
    <x v="4"/>
    <x v="0"/>
  </r>
  <r>
    <x v="0"/>
    <x v="0"/>
    <n v="2239080770"/>
    <x v="2"/>
    <n v="3000"/>
    <x v="0"/>
    <x v="0"/>
    <x v="4"/>
    <x v="2"/>
    <x v="0"/>
    <x v="0"/>
    <x v="2"/>
    <x v="0"/>
  </r>
  <r>
    <x v="0"/>
    <x v="0"/>
    <n v="2239080771"/>
    <x v="2"/>
    <n v="26000"/>
    <x v="0"/>
    <x v="0"/>
    <x v="4"/>
    <x v="2"/>
    <x v="0"/>
    <x v="0"/>
    <x v="2"/>
    <x v="0"/>
  </r>
  <r>
    <x v="0"/>
    <x v="0"/>
    <n v="2239080772"/>
    <x v="2"/>
    <n v="24090"/>
    <x v="0"/>
    <x v="0"/>
    <x v="4"/>
    <x v="2"/>
    <x v="0"/>
    <x v="0"/>
    <x v="2"/>
    <x v="0"/>
  </r>
  <r>
    <x v="0"/>
    <x v="0"/>
    <n v="2239080773"/>
    <x v="2"/>
    <n v="34870"/>
    <x v="0"/>
    <x v="0"/>
    <x v="4"/>
    <x v="2"/>
    <x v="0"/>
    <x v="0"/>
    <x v="2"/>
    <x v="0"/>
  </r>
  <r>
    <x v="0"/>
    <x v="0"/>
    <n v="2239080774"/>
    <x v="5"/>
    <n v="-3000"/>
    <x v="0"/>
    <x v="0"/>
    <x v="4"/>
    <x v="5"/>
    <x v="0"/>
    <x v="0"/>
    <x v="5"/>
    <x v="0"/>
  </r>
  <r>
    <x v="0"/>
    <x v="0"/>
    <n v="2239080774"/>
    <x v="6"/>
    <n v="10000"/>
    <x v="0"/>
    <x v="0"/>
    <x v="4"/>
    <x v="6"/>
    <x v="0"/>
    <x v="0"/>
    <x v="5"/>
    <x v="0"/>
  </r>
  <r>
    <x v="0"/>
    <x v="0"/>
    <n v="2239080775"/>
    <x v="5"/>
    <n v="-500"/>
    <x v="0"/>
    <x v="0"/>
    <x v="4"/>
    <x v="5"/>
    <x v="0"/>
    <x v="0"/>
    <x v="5"/>
    <x v="0"/>
  </r>
  <r>
    <x v="0"/>
    <x v="0"/>
    <n v="2239080775"/>
    <x v="6"/>
    <n v="5000"/>
    <x v="0"/>
    <x v="0"/>
    <x v="4"/>
    <x v="6"/>
    <x v="0"/>
    <x v="0"/>
    <x v="5"/>
    <x v="0"/>
  </r>
  <r>
    <x v="0"/>
    <x v="0"/>
    <n v="2239080777"/>
    <x v="2"/>
    <n v="10500"/>
    <x v="0"/>
    <x v="0"/>
    <x v="4"/>
    <x v="2"/>
    <x v="0"/>
    <x v="0"/>
    <x v="2"/>
    <x v="0"/>
  </r>
  <r>
    <x v="0"/>
    <x v="0"/>
    <n v="2239080778"/>
    <x v="2"/>
    <n v="6600"/>
    <x v="0"/>
    <x v="0"/>
    <x v="4"/>
    <x v="2"/>
    <x v="0"/>
    <x v="0"/>
    <x v="2"/>
    <x v="0"/>
  </r>
  <r>
    <x v="0"/>
    <x v="0"/>
    <n v="2239080779"/>
    <x v="6"/>
    <n v="4000"/>
    <x v="0"/>
    <x v="0"/>
    <x v="4"/>
    <x v="6"/>
    <x v="0"/>
    <x v="0"/>
    <x v="5"/>
    <x v="0"/>
  </r>
  <r>
    <x v="0"/>
    <x v="0"/>
    <n v="2239080780"/>
    <x v="2"/>
    <n v="10500"/>
    <x v="0"/>
    <x v="0"/>
    <x v="4"/>
    <x v="2"/>
    <x v="0"/>
    <x v="0"/>
    <x v="2"/>
    <x v="0"/>
  </r>
  <r>
    <x v="0"/>
    <x v="0"/>
    <n v="2239080781"/>
    <x v="1"/>
    <n v="1800"/>
    <x v="0"/>
    <x v="0"/>
    <x v="4"/>
    <x v="1"/>
    <x v="0"/>
    <x v="0"/>
    <x v="1"/>
    <x v="0"/>
  </r>
  <r>
    <x v="0"/>
    <x v="0"/>
    <n v="2239080782"/>
    <x v="5"/>
    <n v="-1060"/>
    <x v="0"/>
    <x v="0"/>
    <x v="4"/>
    <x v="5"/>
    <x v="0"/>
    <x v="0"/>
    <x v="5"/>
    <x v="0"/>
  </r>
  <r>
    <x v="0"/>
    <x v="0"/>
    <n v="2239080782"/>
    <x v="6"/>
    <n v="10000"/>
    <x v="0"/>
    <x v="0"/>
    <x v="4"/>
    <x v="6"/>
    <x v="0"/>
    <x v="0"/>
    <x v="5"/>
    <x v="0"/>
  </r>
  <r>
    <x v="0"/>
    <x v="0"/>
    <n v="2239080782"/>
    <x v="7"/>
    <n v="4360"/>
    <x v="0"/>
    <x v="0"/>
    <x v="4"/>
    <x v="7"/>
    <x v="0"/>
    <x v="0"/>
    <x v="1"/>
    <x v="0"/>
  </r>
  <r>
    <x v="0"/>
    <x v="0"/>
    <n v="2239080783"/>
    <x v="5"/>
    <n v="-2500"/>
    <x v="0"/>
    <x v="0"/>
    <x v="4"/>
    <x v="5"/>
    <x v="0"/>
    <x v="0"/>
    <x v="5"/>
    <x v="0"/>
  </r>
  <r>
    <x v="0"/>
    <x v="0"/>
    <n v="2239080783"/>
    <x v="6"/>
    <n v="10000"/>
    <x v="0"/>
    <x v="0"/>
    <x v="4"/>
    <x v="6"/>
    <x v="0"/>
    <x v="0"/>
    <x v="5"/>
    <x v="0"/>
  </r>
  <r>
    <x v="0"/>
    <x v="0"/>
    <n v="2239080784"/>
    <x v="2"/>
    <n v="7500"/>
    <x v="0"/>
    <x v="0"/>
    <x v="4"/>
    <x v="2"/>
    <x v="0"/>
    <x v="0"/>
    <x v="2"/>
    <x v="0"/>
  </r>
  <r>
    <x v="0"/>
    <x v="0"/>
    <n v="2239080785"/>
    <x v="5"/>
    <n v="-3340"/>
    <x v="0"/>
    <x v="0"/>
    <x v="4"/>
    <x v="5"/>
    <x v="0"/>
    <x v="0"/>
    <x v="5"/>
    <x v="0"/>
  </r>
  <r>
    <x v="0"/>
    <x v="0"/>
    <n v="2239080785"/>
    <x v="6"/>
    <n v="20000"/>
    <x v="0"/>
    <x v="0"/>
    <x v="4"/>
    <x v="6"/>
    <x v="0"/>
    <x v="0"/>
    <x v="5"/>
    <x v="0"/>
  </r>
  <r>
    <x v="0"/>
    <x v="0"/>
    <n v="2239080785"/>
    <x v="7"/>
    <n v="1950"/>
    <x v="0"/>
    <x v="0"/>
    <x v="4"/>
    <x v="7"/>
    <x v="0"/>
    <x v="0"/>
    <x v="1"/>
    <x v="0"/>
  </r>
  <r>
    <x v="0"/>
    <x v="0"/>
    <n v="2239080786"/>
    <x v="5"/>
    <n v="-2000"/>
    <x v="0"/>
    <x v="0"/>
    <x v="4"/>
    <x v="5"/>
    <x v="0"/>
    <x v="0"/>
    <x v="5"/>
    <x v="0"/>
  </r>
  <r>
    <x v="0"/>
    <x v="0"/>
    <n v="2239080786"/>
    <x v="6"/>
    <n v="5000"/>
    <x v="0"/>
    <x v="0"/>
    <x v="4"/>
    <x v="6"/>
    <x v="0"/>
    <x v="0"/>
    <x v="5"/>
    <x v="0"/>
  </r>
  <r>
    <x v="0"/>
    <x v="0"/>
    <n v="2239080787"/>
    <x v="5"/>
    <n v="-16500"/>
    <x v="0"/>
    <x v="0"/>
    <x v="4"/>
    <x v="5"/>
    <x v="0"/>
    <x v="0"/>
    <x v="5"/>
    <x v="0"/>
  </r>
  <r>
    <x v="0"/>
    <x v="0"/>
    <n v="2239080787"/>
    <x v="6"/>
    <n v="20000"/>
    <x v="0"/>
    <x v="0"/>
    <x v="4"/>
    <x v="6"/>
    <x v="0"/>
    <x v="0"/>
    <x v="5"/>
    <x v="0"/>
  </r>
  <r>
    <x v="0"/>
    <x v="0"/>
    <n v="2239080787"/>
    <x v="7"/>
    <n v="1500"/>
    <x v="0"/>
    <x v="0"/>
    <x v="4"/>
    <x v="7"/>
    <x v="0"/>
    <x v="0"/>
    <x v="1"/>
    <x v="0"/>
  </r>
  <r>
    <x v="0"/>
    <x v="0"/>
    <n v="2239080788"/>
    <x v="5"/>
    <n v="-1000"/>
    <x v="0"/>
    <x v="0"/>
    <x v="4"/>
    <x v="5"/>
    <x v="0"/>
    <x v="0"/>
    <x v="5"/>
    <x v="0"/>
  </r>
  <r>
    <x v="0"/>
    <x v="0"/>
    <n v="2239080788"/>
    <x v="6"/>
    <n v="7000"/>
    <x v="0"/>
    <x v="0"/>
    <x v="4"/>
    <x v="6"/>
    <x v="0"/>
    <x v="0"/>
    <x v="5"/>
    <x v="0"/>
  </r>
  <r>
    <x v="0"/>
    <x v="0"/>
    <n v="2239080789"/>
    <x v="5"/>
    <n v="-2500"/>
    <x v="0"/>
    <x v="0"/>
    <x v="4"/>
    <x v="5"/>
    <x v="0"/>
    <x v="0"/>
    <x v="5"/>
    <x v="0"/>
  </r>
  <r>
    <x v="0"/>
    <x v="0"/>
    <n v="2239080789"/>
    <x v="6"/>
    <n v="10000"/>
    <x v="0"/>
    <x v="0"/>
    <x v="4"/>
    <x v="6"/>
    <x v="0"/>
    <x v="0"/>
    <x v="5"/>
    <x v="0"/>
  </r>
  <r>
    <x v="0"/>
    <x v="0"/>
    <n v="2239080790"/>
    <x v="2"/>
    <n v="7245"/>
    <x v="0"/>
    <x v="0"/>
    <x v="4"/>
    <x v="2"/>
    <x v="0"/>
    <x v="0"/>
    <x v="2"/>
    <x v="0"/>
  </r>
  <r>
    <x v="0"/>
    <x v="0"/>
    <n v="2239080791"/>
    <x v="2"/>
    <n v="7500"/>
    <x v="0"/>
    <x v="0"/>
    <x v="4"/>
    <x v="2"/>
    <x v="0"/>
    <x v="0"/>
    <x v="2"/>
    <x v="0"/>
  </r>
  <r>
    <x v="0"/>
    <x v="0"/>
    <n v="2239080793"/>
    <x v="2"/>
    <n v="13000"/>
    <x v="0"/>
    <x v="0"/>
    <x v="4"/>
    <x v="2"/>
    <x v="0"/>
    <x v="0"/>
    <x v="2"/>
    <x v="0"/>
  </r>
  <r>
    <x v="0"/>
    <x v="0"/>
    <n v="2239080794"/>
    <x v="2"/>
    <n v="27000"/>
    <x v="0"/>
    <x v="0"/>
    <x v="4"/>
    <x v="2"/>
    <x v="0"/>
    <x v="0"/>
    <x v="2"/>
    <x v="0"/>
  </r>
  <r>
    <x v="0"/>
    <x v="0"/>
    <n v="2239080795"/>
    <x v="5"/>
    <n v="-4300"/>
    <x v="0"/>
    <x v="0"/>
    <x v="4"/>
    <x v="5"/>
    <x v="0"/>
    <x v="0"/>
    <x v="5"/>
    <x v="0"/>
  </r>
  <r>
    <x v="0"/>
    <x v="0"/>
    <n v="2239080795"/>
    <x v="4"/>
    <n v="10000"/>
    <x v="0"/>
    <x v="0"/>
    <x v="4"/>
    <x v="4"/>
    <x v="0"/>
    <x v="0"/>
    <x v="4"/>
    <x v="0"/>
  </r>
  <r>
    <x v="0"/>
    <x v="0"/>
    <n v="2239080797"/>
    <x v="5"/>
    <n v="-200"/>
    <x v="0"/>
    <x v="0"/>
    <x v="4"/>
    <x v="5"/>
    <x v="0"/>
    <x v="0"/>
    <x v="5"/>
    <x v="0"/>
  </r>
  <r>
    <x v="0"/>
    <x v="0"/>
    <n v="2239080797"/>
    <x v="6"/>
    <n v="5000"/>
    <x v="0"/>
    <x v="0"/>
    <x v="4"/>
    <x v="6"/>
    <x v="0"/>
    <x v="0"/>
    <x v="5"/>
    <x v="0"/>
  </r>
  <r>
    <x v="0"/>
    <x v="0"/>
    <n v="2239080799"/>
    <x v="2"/>
    <n v="1500"/>
    <x v="0"/>
    <x v="0"/>
    <x v="4"/>
    <x v="2"/>
    <x v="0"/>
    <x v="0"/>
    <x v="2"/>
    <x v="0"/>
  </r>
  <r>
    <x v="0"/>
    <x v="0"/>
    <n v="2239080799"/>
    <x v="7"/>
    <n v="3000"/>
    <x v="0"/>
    <x v="0"/>
    <x v="4"/>
    <x v="7"/>
    <x v="0"/>
    <x v="0"/>
    <x v="1"/>
    <x v="0"/>
  </r>
  <r>
    <x v="0"/>
    <x v="0"/>
    <n v="2239080800"/>
    <x v="2"/>
    <n v="6500"/>
    <x v="0"/>
    <x v="0"/>
    <x v="4"/>
    <x v="2"/>
    <x v="0"/>
    <x v="0"/>
    <x v="2"/>
    <x v="0"/>
  </r>
  <r>
    <x v="0"/>
    <x v="0"/>
    <n v="2239080801"/>
    <x v="2"/>
    <n v="13090"/>
    <x v="0"/>
    <x v="0"/>
    <x v="4"/>
    <x v="2"/>
    <x v="0"/>
    <x v="0"/>
    <x v="2"/>
    <x v="0"/>
  </r>
  <r>
    <x v="0"/>
    <x v="0"/>
    <n v="2239080802"/>
    <x v="2"/>
    <n v="5250"/>
    <x v="0"/>
    <x v="0"/>
    <x v="4"/>
    <x v="2"/>
    <x v="0"/>
    <x v="0"/>
    <x v="2"/>
    <x v="0"/>
  </r>
  <r>
    <x v="0"/>
    <x v="0"/>
    <n v="2239080803"/>
    <x v="2"/>
    <n v="13300"/>
    <x v="0"/>
    <x v="0"/>
    <x v="4"/>
    <x v="2"/>
    <x v="0"/>
    <x v="0"/>
    <x v="2"/>
    <x v="0"/>
  </r>
  <r>
    <x v="0"/>
    <x v="0"/>
    <n v="2239080805"/>
    <x v="5"/>
    <n v="-4520"/>
    <x v="0"/>
    <x v="0"/>
    <x v="4"/>
    <x v="5"/>
    <x v="0"/>
    <x v="0"/>
    <x v="5"/>
    <x v="0"/>
  </r>
  <r>
    <x v="0"/>
    <x v="0"/>
    <n v="2239080805"/>
    <x v="6"/>
    <n v="20000"/>
    <x v="0"/>
    <x v="0"/>
    <x v="4"/>
    <x v="6"/>
    <x v="0"/>
    <x v="0"/>
    <x v="5"/>
    <x v="0"/>
  </r>
  <r>
    <x v="0"/>
    <x v="0"/>
    <n v="2239080805"/>
    <x v="7"/>
    <n v="9120"/>
    <x v="0"/>
    <x v="0"/>
    <x v="4"/>
    <x v="7"/>
    <x v="0"/>
    <x v="0"/>
    <x v="1"/>
    <x v="0"/>
  </r>
  <r>
    <x v="0"/>
    <x v="0"/>
    <n v="2239080806"/>
    <x v="5"/>
    <n v="-2000"/>
    <x v="0"/>
    <x v="0"/>
    <x v="4"/>
    <x v="5"/>
    <x v="0"/>
    <x v="0"/>
    <x v="5"/>
    <x v="0"/>
  </r>
  <r>
    <x v="0"/>
    <x v="0"/>
    <n v="2239080806"/>
    <x v="6"/>
    <n v="20000"/>
    <x v="0"/>
    <x v="0"/>
    <x v="4"/>
    <x v="6"/>
    <x v="0"/>
    <x v="0"/>
    <x v="5"/>
    <x v="0"/>
  </r>
  <r>
    <x v="0"/>
    <x v="0"/>
    <n v="2239080808"/>
    <x v="7"/>
    <n v="1500"/>
    <x v="0"/>
    <x v="0"/>
    <x v="4"/>
    <x v="7"/>
    <x v="0"/>
    <x v="0"/>
    <x v="1"/>
    <x v="0"/>
  </r>
  <r>
    <x v="0"/>
    <x v="0"/>
    <n v="2239080809"/>
    <x v="2"/>
    <n v="10500"/>
    <x v="0"/>
    <x v="0"/>
    <x v="4"/>
    <x v="2"/>
    <x v="0"/>
    <x v="0"/>
    <x v="2"/>
    <x v="0"/>
  </r>
  <r>
    <x v="0"/>
    <x v="0"/>
    <n v="2239080810"/>
    <x v="5"/>
    <n v="-1450"/>
    <x v="0"/>
    <x v="0"/>
    <x v="4"/>
    <x v="5"/>
    <x v="0"/>
    <x v="0"/>
    <x v="5"/>
    <x v="0"/>
  </r>
  <r>
    <x v="0"/>
    <x v="0"/>
    <n v="2239080810"/>
    <x v="6"/>
    <n v="13000"/>
    <x v="0"/>
    <x v="0"/>
    <x v="4"/>
    <x v="6"/>
    <x v="0"/>
    <x v="0"/>
    <x v="5"/>
    <x v="0"/>
  </r>
  <r>
    <x v="0"/>
    <x v="0"/>
    <n v="2239080811"/>
    <x v="2"/>
    <n v="9900"/>
    <x v="0"/>
    <x v="0"/>
    <x v="4"/>
    <x v="2"/>
    <x v="0"/>
    <x v="0"/>
    <x v="2"/>
    <x v="0"/>
  </r>
  <r>
    <x v="0"/>
    <x v="0"/>
    <n v="2239080812"/>
    <x v="3"/>
    <n v="23100"/>
    <x v="0"/>
    <x v="0"/>
    <x v="4"/>
    <x v="3"/>
    <x v="0"/>
    <x v="0"/>
    <x v="3"/>
    <x v="0"/>
  </r>
  <r>
    <x v="0"/>
    <x v="0"/>
    <n v="2239080813"/>
    <x v="2"/>
    <n v="6500"/>
    <x v="0"/>
    <x v="0"/>
    <x v="4"/>
    <x v="2"/>
    <x v="0"/>
    <x v="0"/>
    <x v="2"/>
    <x v="0"/>
  </r>
  <r>
    <x v="0"/>
    <x v="0"/>
    <n v="2239080814"/>
    <x v="2"/>
    <n v="22500"/>
    <x v="0"/>
    <x v="0"/>
    <x v="4"/>
    <x v="2"/>
    <x v="0"/>
    <x v="0"/>
    <x v="2"/>
    <x v="0"/>
  </r>
  <r>
    <x v="0"/>
    <x v="0"/>
    <n v="2239080815"/>
    <x v="7"/>
    <n v="1500"/>
    <x v="0"/>
    <x v="0"/>
    <x v="4"/>
    <x v="7"/>
    <x v="0"/>
    <x v="0"/>
    <x v="1"/>
    <x v="0"/>
  </r>
  <r>
    <x v="0"/>
    <x v="0"/>
    <n v="2239080816"/>
    <x v="5"/>
    <n v="-11000"/>
    <x v="0"/>
    <x v="0"/>
    <x v="4"/>
    <x v="5"/>
    <x v="0"/>
    <x v="0"/>
    <x v="5"/>
    <x v="0"/>
  </r>
  <r>
    <x v="0"/>
    <x v="0"/>
    <n v="2239080816"/>
    <x v="6"/>
    <n v="20000"/>
    <x v="0"/>
    <x v="0"/>
    <x v="4"/>
    <x v="6"/>
    <x v="0"/>
    <x v="0"/>
    <x v="5"/>
    <x v="0"/>
  </r>
  <r>
    <x v="0"/>
    <x v="0"/>
    <n v="2239080818"/>
    <x v="7"/>
    <n v="1500"/>
    <x v="0"/>
    <x v="0"/>
    <x v="4"/>
    <x v="7"/>
    <x v="0"/>
    <x v="0"/>
    <x v="1"/>
    <x v="0"/>
  </r>
  <r>
    <x v="0"/>
    <x v="0"/>
    <n v="2239080819"/>
    <x v="5"/>
    <n v="-2600"/>
    <x v="0"/>
    <x v="0"/>
    <x v="4"/>
    <x v="5"/>
    <x v="0"/>
    <x v="0"/>
    <x v="5"/>
    <x v="0"/>
  </r>
  <r>
    <x v="0"/>
    <x v="0"/>
    <n v="2239080819"/>
    <x v="6"/>
    <n v="5000"/>
    <x v="0"/>
    <x v="0"/>
    <x v="4"/>
    <x v="6"/>
    <x v="0"/>
    <x v="0"/>
    <x v="5"/>
    <x v="0"/>
  </r>
  <r>
    <x v="0"/>
    <x v="0"/>
    <n v="2239080820"/>
    <x v="2"/>
    <n v="29590"/>
    <x v="0"/>
    <x v="0"/>
    <x v="4"/>
    <x v="2"/>
    <x v="0"/>
    <x v="0"/>
    <x v="2"/>
    <x v="0"/>
  </r>
  <r>
    <x v="0"/>
    <x v="0"/>
    <n v="2239080821"/>
    <x v="2"/>
    <n v="48400"/>
    <x v="0"/>
    <x v="0"/>
    <x v="4"/>
    <x v="2"/>
    <x v="0"/>
    <x v="0"/>
    <x v="2"/>
    <x v="0"/>
  </r>
  <r>
    <x v="0"/>
    <x v="0"/>
    <n v="2239080822"/>
    <x v="2"/>
    <n v="53790"/>
    <x v="0"/>
    <x v="0"/>
    <x v="4"/>
    <x v="2"/>
    <x v="0"/>
    <x v="0"/>
    <x v="2"/>
    <x v="0"/>
  </r>
  <r>
    <x v="0"/>
    <x v="0"/>
    <n v="2239080823"/>
    <x v="3"/>
    <n v="10010"/>
    <x v="0"/>
    <x v="0"/>
    <x v="4"/>
    <x v="3"/>
    <x v="0"/>
    <x v="0"/>
    <x v="3"/>
    <x v="0"/>
  </r>
  <r>
    <x v="0"/>
    <x v="0"/>
    <n v="2239080823"/>
    <x v="7"/>
    <n v="3900"/>
    <x v="0"/>
    <x v="0"/>
    <x v="4"/>
    <x v="7"/>
    <x v="0"/>
    <x v="0"/>
    <x v="1"/>
    <x v="0"/>
  </r>
  <r>
    <x v="0"/>
    <x v="0"/>
    <n v="2239080825"/>
    <x v="6"/>
    <n v="6000"/>
    <x v="0"/>
    <x v="0"/>
    <x v="4"/>
    <x v="6"/>
    <x v="0"/>
    <x v="0"/>
    <x v="5"/>
    <x v="0"/>
  </r>
  <r>
    <x v="0"/>
    <x v="0"/>
    <n v="2239080827"/>
    <x v="1"/>
    <n v="3150"/>
    <x v="0"/>
    <x v="0"/>
    <x v="4"/>
    <x v="1"/>
    <x v="0"/>
    <x v="0"/>
    <x v="1"/>
    <x v="0"/>
  </r>
  <r>
    <x v="0"/>
    <x v="0"/>
    <n v="2239080828"/>
    <x v="5"/>
    <n v="-1200"/>
    <x v="0"/>
    <x v="0"/>
    <x v="4"/>
    <x v="5"/>
    <x v="0"/>
    <x v="0"/>
    <x v="5"/>
    <x v="0"/>
  </r>
  <r>
    <x v="0"/>
    <x v="0"/>
    <n v="2239080828"/>
    <x v="4"/>
    <n v="10000"/>
    <x v="0"/>
    <x v="0"/>
    <x v="4"/>
    <x v="4"/>
    <x v="0"/>
    <x v="0"/>
    <x v="4"/>
    <x v="0"/>
  </r>
  <r>
    <x v="0"/>
    <x v="0"/>
    <n v="2239080829"/>
    <x v="8"/>
    <n v="7000"/>
    <x v="0"/>
    <x v="0"/>
    <x v="4"/>
    <x v="8"/>
    <x v="0"/>
    <x v="0"/>
    <x v="3"/>
    <x v="0"/>
  </r>
  <r>
    <x v="0"/>
    <x v="0"/>
    <n v="2239080830"/>
    <x v="2"/>
    <n v="37730"/>
    <x v="0"/>
    <x v="0"/>
    <x v="4"/>
    <x v="2"/>
    <x v="0"/>
    <x v="0"/>
    <x v="2"/>
    <x v="0"/>
  </r>
  <r>
    <x v="0"/>
    <x v="0"/>
    <n v="2239080831"/>
    <x v="1"/>
    <n v="2250"/>
    <x v="0"/>
    <x v="0"/>
    <x v="4"/>
    <x v="1"/>
    <x v="0"/>
    <x v="0"/>
    <x v="1"/>
    <x v="0"/>
  </r>
  <r>
    <x v="0"/>
    <x v="0"/>
    <n v="2239080833"/>
    <x v="2"/>
    <n v="6600"/>
    <x v="0"/>
    <x v="0"/>
    <x v="4"/>
    <x v="2"/>
    <x v="0"/>
    <x v="0"/>
    <x v="2"/>
    <x v="0"/>
  </r>
  <r>
    <x v="0"/>
    <x v="0"/>
    <n v="2239080835"/>
    <x v="1"/>
    <n v="3750"/>
    <x v="0"/>
    <x v="0"/>
    <x v="4"/>
    <x v="1"/>
    <x v="0"/>
    <x v="0"/>
    <x v="1"/>
    <x v="0"/>
  </r>
  <r>
    <x v="0"/>
    <x v="0"/>
    <n v="2239080836"/>
    <x v="2"/>
    <n v="56540"/>
    <x v="0"/>
    <x v="0"/>
    <x v="4"/>
    <x v="2"/>
    <x v="0"/>
    <x v="0"/>
    <x v="2"/>
    <x v="0"/>
  </r>
  <r>
    <x v="0"/>
    <x v="0"/>
    <n v="2239080837"/>
    <x v="7"/>
    <n v="1500"/>
    <x v="0"/>
    <x v="0"/>
    <x v="4"/>
    <x v="7"/>
    <x v="0"/>
    <x v="0"/>
    <x v="1"/>
    <x v="0"/>
  </r>
  <r>
    <x v="0"/>
    <x v="0"/>
    <n v="2239080838"/>
    <x v="3"/>
    <n v="49610"/>
    <x v="0"/>
    <x v="0"/>
    <x v="4"/>
    <x v="3"/>
    <x v="0"/>
    <x v="0"/>
    <x v="3"/>
    <x v="0"/>
  </r>
  <r>
    <x v="0"/>
    <x v="0"/>
    <n v="2239080839"/>
    <x v="7"/>
    <n v="1500"/>
    <x v="0"/>
    <x v="0"/>
    <x v="4"/>
    <x v="7"/>
    <x v="0"/>
    <x v="0"/>
    <x v="1"/>
    <x v="0"/>
  </r>
  <r>
    <x v="0"/>
    <x v="0"/>
    <n v="2239080840"/>
    <x v="5"/>
    <n v="-5400"/>
    <x v="0"/>
    <x v="0"/>
    <x v="4"/>
    <x v="5"/>
    <x v="0"/>
    <x v="0"/>
    <x v="5"/>
    <x v="0"/>
  </r>
  <r>
    <x v="0"/>
    <x v="0"/>
    <n v="2239080840"/>
    <x v="4"/>
    <n v="10000"/>
    <x v="0"/>
    <x v="0"/>
    <x v="4"/>
    <x v="4"/>
    <x v="0"/>
    <x v="0"/>
    <x v="4"/>
    <x v="0"/>
  </r>
  <r>
    <x v="0"/>
    <x v="0"/>
    <n v="2239080841"/>
    <x v="2"/>
    <n v="6000"/>
    <x v="0"/>
    <x v="0"/>
    <x v="4"/>
    <x v="2"/>
    <x v="0"/>
    <x v="0"/>
    <x v="2"/>
    <x v="0"/>
  </r>
  <r>
    <x v="0"/>
    <x v="0"/>
    <n v="2239080842"/>
    <x v="5"/>
    <n v="-19750"/>
    <x v="0"/>
    <x v="0"/>
    <x v="4"/>
    <x v="5"/>
    <x v="0"/>
    <x v="0"/>
    <x v="5"/>
    <x v="0"/>
  </r>
  <r>
    <x v="0"/>
    <x v="0"/>
    <n v="2239080842"/>
    <x v="6"/>
    <n v="25000"/>
    <x v="0"/>
    <x v="0"/>
    <x v="4"/>
    <x v="6"/>
    <x v="0"/>
    <x v="0"/>
    <x v="5"/>
    <x v="0"/>
  </r>
  <r>
    <x v="0"/>
    <x v="0"/>
    <n v="2239080843"/>
    <x v="2"/>
    <n v="6500"/>
    <x v="0"/>
    <x v="0"/>
    <x v="4"/>
    <x v="2"/>
    <x v="0"/>
    <x v="0"/>
    <x v="2"/>
    <x v="0"/>
  </r>
  <r>
    <x v="0"/>
    <x v="0"/>
    <n v="2239080844"/>
    <x v="2"/>
    <n v="14000"/>
    <x v="0"/>
    <x v="0"/>
    <x v="4"/>
    <x v="2"/>
    <x v="0"/>
    <x v="0"/>
    <x v="2"/>
    <x v="0"/>
  </r>
  <r>
    <x v="0"/>
    <x v="0"/>
    <n v="2239080845"/>
    <x v="2"/>
    <n v="7500"/>
    <x v="0"/>
    <x v="0"/>
    <x v="4"/>
    <x v="2"/>
    <x v="0"/>
    <x v="0"/>
    <x v="2"/>
    <x v="0"/>
  </r>
  <r>
    <x v="0"/>
    <x v="0"/>
    <n v="2239080846"/>
    <x v="2"/>
    <n v="10000"/>
    <x v="0"/>
    <x v="0"/>
    <x v="4"/>
    <x v="2"/>
    <x v="0"/>
    <x v="0"/>
    <x v="2"/>
    <x v="0"/>
  </r>
  <r>
    <x v="0"/>
    <x v="0"/>
    <n v="2239080847"/>
    <x v="5"/>
    <n v="-1500"/>
    <x v="0"/>
    <x v="0"/>
    <x v="4"/>
    <x v="5"/>
    <x v="0"/>
    <x v="0"/>
    <x v="5"/>
    <x v="0"/>
  </r>
  <r>
    <x v="0"/>
    <x v="0"/>
    <n v="2239080847"/>
    <x v="6"/>
    <n v="30000"/>
    <x v="0"/>
    <x v="0"/>
    <x v="4"/>
    <x v="6"/>
    <x v="0"/>
    <x v="0"/>
    <x v="5"/>
    <x v="0"/>
  </r>
  <r>
    <x v="0"/>
    <x v="0"/>
    <n v="2239080848"/>
    <x v="6"/>
    <n v="13200"/>
    <x v="0"/>
    <x v="0"/>
    <x v="4"/>
    <x v="6"/>
    <x v="0"/>
    <x v="0"/>
    <x v="5"/>
    <x v="0"/>
  </r>
  <r>
    <x v="0"/>
    <x v="0"/>
    <n v="2239080848"/>
    <x v="7"/>
    <n v="8800"/>
    <x v="0"/>
    <x v="0"/>
    <x v="4"/>
    <x v="7"/>
    <x v="0"/>
    <x v="0"/>
    <x v="1"/>
    <x v="0"/>
  </r>
  <r>
    <x v="0"/>
    <x v="0"/>
    <n v="2239080849"/>
    <x v="7"/>
    <n v="7500"/>
    <x v="0"/>
    <x v="0"/>
    <x v="4"/>
    <x v="7"/>
    <x v="0"/>
    <x v="0"/>
    <x v="1"/>
    <x v="0"/>
  </r>
  <r>
    <x v="0"/>
    <x v="0"/>
    <n v="2239080850"/>
    <x v="2"/>
    <n v="6500"/>
    <x v="0"/>
    <x v="0"/>
    <x v="4"/>
    <x v="2"/>
    <x v="0"/>
    <x v="0"/>
    <x v="2"/>
    <x v="0"/>
  </r>
  <r>
    <x v="0"/>
    <x v="0"/>
    <n v="2239080851"/>
    <x v="2"/>
    <n v="8250"/>
    <x v="0"/>
    <x v="0"/>
    <x v="4"/>
    <x v="2"/>
    <x v="0"/>
    <x v="0"/>
    <x v="2"/>
    <x v="0"/>
  </r>
  <r>
    <x v="0"/>
    <x v="0"/>
    <n v="2239080852"/>
    <x v="7"/>
    <n v="1500"/>
    <x v="0"/>
    <x v="0"/>
    <x v="4"/>
    <x v="7"/>
    <x v="0"/>
    <x v="0"/>
    <x v="1"/>
    <x v="0"/>
  </r>
  <r>
    <x v="0"/>
    <x v="0"/>
    <n v="2239080853"/>
    <x v="7"/>
    <n v="1500"/>
    <x v="0"/>
    <x v="0"/>
    <x v="4"/>
    <x v="7"/>
    <x v="0"/>
    <x v="0"/>
    <x v="1"/>
    <x v="0"/>
  </r>
  <r>
    <x v="0"/>
    <x v="0"/>
    <n v="2239080855"/>
    <x v="7"/>
    <n v="1500"/>
    <x v="0"/>
    <x v="0"/>
    <x v="4"/>
    <x v="7"/>
    <x v="0"/>
    <x v="0"/>
    <x v="1"/>
    <x v="0"/>
  </r>
  <r>
    <x v="0"/>
    <x v="0"/>
    <n v="2239080856"/>
    <x v="2"/>
    <n v="12000"/>
    <x v="0"/>
    <x v="0"/>
    <x v="4"/>
    <x v="2"/>
    <x v="0"/>
    <x v="0"/>
    <x v="2"/>
    <x v="0"/>
  </r>
  <r>
    <x v="0"/>
    <x v="0"/>
    <n v="2239080857"/>
    <x v="2"/>
    <n v="6930"/>
    <x v="0"/>
    <x v="0"/>
    <x v="4"/>
    <x v="2"/>
    <x v="0"/>
    <x v="0"/>
    <x v="2"/>
    <x v="0"/>
  </r>
  <r>
    <x v="0"/>
    <x v="0"/>
    <n v="2239080858"/>
    <x v="7"/>
    <n v="1500"/>
    <x v="0"/>
    <x v="0"/>
    <x v="4"/>
    <x v="7"/>
    <x v="0"/>
    <x v="0"/>
    <x v="1"/>
    <x v="0"/>
  </r>
  <r>
    <x v="0"/>
    <x v="0"/>
    <n v="2239080859"/>
    <x v="2"/>
    <n v="8000"/>
    <x v="0"/>
    <x v="0"/>
    <x v="4"/>
    <x v="2"/>
    <x v="0"/>
    <x v="0"/>
    <x v="2"/>
    <x v="0"/>
  </r>
  <r>
    <x v="0"/>
    <x v="0"/>
    <n v="2239080860"/>
    <x v="7"/>
    <n v="3000"/>
    <x v="0"/>
    <x v="0"/>
    <x v="4"/>
    <x v="7"/>
    <x v="0"/>
    <x v="0"/>
    <x v="1"/>
    <x v="0"/>
  </r>
  <r>
    <x v="0"/>
    <x v="0"/>
    <n v="2239080861"/>
    <x v="5"/>
    <n v="-650"/>
    <x v="0"/>
    <x v="0"/>
    <x v="4"/>
    <x v="5"/>
    <x v="0"/>
    <x v="0"/>
    <x v="5"/>
    <x v="0"/>
  </r>
  <r>
    <x v="0"/>
    <x v="0"/>
    <n v="2239080861"/>
    <x v="6"/>
    <n v="8000"/>
    <x v="0"/>
    <x v="0"/>
    <x v="4"/>
    <x v="6"/>
    <x v="0"/>
    <x v="0"/>
    <x v="5"/>
    <x v="0"/>
  </r>
  <r>
    <x v="0"/>
    <x v="0"/>
    <n v="2239080862"/>
    <x v="7"/>
    <n v="1500"/>
    <x v="0"/>
    <x v="0"/>
    <x v="4"/>
    <x v="7"/>
    <x v="0"/>
    <x v="0"/>
    <x v="1"/>
    <x v="0"/>
  </r>
  <r>
    <x v="0"/>
    <x v="0"/>
    <n v="2239080863"/>
    <x v="7"/>
    <n v="1500"/>
    <x v="0"/>
    <x v="0"/>
    <x v="4"/>
    <x v="7"/>
    <x v="0"/>
    <x v="0"/>
    <x v="1"/>
    <x v="0"/>
  </r>
  <r>
    <x v="0"/>
    <x v="0"/>
    <n v="2239080864"/>
    <x v="2"/>
    <n v="3000"/>
    <x v="0"/>
    <x v="0"/>
    <x v="4"/>
    <x v="2"/>
    <x v="0"/>
    <x v="0"/>
    <x v="2"/>
    <x v="0"/>
  </r>
  <r>
    <x v="0"/>
    <x v="0"/>
    <n v="2239080865"/>
    <x v="3"/>
    <n v="14000"/>
    <x v="0"/>
    <x v="0"/>
    <x v="4"/>
    <x v="3"/>
    <x v="0"/>
    <x v="0"/>
    <x v="3"/>
    <x v="0"/>
  </r>
  <r>
    <x v="0"/>
    <x v="0"/>
    <n v="2239080866"/>
    <x v="2"/>
    <n v="13750"/>
    <x v="0"/>
    <x v="0"/>
    <x v="4"/>
    <x v="2"/>
    <x v="0"/>
    <x v="0"/>
    <x v="2"/>
    <x v="0"/>
  </r>
  <r>
    <x v="0"/>
    <x v="0"/>
    <n v="2239080867"/>
    <x v="2"/>
    <n v="76340"/>
    <x v="0"/>
    <x v="0"/>
    <x v="4"/>
    <x v="2"/>
    <x v="0"/>
    <x v="0"/>
    <x v="2"/>
    <x v="0"/>
  </r>
  <r>
    <x v="0"/>
    <x v="0"/>
    <n v="2239080868"/>
    <x v="5"/>
    <n v="-5000"/>
    <x v="0"/>
    <x v="0"/>
    <x v="4"/>
    <x v="5"/>
    <x v="0"/>
    <x v="0"/>
    <x v="5"/>
    <x v="0"/>
  </r>
  <r>
    <x v="0"/>
    <x v="0"/>
    <n v="2239080868"/>
    <x v="6"/>
    <n v="20000"/>
    <x v="0"/>
    <x v="0"/>
    <x v="4"/>
    <x v="6"/>
    <x v="0"/>
    <x v="0"/>
    <x v="5"/>
    <x v="0"/>
  </r>
  <r>
    <x v="0"/>
    <x v="0"/>
    <n v="2239080869"/>
    <x v="6"/>
    <n v="6000"/>
    <x v="0"/>
    <x v="0"/>
    <x v="4"/>
    <x v="6"/>
    <x v="0"/>
    <x v="0"/>
    <x v="5"/>
    <x v="0"/>
  </r>
  <r>
    <x v="0"/>
    <x v="0"/>
    <n v="2239080870"/>
    <x v="2"/>
    <n v="7500"/>
    <x v="0"/>
    <x v="0"/>
    <x v="4"/>
    <x v="2"/>
    <x v="0"/>
    <x v="0"/>
    <x v="2"/>
    <x v="0"/>
  </r>
  <r>
    <x v="0"/>
    <x v="0"/>
    <n v="2239080871"/>
    <x v="5"/>
    <n v="-4300"/>
    <x v="0"/>
    <x v="0"/>
    <x v="4"/>
    <x v="5"/>
    <x v="0"/>
    <x v="0"/>
    <x v="5"/>
    <x v="0"/>
  </r>
  <r>
    <x v="0"/>
    <x v="0"/>
    <n v="2239080871"/>
    <x v="4"/>
    <n v="10000"/>
    <x v="0"/>
    <x v="0"/>
    <x v="4"/>
    <x v="4"/>
    <x v="0"/>
    <x v="0"/>
    <x v="4"/>
    <x v="0"/>
  </r>
  <r>
    <x v="0"/>
    <x v="0"/>
    <n v="2239080872"/>
    <x v="5"/>
    <n v="-1700"/>
    <x v="0"/>
    <x v="0"/>
    <x v="4"/>
    <x v="5"/>
    <x v="0"/>
    <x v="0"/>
    <x v="5"/>
    <x v="0"/>
  </r>
  <r>
    <x v="0"/>
    <x v="0"/>
    <n v="2239080872"/>
    <x v="6"/>
    <n v="15000"/>
    <x v="0"/>
    <x v="0"/>
    <x v="4"/>
    <x v="6"/>
    <x v="0"/>
    <x v="0"/>
    <x v="5"/>
    <x v="0"/>
  </r>
  <r>
    <x v="0"/>
    <x v="0"/>
    <n v="2239080873"/>
    <x v="7"/>
    <n v="1500"/>
    <x v="0"/>
    <x v="0"/>
    <x v="4"/>
    <x v="7"/>
    <x v="0"/>
    <x v="0"/>
    <x v="1"/>
    <x v="0"/>
  </r>
  <r>
    <x v="0"/>
    <x v="0"/>
    <n v="2239080875"/>
    <x v="2"/>
    <n v="9548"/>
    <x v="0"/>
    <x v="0"/>
    <x v="4"/>
    <x v="2"/>
    <x v="0"/>
    <x v="0"/>
    <x v="2"/>
    <x v="0"/>
  </r>
  <r>
    <x v="0"/>
    <x v="0"/>
    <n v="2239080876"/>
    <x v="2"/>
    <n v="12320"/>
    <x v="0"/>
    <x v="0"/>
    <x v="4"/>
    <x v="2"/>
    <x v="0"/>
    <x v="0"/>
    <x v="2"/>
    <x v="0"/>
  </r>
  <r>
    <x v="0"/>
    <x v="0"/>
    <n v="2239080876"/>
    <x v="7"/>
    <n v="2800"/>
    <x v="0"/>
    <x v="0"/>
    <x v="4"/>
    <x v="7"/>
    <x v="0"/>
    <x v="0"/>
    <x v="1"/>
    <x v="0"/>
  </r>
  <r>
    <x v="0"/>
    <x v="0"/>
    <n v="2239080877"/>
    <x v="2"/>
    <n v="33440"/>
    <x v="0"/>
    <x v="0"/>
    <x v="4"/>
    <x v="2"/>
    <x v="0"/>
    <x v="0"/>
    <x v="2"/>
    <x v="0"/>
  </r>
  <r>
    <x v="0"/>
    <x v="0"/>
    <n v="2239080878"/>
    <x v="2"/>
    <n v="10900"/>
    <x v="0"/>
    <x v="0"/>
    <x v="4"/>
    <x v="2"/>
    <x v="0"/>
    <x v="0"/>
    <x v="2"/>
    <x v="0"/>
  </r>
  <r>
    <x v="0"/>
    <x v="0"/>
    <n v="2239080879"/>
    <x v="2"/>
    <n v="11990"/>
    <x v="0"/>
    <x v="0"/>
    <x v="4"/>
    <x v="2"/>
    <x v="0"/>
    <x v="0"/>
    <x v="2"/>
    <x v="0"/>
  </r>
  <r>
    <x v="0"/>
    <x v="0"/>
    <n v="2239080880"/>
    <x v="6"/>
    <n v="3000"/>
    <x v="0"/>
    <x v="0"/>
    <x v="4"/>
    <x v="6"/>
    <x v="0"/>
    <x v="0"/>
    <x v="5"/>
    <x v="0"/>
  </r>
  <r>
    <x v="0"/>
    <x v="0"/>
    <n v="2239080881"/>
    <x v="7"/>
    <n v="6000"/>
    <x v="0"/>
    <x v="0"/>
    <x v="4"/>
    <x v="7"/>
    <x v="0"/>
    <x v="0"/>
    <x v="1"/>
    <x v="0"/>
  </r>
  <r>
    <x v="0"/>
    <x v="0"/>
    <n v="2239080882"/>
    <x v="6"/>
    <n v="6000"/>
    <x v="0"/>
    <x v="0"/>
    <x v="4"/>
    <x v="6"/>
    <x v="0"/>
    <x v="0"/>
    <x v="5"/>
    <x v="0"/>
  </r>
  <r>
    <x v="0"/>
    <x v="0"/>
    <n v="2239080883"/>
    <x v="5"/>
    <n v="-3000"/>
    <x v="0"/>
    <x v="0"/>
    <x v="4"/>
    <x v="5"/>
    <x v="0"/>
    <x v="0"/>
    <x v="5"/>
    <x v="0"/>
  </r>
  <r>
    <x v="0"/>
    <x v="0"/>
    <n v="2239080883"/>
    <x v="6"/>
    <n v="10500"/>
    <x v="0"/>
    <x v="0"/>
    <x v="4"/>
    <x v="6"/>
    <x v="0"/>
    <x v="0"/>
    <x v="5"/>
    <x v="0"/>
  </r>
  <r>
    <x v="0"/>
    <x v="0"/>
    <n v="2239080884"/>
    <x v="2"/>
    <n v="8250"/>
    <x v="0"/>
    <x v="0"/>
    <x v="4"/>
    <x v="2"/>
    <x v="0"/>
    <x v="0"/>
    <x v="2"/>
    <x v="0"/>
  </r>
  <r>
    <x v="0"/>
    <x v="0"/>
    <n v="2239080885"/>
    <x v="5"/>
    <n v="-500"/>
    <x v="0"/>
    <x v="0"/>
    <x v="4"/>
    <x v="5"/>
    <x v="0"/>
    <x v="0"/>
    <x v="5"/>
    <x v="0"/>
  </r>
  <r>
    <x v="0"/>
    <x v="0"/>
    <n v="2239080885"/>
    <x v="6"/>
    <n v="10000"/>
    <x v="0"/>
    <x v="0"/>
    <x v="4"/>
    <x v="6"/>
    <x v="0"/>
    <x v="0"/>
    <x v="5"/>
    <x v="0"/>
  </r>
  <r>
    <x v="0"/>
    <x v="0"/>
    <n v="2239080886"/>
    <x v="1"/>
    <n v="9800"/>
    <x v="0"/>
    <x v="0"/>
    <x v="4"/>
    <x v="1"/>
    <x v="0"/>
    <x v="0"/>
    <x v="1"/>
    <x v="0"/>
  </r>
  <r>
    <x v="0"/>
    <x v="0"/>
    <n v="2239080887"/>
    <x v="7"/>
    <n v="1500"/>
    <x v="0"/>
    <x v="0"/>
    <x v="4"/>
    <x v="7"/>
    <x v="0"/>
    <x v="0"/>
    <x v="1"/>
    <x v="0"/>
  </r>
  <r>
    <x v="0"/>
    <x v="0"/>
    <n v="2239080888"/>
    <x v="6"/>
    <n v="3150"/>
    <x v="0"/>
    <x v="0"/>
    <x v="4"/>
    <x v="6"/>
    <x v="0"/>
    <x v="0"/>
    <x v="5"/>
    <x v="0"/>
  </r>
  <r>
    <x v="0"/>
    <x v="0"/>
    <n v="2239080889"/>
    <x v="5"/>
    <n v="-4300"/>
    <x v="0"/>
    <x v="0"/>
    <x v="4"/>
    <x v="5"/>
    <x v="0"/>
    <x v="0"/>
    <x v="5"/>
    <x v="0"/>
  </r>
  <r>
    <x v="0"/>
    <x v="0"/>
    <n v="2239080889"/>
    <x v="4"/>
    <n v="10000"/>
    <x v="0"/>
    <x v="0"/>
    <x v="4"/>
    <x v="4"/>
    <x v="0"/>
    <x v="0"/>
    <x v="4"/>
    <x v="0"/>
  </r>
  <r>
    <x v="0"/>
    <x v="0"/>
    <n v="2239080890"/>
    <x v="2"/>
    <n v="16940"/>
    <x v="0"/>
    <x v="0"/>
    <x v="4"/>
    <x v="2"/>
    <x v="0"/>
    <x v="0"/>
    <x v="2"/>
    <x v="0"/>
  </r>
  <r>
    <x v="0"/>
    <x v="0"/>
    <n v="2239080891"/>
    <x v="2"/>
    <n v="33000"/>
    <x v="0"/>
    <x v="0"/>
    <x v="4"/>
    <x v="2"/>
    <x v="0"/>
    <x v="0"/>
    <x v="2"/>
    <x v="0"/>
  </r>
  <r>
    <x v="0"/>
    <x v="0"/>
    <n v="2239080893"/>
    <x v="5"/>
    <n v="-3500"/>
    <x v="0"/>
    <x v="0"/>
    <x v="4"/>
    <x v="5"/>
    <x v="0"/>
    <x v="0"/>
    <x v="5"/>
    <x v="0"/>
  </r>
  <r>
    <x v="0"/>
    <x v="0"/>
    <n v="2239080893"/>
    <x v="6"/>
    <n v="10000"/>
    <x v="0"/>
    <x v="0"/>
    <x v="4"/>
    <x v="6"/>
    <x v="0"/>
    <x v="0"/>
    <x v="5"/>
    <x v="0"/>
  </r>
  <r>
    <x v="0"/>
    <x v="0"/>
    <n v="2239080895"/>
    <x v="5"/>
    <n v="-1000"/>
    <x v="0"/>
    <x v="0"/>
    <x v="4"/>
    <x v="5"/>
    <x v="0"/>
    <x v="0"/>
    <x v="5"/>
    <x v="0"/>
  </r>
  <r>
    <x v="0"/>
    <x v="0"/>
    <n v="2239080895"/>
    <x v="6"/>
    <n v="10000"/>
    <x v="0"/>
    <x v="0"/>
    <x v="4"/>
    <x v="6"/>
    <x v="0"/>
    <x v="0"/>
    <x v="5"/>
    <x v="0"/>
  </r>
  <r>
    <x v="0"/>
    <x v="0"/>
    <n v="2239080896"/>
    <x v="2"/>
    <n v="5250"/>
    <x v="0"/>
    <x v="0"/>
    <x v="4"/>
    <x v="2"/>
    <x v="0"/>
    <x v="0"/>
    <x v="2"/>
    <x v="0"/>
  </r>
  <r>
    <x v="0"/>
    <x v="0"/>
    <n v="2239080897"/>
    <x v="2"/>
    <n v="31350"/>
    <x v="0"/>
    <x v="0"/>
    <x v="4"/>
    <x v="2"/>
    <x v="0"/>
    <x v="0"/>
    <x v="2"/>
    <x v="0"/>
  </r>
  <r>
    <x v="0"/>
    <x v="0"/>
    <n v="2239080898"/>
    <x v="5"/>
    <n v="-3500"/>
    <x v="0"/>
    <x v="0"/>
    <x v="4"/>
    <x v="5"/>
    <x v="0"/>
    <x v="0"/>
    <x v="5"/>
    <x v="0"/>
  </r>
  <r>
    <x v="0"/>
    <x v="0"/>
    <n v="2239080898"/>
    <x v="6"/>
    <n v="20000"/>
    <x v="0"/>
    <x v="0"/>
    <x v="4"/>
    <x v="6"/>
    <x v="0"/>
    <x v="0"/>
    <x v="5"/>
    <x v="0"/>
  </r>
  <r>
    <x v="0"/>
    <x v="0"/>
    <n v="2239080899"/>
    <x v="7"/>
    <n v="7500"/>
    <x v="0"/>
    <x v="0"/>
    <x v="4"/>
    <x v="7"/>
    <x v="0"/>
    <x v="0"/>
    <x v="1"/>
    <x v="0"/>
  </r>
  <r>
    <x v="0"/>
    <x v="0"/>
    <n v="2239080900"/>
    <x v="2"/>
    <n v="6500"/>
    <x v="0"/>
    <x v="0"/>
    <x v="4"/>
    <x v="2"/>
    <x v="0"/>
    <x v="0"/>
    <x v="2"/>
    <x v="0"/>
  </r>
  <r>
    <x v="0"/>
    <x v="0"/>
    <n v="2239080901"/>
    <x v="7"/>
    <n v="7500"/>
    <x v="0"/>
    <x v="0"/>
    <x v="4"/>
    <x v="7"/>
    <x v="0"/>
    <x v="0"/>
    <x v="1"/>
    <x v="0"/>
  </r>
  <r>
    <x v="0"/>
    <x v="0"/>
    <n v="2239080902"/>
    <x v="4"/>
    <n v="20000"/>
    <x v="0"/>
    <x v="0"/>
    <x v="4"/>
    <x v="4"/>
    <x v="0"/>
    <x v="0"/>
    <x v="4"/>
    <x v="0"/>
  </r>
  <r>
    <x v="0"/>
    <x v="0"/>
    <n v="2239080903"/>
    <x v="6"/>
    <n v="3000"/>
    <x v="0"/>
    <x v="0"/>
    <x v="4"/>
    <x v="6"/>
    <x v="0"/>
    <x v="0"/>
    <x v="5"/>
    <x v="0"/>
  </r>
  <r>
    <x v="0"/>
    <x v="0"/>
    <n v="2239080904"/>
    <x v="2"/>
    <n v="32450"/>
    <x v="0"/>
    <x v="0"/>
    <x v="4"/>
    <x v="2"/>
    <x v="0"/>
    <x v="0"/>
    <x v="2"/>
    <x v="0"/>
  </r>
  <r>
    <x v="0"/>
    <x v="0"/>
    <n v="2239080905"/>
    <x v="7"/>
    <n v="1500"/>
    <x v="0"/>
    <x v="0"/>
    <x v="4"/>
    <x v="7"/>
    <x v="0"/>
    <x v="0"/>
    <x v="1"/>
    <x v="0"/>
  </r>
  <r>
    <x v="0"/>
    <x v="0"/>
    <n v="2239080906"/>
    <x v="7"/>
    <n v="1500"/>
    <x v="0"/>
    <x v="0"/>
    <x v="4"/>
    <x v="7"/>
    <x v="0"/>
    <x v="0"/>
    <x v="1"/>
    <x v="0"/>
  </r>
  <r>
    <x v="0"/>
    <x v="0"/>
    <n v="2239080907"/>
    <x v="5"/>
    <n v="-3500"/>
    <x v="0"/>
    <x v="0"/>
    <x v="4"/>
    <x v="5"/>
    <x v="0"/>
    <x v="0"/>
    <x v="5"/>
    <x v="0"/>
  </r>
  <r>
    <x v="0"/>
    <x v="0"/>
    <n v="2239080907"/>
    <x v="6"/>
    <n v="10000"/>
    <x v="0"/>
    <x v="0"/>
    <x v="4"/>
    <x v="6"/>
    <x v="0"/>
    <x v="0"/>
    <x v="5"/>
    <x v="0"/>
  </r>
  <r>
    <x v="0"/>
    <x v="0"/>
    <n v="2239080908"/>
    <x v="7"/>
    <n v="1500"/>
    <x v="0"/>
    <x v="0"/>
    <x v="4"/>
    <x v="7"/>
    <x v="0"/>
    <x v="0"/>
    <x v="1"/>
    <x v="0"/>
  </r>
  <r>
    <x v="0"/>
    <x v="0"/>
    <n v="2239080909"/>
    <x v="2"/>
    <n v="6600"/>
    <x v="0"/>
    <x v="0"/>
    <x v="4"/>
    <x v="2"/>
    <x v="0"/>
    <x v="0"/>
    <x v="2"/>
    <x v="0"/>
  </r>
  <r>
    <x v="0"/>
    <x v="0"/>
    <n v="2239080911"/>
    <x v="5"/>
    <n v="-14000"/>
    <x v="0"/>
    <x v="0"/>
    <x v="4"/>
    <x v="5"/>
    <x v="0"/>
    <x v="0"/>
    <x v="5"/>
    <x v="0"/>
  </r>
  <r>
    <x v="0"/>
    <x v="0"/>
    <n v="2239080911"/>
    <x v="6"/>
    <n v="20000"/>
    <x v="0"/>
    <x v="0"/>
    <x v="4"/>
    <x v="6"/>
    <x v="0"/>
    <x v="0"/>
    <x v="5"/>
    <x v="0"/>
  </r>
  <r>
    <x v="0"/>
    <x v="0"/>
    <n v="2239080912"/>
    <x v="1"/>
    <n v="6750"/>
    <x v="0"/>
    <x v="0"/>
    <x v="4"/>
    <x v="1"/>
    <x v="0"/>
    <x v="0"/>
    <x v="1"/>
    <x v="0"/>
  </r>
  <r>
    <x v="0"/>
    <x v="0"/>
    <n v="2239080913"/>
    <x v="7"/>
    <n v="4800"/>
    <x v="0"/>
    <x v="0"/>
    <x v="4"/>
    <x v="7"/>
    <x v="0"/>
    <x v="0"/>
    <x v="1"/>
    <x v="0"/>
  </r>
  <r>
    <x v="0"/>
    <x v="0"/>
    <n v="2239080915"/>
    <x v="7"/>
    <n v="1500"/>
    <x v="0"/>
    <x v="0"/>
    <x v="4"/>
    <x v="7"/>
    <x v="0"/>
    <x v="0"/>
    <x v="1"/>
    <x v="0"/>
  </r>
  <r>
    <x v="0"/>
    <x v="0"/>
    <n v="2239080916"/>
    <x v="2"/>
    <n v="7500"/>
    <x v="0"/>
    <x v="0"/>
    <x v="4"/>
    <x v="2"/>
    <x v="0"/>
    <x v="0"/>
    <x v="2"/>
    <x v="0"/>
  </r>
  <r>
    <x v="0"/>
    <x v="0"/>
    <n v="2239080917"/>
    <x v="7"/>
    <n v="1500"/>
    <x v="0"/>
    <x v="0"/>
    <x v="4"/>
    <x v="7"/>
    <x v="0"/>
    <x v="0"/>
    <x v="1"/>
    <x v="0"/>
  </r>
  <r>
    <x v="0"/>
    <x v="0"/>
    <n v="2239080920"/>
    <x v="2"/>
    <n v="4500"/>
    <x v="0"/>
    <x v="0"/>
    <x v="4"/>
    <x v="2"/>
    <x v="0"/>
    <x v="0"/>
    <x v="2"/>
    <x v="0"/>
  </r>
  <r>
    <x v="0"/>
    <x v="0"/>
    <n v="2239080921"/>
    <x v="5"/>
    <n v="-1960"/>
    <x v="0"/>
    <x v="0"/>
    <x v="4"/>
    <x v="5"/>
    <x v="0"/>
    <x v="0"/>
    <x v="5"/>
    <x v="0"/>
  </r>
  <r>
    <x v="0"/>
    <x v="0"/>
    <n v="2239080921"/>
    <x v="6"/>
    <n v="5000"/>
    <x v="0"/>
    <x v="0"/>
    <x v="4"/>
    <x v="6"/>
    <x v="0"/>
    <x v="0"/>
    <x v="5"/>
    <x v="0"/>
  </r>
  <r>
    <x v="0"/>
    <x v="0"/>
    <n v="2239080922"/>
    <x v="2"/>
    <n v="6200"/>
    <x v="0"/>
    <x v="0"/>
    <x v="4"/>
    <x v="2"/>
    <x v="0"/>
    <x v="0"/>
    <x v="2"/>
    <x v="0"/>
  </r>
  <r>
    <x v="0"/>
    <x v="0"/>
    <n v="2239080923"/>
    <x v="1"/>
    <n v="14220"/>
    <x v="0"/>
    <x v="0"/>
    <x v="4"/>
    <x v="1"/>
    <x v="0"/>
    <x v="0"/>
    <x v="1"/>
    <x v="0"/>
  </r>
  <r>
    <x v="0"/>
    <x v="0"/>
    <n v="2239080924"/>
    <x v="5"/>
    <n v="-1000"/>
    <x v="0"/>
    <x v="0"/>
    <x v="4"/>
    <x v="5"/>
    <x v="0"/>
    <x v="0"/>
    <x v="5"/>
    <x v="0"/>
  </r>
  <r>
    <x v="0"/>
    <x v="0"/>
    <n v="2239080924"/>
    <x v="6"/>
    <n v="10000"/>
    <x v="0"/>
    <x v="0"/>
    <x v="4"/>
    <x v="6"/>
    <x v="0"/>
    <x v="0"/>
    <x v="5"/>
    <x v="0"/>
  </r>
  <r>
    <x v="0"/>
    <x v="0"/>
    <n v="2239080926"/>
    <x v="2"/>
    <n v="15000"/>
    <x v="0"/>
    <x v="0"/>
    <x v="4"/>
    <x v="2"/>
    <x v="0"/>
    <x v="0"/>
    <x v="2"/>
    <x v="0"/>
  </r>
  <r>
    <x v="0"/>
    <x v="0"/>
    <n v="2239080928"/>
    <x v="5"/>
    <n v="-500"/>
    <x v="0"/>
    <x v="0"/>
    <x v="4"/>
    <x v="5"/>
    <x v="0"/>
    <x v="0"/>
    <x v="5"/>
    <x v="0"/>
  </r>
  <r>
    <x v="0"/>
    <x v="0"/>
    <n v="2239080928"/>
    <x v="6"/>
    <n v="10000"/>
    <x v="0"/>
    <x v="0"/>
    <x v="4"/>
    <x v="6"/>
    <x v="0"/>
    <x v="0"/>
    <x v="5"/>
    <x v="0"/>
  </r>
  <r>
    <x v="0"/>
    <x v="0"/>
    <n v="2239080930"/>
    <x v="2"/>
    <n v="7150"/>
    <x v="0"/>
    <x v="0"/>
    <x v="4"/>
    <x v="2"/>
    <x v="0"/>
    <x v="0"/>
    <x v="2"/>
    <x v="0"/>
  </r>
  <r>
    <x v="0"/>
    <x v="0"/>
    <n v="2239080931"/>
    <x v="4"/>
    <n v="5700"/>
    <x v="0"/>
    <x v="0"/>
    <x v="4"/>
    <x v="4"/>
    <x v="0"/>
    <x v="0"/>
    <x v="4"/>
    <x v="0"/>
  </r>
  <r>
    <x v="0"/>
    <x v="0"/>
    <n v="2239080932"/>
    <x v="2"/>
    <n v="30690"/>
    <x v="0"/>
    <x v="0"/>
    <x v="4"/>
    <x v="2"/>
    <x v="0"/>
    <x v="0"/>
    <x v="2"/>
    <x v="0"/>
  </r>
  <r>
    <x v="0"/>
    <x v="0"/>
    <n v="2239080933"/>
    <x v="1"/>
    <n v="3150"/>
    <x v="0"/>
    <x v="0"/>
    <x v="4"/>
    <x v="1"/>
    <x v="0"/>
    <x v="0"/>
    <x v="1"/>
    <x v="0"/>
  </r>
  <r>
    <x v="0"/>
    <x v="0"/>
    <n v="2239080934"/>
    <x v="4"/>
    <n v="5000"/>
    <x v="0"/>
    <x v="0"/>
    <x v="4"/>
    <x v="4"/>
    <x v="0"/>
    <x v="0"/>
    <x v="4"/>
    <x v="0"/>
  </r>
  <r>
    <x v="0"/>
    <x v="0"/>
    <n v="2239080935"/>
    <x v="5"/>
    <n v="-5500"/>
    <x v="0"/>
    <x v="0"/>
    <x v="4"/>
    <x v="5"/>
    <x v="0"/>
    <x v="0"/>
    <x v="5"/>
    <x v="0"/>
  </r>
  <r>
    <x v="0"/>
    <x v="0"/>
    <n v="2239080935"/>
    <x v="6"/>
    <n v="10000"/>
    <x v="0"/>
    <x v="0"/>
    <x v="4"/>
    <x v="6"/>
    <x v="0"/>
    <x v="0"/>
    <x v="5"/>
    <x v="0"/>
  </r>
  <r>
    <x v="0"/>
    <x v="0"/>
    <n v="2239080936"/>
    <x v="5"/>
    <n v="-8000"/>
    <x v="0"/>
    <x v="0"/>
    <x v="4"/>
    <x v="5"/>
    <x v="0"/>
    <x v="0"/>
    <x v="5"/>
    <x v="0"/>
  </r>
  <r>
    <x v="0"/>
    <x v="0"/>
    <n v="2239080936"/>
    <x v="6"/>
    <n v="20000"/>
    <x v="0"/>
    <x v="0"/>
    <x v="4"/>
    <x v="6"/>
    <x v="0"/>
    <x v="0"/>
    <x v="5"/>
    <x v="0"/>
  </r>
  <r>
    <x v="0"/>
    <x v="0"/>
    <n v="2239080938"/>
    <x v="5"/>
    <n v="-500"/>
    <x v="0"/>
    <x v="0"/>
    <x v="4"/>
    <x v="5"/>
    <x v="0"/>
    <x v="0"/>
    <x v="5"/>
    <x v="0"/>
  </r>
  <r>
    <x v="0"/>
    <x v="0"/>
    <n v="2239080938"/>
    <x v="6"/>
    <n v="10000"/>
    <x v="0"/>
    <x v="0"/>
    <x v="4"/>
    <x v="6"/>
    <x v="0"/>
    <x v="0"/>
    <x v="5"/>
    <x v="0"/>
  </r>
  <r>
    <x v="0"/>
    <x v="0"/>
    <n v="2239080939"/>
    <x v="5"/>
    <n v="-4700"/>
    <x v="0"/>
    <x v="0"/>
    <x v="4"/>
    <x v="5"/>
    <x v="0"/>
    <x v="0"/>
    <x v="5"/>
    <x v="0"/>
  </r>
  <r>
    <x v="0"/>
    <x v="0"/>
    <n v="2239080939"/>
    <x v="4"/>
    <n v="10000"/>
    <x v="0"/>
    <x v="0"/>
    <x v="4"/>
    <x v="4"/>
    <x v="0"/>
    <x v="0"/>
    <x v="4"/>
    <x v="0"/>
  </r>
  <r>
    <x v="0"/>
    <x v="0"/>
    <n v="2239080941"/>
    <x v="2"/>
    <n v="12320"/>
    <x v="0"/>
    <x v="0"/>
    <x v="4"/>
    <x v="2"/>
    <x v="0"/>
    <x v="0"/>
    <x v="2"/>
    <x v="0"/>
  </r>
  <r>
    <x v="0"/>
    <x v="0"/>
    <n v="2239080941"/>
    <x v="7"/>
    <n v="2800"/>
    <x v="0"/>
    <x v="0"/>
    <x v="4"/>
    <x v="7"/>
    <x v="0"/>
    <x v="0"/>
    <x v="1"/>
    <x v="0"/>
  </r>
  <r>
    <x v="0"/>
    <x v="0"/>
    <n v="2239080942"/>
    <x v="5"/>
    <n v="-3350"/>
    <x v="0"/>
    <x v="0"/>
    <x v="4"/>
    <x v="5"/>
    <x v="0"/>
    <x v="0"/>
    <x v="5"/>
    <x v="0"/>
  </r>
  <r>
    <x v="0"/>
    <x v="0"/>
    <n v="2239080942"/>
    <x v="6"/>
    <n v="10000"/>
    <x v="0"/>
    <x v="0"/>
    <x v="4"/>
    <x v="6"/>
    <x v="0"/>
    <x v="0"/>
    <x v="5"/>
    <x v="0"/>
  </r>
  <r>
    <x v="0"/>
    <x v="0"/>
    <n v="2239080943"/>
    <x v="2"/>
    <n v="8250"/>
    <x v="0"/>
    <x v="0"/>
    <x v="4"/>
    <x v="2"/>
    <x v="0"/>
    <x v="0"/>
    <x v="2"/>
    <x v="0"/>
  </r>
  <r>
    <x v="0"/>
    <x v="0"/>
    <n v="2239080945"/>
    <x v="7"/>
    <n v="1500"/>
    <x v="0"/>
    <x v="0"/>
    <x v="4"/>
    <x v="7"/>
    <x v="0"/>
    <x v="0"/>
    <x v="1"/>
    <x v="0"/>
  </r>
  <r>
    <x v="0"/>
    <x v="0"/>
    <n v="2239080946"/>
    <x v="2"/>
    <n v="10000"/>
    <x v="0"/>
    <x v="0"/>
    <x v="4"/>
    <x v="2"/>
    <x v="0"/>
    <x v="0"/>
    <x v="2"/>
    <x v="0"/>
  </r>
  <r>
    <x v="0"/>
    <x v="0"/>
    <n v="2239080947"/>
    <x v="1"/>
    <n v="1590"/>
    <x v="0"/>
    <x v="0"/>
    <x v="4"/>
    <x v="1"/>
    <x v="0"/>
    <x v="0"/>
    <x v="1"/>
    <x v="0"/>
  </r>
  <r>
    <x v="0"/>
    <x v="0"/>
    <n v="2239080948"/>
    <x v="7"/>
    <n v="1500"/>
    <x v="0"/>
    <x v="0"/>
    <x v="4"/>
    <x v="7"/>
    <x v="0"/>
    <x v="0"/>
    <x v="1"/>
    <x v="0"/>
  </r>
  <r>
    <x v="0"/>
    <x v="0"/>
    <n v="2239080949"/>
    <x v="2"/>
    <n v="5200"/>
    <x v="0"/>
    <x v="0"/>
    <x v="4"/>
    <x v="2"/>
    <x v="0"/>
    <x v="0"/>
    <x v="2"/>
    <x v="0"/>
  </r>
  <r>
    <x v="0"/>
    <x v="0"/>
    <n v="2239080949"/>
    <x v="7"/>
    <n v="1300"/>
    <x v="0"/>
    <x v="0"/>
    <x v="4"/>
    <x v="7"/>
    <x v="0"/>
    <x v="0"/>
    <x v="1"/>
    <x v="0"/>
  </r>
  <r>
    <x v="0"/>
    <x v="0"/>
    <n v="2239080950"/>
    <x v="1"/>
    <n v="1800"/>
    <x v="0"/>
    <x v="0"/>
    <x v="4"/>
    <x v="1"/>
    <x v="0"/>
    <x v="0"/>
    <x v="1"/>
    <x v="0"/>
  </r>
  <r>
    <x v="0"/>
    <x v="0"/>
    <n v="2239080951"/>
    <x v="5"/>
    <n v="-1000"/>
    <x v="0"/>
    <x v="0"/>
    <x v="4"/>
    <x v="5"/>
    <x v="0"/>
    <x v="0"/>
    <x v="5"/>
    <x v="0"/>
  </r>
  <r>
    <x v="0"/>
    <x v="0"/>
    <n v="2239080951"/>
    <x v="6"/>
    <n v="10000"/>
    <x v="0"/>
    <x v="0"/>
    <x v="4"/>
    <x v="6"/>
    <x v="0"/>
    <x v="0"/>
    <x v="5"/>
    <x v="0"/>
  </r>
  <r>
    <x v="0"/>
    <x v="0"/>
    <n v="2239080952"/>
    <x v="2"/>
    <n v="24750"/>
    <x v="0"/>
    <x v="0"/>
    <x v="4"/>
    <x v="2"/>
    <x v="0"/>
    <x v="0"/>
    <x v="2"/>
    <x v="0"/>
  </r>
  <r>
    <x v="0"/>
    <x v="0"/>
    <n v="2239080953"/>
    <x v="7"/>
    <n v="7500"/>
    <x v="0"/>
    <x v="0"/>
    <x v="4"/>
    <x v="7"/>
    <x v="0"/>
    <x v="0"/>
    <x v="1"/>
    <x v="0"/>
  </r>
  <r>
    <x v="0"/>
    <x v="0"/>
    <n v="2239080954"/>
    <x v="5"/>
    <n v="-2900"/>
    <x v="0"/>
    <x v="0"/>
    <x v="4"/>
    <x v="5"/>
    <x v="0"/>
    <x v="0"/>
    <x v="5"/>
    <x v="0"/>
  </r>
  <r>
    <x v="0"/>
    <x v="0"/>
    <n v="2239080954"/>
    <x v="6"/>
    <n v="20000"/>
    <x v="0"/>
    <x v="0"/>
    <x v="4"/>
    <x v="6"/>
    <x v="0"/>
    <x v="0"/>
    <x v="5"/>
    <x v="0"/>
  </r>
  <r>
    <x v="0"/>
    <x v="0"/>
    <n v="2239080955"/>
    <x v="5"/>
    <n v="-4000"/>
    <x v="0"/>
    <x v="0"/>
    <x v="4"/>
    <x v="5"/>
    <x v="0"/>
    <x v="0"/>
    <x v="5"/>
    <x v="0"/>
  </r>
  <r>
    <x v="0"/>
    <x v="0"/>
    <n v="2239080955"/>
    <x v="6"/>
    <n v="10000"/>
    <x v="0"/>
    <x v="0"/>
    <x v="4"/>
    <x v="6"/>
    <x v="0"/>
    <x v="0"/>
    <x v="5"/>
    <x v="0"/>
  </r>
  <r>
    <x v="0"/>
    <x v="0"/>
    <n v="2239080956"/>
    <x v="2"/>
    <n v="14300"/>
    <x v="0"/>
    <x v="0"/>
    <x v="4"/>
    <x v="2"/>
    <x v="0"/>
    <x v="0"/>
    <x v="2"/>
    <x v="0"/>
  </r>
  <r>
    <x v="0"/>
    <x v="0"/>
    <n v="2239080958"/>
    <x v="5"/>
    <n v="-3100"/>
    <x v="0"/>
    <x v="0"/>
    <x v="4"/>
    <x v="5"/>
    <x v="0"/>
    <x v="0"/>
    <x v="5"/>
    <x v="0"/>
  </r>
  <r>
    <x v="0"/>
    <x v="0"/>
    <n v="2239080958"/>
    <x v="6"/>
    <n v="15000"/>
    <x v="0"/>
    <x v="0"/>
    <x v="4"/>
    <x v="6"/>
    <x v="0"/>
    <x v="0"/>
    <x v="5"/>
    <x v="0"/>
  </r>
  <r>
    <x v="0"/>
    <x v="0"/>
    <n v="2239080959"/>
    <x v="5"/>
    <n v="-7000"/>
    <x v="0"/>
    <x v="0"/>
    <x v="4"/>
    <x v="5"/>
    <x v="0"/>
    <x v="0"/>
    <x v="5"/>
    <x v="0"/>
  </r>
  <r>
    <x v="0"/>
    <x v="0"/>
    <n v="2239080959"/>
    <x v="6"/>
    <n v="10500"/>
    <x v="0"/>
    <x v="0"/>
    <x v="4"/>
    <x v="6"/>
    <x v="0"/>
    <x v="0"/>
    <x v="5"/>
    <x v="0"/>
  </r>
  <r>
    <x v="0"/>
    <x v="0"/>
    <n v="2239080960"/>
    <x v="5"/>
    <n v="-1010"/>
    <x v="0"/>
    <x v="0"/>
    <x v="4"/>
    <x v="5"/>
    <x v="0"/>
    <x v="0"/>
    <x v="5"/>
    <x v="0"/>
  </r>
  <r>
    <x v="0"/>
    <x v="0"/>
    <n v="2239080960"/>
    <x v="6"/>
    <n v="5350"/>
    <x v="0"/>
    <x v="0"/>
    <x v="4"/>
    <x v="6"/>
    <x v="0"/>
    <x v="0"/>
    <x v="5"/>
    <x v="0"/>
  </r>
  <r>
    <x v="0"/>
    <x v="0"/>
    <n v="2239080962"/>
    <x v="7"/>
    <n v="3800"/>
    <x v="0"/>
    <x v="0"/>
    <x v="4"/>
    <x v="7"/>
    <x v="0"/>
    <x v="0"/>
    <x v="1"/>
    <x v="0"/>
  </r>
  <r>
    <x v="0"/>
    <x v="0"/>
    <n v="2239080963"/>
    <x v="3"/>
    <n v="4290"/>
    <x v="0"/>
    <x v="0"/>
    <x v="4"/>
    <x v="3"/>
    <x v="0"/>
    <x v="0"/>
    <x v="3"/>
    <x v="0"/>
  </r>
  <r>
    <x v="0"/>
    <x v="0"/>
    <n v="2239080963"/>
    <x v="7"/>
    <n v="2600"/>
    <x v="0"/>
    <x v="0"/>
    <x v="4"/>
    <x v="7"/>
    <x v="0"/>
    <x v="0"/>
    <x v="1"/>
    <x v="0"/>
  </r>
  <r>
    <x v="0"/>
    <x v="0"/>
    <n v="2239080965"/>
    <x v="2"/>
    <n v="14850"/>
    <x v="0"/>
    <x v="0"/>
    <x v="4"/>
    <x v="2"/>
    <x v="0"/>
    <x v="0"/>
    <x v="2"/>
    <x v="0"/>
  </r>
  <r>
    <x v="0"/>
    <x v="0"/>
    <n v="2239080966"/>
    <x v="7"/>
    <n v="1500"/>
    <x v="0"/>
    <x v="0"/>
    <x v="4"/>
    <x v="7"/>
    <x v="0"/>
    <x v="0"/>
    <x v="1"/>
    <x v="0"/>
  </r>
  <r>
    <x v="0"/>
    <x v="0"/>
    <n v="2239080967"/>
    <x v="7"/>
    <n v="3900"/>
    <x v="0"/>
    <x v="0"/>
    <x v="4"/>
    <x v="7"/>
    <x v="0"/>
    <x v="0"/>
    <x v="1"/>
    <x v="0"/>
  </r>
  <r>
    <x v="0"/>
    <x v="0"/>
    <n v="2239080968"/>
    <x v="7"/>
    <n v="3000"/>
    <x v="0"/>
    <x v="0"/>
    <x v="4"/>
    <x v="7"/>
    <x v="0"/>
    <x v="0"/>
    <x v="1"/>
    <x v="0"/>
  </r>
  <r>
    <x v="0"/>
    <x v="0"/>
    <n v="2239080969"/>
    <x v="7"/>
    <n v="6500"/>
    <x v="0"/>
    <x v="0"/>
    <x v="4"/>
    <x v="7"/>
    <x v="0"/>
    <x v="0"/>
    <x v="1"/>
    <x v="0"/>
  </r>
  <r>
    <x v="0"/>
    <x v="0"/>
    <n v="2239080970"/>
    <x v="4"/>
    <n v="5300"/>
    <x v="0"/>
    <x v="0"/>
    <x v="4"/>
    <x v="4"/>
    <x v="0"/>
    <x v="0"/>
    <x v="4"/>
    <x v="0"/>
  </r>
  <r>
    <x v="0"/>
    <x v="0"/>
    <n v="2239080971"/>
    <x v="5"/>
    <n v="-5000"/>
    <x v="0"/>
    <x v="0"/>
    <x v="4"/>
    <x v="5"/>
    <x v="0"/>
    <x v="0"/>
    <x v="5"/>
    <x v="0"/>
  </r>
  <r>
    <x v="0"/>
    <x v="0"/>
    <n v="2239080971"/>
    <x v="6"/>
    <n v="10200"/>
    <x v="0"/>
    <x v="0"/>
    <x v="4"/>
    <x v="6"/>
    <x v="0"/>
    <x v="0"/>
    <x v="5"/>
    <x v="0"/>
  </r>
  <r>
    <x v="0"/>
    <x v="0"/>
    <n v="2239080971"/>
    <x v="7"/>
    <n v="1300"/>
    <x v="0"/>
    <x v="0"/>
    <x v="4"/>
    <x v="7"/>
    <x v="0"/>
    <x v="0"/>
    <x v="1"/>
    <x v="0"/>
  </r>
  <r>
    <x v="0"/>
    <x v="0"/>
    <n v="2239080972"/>
    <x v="5"/>
    <n v="-2900"/>
    <x v="0"/>
    <x v="0"/>
    <x v="4"/>
    <x v="5"/>
    <x v="0"/>
    <x v="0"/>
    <x v="5"/>
    <x v="0"/>
  </r>
  <r>
    <x v="0"/>
    <x v="0"/>
    <n v="2239080972"/>
    <x v="6"/>
    <n v="20000"/>
    <x v="0"/>
    <x v="0"/>
    <x v="4"/>
    <x v="6"/>
    <x v="0"/>
    <x v="0"/>
    <x v="5"/>
    <x v="0"/>
  </r>
  <r>
    <x v="0"/>
    <x v="0"/>
    <n v="2239080973"/>
    <x v="5"/>
    <n v="-16000"/>
    <x v="0"/>
    <x v="0"/>
    <x v="4"/>
    <x v="5"/>
    <x v="0"/>
    <x v="0"/>
    <x v="5"/>
    <x v="0"/>
  </r>
  <r>
    <x v="0"/>
    <x v="0"/>
    <n v="2239080973"/>
    <x v="4"/>
    <n v="20600"/>
    <x v="0"/>
    <x v="0"/>
    <x v="4"/>
    <x v="4"/>
    <x v="0"/>
    <x v="0"/>
    <x v="4"/>
    <x v="0"/>
  </r>
  <r>
    <x v="0"/>
    <x v="0"/>
    <n v="2239080974"/>
    <x v="1"/>
    <n v="13000"/>
    <x v="0"/>
    <x v="0"/>
    <x v="4"/>
    <x v="1"/>
    <x v="0"/>
    <x v="0"/>
    <x v="1"/>
    <x v="0"/>
  </r>
  <r>
    <x v="0"/>
    <x v="0"/>
    <n v="2239080976"/>
    <x v="5"/>
    <n v="-250"/>
    <x v="0"/>
    <x v="0"/>
    <x v="4"/>
    <x v="5"/>
    <x v="0"/>
    <x v="0"/>
    <x v="5"/>
    <x v="0"/>
  </r>
  <r>
    <x v="0"/>
    <x v="0"/>
    <n v="2239080976"/>
    <x v="6"/>
    <n v="7000"/>
    <x v="0"/>
    <x v="0"/>
    <x v="4"/>
    <x v="6"/>
    <x v="0"/>
    <x v="0"/>
    <x v="5"/>
    <x v="0"/>
  </r>
  <r>
    <x v="0"/>
    <x v="0"/>
    <n v="2239080977"/>
    <x v="5"/>
    <n v="-8000"/>
    <x v="0"/>
    <x v="0"/>
    <x v="4"/>
    <x v="5"/>
    <x v="0"/>
    <x v="0"/>
    <x v="5"/>
    <x v="0"/>
  </r>
  <r>
    <x v="0"/>
    <x v="0"/>
    <n v="2239080977"/>
    <x v="6"/>
    <n v="10000"/>
    <x v="0"/>
    <x v="0"/>
    <x v="4"/>
    <x v="6"/>
    <x v="0"/>
    <x v="0"/>
    <x v="5"/>
    <x v="0"/>
  </r>
  <r>
    <x v="0"/>
    <x v="0"/>
    <n v="2239080978"/>
    <x v="5"/>
    <n v="-15400"/>
    <x v="0"/>
    <x v="0"/>
    <x v="4"/>
    <x v="5"/>
    <x v="0"/>
    <x v="0"/>
    <x v="5"/>
    <x v="0"/>
  </r>
  <r>
    <x v="0"/>
    <x v="0"/>
    <n v="2239080978"/>
    <x v="4"/>
    <n v="20000"/>
    <x v="0"/>
    <x v="0"/>
    <x v="4"/>
    <x v="4"/>
    <x v="0"/>
    <x v="0"/>
    <x v="4"/>
    <x v="0"/>
  </r>
  <r>
    <x v="0"/>
    <x v="0"/>
    <n v="2239080979"/>
    <x v="5"/>
    <n v="-5750"/>
    <x v="0"/>
    <x v="0"/>
    <x v="4"/>
    <x v="5"/>
    <x v="0"/>
    <x v="0"/>
    <x v="5"/>
    <x v="0"/>
  </r>
  <r>
    <x v="0"/>
    <x v="0"/>
    <n v="2239080979"/>
    <x v="6"/>
    <n v="25000"/>
    <x v="0"/>
    <x v="0"/>
    <x v="4"/>
    <x v="6"/>
    <x v="0"/>
    <x v="0"/>
    <x v="5"/>
    <x v="0"/>
  </r>
  <r>
    <x v="0"/>
    <x v="0"/>
    <n v="2239080979"/>
    <x v="7"/>
    <n v="1950"/>
    <x v="0"/>
    <x v="0"/>
    <x v="4"/>
    <x v="7"/>
    <x v="0"/>
    <x v="0"/>
    <x v="1"/>
    <x v="0"/>
  </r>
  <r>
    <x v="0"/>
    <x v="0"/>
    <n v="2239080980"/>
    <x v="2"/>
    <n v="37400"/>
    <x v="0"/>
    <x v="0"/>
    <x v="4"/>
    <x v="2"/>
    <x v="0"/>
    <x v="0"/>
    <x v="2"/>
    <x v="0"/>
  </r>
  <r>
    <x v="0"/>
    <x v="0"/>
    <n v="2239080983"/>
    <x v="2"/>
    <n v="13200"/>
    <x v="0"/>
    <x v="0"/>
    <x v="4"/>
    <x v="2"/>
    <x v="0"/>
    <x v="0"/>
    <x v="2"/>
    <x v="0"/>
  </r>
  <r>
    <x v="0"/>
    <x v="0"/>
    <n v="2239080985"/>
    <x v="2"/>
    <n v="10400"/>
    <x v="0"/>
    <x v="0"/>
    <x v="4"/>
    <x v="2"/>
    <x v="0"/>
    <x v="0"/>
    <x v="2"/>
    <x v="0"/>
  </r>
  <r>
    <x v="0"/>
    <x v="0"/>
    <n v="2239080985"/>
    <x v="7"/>
    <n v="2600"/>
    <x v="0"/>
    <x v="0"/>
    <x v="4"/>
    <x v="7"/>
    <x v="0"/>
    <x v="0"/>
    <x v="1"/>
    <x v="0"/>
  </r>
  <r>
    <x v="0"/>
    <x v="0"/>
    <n v="2239080986"/>
    <x v="1"/>
    <n v="900"/>
    <x v="0"/>
    <x v="0"/>
    <x v="4"/>
    <x v="1"/>
    <x v="0"/>
    <x v="0"/>
    <x v="1"/>
    <x v="0"/>
  </r>
  <r>
    <x v="0"/>
    <x v="0"/>
    <n v="2239080987"/>
    <x v="6"/>
    <n v="6000"/>
    <x v="0"/>
    <x v="0"/>
    <x v="4"/>
    <x v="6"/>
    <x v="0"/>
    <x v="0"/>
    <x v="5"/>
    <x v="0"/>
  </r>
  <r>
    <x v="0"/>
    <x v="0"/>
    <n v="2239080988"/>
    <x v="5"/>
    <n v="-750"/>
    <x v="0"/>
    <x v="0"/>
    <x v="4"/>
    <x v="5"/>
    <x v="0"/>
    <x v="0"/>
    <x v="5"/>
    <x v="0"/>
  </r>
  <r>
    <x v="0"/>
    <x v="0"/>
    <n v="2239080988"/>
    <x v="6"/>
    <n v="41000"/>
    <x v="0"/>
    <x v="0"/>
    <x v="4"/>
    <x v="6"/>
    <x v="0"/>
    <x v="0"/>
    <x v="5"/>
    <x v="0"/>
  </r>
  <r>
    <x v="0"/>
    <x v="0"/>
    <n v="2239080989"/>
    <x v="7"/>
    <n v="1500"/>
    <x v="0"/>
    <x v="0"/>
    <x v="4"/>
    <x v="7"/>
    <x v="0"/>
    <x v="0"/>
    <x v="1"/>
    <x v="0"/>
  </r>
  <r>
    <x v="0"/>
    <x v="0"/>
    <n v="2239080990"/>
    <x v="7"/>
    <n v="1500"/>
    <x v="0"/>
    <x v="0"/>
    <x v="4"/>
    <x v="7"/>
    <x v="0"/>
    <x v="0"/>
    <x v="1"/>
    <x v="0"/>
  </r>
  <r>
    <x v="0"/>
    <x v="0"/>
    <n v="2239080991"/>
    <x v="2"/>
    <n v="11130"/>
    <x v="0"/>
    <x v="0"/>
    <x v="4"/>
    <x v="2"/>
    <x v="0"/>
    <x v="0"/>
    <x v="2"/>
    <x v="0"/>
  </r>
  <r>
    <x v="0"/>
    <x v="0"/>
    <n v="2239080993"/>
    <x v="7"/>
    <n v="1500"/>
    <x v="0"/>
    <x v="0"/>
    <x v="4"/>
    <x v="7"/>
    <x v="0"/>
    <x v="0"/>
    <x v="1"/>
    <x v="0"/>
  </r>
  <r>
    <x v="0"/>
    <x v="0"/>
    <n v="2239080994"/>
    <x v="7"/>
    <n v="1500"/>
    <x v="0"/>
    <x v="0"/>
    <x v="4"/>
    <x v="7"/>
    <x v="0"/>
    <x v="0"/>
    <x v="1"/>
    <x v="0"/>
  </r>
  <r>
    <x v="0"/>
    <x v="0"/>
    <n v="2239080995"/>
    <x v="7"/>
    <n v="6000"/>
    <x v="0"/>
    <x v="0"/>
    <x v="4"/>
    <x v="7"/>
    <x v="0"/>
    <x v="0"/>
    <x v="1"/>
    <x v="0"/>
  </r>
  <r>
    <x v="0"/>
    <x v="0"/>
    <n v="2239080996"/>
    <x v="1"/>
    <n v="3150"/>
    <x v="0"/>
    <x v="0"/>
    <x v="4"/>
    <x v="1"/>
    <x v="0"/>
    <x v="0"/>
    <x v="1"/>
    <x v="0"/>
  </r>
  <r>
    <x v="0"/>
    <x v="0"/>
    <n v="2239081000"/>
    <x v="1"/>
    <n v="2850"/>
    <x v="0"/>
    <x v="0"/>
    <x v="4"/>
    <x v="1"/>
    <x v="0"/>
    <x v="0"/>
    <x v="1"/>
    <x v="0"/>
  </r>
  <r>
    <x v="0"/>
    <x v="0"/>
    <n v="2239081001"/>
    <x v="1"/>
    <n v="4500"/>
    <x v="0"/>
    <x v="0"/>
    <x v="4"/>
    <x v="1"/>
    <x v="0"/>
    <x v="0"/>
    <x v="1"/>
    <x v="0"/>
  </r>
  <r>
    <x v="0"/>
    <x v="0"/>
    <n v="2239087769"/>
    <x v="0"/>
    <n v="900"/>
    <x v="0"/>
    <x v="0"/>
    <x v="5"/>
    <x v="0"/>
    <x v="0"/>
    <x v="0"/>
    <x v="0"/>
    <x v="0"/>
  </r>
  <r>
    <x v="0"/>
    <x v="0"/>
    <n v="2239087770"/>
    <x v="0"/>
    <n v="29400"/>
    <x v="0"/>
    <x v="0"/>
    <x v="5"/>
    <x v="0"/>
    <x v="0"/>
    <x v="0"/>
    <x v="0"/>
    <x v="0"/>
  </r>
  <r>
    <x v="0"/>
    <x v="0"/>
    <n v="2239087771"/>
    <x v="0"/>
    <n v="1950"/>
    <x v="0"/>
    <x v="0"/>
    <x v="5"/>
    <x v="0"/>
    <x v="0"/>
    <x v="0"/>
    <x v="0"/>
    <x v="0"/>
  </r>
  <r>
    <x v="0"/>
    <x v="0"/>
    <n v="2239087772"/>
    <x v="0"/>
    <n v="5340"/>
    <x v="0"/>
    <x v="0"/>
    <x v="5"/>
    <x v="0"/>
    <x v="0"/>
    <x v="0"/>
    <x v="0"/>
    <x v="0"/>
  </r>
  <r>
    <x v="0"/>
    <x v="0"/>
    <n v="2239087773"/>
    <x v="1"/>
    <n v="4500"/>
    <x v="0"/>
    <x v="0"/>
    <x v="5"/>
    <x v="1"/>
    <x v="0"/>
    <x v="0"/>
    <x v="1"/>
    <x v="0"/>
  </r>
  <r>
    <x v="0"/>
    <x v="0"/>
    <n v="2239087774"/>
    <x v="1"/>
    <n v="2700"/>
    <x v="0"/>
    <x v="0"/>
    <x v="5"/>
    <x v="1"/>
    <x v="0"/>
    <x v="0"/>
    <x v="1"/>
    <x v="0"/>
  </r>
  <r>
    <x v="0"/>
    <x v="0"/>
    <n v="2239087775"/>
    <x v="0"/>
    <n v="4050"/>
    <x v="0"/>
    <x v="0"/>
    <x v="5"/>
    <x v="0"/>
    <x v="0"/>
    <x v="0"/>
    <x v="0"/>
    <x v="0"/>
  </r>
  <r>
    <x v="0"/>
    <x v="0"/>
    <n v="2239087776"/>
    <x v="1"/>
    <n v="6270"/>
    <x v="0"/>
    <x v="0"/>
    <x v="5"/>
    <x v="1"/>
    <x v="0"/>
    <x v="0"/>
    <x v="1"/>
    <x v="0"/>
  </r>
  <r>
    <x v="0"/>
    <x v="0"/>
    <n v="2239087777"/>
    <x v="0"/>
    <n v="8550"/>
    <x v="0"/>
    <x v="0"/>
    <x v="5"/>
    <x v="0"/>
    <x v="0"/>
    <x v="0"/>
    <x v="0"/>
    <x v="0"/>
  </r>
  <r>
    <x v="0"/>
    <x v="0"/>
    <n v="2239087778"/>
    <x v="0"/>
    <n v="8550"/>
    <x v="0"/>
    <x v="0"/>
    <x v="5"/>
    <x v="0"/>
    <x v="0"/>
    <x v="0"/>
    <x v="0"/>
    <x v="0"/>
  </r>
  <r>
    <x v="0"/>
    <x v="0"/>
    <n v="2239087779"/>
    <x v="1"/>
    <n v="15270"/>
    <x v="0"/>
    <x v="0"/>
    <x v="5"/>
    <x v="1"/>
    <x v="0"/>
    <x v="0"/>
    <x v="1"/>
    <x v="0"/>
  </r>
  <r>
    <x v="0"/>
    <x v="0"/>
    <n v="2239087780"/>
    <x v="0"/>
    <n v="900"/>
    <x v="0"/>
    <x v="0"/>
    <x v="5"/>
    <x v="0"/>
    <x v="0"/>
    <x v="0"/>
    <x v="0"/>
    <x v="0"/>
  </r>
  <r>
    <x v="0"/>
    <x v="0"/>
    <n v="2239087781"/>
    <x v="0"/>
    <n v="1950"/>
    <x v="0"/>
    <x v="0"/>
    <x v="5"/>
    <x v="0"/>
    <x v="0"/>
    <x v="0"/>
    <x v="0"/>
    <x v="0"/>
  </r>
  <r>
    <x v="0"/>
    <x v="0"/>
    <n v="2239087782"/>
    <x v="1"/>
    <n v="16020"/>
    <x v="0"/>
    <x v="0"/>
    <x v="5"/>
    <x v="1"/>
    <x v="0"/>
    <x v="0"/>
    <x v="1"/>
    <x v="0"/>
  </r>
  <r>
    <x v="0"/>
    <x v="0"/>
    <n v="2239087783"/>
    <x v="0"/>
    <n v="13050"/>
    <x v="0"/>
    <x v="0"/>
    <x v="5"/>
    <x v="0"/>
    <x v="0"/>
    <x v="0"/>
    <x v="0"/>
    <x v="0"/>
  </r>
  <r>
    <x v="0"/>
    <x v="0"/>
    <n v="2239087784"/>
    <x v="1"/>
    <n v="4500"/>
    <x v="0"/>
    <x v="0"/>
    <x v="5"/>
    <x v="1"/>
    <x v="0"/>
    <x v="0"/>
    <x v="1"/>
    <x v="0"/>
  </r>
  <r>
    <x v="0"/>
    <x v="0"/>
    <n v="2239087785"/>
    <x v="1"/>
    <n v="14200"/>
    <x v="0"/>
    <x v="0"/>
    <x v="5"/>
    <x v="1"/>
    <x v="0"/>
    <x v="0"/>
    <x v="1"/>
    <x v="0"/>
  </r>
  <r>
    <x v="0"/>
    <x v="0"/>
    <n v="2239087786"/>
    <x v="1"/>
    <n v="4500"/>
    <x v="0"/>
    <x v="0"/>
    <x v="5"/>
    <x v="1"/>
    <x v="0"/>
    <x v="0"/>
    <x v="1"/>
    <x v="0"/>
  </r>
  <r>
    <x v="0"/>
    <x v="0"/>
    <n v="2239087787"/>
    <x v="0"/>
    <n v="2250"/>
    <x v="0"/>
    <x v="0"/>
    <x v="5"/>
    <x v="0"/>
    <x v="0"/>
    <x v="0"/>
    <x v="0"/>
    <x v="0"/>
  </r>
  <r>
    <x v="0"/>
    <x v="0"/>
    <n v="2239087788"/>
    <x v="0"/>
    <n v="54050"/>
    <x v="0"/>
    <x v="0"/>
    <x v="5"/>
    <x v="0"/>
    <x v="0"/>
    <x v="0"/>
    <x v="0"/>
    <x v="0"/>
  </r>
  <r>
    <x v="0"/>
    <x v="0"/>
    <n v="2239087789"/>
    <x v="0"/>
    <n v="5400"/>
    <x v="0"/>
    <x v="0"/>
    <x v="5"/>
    <x v="0"/>
    <x v="0"/>
    <x v="0"/>
    <x v="0"/>
    <x v="0"/>
  </r>
  <r>
    <x v="0"/>
    <x v="0"/>
    <n v="2239087790"/>
    <x v="0"/>
    <n v="3600"/>
    <x v="0"/>
    <x v="0"/>
    <x v="5"/>
    <x v="0"/>
    <x v="0"/>
    <x v="0"/>
    <x v="0"/>
    <x v="0"/>
  </r>
  <r>
    <x v="0"/>
    <x v="0"/>
    <n v="2239087791"/>
    <x v="1"/>
    <n v="1470"/>
    <x v="0"/>
    <x v="0"/>
    <x v="5"/>
    <x v="1"/>
    <x v="0"/>
    <x v="0"/>
    <x v="1"/>
    <x v="0"/>
  </r>
  <r>
    <x v="0"/>
    <x v="0"/>
    <n v="2239087792"/>
    <x v="0"/>
    <n v="10650"/>
    <x v="0"/>
    <x v="0"/>
    <x v="5"/>
    <x v="0"/>
    <x v="0"/>
    <x v="0"/>
    <x v="0"/>
    <x v="0"/>
  </r>
  <r>
    <x v="0"/>
    <x v="0"/>
    <n v="2239087793"/>
    <x v="1"/>
    <n v="1350"/>
    <x v="0"/>
    <x v="0"/>
    <x v="5"/>
    <x v="1"/>
    <x v="0"/>
    <x v="0"/>
    <x v="1"/>
    <x v="0"/>
  </r>
  <r>
    <x v="0"/>
    <x v="0"/>
    <n v="2239087794"/>
    <x v="0"/>
    <n v="1950"/>
    <x v="0"/>
    <x v="0"/>
    <x v="5"/>
    <x v="0"/>
    <x v="0"/>
    <x v="0"/>
    <x v="0"/>
    <x v="0"/>
  </r>
  <r>
    <x v="0"/>
    <x v="0"/>
    <n v="2239087795"/>
    <x v="0"/>
    <n v="13600"/>
    <x v="0"/>
    <x v="0"/>
    <x v="5"/>
    <x v="0"/>
    <x v="0"/>
    <x v="0"/>
    <x v="0"/>
    <x v="0"/>
  </r>
  <r>
    <x v="0"/>
    <x v="0"/>
    <n v="2239087796"/>
    <x v="0"/>
    <n v="6500"/>
    <x v="0"/>
    <x v="0"/>
    <x v="5"/>
    <x v="0"/>
    <x v="0"/>
    <x v="0"/>
    <x v="0"/>
    <x v="0"/>
  </r>
  <r>
    <x v="0"/>
    <x v="0"/>
    <n v="2239087797"/>
    <x v="0"/>
    <n v="900"/>
    <x v="0"/>
    <x v="0"/>
    <x v="5"/>
    <x v="0"/>
    <x v="0"/>
    <x v="0"/>
    <x v="0"/>
    <x v="0"/>
  </r>
  <r>
    <x v="0"/>
    <x v="0"/>
    <n v="2239087798"/>
    <x v="0"/>
    <n v="31320"/>
    <x v="0"/>
    <x v="0"/>
    <x v="5"/>
    <x v="0"/>
    <x v="0"/>
    <x v="0"/>
    <x v="0"/>
    <x v="0"/>
  </r>
  <r>
    <x v="0"/>
    <x v="0"/>
    <n v="2239087799"/>
    <x v="0"/>
    <n v="2250"/>
    <x v="0"/>
    <x v="0"/>
    <x v="5"/>
    <x v="0"/>
    <x v="0"/>
    <x v="0"/>
    <x v="0"/>
    <x v="0"/>
  </r>
  <r>
    <x v="0"/>
    <x v="0"/>
    <n v="2239087800"/>
    <x v="6"/>
    <n v="4000"/>
    <x v="0"/>
    <x v="0"/>
    <x v="5"/>
    <x v="6"/>
    <x v="0"/>
    <x v="0"/>
    <x v="5"/>
    <x v="0"/>
  </r>
  <r>
    <x v="0"/>
    <x v="0"/>
    <n v="2239087801"/>
    <x v="2"/>
    <n v="12474"/>
    <x v="0"/>
    <x v="0"/>
    <x v="5"/>
    <x v="2"/>
    <x v="0"/>
    <x v="0"/>
    <x v="2"/>
    <x v="0"/>
  </r>
  <r>
    <x v="0"/>
    <x v="0"/>
    <n v="2239087801"/>
    <x v="7"/>
    <n v="7560"/>
    <x v="0"/>
    <x v="0"/>
    <x v="5"/>
    <x v="7"/>
    <x v="0"/>
    <x v="0"/>
    <x v="1"/>
    <x v="0"/>
  </r>
  <r>
    <x v="0"/>
    <x v="0"/>
    <n v="2239087802"/>
    <x v="7"/>
    <n v="1500"/>
    <x v="0"/>
    <x v="0"/>
    <x v="5"/>
    <x v="7"/>
    <x v="0"/>
    <x v="0"/>
    <x v="1"/>
    <x v="0"/>
  </r>
  <r>
    <x v="0"/>
    <x v="0"/>
    <n v="2239087803"/>
    <x v="7"/>
    <n v="1500"/>
    <x v="0"/>
    <x v="0"/>
    <x v="5"/>
    <x v="7"/>
    <x v="0"/>
    <x v="0"/>
    <x v="1"/>
    <x v="0"/>
  </r>
  <r>
    <x v="0"/>
    <x v="0"/>
    <n v="2239087804"/>
    <x v="2"/>
    <n v="20000"/>
    <x v="0"/>
    <x v="0"/>
    <x v="5"/>
    <x v="2"/>
    <x v="0"/>
    <x v="0"/>
    <x v="2"/>
    <x v="0"/>
  </r>
  <r>
    <x v="0"/>
    <x v="0"/>
    <n v="2239087806"/>
    <x v="2"/>
    <n v="9240"/>
    <x v="0"/>
    <x v="0"/>
    <x v="5"/>
    <x v="2"/>
    <x v="0"/>
    <x v="0"/>
    <x v="2"/>
    <x v="0"/>
  </r>
  <r>
    <x v="0"/>
    <x v="0"/>
    <n v="2239087806"/>
    <x v="7"/>
    <n v="5600"/>
    <x v="0"/>
    <x v="0"/>
    <x v="5"/>
    <x v="7"/>
    <x v="0"/>
    <x v="0"/>
    <x v="1"/>
    <x v="0"/>
  </r>
  <r>
    <x v="0"/>
    <x v="0"/>
    <n v="2239087807"/>
    <x v="7"/>
    <n v="1500"/>
    <x v="0"/>
    <x v="0"/>
    <x v="5"/>
    <x v="7"/>
    <x v="0"/>
    <x v="0"/>
    <x v="1"/>
    <x v="0"/>
  </r>
  <r>
    <x v="0"/>
    <x v="0"/>
    <n v="2239087808"/>
    <x v="7"/>
    <n v="1500"/>
    <x v="0"/>
    <x v="0"/>
    <x v="5"/>
    <x v="7"/>
    <x v="0"/>
    <x v="0"/>
    <x v="1"/>
    <x v="0"/>
  </r>
  <r>
    <x v="0"/>
    <x v="0"/>
    <n v="2239087810"/>
    <x v="7"/>
    <n v="1500"/>
    <x v="0"/>
    <x v="0"/>
    <x v="5"/>
    <x v="7"/>
    <x v="0"/>
    <x v="0"/>
    <x v="1"/>
    <x v="0"/>
  </r>
  <r>
    <x v="0"/>
    <x v="0"/>
    <n v="2239087812"/>
    <x v="7"/>
    <n v="1500"/>
    <x v="0"/>
    <x v="0"/>
    <x v="5"/>
    <x v="7"/>
    <x v="0"/>
    <x v="0"/>
    <x v="1"/>
    <x v="0"/>
  </r>
  <r>
    <x v="0"/>
    <x v="0"/>
    <n v="2239087813"/>
    <x v="2"/>
    <n v="21032"/>
    <x v="0"/>
    <x v="0"/>
    <x v="5"/>
    <x v="2"/>
    <x v="0"/>
    <x v="0"/>
    <x v="2"/>
    <x v="0"/>
  </r>
  <r>
    <x v="0"/>
    <x v="0"/>
    <n v="2239087814"/>
    <x v="4"/>
    <n v="5600"/>
    <x v="0"/>
    <x v="0"/>
    <x v="5"/>
    <x v="4"/>
    <x v="0"/>
    <x v="0"/>
    <x v="4"/>
    <x v="0"/>
  </r>
  <r>
    <x v="0"/>
    <x v="0"/>
    <n v="2239087815"/>
    <x v="5"/>
    <n v="-340"/>
    <x v="0"/>
    <x v="0"/>
    <x v="5"/>
    <x v="5"/>
    <x v="0"/>
    <x v="0"/>
    <x v="5"/>
    <x v="0"/>
  </r>
  <r>
    <x v="0"/>
    <x v="0"/>
    <n v="2239087815"/>
    <x v="6"/>
    <n v="3000"/>
    <x v="0"/>
    <x v="0"/>
    <x v="5"/>
    <x v="6"/>
    <x v="0"/>
    <x v="0"/>
    <x v="5"/>
    <x v="0"/>
  </r>
  <r>
    <x v="0"/>
    <x v="0"/>
    <n v="2239087816"/>
    <x v="5"/>
    <n v="-1000"/>
    <x v="0"/>
    <x v="0"/>
    <x v="5"/>
    <x v="5"/>
    <x v="0"/>
    <x v="0"/>
    <x v="5"/>
    <x v="0"/>
  </r>
  <r>
    <x v="0"/>
    <x v="0"/>
    <n v="2239087816"/>
    <x v="6"/>
    <n v="2000"/>
    <x v="0"/>
    <x v="0"/>
    <x v="5"/>
    <x v="6"/>
    <x v="0"/>
    <x v="0"/>
    <x v="5"/>
    <x v="0"/>
  </r>
  <r>
    <x v="0"/>
    <x v="0"/>
    <n v="2239087817"/>
    <x v="7"/>
    <n v="1500"/>
    <x v="0"/>
    <x v="0"/>
    <x v="5"/>
    <x v="7"/>
    <x v="0"/>
    <x v="0"/>
    <x v="1"/>
    <x v="0"/>
  </r>
  <r>
    <x v="0"/>
    <x v="0"/>
    <n v="2239087818"/>
    <x v="2"/>
    <n v="5175"/>
    <x v="0"/>
    <x v="0"/>
    <x v="5"/>
    <x v="2"/>
    <x v="0"/>
    <x v="0"/>
    <x v="2"/>
    <x v="0"/>
  </r>
  <r>
    <x v="0"/>
    <x v="0"/>
    <n v="2239087819"/>
    <x v="2"/>
    <n v="42790"/>
    <x v="0"/>
    <x v="0"/>
    <x v="5"/>
    <x v="2"/>
    <x v="0"/>
    <x v="0"/>
    <x v="2"/>
    <x v="0"/>
  </r>
  <r>
    <x v="0"/>
    <x v="0"/>
    <n v="2239087820"/>
    <x v="3"/>
    <n v="172400"/>
    <x v="0"/>
    <x v="0"/>
    <x v="5"/>
    <x v="3"/>
    <x v="0"/>
    <x v="0"/>
    <x v="3"/>
    <x v="0"/>
  </r>
  <r>
    <x v="0"/>
    <x v="0"/>
    <n v="2239087821"/>
    <x v="2"/>
    <n v="164450"/>
    <x v="0"/>
    <x v="0"/>
    <x v="5"/>
    <x v="2"/>
    <x v="0"/>
    <x v="0"/>
    <x v="2"/>
    <x v="0"/>
  </r>
  <r>
    <x v="0"/>
    <x v="0"/>
    <n v="2239087822"/>
    <x v="2"/>
    <n v="20350"/>
    <x v="0"/>
    <x v="0"/>
    <x v="5"/>
    <x v="2"/>
    <x v="0"/>
    <x v="0"/>
    <x v="2"/>
    <x v="0"/>
  </r>
  <r>
    <x v="0"/>
    <x v="0"/>
    <n v="2239087823"/>
    <x v="3"/>
    <n v="8800"/>
    <x v="0"/>
    <x v="0"/>
    <x v="5"/>
    <x v="3"/>
    <x v="0"/>
    <x v="0"/>
    <x v="3"/>
    <x v="0"/>
  </r>
  <r>
    <x v="0"/>
    <x v="0"/>
    <n v="2239087824"/>
    <x v="5"/>
    <n v="-5000"/>
    <x v="0"/>
    <x v="0"/>
    <x v="5"/>
    <x v="5"/>
    <x v="0"/>
    <x v="0"/>
    <x v="5"/>
    <x v="0"/>
  </r>
  <r>
    <x v="0"/>
    <x v="0"/>
    <n v="2239087824"/>
    <x v="4"/>
    <n v="10300"/>
    <x v="0"/>
    <x v="0"/>
    <x v="5"/>
    <x v="4"/>
    <x v="0"/>
    <x v="0"/>
    <x v="4"/>
    <x v="0"/>
  </r>
  <r>
    <x v="0"/>
    <x v="0"/>
    <n v="2239087826"/>
    <x v="5"/>
    <n v="-4300"/>
    <x v="0"/>
    <x v="0"/>
    <x v="5"/>
    <x v="5"/>
    <x v="0"/>
    <x v="0"/>
    <x v="5"/>
    <x v="0"/>
  </r>
  <r>
    <x v="0"/>
    <x v="0"/>
    <n v="2239087826"/>
    <x v="4"/>
    <n v="10000"/>
    <x v="0"/>
    <x v="0"/>
    <x v="5"/>
    <x v="4"/>
    <x v="0"/>
    <x v="0"/>
    <x v="4"/>
    <x v="0"/>
  </r>
  <r>
    <x v="0"/>
    <x v="0"/>
    <n v="2239087827"/>
    <x v="4"/>
    <n v="5700"/>
    <x v="0"/>
    <x v="0"/>
    <x v="5"/>
    <x v="4"/>
    <x v="0"/>
    <x v="0"/>
    <x v="4"/>
    <x v="0"/>
  </r>
  <r>
    <x v="0"/>
    <x v="0"/>
    <n v="2239087828"/>
    <x v="4"/>
    <n v="4400"/>
    <x v="0"/>
    <x v="0"/>
    <x v="5"/>
    <x v="4"/>
    <x v="0"/>
    <x v="0"/>
    <x v="4"/>
    <x v="0"/>
  </r>
  <r>
    <x v="0"/>
    <x v="0"/>
    <n v="2239087829"/>
    <x v="3"/>
    <n v="43780"/>
    <x v="0"/>
    <x v="0"/>
    <x v="5"/>
    <x v="3"/>
    <x v="0"/>
    <x v="0"/>
    <x v="3"/>
    <x v="0"/>
  </r>
  <r>
    <x v="0"/>
    <x v="0"/>
    <n v="2239087830"/>
    <x v="2"/>
    <n v="54780"/>
    <x v="0"/>
    <x v="0"/>
    <x v="5"/>
    <x v="2"/>
    <x v="0"/>
    <x v="0"/>
    <x v="2"/>
    <x v="0"/>
  </r>
  <r>
    <x v="0"/>
    <x v="0"/>
    <n v="2239087831"/>
    <x v="2"/>
    <n v="9500"/>
    <x v="0"/>
    <x v="0"/>
    <x v="5"/>
    <x v="2"/>
    <x v="0"/>
    <x v="0"/>
    <x v="2"/>
    <x v="0"/>
  </r>
  <r>
    <x v="0"/>
    <x v="0"/>
    <n v="2239087832"/>
    <x v="7"/>
    <n v="4500"/>
    <x v="0"/>
    <x v="0"/>
    <x v="5"/>
    <x v="7"/>
    <x v="0"/>
    <x v="0"/>
    <x v="1"/>
    <x v="0"/>
  </r>
  <r>
    <x v="0"/>
    <x v="0"/>
    <n v="2239087834"/>
    <x v="2"/>
    <n v="3500"/>
    <x v="0"/>
    <x v="0"/>
    <x v="5"/>
    <x v="2"/>
    <x v="0"/>
    <x v="0"/>
    <x v="2"/>
    <x v="0"/>
  </r>
  <r>
    <x v="0"/>
    <x v="0"/>
    <n v="2239087835"/>
    <x v="3"/>
    <n v="36190"/>
    <x v="0"/>
    <x v="0"/>
    <x v="5"/>
    <x v="3"/>
    <x v="0"/>
    <x v="0"/>
    <x v="3"/>
    <x v="0"/>
  </r>
  <r>
    <x v="0"/>
    <x v="0"/>
    <n v="2239087836"/>
    <x v="2"/>
    <n v="31064"/>
    <x v="0"/>
    <x v="0"/>
    <x v="5"/>
    <x v="2"/>
    <x v="0"/>
    <x v="0"/>
    <x v="2"/>
    <x v="0"/>
  </r>
  <r>
    <x v="0"/>
    <x v="0"/>
    <n v="2239087837"/>
    <x v="7"/>
    <n v="7500"/>
    <x v="0"/>
    <x v="0"/>
    <x v="5"/>
    <x v="7"/>
    <x v="0"/>
    <x v="0"/>
    <x v="1"/>
    <x v="0"/>
  </r>
  <r>
    <x v="0"/>
    <x v="0"/>
    <n v="2239087838"/>
    <x v="5"/>
    <n v="-400"/>
    <x v="0"/>
    <x v="0"/>
    <x v="5"/>
    <x v="5"/>
    <x v="0"/>
    <x v="0"/>
    <x v="5"/>
    <x v="0"/>
  </r>
  <r>
    <x v="0"/>
    <x v="0"/>
    <n v="2239087838"/>
    <x v="4"/>
    <n v="5000"/>
    <x v="0"/>
    <x v="0"/>
    <x v="5"/>
    <x v="4"/>
    <x v="0"/>
    <x v="0"/>
    <x v="4"/>
    <x v="0"/>
  </r>
  <r>
    <x v="0"/>
    <x v="0"/>
    <n v="2239087839"/>
    <x v="7"/>
    <n v="1500"/>
    <x v="0"/>
    <x v="0"/>
    <x v="5"/>
    <x v="7"/>
    <x v="0"/>
    <x v="0"/>
    <x v="1"/>
    <x v="0"/>
  </r>
  <r>
    <x v="0"/>
    <x v="0"/>
    <n v="2239087840"/>
    <x v="5"/>
    <n v="-19000"/>
    <x v="0"/>
    <x v="0"/>
    <x v="5"/>
    <x v="5"/>
    <x v="0"/>
    <x v="0"/>
    <x v="5"/>
    <x v="0"/>
  </r>
  <r>
    <x v="0"/>
    <x v="0"/>
    <n v="2239087840"/>
    <x v="6"/>
    <n v="20000"/>
    <x v="0"/>
    <x v="0"/>
    <x v="5"/>
    <x v="6"/>
    <x v="0"/>
    <x v="0"/>
    <x v="5"/>
    <x v="0"/>
  </r>
  <r>
    <x v="0"/>
    <x v="0"/>
    <n v="2239087841"/>
    <x v="2"/>
    <n v="28611"/>
    <x v="0"/>
    <x v="0"/>
    <x v="5"/>
    <x v="2"/>
    <x v="0"/>
    <x v="0"/>
    <x v="2"/>
    <x v="0"/>
  </r>
  <r>
    <x v="0"/>
    <x v="0"/>
    <n v="2239087842"/>
    <x v="2"/>
    <n v="25400"/>
    <x v="0"/>
    <x v="0"/>
    <x v="5"/>
    <x v="2"/>
    <x v="0"/>
    <x v="0"/>
    <x v="2"/>
    <x v="0"/>
  </r>
  <r>
    <x v="0"/>
    <x v="0"/>
    <n v="2239087843"/>
    <x v="5"/>
    <n v="-400"/>
    <x v="0"/>
    <x v="0"/>
    <x v="5"/>
    <x v="5"/>
    <x v="0"/>
    <x v="0"/>
    <x v="5"/>
    <x v="0"/>
  </r>
  <r>
    <x v="0"/>
    <x v="0"/>
    <n v="2239087843"/>
    <x v="4"/>
    <n v="5000"/>
    <x v="0"/>
    <x v="0"/>
    <x v="5"/>
    <x v="4"/>
    <x v="0"/>
    <x v="0"/>
    <x v="4"/>
    <x v="0"/>
  </r>
  <r>
    <x v="0"/>
    <x v="0"/>
    <n v="2239087844"/>
    <x v="2"/>
    <n v="59180"/>
    <x v="0"/>
    <x v="0"/>
    <x v="5"/>
    <x v="2"/>
    <x v="0"/>
    <x v="0"/>
    <x v="2"/>
    <x v="0"/>
  </r>
  <r>
    <x v="0"/>
    <x v="0"/>
    <n v="2239087845"/>
    <x v="2"/>
    <n v="84480"/>
    <x v="0"/>
    <x v="0"/>
    <x v="5"/>
    <x v="2"/>
    <x v="0"/>
    <x v="0"/>
    <x v="2"/>
    <x v="0"/>
  </r>
  <r>
    <x v="0"/>
    <x v="0"/>
    <n v="2239087846"/>
    <x v="6"/>
    <n v="6500"/>
    <x v="0"/>
    <x v="0"/>
    <x v="5"/>
    <x v="6"/>
    <x v="0"/>
    <x v="0"/>
    <x v="5"/>
    <x v="0"/>
  </r>
  <r>
    <x v="0"/>
    <x v="0"/>
    <n v="2239087847"/>
    <x v="2"/>
    <n v="20240"/>
    <x v="0"/>
    <x v="0"/>
    <x v="5"/>
    <x v="2"/>
    <x v="0"/>
    <x v="0"/>
    <x v="2"/>
    <x v="0"/>
  </r>
  <r>
    <x v="0"/>
    <x v="0"/>
    <n v="2239087848"/>
    <x v="2"/>
    <n v="54890"/>
    <x v="0"/>
    <x v="0"/>
    <x v="5"/>
    <x v="2"/>
    <x v="0"/>
    <x v="0"/>
    <x v="2"/>
    <x v="0"/>
  </r>
  <r>
    <x v="0"/>
    <x v="0"/>
    <n v="2239087849"/>
    <x v="3"/>
    <n v="45540"/>
    <x v="0"/>
    <x v="0"/>
    <x v="5"/>
    <x v="3"/>
    <x v="0"/>
    <x v="0"/>
    <x v="3"/>
    <x v="0"/>
  </r>
  <r>
    <x v="0"/>
    <x v="0"/>
    <n v="2239087850"/>
    <x v="7"/>
    <n v="1500"/>
    <x v="0"/>
    <x v="0"/>
    <x v="5"/>
    <x v="7"/>
    <x v="0"/>
    <x v="0"/>
    <x v="1"/>
    <x v="0"/>
  </r>
  <r>
    <x v="0"/>
    <x v="0"/>
    <n v="2239087851"/>
    <x v="2"/>
    <n v="30800"/>
    <x v="0"/>
    <x v="0"/>
    <x v="5"/>
    <x v="2"/>
    <x v="0"/>
    <x v="0"/>
    <x v="2"/>
    <x v="0"/>
  </r>
  <r>
    <x v="0"/>
    <x v="0"/>
    <n v="2239087852"/>
    <x v="3"/>
    <n v="6600"/>
    <x v="0"/>
    <x v="0"/>
    <x v="5"/>
    <x v="3"/>
    <x v="0"/>
    <x v="0"/>
    <x v="3"/>
    <x v="0"/>
  </r>
  <r>
    <x v="0"/>
    <x v="0"/>
    <n v="2239087853"/>
    <x v="3"/>
    <n v="66300"/>
    <x v="0"/>
    <x v="0"/>
    <x v="5"/>
    <x v="3"/>
    <x v="0"/>
    <x v="0"/>
    <x v="3"/>
    <x v="0"/>
  </r>
  <r>
    <x v="0"/>
    <x v="0"/>
    <n v="2239087854"/>
    <x v="2"/>
    <n v="92356"/>
    <x v="0"/>
    <x v="0"/>
    <x v="5"/>
    <x v="2"/>
    <x v="0"/>
    <x v="0"/>
    <x v="2"/>
    <x v="0"/>
  </r>
  <r>
    <x v="0"/>
    <x v="0"/>
    <n v="2239087855"/>
    <x v="2"/>
    <n v="31790"/>
    <x v="0"/>
    <x v="0"/>
    <x v="5"/>
    <x v="2"/>
    <x v="0"/>
    <x v="0"/>
    <x v="2"/>
    <x v="0"/>
  </r>
  <r>
    <x v="0"/>
    <x v="0"/>
    <n v="2239087858"/>
    <x v="6"/>
    <n v="14500"/>
    <x v="0"/>
    <x v="0"/>
    <x v="5"/>
    <x v="6"/>
    <x v="0"/>
    <x v="0"/>
    <x v="5"/>
    <x v="0"/>
  </r>
  <r>
    <x v="0"/>
    <x v="0"/>
    <n v="2239087859"/>
    <x v="2"/>
    <n v="26565"/>
    <x v="0"/>
    <x v="0"/>
    <x v="5"/>
    <x v="2"/>
    <x v="0"/>
    <x v="0"/>
    <x v="2"/>
    <x v="0"/>
  </r>
  <r>
    <x v="0"/>
    <x v="0"/>
    <n v="2239087859"/>
    <x v="7"/>
    <n v="10350"/>
    <x v="0"/>
    <x v="0"/>
    <x v="5"/>
    <x v="7"/>
    <x v="0"/>
    <x v="0"/>
    <x v="1"/>
    <x v="0"/>
  </r>
  <r>
    <x v="0"/>
    <x v="0"/>
    <n v="2239087860"/>
    <x v="2"/>
    <n v="12540"/>
    <x v="0"/>
    <x v="0"/>
    <x v="5"/>
    <x v="2"/>
    <x v="0"/>
    <x v="0"/>
    <x v="2"/>
    <x v="0"/>
  </r>
  <r>
    <x v="0"/>
    <x v="0"/>
    <n v="2239087861"/>
    <x v="2"/>
    <n v="44946"/>
    <x v="0"/>
    <x v="0"/>
    <x v="5"/>
    <x v="2"/>
    <x v="0"/>
    <x v="0"/>
    <x v="2"/>
    <x v="0"/>
  </r>
  <r>
    <x v="0"/>
    <x v="0"/>
    <n v="2239087862"/>
    <x v="2"/>
    <n v="30690"/>
    <x v="0"/>
    <x v="0"/>
    <x v="5"/>
    <x v="2"/>
    <x v="0"/>
    <x v="0"/>
    <x v="2"/>
    <x v="0"/>
  </r>
  <r>
    <x v="0"/>
    <x v="0"/>
    <n v="2239087863"/>
    <x v="2"/>
    <n v="11550"/>
    <x v="0"/>
    <x v="0"/>
    <x v="5"/>
    <x v="2"/>
    <x v="0"/>
    <x v="0"/>
    <x v="2"/>
    <x v="0"/>
  </r>
  <r>
    <x v="0"/>
    <x v="0"/>
    <n v="2239087864"/>
    <x v="2"/>
    <n v="6930"/>
    <x v="0"/>
    <x v="0"/>
    <x v="5"/>
    <x v="2"/>
    <x v="0"/>
    <x v="0"/>
    <x v="2"/>
    <x v="0"/>
  </r>
  <r>
    <x v="0"/>
    <x v="0"/>
    <n v="2239087865"/>
    <x v="2"/>
    <n v="8800"/>
    <x v="0"/>
    <x v="0"/>
    <x v="5"/>
    <x v="2"/>
    <x v="0"/>
    <x v="0"/>
    <x v="2"/>
    <x v="0"/>
  </r>
  <r>
    <x v="0"/>
    <x v="0"/>
    <n v="2239087866"/>
    <x v="3"/>
    <n v="4500"/>
    <x v="0"/>
    <x v="0"/>
    <x v="5"/>
    <x v="3"/>
    <x v="0"/>
    <x v="0"/>
    <x v="3"/>
    <x v="0"/>
  </r>
  <r>
    <x v="0"/>
    <x v="0"/>
    <n v="2239087867"/>
    <x v="3"/>
    <n v="40400"/>
    <x v="0"/>
    <x v="0"/>
    <x v="5"/>
    <x v="3"/>
    <x v="0"/>
    <x v="0"/>
    <x v="3"/>
    <x v="0"/>
  </r>
  <r>
    <x v="0"/>
    <x v="0"/>
    <n v="2239087869"/>
    <x v="5"/>
    <n v="-1000"/>
    <x v="0"/>
    <x v="0"/>
    <x v="5"/>
    <x v="5"/>
    <x v="0"/>
    <x v="0"/>
    <x v="5"/>
    <x v="0"/>
  </r>
  <r>
    <x v="0"/>
    <x v="0"/>
    <n v="2239087869"/>
    <x v="6"/>
    <n v="5000"/>
    <x v="0"/>
    <x v="0"/>
    <x v="5"/>
    <x v="6"/>
    <x v="0"/>
    <x v="0"/>
    <x v="5"/>
    <x v="0"/>
  </r>
  <r>
    <x v="0"/>
    <x v="0"/>
    <n v="2239087870"/>
    <x v="2"/>
    <n v="69190"/>
    <x v="0"/>
    <x v="0"/>
    <x v="5"/>
    <x v="2"/>
    <x v="0"/>
    <x v="0"/>
    <x v="2"/>
    <x v="0"/>
  </r>
  <r>
    <x v="0"/>
    <x v="0"/>
    <n v="2239087871"/>
    <x v="7"/>
    <n v="1500"/>
    <x v="0"/>
    <x v="0"/>
    <x v="5"/>
    <x v="7"/>
    <x v="0"/>
    <x v="0"/>
    <x v="1"/>
    <x v="0"/>
  </r>
  <r>
    <x v="0"/>
    <x v="0"/>
    <n v="2239087872"/>
    <x v="2"/>
    <n v="23540"/>
    <x v="0"/>
    <x v="0"/>
    <x v="5"/>
    <x v="2"/>
    <x v="0"/>
    <x v="0"/>
    <x v="2"/>
    <x v="0"/>
  </r>
  <r>
    <x v="0"/>
    <x v="0"/>
    <n v="2239087873"/>
    <x v="5"/>
    <n v="-5600"/>
    <x v="0"/>
    <x v="0"/>
    <x v="5"/>
    <x v="5"/>
    <x v="0"/>
    <x v="0"/>
    <x v="5"/>
    <x v="0"/>
  </r>
  <r>
    <x v="0"/>
    <x v="0"/>
    <n v="2239087873"/>
    <x v="4"/>
    <n v="10000"/>
    <x v="0"/>
    <x v="0"/>
    <x v="5"/>
    <x v="4"/>
    <x v="0"/>
    <x v="0"/>
    <x v="4"/>
    <x v="0"/>
  </r>
  <r>
    <x v="0"/>
    <x v="0"/>
    <n v="2239087874"/>
    <x v="2"/>
    <n v="7150"/>
    <x v="0"/>
    <x v="0"/>
    <x v="5"/>
    <x v="2"/>
    <x v="0"/>
    <x v="0"/>
    <x v="2"/>
    <x v="0"/>
  </r>
  <r>
    <x v="0"/>
    <x v="0"/>
    <n v="2239087875"/>
    <x v="8"/>
    <n v="4500"/>
    <x v="0"/>
    <x v="0"/>
    <x v="5"/>
    <x v="8"/>
    <x v="0"/>
    <x v="0"/>
    <x v="3"/>
    <x v="0"/>
  </r>
  <r>
    <x v="0"/>
    <x v="0"/>
    <n v="2239087876"/>
    <x v="7"/>
    <n v="1500"/>
    <x v="0"/>
    <x v="0"/>
    <x v="5"/>
    <x v="7"/>
    <x v="0"/>
    <x v="0"/>
    <x v="1"/>
    <x v="0"/>
  </r>
  <r>
    <x v="0"/>
    <x v="0"/>
    <n v="2239087877"/>
    <x v="2"/>
    <n v="39270"/>
    <x v="0"/>
    <x v="0"/>
    <x v="5"/>
    <x v="2"/>
    <x v="0"/>
    <x v="0"/>
    <x v="2"/>
    <x v="0"/>
  </r>
  <r>
    <x v="0"/>
    <x v="0"/>
    <n v="2239087878"/>
    <x v="5"/>
    <n v="-1000"/>
    <x v="0"/>
    <x v="0"/>
    <x v="5"/>
    <x v="5"/>
    <x v="0"/>
    <x v="0"/>
    <x v="5"/>
    <x v="0"/>
  </r>
  <r>
    <x v="0"/>
    <x v="0"/>
    <n v="2239087878"/>
    <x v="6"/>
    <n v="5000"/>
    <x v="0"/>
    <x v="0"/>
    <x v="5"/>
    <x v="6"/>
    <x v="0"/>
    <x v="0"/>
    <x v="5"/>
    <x v="0"/>
  </r>
  <r>
    <x v="0"/>
    <x v="0"/>
    <n v="2239087879"/>
    <x v="3"/>
    <n v="3300"/>
    <x v="0"/>
    <x v="0"/>
    <x v="5"/>
    <x v="3"/>
    <x v="0"/>
    <x v="0"/>
    <x v="3"/>
    <x v="0"/>
  </r>
  <r>
    <x v="0"/>
    <x v="0"/>
    <n v="2239087880"/>
    <x v="7"/>
    <n v="4900"/>
    <x v="0"/>
    <x v="0"/>
    <x v="5"/>
    <x v="7"/>
    <x v="0"/>
    <x v="0"/>
    <x v="1"/>
    <x v="0"/>
  </r>
  <r>
    <x v="0"/>
    <x v="0"/>
    <n v="2239087881"/>
    <x v="5"/>
    <n v="-4000"/>
    <x v="0"/>
    <x v="0"/>
    <x v="5"/>
    <x v="5"/>
    <x v="0"/>
    <x v="0"/>
    <x v="5"/>
    <x v="0"/>
  </r>
  <r>
    <x v="0"/>
    <x v="0"/>
    <n v="2239087881"/>
    <x v="6"/>
    <n v="5000"/>
    <x v="0"/>
    <x v="0"/>
    <x v="5"/>
    <x v="6"/>
    <x v="0"/>
    <x v="0"/>
    <x v="5"/>
    <x v="0"/>
  </r>
  <r>
    <x v="0"/>
    <x v="0"/>
    <n v="2239087882"/>
    <x v="2"/>
    <n v="20592"/>
    <x v="0"/>
    <x v="0"/>
    <x v="5"/>
    <x v="2"/>
    <x v="0"/>
    <x v="0"/>
    <x v="2"/>
    <x v="0"/>
  </r>
  <r>
    <x v="0"/>
    <x v="0"/>
    <n v="2239087882"/>
    <x v="7"/>
    <n v="4680"/>
    <x v="0"/>
    <x v="0"/>
    <x v="5"/>
    <x v="7"/>
    <x v="0"/>
    <x v="0"/>
    <x v="1"/>
    <x v="0"/>
  </r>
  <r>
    <x v="0"/>
    <x v="0"/>
    <n v="2239087883"/>
    <x v="5"/>
    <n v="-2000"/>
    <x v="0"/>
    <x v="0"/>
    <x v="5"/>
    <x v="5"/>
    <x v="0"/>
    <x v="0"/>
    <x v="5"/>
    <x v="0"/>
  </r>
  <r>
    <x v="0"/>
    <x v="0"/>
    <n v="2239087883"/>
    <x v="6"/>
    <n v="5000"/>
    <x v="0"/>
    <x v="0"/>
    <x v="5"/>
    <x v="6"/>
    <x v="0"/>
    <x v="0"/>
    <x v="5"/>
    <x v="0"/>
  </r>
  <r>
    <x v="0"/>
    <x v="0"/>
    <n v="2239087884"/>
    <x v="5"/>
    <n v="-450"/>
    <x v="0"/>
    <x v="0"/>
    <x v="5"/>
    <x v="5"/>
    <x v="0"/>
    <x v="0"/>
    <x v="5"/>
    <x v="0"/>
  </r>
  <r>
    <x v="0"/>
    <x v="0"/>
    <n v="2239087884"/>
    <x v="6"/>
    <n v="5000"/>
    <x v="0"/>
    <x v="0"/>
    <x v="5"/>
    <x v="6"/>
    <x v="0"/>
    <x v="0"/>
    <x v="5"/>
    <x v="0"/>
  </r>
  <r>
    <x v="0"/>
    <x v="0"/>
    <n v="2239087884"/>
    <x v="7"/>
    <n v="1950"/>
    <x v="0"/>
    <x v="0"/>
    <x v="5"/>
    <x v="7"/>
    <x v="0"/>
    <x v="0"/>
    <x v="1"/>
    <x v="0"/>
  </r>
  <r>
    <x v="0"/>
    <x v="0"/>
    <n v="2239087885"/>
    <x v="5"/>
    <n v="-5600"/>
    <x v="0"/>
    <x v="0"/>
    <x v="5"/>
    <x v="5"/>
    <x v="0"/>
    <x v="0"/>
    <x v="5"/>
    <x v="0"/>
  </r>
  <r>
    <x v="0"/>
    <x v="0"/>
    <n v="2239087885"/>
    <x v="4"/>
    <n v="10000"/>
    <x v="0"/>
    <x v="0"/>
    <x v="5"/>
    <x v="4"/>
    <x v="0"/>
    <x v="0"/>
    <x v="4"/>
    <x v="0"/>
  </r>
  <r>
    <x v="0"/>
    <x v="0"/>
    <n v="2239087886"/>
    <x v="5"/>
    <n v="-6770"/>
    <x v="0"/>
    <x v="0"/>
    <x v="5"/>
    <x v="5"/>
    <x v="0"/>
    <x v="0"/>
    <x v="5"/>
    <x v="0"/>
  </r>
  <r>
    <x v="0"/>
    <x v="0"/>
    <n v="2239087886"/>
    <x v="6"/>
    <n v="20000"/>
    <x v="0"/>
    <x v="0"/>
    <x v="5"/>
    <x v="6"/>
    <x v="0"/>
    <x v="0"/>
    <x v="5"/>
    <x v="0"/>
  </r>
  <r>
    <x v="0"/>
    <x v="0"/>
    <n v="2239087887"/>
    <x v="5"/>
    <n v="-2000"/>
    <x v="0"/>
    <x v="0"/>
    <x v="5"/>
    <x v="5"/>
    <x v="0"/>
    <x v="0"/>
    <x v="5"/>
    <x v="0"/>
  </r>
  <r>
    <x v="0"/>
    <x v="0"/>
    <n v="2239087887"/>
    <x v="6"/>
    <n v="5000"/>
    <x v="0"/>
    <x v="0"/>
    <x v="5"/>
    <x v="6"/>
    <x v="0"/>
    <x v="0"/>
    <x v="5"/>
    <x v="0"/>
  </r>
  <r>
    <x v="0"/>
    <x v="0"/>
    <n v="2239087888"/>
    <x v="2"/>
    <n v="6500"/>
    <x v="0"/>
    <x v="0"/>
    <x v="5"/>
    <x v="2"/>
    <x v="0"/>
    <x v="0"/>
    <x v="2"/>
    <x v="0"/>
  </r>
  <r>
    <x v="0"/>
    <x v="0"/>
    <n v="2239087889"/>
    <x v="2"/>
    <n v="42900"/>
    <x v="0"/>
    <x v="0"/>
    <x v="5"/>
    <x v="2"/>
    <x v="0"/>
    <x v="0"/>
    <x v="2"/>
    <x v="0"/>
  </r>
  <r>
    <x v="0"/>
    <x v="0"/>
    <n v="2239087890"/>
    <x v="5"/>
    <n v="-1200"/>
    <x v="0"/>
    <x v="0"/>
    <x v="5"/>
    <x v="5"/>
    <x v="0"/>
    <x v="0"/>
    <x v="5"/>
    <x v="0"/>
  </r>
  <r>
    <x v="0"/>
    <x v="0"/>
    <n v="2239087890"/>
    <x v="6"/>
    <n v="5000"/>
    <x v="0"/>
    <x v="0"/>
    <x v="5"/>
    <x v="6"/>
    <x v="0"/>
    <x v="0"/>
    <x v="5"/>
    <x v="0"/>
  </r>
  <r>
    <x v="0"/>
    <x v="0"/>
    <n v="2239087891"/>
    <x v="5"/>
    <n v="-100"/>
    <x v="0"/>
    <x v="0"/>
    <x v="5"/>
    <x v="5"/>
    <x v="0"/>
    <x v="0"/>
    <x v="5"/>
    <x v="0"/>
  </r>
  <r>
    <x v="0"/>
    <x v="0"/>
    <n v="2239087891"/>
    <x v="6"/>
    <n v="32000"/>
    <x v="0"/>
    <x v="0"/>
    <x v="5"/>
    <x v="6"/>
    <x v="0"/>
    <x v="0"/>
    <x v="5"/>
    <x v="0"/>
  </r>
  <r>
    <x v="0"/>
    <x v="0"/>
    <n v="2239087892"/>
    <x v="5"/>
    <n v="-4100"/>
    <x v="0"/>
    <x v="0"/>
    <x v="5"/>
    <x v="5"/>
    <x v="0"/>
    <x v="0"/>
    <x v="5"/>
    <x v="0"/>
  </r>
  <r>
    <x v="0"/>
    <x v="0"/>
    <n v="2239087892"/>
    <x v="6"/>
    <n v="25000"/>
    <x v="0"/>
    <x v="0"/>
    <x v="5"/>
    <x v="6"/>
    <x v="0"/>
    <x v="0"/>
    <x v="5"/>
    <x v="0"/>
  </r>
  <r>
    <x v="0"/>
    <x v="0"/>
    <n v="2239087893"/>
    <x v="2"/>
    <n v="52690"/>
    <x v="0"/>
    <x v="0"/>
    <x v="5"/>
    <x v="2"/>
    <x v="0"/>
    <x v="0"/>
    <x v="2"/>
    <x v="0"/>
  </r>
  <r>
    <x v="0"/>
    <x v="0"/>
    <n v="2239087894"/>
    <x v="3"/>
    <n v="16720"/>
    <x v="0"/>
    <x v="0"/>
    <x v="5"/>
    <x v="3"/>
    <x v="0"/>
    <x v="0"/>
    <x v="3"/>
    <x v="0"/>
  </r>
  <r>
    <x v="0"/>
    <x v="0"/>
    <n v="2239087895"/>
    <x v="5"/>
    <n v="-970"/>
    <x v="0"/>
    <x v="0"/>
    <x v="5"/>
    <x v="5"/>
    <x v="0"/>
    <x v="0"/>
    <x v="5"/>
    <x v="0"/>
  </r>
  <r>
    <x v="0"/>
    <x v="0"/>
    <n v="2239087895"/>
    <x v="6"/>
    <n v="31000"/>
    <x v="0"/>
    <x v="0"/>
    <x v="5"/>
    <x v="6"/>
    <x v="0"/>
    <x v="0"/>
    <x v="5"/>
    <x v="0"/>
  </r>
  <r>
    <x v="0"/>
    <x v="0"/>
    <n v="2239087896"/>
    <x v="5"/>
    <n v="-7200"/>
    <x v="0"/>
    <x v="0"/>
    <x v="5"/>
    <x v="5"/>
    <x v="0"/>
    <x v="0"/>
    <x v="5"/>
    <x v="0"/>
  </r>
  <r>
    <x v="0"/>
    <x v="0"/>
    <n v="2239087896"/>
    <x v="6"/>
    <n v="50000"/>
    <x v="0"/>
    <x v="0"/>
    <x v="5"/>
    <x v="6"/>
    <x v="0"/>
    <x v="0"/>
    <x v="5"/>
    <x v="0"/>
  </r>
  <r>
    <x v="0"/>
    <x v="0"/>
    <n v="2239087897"/>
    <x v="3"/>
    <n v="14000"/>
    <x v="0"/>
    <x v="0"/>
    <x v="5"/>
    <x v="3"/>
    <x v="0"/>
    <x v="0"/>
    <x v="3"/>
    <x v="0"/>
  </r>
  <r>
    <x v="0"/>
    <x v="0"/>
    <n v="2239087898"/>
    <x v="2"/>
    <n v="17600"/>
    <x v="0"/>
    <x v="0"/>
    <x v="5"/>
    <x v="2"/>
    <x v="0"/>
    <x v="0"/>
    <x v="2"/>
    <x v="0"/>
  </r>
  <r>
    <x v="0"/>
    <x v="0"/>
    <n v="2239087899"/>
    <x v="2"/>
    <n v="6500"/>
    <x v="0"/>
    <x v="0"/>
    <x v="5"/>
    <x v="2"/>
    <x v="0"/>
    <x v="0"/>
    <x v="2"/>
    <x v="0"/>
  </r>
  <r>
    <x v="0"/>
    <x v="0"/>
    <n v="2239087900"/>
    <x v="2"/>
    <n v="9900"/>
    <x v="0"/>
    <x v="0"/>
    <x v="5"/>
    <x v="2"/>
    <x v="0"/>
    <x v="0"/>
    <x v="2"/>
    <x v="0"/>
  </r>
  <r>
    <x v="0"/>
    <x v="0"/>
    <n v="2239087901"/>
    <x v="0"/>
    <n v="10470"/>
    <x v="0"/>
    <x v="0"/>
    <x v="5"/>
    <x v="0"/>
    <x v="0"/>
    <x v="0"/>
    <x v="0"/>
    <x v="0"/>
  </r>
  <r>
    <x v="0"/>
    <x v="0"/>
    <n v="2239087903"/>
    <x v="8"/>
    <n v="8250"/>
    <x v="0"/>
    <x v="0"/>
    <x v="5"/>
    <x v="8"/>
    <x v="0"/>
    <x v="0"/>
    <x v="3"/>
    <x v="0"/>
  </r>
  <r>
    <x v="0"/>
    <x v="0"/>
    <n v="2239087904"/>
    <x v="3"/>
    <n v="31000"/>
    <x v="0"/>
    <x v="0"/>
    <x v="5"/>
    <x v="3"/>
    <x v="0"/>
    <x v="0"/>
    <x v="3"/>
    <x v="0"/>
  </r>
  <r>
    <x v="0"/>
    <x v="0"/>
    <n v="2239087905"/>
    <x v="5"/>
    <n v="-4000"/>
    <x v="0"/>
    <x v="0"/>
    <x v="5"/>
    <x v="5"/>
    <x v="0"/>
    <x v="0"/>
    <x v="5"/>
    <x v="0"/>
  </r>
  <r>
    <x v="0"/>
    <x v="0"/>
    <n v="2239087905"/>
    <x v="6"/>
    <n v="10000"/>
    <x v="0"/>
    <x v="0"/>
    <x v="5"/>
    <x v="6"/>
    <x v="0"/>
    <x v="0"/>
    <x v="5"/>
    <x v="0"/>
  </r>
  <r>
    <x v="0"/>
    <x v="0"/>
    <n v="2239087906"/>
    <x v="7"/>
    <n v="1500"/>
    <x v="0"/>
    <x v="0"/>
    <x v="5"/>
    <x v="7"/>
    <x v="0"/>
    <x v="0"/>
    <x v="1"/>
    <x v="0"/>
  </r>
  <r>
    <x v="0"/>
    <x v="0"/>
    <n v="2239087907"/>
    <x v="0"/>
    <n v="10350"/>
    <x v="0"/>
    <x v="0"/>
    <x v="5"/>
    <x v="0"/>
    <x v="0"/>
    <x v="0"/>
    <x v="0"/>
    <x v="0"/>
  </r>
  <r>
    <x v="0"/>
    <x v="0"/>
    <n v="2239087908"/>
    <x v="5"/>
    <n v="-5500"/>
    <x v="0"/>
    <x v="0"/>
    <x v="5"/>
    <x v="5"/>
    <x v="0"/>
    <x v="0"/>
    <x v="5"/>
    <x v="0"/>
  </r>
  <r>
    <x v="0"/>
    <x v="0"/>
    <n v="2239087908"/>
    <x v="6"/>
    <n v="10000"/>
    <x v="0"/>
    <x v="0"/>
    <x v="5"/>
    <x v="6"/>
    <x v="0"/>
    <x v="0"/>
    <x v="5"/>
    <x v="0"/>
  </r>
  <r>
    <x v="0"/>
    <x v="0"/>
    <n v="2239087909"/>
    <x v="3"/>
    <n v="22900"/>
    <x v="0"/>
    <x v="0"/>
    <x v="5"/>
    <x v="3"/>
    <x v="0"/>
    <x v="0"/>
    <x v="3"/>
    <x v="0"/>
  </r>
  <r>
    <x v="0"/>
    <x v="0"/>
    <n v="2239087910"/>
    <x v="2"/>
    <n v="7700"/>
    <x v="0"/>
    <x v="0"/>
    <x v="5"/>
    <x v="2"/>
    <x v="0"/>
    <x v="0"/>
    <x v="2"/>
    <x v="0"/>
  </r>
  <r>
    <x v="0"/>
    <x v="0"/>
    <n v="2239087911"/>
    <x v="3"/>
    <n v="38390"/>
    <x v="0"/>
    <x v="0"/>
    <x v="5"/>
    <x v="3"/>
    <x v="0"/>
    <x v="0"/>
    <x v="3"/>
    <x v="0"/>
  </r>
  <r>
    <x v="0"/>
    <x v="0"/>
    <n v="2239087912"/>
    <x v="2"/>
    <n v="10230"/>
    <x v="0"/>
    <x v="0"/>
    <x v="5"/>
    <x v="2"/>
    <x v="0"/>
    <x v="0"/>
    <x v="2"/>
    <x v="0"/>
  </r>
  <r>
    <x v="0"/>
    <x v="0"/>
    <n v="2239087914"/>
    <x v="2"/>
    <n v="45110"/>
    <x v="0"/>
    <x v="0"/>
    <x v="5"/>
    <x v="2"/>
    <x v="0"/>
    <x v="0"/>
    <x v="2"/>
    <x v="0"/>
  </r>
  <r>
    <x v="0"/>
    <x v="0"/>
    <n v="2239087915"/>
    <x v="2"/>
    <n v="8625"/>
    <x v="0"/>
    <x v="0"/>
    <x v="5"/>
    <x v="2"/>
    <x v="0"/>
    <x v="0"/>
    <x v="2"/>
    <x v="0"/>
  </r>
  <r>
    <x v="0"/>
    <x v="0"/>
    <n v="2239087916"/>
    <x v="3"/>
    <n v="8250"/>
    <x v="0"/>
    <x v="0"/>
    <x v="5"/>
    <x v="3"/>
    <x v="0"/>
    <x v="0"/>
    <x v="3"/>
    <x v="0"/>
  </r>
  <r>
    <x v="0"/>
    <x v="0"/>
    <n v="2239087917"/>
    <x v="2"/>
    <n v="18000"/>
    <x v="0"/>
    <x v="0"/>
    <x v="5"/>
    <x v="2"/>
    <x v="0"/>
    <x v="0"/>
    <x v="2"/>
    <x v="0"/>
  </r>
  <r>
    <x v="0"/>
    <x v="0"/>
    <n v="2239087918"/>
    <x v="2"/>
    <n v="6500"/>
    <x v="0"/>
    <x v="0"/>
    <x v="5"/>
    <x v="2"/>
    <x v="0"/>
    <x v="0"/>
    <x v="2"/>
    <x v="0"/>
  </r>
  <r>
    <x v="0"/>
    <x v="0"/>
    <n v="2239087919"/>
    <x v="2"/>
    <n v="16500"/>
    <x v="0"/>
    <x v="0"/>
    <x v="5"/>
    <x v="2"/>
    <x v="0"/>
    <x v="0"/>
    <x v="2"/>
    <x v="0"/>
  </r>
  <r>
    <x v="0"/>
    <x v="0"/>
    <n v="2239087920"/>
    <x v="4"/>
    <n v="4400"/>
    <x v="0"/>
    <x v="0"/>
    <x v="5"/>
    <x v="4"/>
    <x v="0"/>
    <x v="0"/>
    <x v="4"/>
    <x v="0"/>
  </r>
  <r>
    <x v="0"/>
    <x v="0"/>
    <n v="2239087921"/>
    <x v="5"/>
    <n v="-2000"/>
    <x v="0"/>
    <x v="0"/>
    <x v="5"/>
    <x v="5"/>
    <x v="0"/>
    <x v="0"/>
    <x v="5"/>
    <x v="0"/>
  </r>
  <r>
    <x v="0"/>
    <x v="0"/>
    <n v="2239087921"/>
    <x v="6"/>
    <n v="15000"/>
    <x v="0"/>
    <x v="0"/>
    <x v="5"/>
    <x v="6"/>
    <x v="0"/>
    <x v="0"/>
    <x v="5"/>
    <x v="0"/>
  </r>
  <r>
    <x v="0"/>
    <x v="0"/>
    <n v="2239087922"/>
    <x v="3"/>
    <n v="70510"/>
    <x v="0"/>
    <x v="0"/>
    <x v="5"/>
    <x v="3"/>
    <x v="0"/>
    <x v="0"/>
    <x v="3"/>
    <x v="0"/>
  </r>
  <r>
    <x v="0"/>
    <x v="0"/>
    <n v="2239087923"/>
    <x v="5"/>
    <n v="-4000"/>
    <x v="0"/>
    <x v="0"/>
    <x v="5"/>
    <x v="5"/>
    <x v="0"/>
    <x v="0"/>
    <x v="5"/>
    <x v="0"/>
  </r>
  <r>
    <x v="0"/>
    <x v="0"/>
    <n v="2239087923"/>
    <x v="6"/>
    <n v="10000"/>
    <x v="0"/>
    <x v="0"/>
    <x v="5"/>
    <x v="6"/>
    <x v="0"/>
    <x v="0"/>
    <x v="5"/>
    <x v="0"/>
  </r>
  <r>
    <x v="0"/>
    <x v="0"/>
    <n v="2239087924"/>
    <x v="3"/>
    <n v="6000"/>
    <x v="0"/>
    <x v="0"/>
    <x v="5"/>
    <x v="3"/>
    <x v="0"/>
    <x v="0"/>
    <x v="3"/>
    <x v="0"/>
  </r>
  <r>
    <x v="0"/>
    <x v="0"/>
    <n v="2239087925"/>
    <x v="3"/>
    <n v="13750"/>
    <x v="0"/>
    <x v="0"/>
    <x v="5"/>
    <x v="3"/>
    <x v="0"/>
    <x v="0"/>
    <x v="3"/>
    <x v="0"/>
  </r>
  <r>
    <x v="0"/>
    <x v="0"/>
    <n v="2239087926"/>
    <x v="2"/>
    <n v="5940"/>
    <x v="0"/>
    <x v="0"/>
    <x v="5"/>
    <x v="2"/>
    <x v="0"/>
    <x v="0"/>
    <x v="2"/>
    <x v="0"/>
  </r>
  <r>
    <x v="0"/>
    <x v="0"/>
    <n v="2239087927"/>
    <x v="7"/>
    <n v="1500"/>
    <x v="0"/>
    <x v="0"/>
    <x v="5"/>
    <x v="7"/>
    <x v="0"/>
    <x v="0"/>
    <x v="1"/>
    <x v="0"/>
  </r>
  <r>
    <x v="0"/>
    <x v="0"/>
    <n v="2239087928"/>
    <x v="5"/>
    <n v="-1500"/>
    <x v="0"/>
    <x v="0"/>
    <x v="5"/>
    <x v="5"/>
    <x v="0"/>
    <x v="0"/>
    <x v="5"/>
    <x v="0"/>
  </r>
  <r>
    <x v="0"/>
    <x v="0"/>
    <n v="2239087928"/>
    <x v="6"/>
    <n v="5000"/>
    <x v="0"/>
    <x v="0"/>
    <x v="5"/>
    <x v="6"/>
    <x v="0"/>
    <x v="0"/>
    <x v="5"/>
    <x v="0"/>
  </r>
  <r>
    <x v="0"/>
    <x v="0"/>
    <n v="2239087929"/>
    <x v="2"/>
    <n v="16500"/>
    <x v="0"/>
    <x v="0"/>
    <x v="5"/>
    <x v="2"/>
    <x v="0"/>
    <x v="0"/>
    <x v="2"/>
    <x v="0"/>
  </r>
  <r>
    <x v="0"/>
    <x v="0"/>
    <n v="2239087930"/>
    <x v="2"/>
    <n v="4400"/>
    <x v="0"/>
    <x v="0"/>
    <x v="5"/>
    <x v="2"/>
    <x v="0"/>
    <x v="0"/>
    <x v="2"/>
    <x v="0"/>
  </r>
  <r>
    <x v="0"/>
    <x v="0"/>
    <n v="2239087931"/>
    <x v="7"/>
    <n v="1500"/>
    <x v="0"/>
    <x v="0"/>
    <x v="5"/>
    <x v="7"/>
    <x v="0"/>
    <x v="0"/>
    <x v="1"/>
    <x v="0"/>
  </r>
  <r>
    <x v="0"/>
    <x v="0"/>
    <n v="2239087932"/>
    <x v="5"/>
    <n v="-1000"/>
    <x v="0"/>
    <x v="0"/>
    <x v="5"/>
    <x v="5"/>
    <x v="0"/>
    <x v="0"/>
    <x v="5"/>
    <x v="0"/>
  </r>
  <r>
    <x v="0"/>
    <x v="0"/>
    <n v="2239087932"/>
    <x v="6"/>
    <n v="15000"/>
    <x v="0"/>
    <x v="0"/>
    <x v="5"/>
    <x v="6"/>
    <x v="0"/>
    <x v="0"/>
    <x v="5"/>
    <x v="0"/>
  </r>
  <r>
    <x v="0"/>
    <x v="0"/>
    <n v="2239087934"/>
    <x v="7"/>
    <n v="1500"/>
    <x v="0"/>
    <x v="0"/>
    <x v="5"/>
    <x v="7"/>
    <x v="0"/>
    <x v="0"/>
    <x v="1"/>
    <x v="0"/>
  </r>
  <r>
    <x v="0"/>
    <x v="0"/>
    <n v="2239087935"/>
    <x v="5"/>
    <n v="-5500"/>
    <x v="0"/>
    <x v="0"/>
    <x v="5"/>
    <x v="5"/>
    <x v="0"/>
    <x v="0"/>
    <x v="5"/>
    <x v="0"/>
  </r>
  <r>
    <x v="0"/>
    <x v="0"/>
    <n v="2239087935"/>
    <x v="6"/>
    <n v="10000"/>
    <x v="0"/>
    <x v="0"/>
    <x v="5"/>
    <x v="6"/>
    <x v="0"/>
    <x v="0"/>
    <x v="5"/>
    <x v="0"/>
  </r>
  <r>
    <x v="0"/>
    <x v="0"/>
    <n v="2239087936"/>
    <x v="5"/>
    <n v="-3500"/>
    <x v="0"/>
    <x v="0"/>
    <x v="5"/>
    <x v="5"/>
    <x v="0"/>
    <x v="0"/>
    <x v="5"/>
    <x v="0"/>
  </r>
  <r>
    <x v="0"/>
    <x v="0"/>
    <n v="2239087936"/>
    <x v="6"/>
    <n v="10000"/>
    <x v="0"/>
    <x v="0"/>
    <x v="5"/>
    <x v="6"/>
    <x v="0"/>
    <x v="0"/>
    <x v="5"/>
    <x v="0"/>
  </r>
  <r>
    <x v="0"/>
    <x v="0"/>
    <n v="2239087937"/>
    <x v="5"/>
    <n v="-17000"/>
    <x v="0"/>
    <x v="0"/>
    <x v="5"/>
    <x v="5"/>
    <x v="0"/>
    <x v="0"/>
    <x v="5"/>
    <x v="0"/>
  </r>
  <r>
    <x v="0"/>
    <x v="0"/>
    <n v="2239087937"/>
    <x v="6"/>
    <n v="20000"/>
    <x v="0"/>
    <x v="0"/>
    <x v="5"/>
    <x v="6"/>
    <x v="0"/>
    <x v="0"/>
    <x v="5"/>
    <x v="0"/>
  </r>
  <r>
    <x v="0"/>
    <x v="0"/>
    <n v="2239087938"/>
    <x v="3"/>
    <n v="11000"/>
    <x v="0"/>
    <x v="0"/>
    <x v="5"/>
    <x v="3"/>
    <x v="0"/>
    <x v="0"/>
    <x v="3"/>
    <x v="0"/>
  </r>
  <r>
    <x v="0"/>
    <x v="0"/>
    <n v="2239087939"/>
    <x v="3"/>
    <n v="34650"/>
    <x v="0"/>
    <x v="0"/>
    <x v="5"/>
    <x v="3"/>
    <x v="0"/>
    <x v="0"/>
    <x v="3"/>
    <x v="0"/>
  </r>
  <r>
    <x v="0"/>
    <x v="0"/>
    <n v="2239087939"/>
    <x v="7"/>
    <n v="13500"/>
    <x v="0"/>
    <x v="0"/>
    <x v="5"/>
    <x v="7"/>
    <x v="0"/>
    <x v="0"/>
    <x v="1"/>
    <x v="0"/>
  </r>
  <r>
    <x v="0"/>
    <x v="0"/>
    <n v="2239087940"/>
    <x v="5"/>
    <n v="-4300"/>
    <x v="0"/>
    <x v="0"/>
    <x v="5"/>
    <x v="5"/>
    <x v="0"/>
    <x v="0"/>
    <x v="5"/>
    <x v="0"/>
  </r>
  <r>
    <x v="0"/>
    <x v="0"/>
    <n v="2239087940"/>
    <x v="4"/>
    <n v="10000"/>
    <x v="0"/>
    <x v="0"/>
    <x v="5"/>
    <x v="4"/>
    <x v="0"/>
    <x v="0"/>
    <x v="4"/>
    <x v="0"/>
  </r>
  <r>
    <x v="0"/>
    <x v="0"/>
    <n v="2239087941"/>
    <x v="2"/>
    <n v="6000"/>
    <x v="0"/>
    <x v="0"/>
    <x v="5"/>
    <x v="2"/>
    <x v="0"/>
    <x v="0"/>
    <x v="2"/>
    <x v="0"/>
  </r>
  <r>
    <x v="0"/>
    <x v="0"/>
    <n v="2239087942"/>
    <x v="5"/>
    <n v="-10000"/>
    <x v="0"/>
    <x v="0"/>
    <x v="5"/>
    <x v="5"/>
    <x v="0"/>
    <x v="0"/>
    <x v="5"/>
    <x v="0"/>
  </r>
  <r>
    <x v="0"/>
    <x v="0"/>
    <n v="2239087942"/>
    <x v="6"/>
    <n v="20000"/>
    <x v="0"/>
    <x v="0"/>
    <x v="5"/>
    <x v="6"/>
    <x v="0"/>
    <x v="0"/>
    <x v="5"/>
    <x v="0"/>
  </r>
  <r>
    <x v="0"/>
    <x v="0"/>
    <n v="2239087944"/>
    <x v="3"/>
    <n v="6000"/>
    <x v="0"/>
    <x v="0"/>
    <x v="5"/>
    <x v="3"/>
    <x v="0"/>
    <x v="0"/>
    <x v="3"/>
    <x v="0"/>
  </r>
  <r>
    <x v="0"/>
    <x v="0"/>
    <n v="2239087945"/>
    <x v="5"/>
    <n v="-2100"/>
    <x v="0"/>
    <x v="0"/>
    <x v="5"/>
    <x v="5"/>
    <x v="0"/>
    <x v="0"/>
    <x v="5"/>
    <x v="0"/>
  </r>
  <r>
    <x v="0"/>
    <x v="0"/>
    <n v="2239087945"/>
    <x v="6"/>
    <n v="20000"/>
    <x v="0"/>
    <x v="0"/>
    <x v="5"/>
    <x v="6"/>
    <x v="0"/>
    <x v="0"/>
    <x v="5"/>
    <x v="0"/>
  </r>
  <r>
    <x v="0"/>
    <x v="0"/>
    <n v="2239087946"/>
    <x v="5"/>
    <n v="-13500"/>
    <x v="0"/>
    <x v="0"/>
    <x v="5"/>
    <x v="5"/>
    <x v="0"/>
    <x v="0"/>
    <x v="5"/>
    <x v="0"/>
  </r>
  <r>
    <x v="0"/>
    <x v="0"/>
    <n v="2239087946"/>
    <x v="6"/>
    <n v="20000"/>
    <x v="0"/>
    <x v="0"/>
    <x v="5"/>
    <x v="6"/>
    <x v="0"/>
    <x v="0"/>
    <x v="5"/>
    <x v="0"/>
  </r>
  <r>
    <x v="0"/>
    <x v="0"/>
    <n v="2239087947"/>
    <x v="3"/>
    <n v="5390"/>
    <x v="0"/>
    <x v="0"/>
    <x v="5"/>
    <x v="3"/>
    <x v="0"/>
    <x v="0"/>
    <x v="3"/>
    <x v="0"/>
  </r>
  <r>
    <x v="0"/>
    <x v="0"/>
    <n v="2239087948"/>
    <x v="2"/>
    <n v="21450"/>
    <x v="0"/>
    <x v="0"/>
    <x v="5"/>
    <x v="2"/>
    <x v="0"/>
    <x v="0"/>
    <x v="2"/>
    <x v="0"/>
  </r>
  <r>
    <x v="0"/>
    <x v="0"/>
    <n v="2239087949"/>
    <x v="5"/>
    <n v="-4400"/>
    <x v="0"/>
    <x v="0"/>
    <x v="5"/>
    <x v="5"/>
    <x v="0"/>
    <x v="0"/>
    <x v="5"/>
    <x v="0"/>
  </r>
  <r>
    <x v="0"/>
    <x v="0"/>
    <n v="2239087949"/>
    <x v="4"/>
    <n v="10000"/>
    <x v="0"/>
    <x v="0"/>
    <x v="5"/>
    <x v="4"/>
    <x v="0"/>
    <x v="0"/>
    <x v="4"/>
    <x v="0"/>
  </r>
  <r>
    <x v="0"/>
    <x v="0"/>
    <n v="2239087950"/>
    <x v="5"/>
    <n v="-4000"/>
    <x v="0"/>
    <x v="0"/>
    <x v="5"/>
    <x v="5"/>
    <x v="0"/>
    <x v="0"/>
    <x v="5"/>
    <x v="0"/>
  </r>
  <r>
    <x v="0"/>
    <x v="0"/>
    <n v="2239087950"/>
    <x v="6"/>
    <n v="10500"/>
    <x v="0"/>
    <x v="0"/>
    <x v="5"/>
    <x v="6"/>
    <x v="0"/>
    <x v="0"/>
    <x v="5"/>
    <x v="0"/>
  </r>
  <r>
    <x v="0"/>
    <x v="0"/>
    <n v="2239087951"/>
    <x v="5"/>
    <n v="-8100"/>
    <x v="0"/>
    <x v="0"/>
    <x v="5"/>
    <x v="5"/>
    <x v="0"/>
    <x v="0"/>
    <x v="5"/>
    <x v="0"/>
  </r>
  <r>
    <x v="0"/>
    <x v="0"/>
    <n v="2239087951"/>
    <x v="6"/>
    <n v="30000"/>
    <x v="0"/>
    <x v="0"/>
    <x v="5"/>
    <x v="6"/>
    <x v="0"/>
    <x v="0"/>
    <x v="5"/>
    <x v="0"/>
  </r>
  <r>
    <x v="0"/>
    <x v="0"/>
    <n v="2239087952"/>
    <x v="7"/>
    <n v="1500"/>
    <x v="0"/>
    <x v="0"/>
    <x v="5"/>
    <x v="7"/>
    <x v="0"/>
    <x v="0"/>
    <x v="1"/>
    <x v="0"/>
  </r>
  <r>
    <x v="0"/>
    <x v="0"/>
    <n v="2239087953"/>
    <x v="2"/>
    <n v="27500"/>
    <x v="0"/>
    <x v="0"/>
    <x v="5"/>
    <x v="2"/>
    <x v="0"/>
    <x v="0"/>
    <x v="2"/>
    <x v="0"/>
  </r>
  <r>
    <x v="0"/>
    <x v="0"/>
    <n v="2239087955"/>
    <x v="7"/>
    <n v="1500"/>
    <x v="0"/>
    <x v="0"/>
    <x v="5"/>
    <x v="7"/>
    <x v="0"/>
    <x v="0"/>
    <x v="1"/>
    <x v="0"/>
  </r>
  <r>
    <x v="0"/>
    <x v="0"/>
    <n v="2239087956"/>
    <x v="5"/>
    <n v="-6000"/>
    <x v="0"/>
    <x v="0"/>
    <x v="5"/>
    <x v="5"/>
    <x v="0"/>
    <x v="0"/>
    <x v="5"/>
    <x v="0"/>
  </r>
  <r>
    <x v="0"/>
    <x v="0"/>
    <n v="2239087956"/>
    <x v="6"/>
    <n v="20000"/>
    <x v="0"/>
    <x v="0"/>
    <x v="5"/>
    <x v="6"/>
    <x v="0"/>
    <x v="0"/>
    <x v="5"/>
    <x v="0"/>
  </r>
  <r>
    <x v="0"/>
    <x v="0"/>
    <n v="2239087957"/>
    <x v="2"/>
    <n v="6900"/>
    <x v="0"/>
    <x v="0"/>
    <x v="5"/>
    <x v="2"/>
    <x v="0"/>
    <x v="0"/>
    <x v="2"/>
    <x v="0"/>
  </r>
  <r>
    <x v="0"/>
    <x v="0"/>
    <n v="2239087958"/>
    <x v="2"/>
    <n v="6000"/>
    <x v="0"/>
    <x v="0"/>
    <x v="5"/>
    <x v="2"/>
    <x v="0"/>
    <x v="0"/>
    <x v="2"/>
    <x v="0"/>
  </r>
  <r>
    <x v="0"/>
    <x v="0"/>
    <n v="2239087959"/>
    <x v="4"/>
    <n v="5700"/>
    <x v="0"/>
    <x v="0"/>
    <x v="5"/>
    <x v="4"/>
    <x v="0"/>
    <x v="0"/>
    <x v="4"/>
    <x v="0"/>
  </r>
  <r>
    <x v="0"/>
    <x v="0"/>
    <n v="2239087960"/>
    <x v="2"/>
    <n v="6000"/>
    <x v="0"/>
    <x v="0"/>
    <x v="5"/>
    <x v="2"/>
    <x v="0"/>
    <x v="0"/>
    <x v="2"/>
    <x v="0"/>
  </r>
  <r>
    <x v="0"/>
    <x v="0"/>
    <n v="2239087961"/>
    <x v="5"/>
    <n v="-1600"/>
    <x v="0"/>
    <x v="0"/>
    <x v="5"/>
    <x v="5"/>
    <x v="0"/>
    <x v="0"/>
    <x v="5"/>
    <x v="0"/>
  </r>
  <r>
    <x v="0"/>
    <x v="0"/>
    <n v="2239087961"/>
    <x v="6"/>
    <n v="50000"/>
    <x v="0"/>
    <x v="0"/>
    <x v="5"/>
    <x v="6"/>
    <x v="0"/>
    <x v="0"/>
    <x v="5"/>
    <x v="0"/>
  </r>
  <r>
    <x v="0"/>
    <x v="0"/>
    <n v="2239087962"/>
    <x v="2"/>
    <n v="11550"/>
    <x v="0"/>
    <x v="0"/>
    <x v="5"/>
    <x v="2"/>
    <x v="0"/>
    <x v="0"/>
    <x v="2"/>
    <x v="0"/>
  </r>
  <r>
    <x v="0"/>
    <x v="0"/>
    <n v="2239087963"/>
    <x v="3"/>
    <n v="14300"/>
    <x v="0"/>
    <x v="0"/>
    <x v="5"/>
    <x v="3"/>
    <x v="0"/>
    <x v="0"/>
    <x v="3"/>
    <x v="0"/>
  </r>
  <r>
    <x v="0"/>
    <x v="0"/>
    <n v="2239087964"/>
    <x v="2"/>
    <n v="55000"/>
    <x v="0"/>
    <x v="0"/>
    <x v="5"/>
    <x v="2"/>
    <x v="0"/>
    <x v="0"/>
    <x v="2"/>
    <x v="0"/>
  </r>
  <r>
    <x v="0"/>
    <x v="0"/>
    <n v="2239087965"/>
    <x v="5"/>
    <n v="-300"/>
    <x v="0"/>
    <x v="0"/>
    <x v="5"/>
    <x v="5"/>
    <x v="0"/>
    <x v="0"/>
    <x v="5"/>
    <x v="0"/>
  </r>
  <r>
    <x v="0"/>
    <x v="0"/>
    <n v="2239087965"/>
    <x v="4"/>
    <n v="6000"/>
    <x v="0"/>
    <x v="0"/>
    <x v="5"/>
    <x v="4"/>
    <x v="0"/>
    <x v="0"/>
    <x v="4"/>
    <x v="0"/>
  </r>
  <r>
    <x v="0"/>
    <x v="0"/>
    <n v="2239087966"/>
    <x v="2"/>
    <n v="16000"/>
    <x v="0"/>
    <x v="0"/>
    <x v="5"/>
    <x v="2"/>
    <x v="0"/>
    <x v="0"/>
    <x v="2"/>
    <x v="0"/>
  </r>
  <r>
    <x v="0"/>
    <x v="0"/>
    <n v="2239087967"/>
    <x v="3"/>
    <n v="7000"/>
    <x v="0"/>
    <x v="0"/>
    <x v="5"/>
    <x v="3"/>
    <x v="0"/>
    <x v="0"/>
    <x v="3"/>
    <x v="0"/>
  </r>
  <r>
    <x v="0"/>
    <x v="0"/>
    <n v="2239087968"/>
    <x v="2"/>
    <n v="18590"/>
    <x v="0"/>
    <x v="0"/>
    <x v="5"/>
    <x v="2"/>
    <x v="0"/>
    <x v="0"/>
    <x v="2"/>
    <x v="0"/>
  </r>
  <r>
    <x v="0"/>
    <x v="0"/>
    <n v="2239087969"/>
    <x v="2"/>
    <n v="59400"/>
    <x v="0"/>
    <x v="0"/>
    <x v="5"/>
    <x v="2"/>
    <x v="0"/>
    <x v="0"/>
    <x v="2"/>
    <x v="0"/>
  </r>
  <r>
    <x v="0"/>
    <x v="0"/>
    <n v="2239087970"/>
    <x v="3"/>
    <n v="14300"/>
    <x v="0"/>
    <x v="0"/>
    <x v="5"/>
    <x v="3"/>
    <x v="0"/>
    <x v="0"/>
    <x v="3"/>
    <x v="0"/>
  </r>
  <r>
    <x v="0"/>
    <x v="0"/>
    <n v="2239087971"/>
    <x v="2"/>
    <n v="12000"/>
    <x v="0"/>
    <x v="0"/>
    <x v="5"/>
    <x v="2"/>
    <x v="0"/>
    <x v="0"/>
    <x v="2"/>
    <x v="0"/>
  </r>
  <r>
    <x v="0"/>
    <x v="0"/>
    <n v="2239087972"/>
    <x v="2"/>
    <n v="7500"/>
    <x v="0"/>
    <x v="0"/>
    <x v="5"/>
    <x v="2"/>
    <x v="0"/>
    <x v="0"/>
    <x v="2"/>
    <x v="0"/>
  </r>
  <r>
    <x v="0"/>
    <x v="0"/>
    <n v="2239087973"/>
    <x v="2"/>
    <n v="36630"/>
    <x v="0"/>
    <x v="0"/>
    <x v="5"/>
    <x v="2"/>
    <x v="0"/>
    <x v="0"/>
    <x v="2"/>
    <x v="0"/>
  </r>
  <r>
    <x v="0"/>
    <x v="0"/>
    <n v="2239087974"/>
    <x v="5"/>
    <n v="-1000"/>
    <x v="0"/>
    <x v="0"/>
    <x v="5"/>
    <x v="5"/>
    <x v="0"/>
    <x v="0"/>
    <x v="5"/>
    <x v="0"/>
  </r>
  <r>
    <x v="0"/>
    <x v="0"/>
    <n v="2239087974"/>
    <x v="6"/>
    <n v="5000"/>
    <x v="0"/>
    <x v="0"/>
    <x v="5"/>
    <x v="6"/>
    <x v="0"/>
    <x v="0"/>
    <x v="5"/>
    <x v="0"/>
  </r>
  <r>
    <x v="0"/>
    <x v="0"/>
    <n v="2239087975"/>
    <x v="2"/>
    <n v="3000"/>
    <x v="0"/>
    <x v="0"/>
    <x v="5"/>
    <x v="2"/>
    <x v="0"/>
    <x v="0"/>
    <x v="2"/>
    <x v="0"/>
  </r>
  <r>
    <x v="0"/>
    <x v="0"/>
    <n v="2239087976"/>
    <x v="2"/>
    <n v="53240"/>
    <x v="0"/>
    <x v="0"/>
    <x v="5"/>
    <x v="2"/>
    <x v="0"/>
    <x v="0"/>
    <x v="2"/>
    <x v="0"/>
  </r>
  <r>
    <x v="0"/>
    <x v="0"/>
    <n v="2239087977"/>
    <x v="0"/>
    <n v="4500"/>
    <x v="0"/>
    <x v="0"/>
    <x v="5"/>
    <x v="0"/>
    <x v="0"/>
    <x v="0"/>
    <x v="0"/>
    <x v="0"/>
  </r>
  <r>
    <x v="0"/>
    <x v="0"/>
    <n v="2239087978"/>
    <x v="2"/>
    <n v="10450"/>
    <x v="0"/>
    <x v="0"/>
    <x v="5"/>
    <x v="2"/>
    <x v="0"/>
    <x v="0"/>
    <x v="2"/>
    <x v="0"/>
  </r>
  <r>
    <x v="0"/>
    <x v="0"/>
    <n v="2239087979"/>
    <x v="2"/>
    <n v="11000"/>
    <x v="0"/>
    <x v="0"/>
    <x v="5"/>
    <x v="2"/>
    <x v="0"/>
    <x v="0"/>
    <x v="2"/>
    <x v="0"/>
  </r>
  <r>
    <x v="0"/>
    <x v="0"/>
    <n v="2239087980"/>
    <x v="2"/>
    <n v="13200"/>
    <x v="0"/>
    <x v="0"/>
    <x v="5"/>
    <x v="2"/>
    <x v="0"/>
    <x v="0"/>
    <x v="2"/>
    <x v="0"/>
  </r>
  <r>
    <x v="0"/>
    <x v="0"/>
    <n v="2239087981"/>
    <x v="5"/>
    <n v="-2080"/>
    <x v="0"/>
    <x v="0"/>
    <x v="5"/>
    <x v="5"/>
    <x v="0"/>
    <x v="0"/>
    <x v="5"/>
    <x v="0"/>
  </r>
  <r>
    <x v="0"/>
    <x v="0"/>
    <n v="2239087981"/>
    <x v="6"/>
    <n v="10000"/>
    <x v="0"/>
    <x v="0"/>
    <x v="5"/>
    <x v="6"/>
    <x v="0"/>
    <x v="0"/>
    <x v="5"/>
    <x v="0"/>
  </r>
  <r>
    <x v="0"/>
    <x v="0"/>
    <n v="2239087982"/>
    <x v="2"/>
    <n v="8000"/>
    <x v="0"/>
    <x v="0"/>
    <x v="5"/>
    <x v="2"/>
    <x v="0"/>
    <x v="0"/>
    <x v="2"/>
    <x v="0"/>
  </r>
  <r>
    <x v="0"/>
    <x v="0"/>
    <n v="2239087983"/>
    <x v="2"/>
    <n v="51590"/>
    <x v="0"/>
    <x v="0"/>
    <x v="5"/>
    <x v="2"/>
    <x v="0"/>
    <x v="0"/>
    <x v="2"/>
    <x v="0"/>
  </r>
  <r>
    <x v="0"/>
    <x v="0"/>
    <n v="2239087984"/>
    <x v="2"/>
    <n v="22990"/>
    <x v="0"/>
    <x v="0"/>
    <x v="5"/>
    <x v="2"/>
    <x v="0"/>
    <x v="0"/>
    <x v="2"/>
    <x v="0"/>
  </r>
  <r>
    <x v="0"/>
    <x v="0"/>
    <n v="2239087985"/>
    <x v="2"/>
    <n v="18150"/>
    <x v="0"/>
    <x v="0"/>
    <x v="5"/>
    <x v="2"/>
    <x v="0"/>
    <x v="0"/>
    <x v="2"/>
    <x v="0"/>
  </r>
  <r>
    <x v="0"/>
    <x v="0"/>
    <n v="2239087986"/>
    <x v="2"/>
    <n v="4400"/>
    <x v="0"/>
    <x v="0"/>
    <x v="5"/>
    <x v="2"/>
    <x v="0"/>
    <x v="0"/>
    <x v="2"/>
    <x v="0"/>
  </r>
  <r>
    <x v="0"/>
    <x v="0"/>
    <n v="2239087987"/>
    <x v="2"/>
    <n v="9548"/>
    <x v="0"/>
    <x v="0"/>
    <x v="5"/>
    <x v="2"/>
    <x v="0"/>
    <x v="0"/>
    <x v="2"/>
    <x v="0"/>
  </r>
  <r>
    <x v="0"/>
    <x v="0"/>
    <n v="2239087988"/>
    <x v="2"/>
    <n v="6000"/>
    <x v="0"/>
    <x v="0"/>
    <x v="5"/>
    <x v="2"/>
    <x v="0"/>
    <x v="0"/>
    <x v="2"/>
    <x v="0"/>
  </r>
  <r>
    <x v="0"/>
    <x v="0"/>
    <n v="2239087989"/>
    <x v="7"/>
    <n v="1500"/>
    <x v="0"/>
    <x v="0"/>
    <x v="5"/>
    <x v="7"/>
    <x v="0"/>
    <x v="0"/>
    <x v="1"/>
    <x v="0"/>
  </r>
  <r>
    <x v="0"/>
    <x v="0"/>
    <n v="2239087990"/>
    <x v="2"/>
    <n v="6500"/>
    <x v="0"/>
    <x v="0"/>
    <x v="5"/>
    <x v="2"/>
    <x v="0"/>
    <x v="0"/>
    <x v="2"/>
    <x v="0"/>
  </r>
  <r>
    <x v="0"/>
    <x v="0"/>
    <n v="2239087991"/>
    <x v="2"/>
    <n v="6000"/>
    <x v="0"/>
    <x v="0"/>
    <x v="5"/>
    <x v="2"/>
    <x v="0"/>
    <x v="0"/>
    <x v="2"/>
    <x v="0"/>
  </r>
  <r>
    <x v="0"/>
    <x v="0"/>
    <n v="2239087992"/>
    <x v="7"/>
    <n v="1500"/>
    <x v="0"/>
    <x v="0"/>
    <x v="5"/>
    <x v="7"/>
    <x v="0"/>
    <x v="0"/>
    <x v="1"/>
    <x v="0"/>
  </r>
  <r>
    <x v="0"/>
    <x v="0"/>
    <n v="2239087993"/>
    <x v="2"/>
    <n v="15000"/>
    <x v="0"/>
    <x v="0"/>
    <x v="5"/>
    <x v="2"/>
    <x v="0"/>
    <x v="0"/>
    <x v="2"/>
    <x v="0"/>
  </r>
  <r>
    <x v="0"/>
    <x v="0"/>
    <n v="2239087994"/>
    <x v="2"/>
    <n v="6600"/>
    <x v="0"/>
    <x v="0"/>
    <x v="5"/>
    <x v="2"/>
    <x v="0"/>
    <x v="0"/>
    <x v="2"/>
    <x v="0"/>
  </r>
  <r>
    <x v="0"/>
    <x v="0"/>
    <n v="2239087995"/>
    <x v="2"/>
    <n v="13563"/>
    <x v="0"/>
    <x v="0"/>
    <x v="5"/>
    <x v="2"/>
    <x v="0"/>
    <x v="0"/>
    <x v="2"/>
    <x v="0"/>
  </r>
  <r>
    <x v="0"/>
    <x v="0"/>
    <n v="2239087996"/>
    <x v="2"/>
    <n v="8800"/>
    <x v="0"/>
    <x v="0"/>
    <x v="5"/>
    <x v="2"/>
    <x v="0"/>
    <x v="0"/>
    <x v="2"/>
    <x v="0"/>
  </r>
  <r>
    <x v="0"/>
    <x v="0"/>
    <n v="2239087997"/>
    <x v="5"/>
    <n v="-560"/>
    <x v="0"/>
    <x v="0"/>
    <x v="5"/>
    <x v="5"/>
    <x v="0"/>
    <x v="0"/>
    <x v="5"/>
    <x v="0"/>
  </r>
  <r>
    <x v="0"/>
    <x v="0"/>
    <n v="2239087997"/>
    <x v="6"/>
    <n v="20000"/>
    <x v="0"/>
    <x v="0"/>
    <x v="5"/>
    <x v="6"/>
    <x v="0"/>
    <x v="0"/>
    <x v="5"/>
    <x v="0"/>
  </r>
  <r>
    <x v="0"/>
    <x v="0"/>
    <n v="2239087998"/>
    <x v="2"/>
    <n v="8250"/>
    <x v="0"/>
    <x v="0"/>
    <x v="5"/>
    <x v="2"/>
    <x v="0"/>
    <x v="0"/>
    <x v="2"/>
    <x v="0"/>
  </r>
  <r>
    <x v="0"/>
    <x v="0"/>
    <n v="2239087999"/>
    <x v="5"/>
    <n v="-6000"/>
    <x v="0"/>
    <x v="0"/>
    <x v="5"/>
    <x v="5"/>
    <x v="0"/>
    <x v="0"/>
    <x v="5"/>
    <x v="0"/>
  </r>
  <r>
    <x v="0"/>
    <x v="0"/>
    <n v="2239087999"/>
    <x v="6"/>
    <n v="20000"/>
    <x v="0"/>
    <x v="0"/>
    <x v="5"/>
    <x v="6"/>
    <x v="0"/>
    <x v="0"/>
    <x v="5"/>
    <x v="0"/>
  </r>
  <r>
    <x v="0"/>
    <x v="0"/>
    <n v="2239088000"/>
    <x v="2"/>
    <n v="7150"/>
    <x v="0"/>
    <x v="0"/>
    <x v="5"/>
    <x v="2"/>
    <x v="0"/>
    <x v="0"/>
    <x v="2"/>
    <x v="0"/>
  </r>
  <r>
    <x v="0"/>
    <x v="0"/>
    <n v="2239088001"/>
    <x v="5"/>
    <n v="-5000"/>
    <x v="0"/>
    <x v="0"/>
    <x v="5"/>
    <x v="5"/>
    <x v="0"/>
    <x v="0"/>
    <x v="5"/>
    <x v="0"/>
  </r>
  <r>
    <x v="0"/>
    <x v="0"/>
    <n v="2239088001"/>
    <x v="6"/>
    <n v="20000"/>
    <x v="0"/>
    <x v="0"/>
    <x v="5"/>
    <x v="6"/>
    <x v="0"/>
    <x v="0"/>
    <x v="5"/>
    <x v="0"/>
  </r>
  <r>
    <x v="0"/>
    <x v="0"/>
    <n v="2239088002"/>
    <x v="5"/>
    <n v="-1000"/>
    <x v="0"/>
    <x v="0"/>
    <x v="5"/>
    <x v="5"/>
    <x v="0"/>
    <x v="0"/>
    <x v="5"/>
    <x v="0"/>
  </r>
  <r>
    <x v="0"/>
    <x v="0"/>
    <n v="2239088002"/>
    <x v="4"/>
    <n v="5600"/>
    <x v="0"/>
    <x v="0"/>
    <x v="5"/>
    <x v="4"/>
    <x v="0"/>
    <x v="0"/>
    <x v="4"/>
    <x v="0"/>
  </r>
  <r>
    <x v="0"/>
    <x v="0"/>
    <n v="2239088003"/>
    <x v="2"/>
    <n v="42240"/>
    <x v="0"/>
    <x v="0"/>
    <x v="5"/>
    <x v="2"/>
    <x v="0"/>
    <x v="0"/>
    <x v="2"/>
    <x v="0"/>
  </r>
  <r>
    <x v="0"/>
    <x v="0"/>
    <n v="2239088004"/>
    <x v="2"/>
    <n v="24640"/>
    <x v="0"/>
    <x v="0"/>
    <x v="5"/>
    <x v="2"/>
    <x v="0"/>
    <x v="0"/>
    <x v="2"/>
    <x v="0"/>
  </r>
  <r>
    <x v="0"/>
    <x v="0"/>
    <n v="2239088005"/>
    <x v="2"/>
    <n v="7150"/>
    <x v="0"/>
    <x v="0"/>
    <x v="5"/>
    <x v="2"/>
    <x v="0"/>
    <x v="0"/>
    <x v="2"/>
    <x v="0"/>
  </r>
  <r>
    <x v="0"/>
    <x v="0"/>
    <n v="2239088006"/>
    <x v="5"/>
    <n v="-2000"/>
    <x v="0"/>
    <x v="0"/>
    <x v="5"/>
    <x v="5"/>
    <x v="0"/>
    <x v="0"/>
    <x v="5"/>
    <x v="0"/>
  </r>
  <r>
    <x v="0"/>
    <x v="0"/>
    <n v="2239088006"/>
    <x v="6"/>
    <n v="15000"/>
    <x v="0"/>
    <x v="0"/>
    <x v="5"/>
    <x v="6"/>
    <x v="0"/>
    <x v="0"/>
    <x v="5"/>
    <x v="0"/>
  </r>
  <r>
    <x v="0"/>
    <x v="0"/>
    <n v="2239088007"/>
    <x v="2"/>
    <n v="5500"/>
    <x v="0"/>
    <x v="0"/>
    <x v="5"/>
    <x v="2"/>
    <x v="0"/>
    <x v="0"/>
    <x v="2"/>
    <x v="0"/>
  </r>
  <r>
    <x v="0"/>
    <x v="0"/>
    <n v="2239088008"/>
    <x v="2"/>
    <n v="12650"/>
    <x v="0"/>
    <x v="0"/>
    <x v="5"/>
    <x v="2"/>
    <x v="0"/>
    <x v="0"/>
    <x v="2"/>
    <x v="0"/>
  </r>
  <r>
    <x v="0"/>
    <x v="0"/>
    <n v="2239088009"/>
    <x v="5"/>
    <n v="-16500"/>
    <x v="0"/>
    <x v="0"/>
    <x v="5"/>
    <x v="5"/>
    <x v="0"/>
    <x v="0"/>
    <x v="5"/>
    <x v="0"/>
  </r>
  <r>
    <x v="0"/>
    <x v="0"/>
    <n v="2239088009"/>
    <x v="6"/>
    <n v="20000"/>
    <x v="0"/>
    <x v="0"/>
    <x v="5"/>
    <x v="6"/>
    <x v="0"/>
    <x v="0"/>
    <x v="5"/>
    <x v="0"/>
  </r>
  <r>
    <x v="0"/>
    <x v="0"/>
    <n v="2239088010"/>
    <x v="3"/>
    <n v="8250"/>
    <x v="0"/>
    <x v="0"/>
    <x v="5"/>
    <x v="3"/>
    <x v="0"/>
    <x v="0"/>
    <x v="3"/>
    <x v="0"/>
  </r>
  <r>
    <x v="0"/>
    <x v="0"/>
    <n v="2239088011"/>
    <x v="2"/>
    <n v="26500"/>
    <x v="0"/>
    <x v="0"/>
    <x v="5"/>
    <x v="2"/>
    <x v="0"/>
    <x v="0"/>
    <x v="2"/>
    <x v="0"/>
  </r>
  <r>
    <x v="0"/>
    <x v="0"/>
    <n v="2239088012"/>
    <x v="2"/>
    <n v="5940"/>
    <x v="0"/>
    <x v="0"/>
    <x v="5"/>
    <x v="2"/>
    <x v="0"/>
    <x v="0"/>
    <x v="2"/>
    <x v="0"/>
  </r>
  <r>
    <x v="0"/>
    <x v="0"/>
    <n v="2239088013"/>
    <x v="5"/>
    <n v="-4300"/>
    <x v="0"/>
    <x v="0"/>
    <x v="5"/>
    <x v="5"/>
    <x v="0"/>
    <x v="0"/>
    <x v="5"/>
    <x v="0"/>
  </r>
  <r>
    <x v="0"/>
    <x v="0"/>
    <n v="2239088013"/>
    <x v="4"/>
    <n v="10000"/>
    <x v="0"/>
    <x v="0"/>
    <x v="5"/>
    <x v="4"/>
    <x v="0"/>
    <x v="0"/>
    <x v="4"/>
    <x v="0"/>
  </r>
  <r>
    <x v="0"/>
    <x v="0"/>
    <n v="2239088014"/>
    <x v="3"/>
    <n v="7600"/>
    <x v="0"/>
    <x v="0"/>
    <x v="5"/>
    <x v="3"/>
    <x v="0"/>
    <x v="0"/>
    <x v="3"/>
    <x v="0"/>
  </r>
  <r>
    <x v="0"/>
    <x v="0"/>
    <n v="2239088015"/>
    <x v="2"/>
    <n v="7150"/>
    <x v="0"/>
    <x v="0"/>
    <x v="5"/>
    <x v="2"/>
    <x v="0"/>
    <x v="0"/>
    <x v="2"/>
    <x v="0"/>
  </r>
  <r>
    <x v="0"/>
    <x v="0"/>
    <n v="2239088016"/>
    <x v="5"/>
    <n v="-5000"/>
    <x v="0"/>
    <x v="0"/>
    <x v="5"/>
    <x v="5"/>
    <x v="0"/>
    <x v="0"/>
    <x v="5"/>
    <x v="0"/>
  </r>
  <r>
    <x v="0"/>
    <x v="0"/>
    <n v="2239088016"/>
    <x v="6"/>
    <n v="10000"/>
    <x v="0"/>
    <x v="0"/>
    <x v="5"/>
    <x v="6"/>
    <x v="0"/>
    <x v="0"/>
    <x v="5"/>
    <x v="0"/>
  </r>
  <r>
    <x v="0"/>
    <x v="0"/>
    <n v="2239088017"/>
    <x v="5"/>
    <n v="-3500"/>
    <x v="0"/>
    <x v="0"/>
    <x v="5"/>
    <x v="5"/>
    <x v="0"/>
    <x v="0"/>
    <x v="5"/>
    <x v="0"/>
  </r>
  <r>
    <x v="0"/>
    <x v="0"/>
    <n v="2239088017"/>
    <x v="6"/>
    <n v="10000"/>
    <x v="0"/>
    <x v="0"/>
    <x v="5"/>
    <x v="6"/>
    <x v="0"/>
    <x v="0"/>
    <x v="5"/>
    <x v="0"/>
  </r>
  <r>
    <x v="0"/>
    <x v="0"/>
    <n v="2239088018"/>
    <x v="3"/>
    <n v="8250"/>
    <x v="0"/>
    <x v="0"/>
    <x v="5"/>
    <x v="3"/>
    <x v="0"/>
    <x v="0"/>
    <x v="3"/>
    <x v="0"/>
  </r>
  <r>
    <x v="0"/>
    <x v="0"/>
    <n v="2239088020"/>
    <x v="2"/>
    <n v="64680"/>
    <x v="0"/>
    <x v="0"/>
    <x v="5"/>
    <x v="2"/>
    <x v="0"/>
    <x v="0"/>
    <x v="2"/>
    <x v="0"/>
  </r>
  <r>
    <x v="0"/>
    <x v="0"/>
    <n v="2239088021"/>
    <x v="5"/>
    <n v="-5000"/>
    <x v="0"/>
    <x v="0"/>
    <x v="5"/>
    <x v="5"/>
    <x v="0"/>
    <x v="0"/>
    <x v="5"/>
    <x v="0"/>
  </r>
  <r>
    <x v="0"/>
    <x v="0"/>
    <n v="2239088021"/>
    <x v="6"/>
    <n v="20000"/>
    <x v="0"/>
    <x v="0"/>
    <x v="5"/>
    <x v="6"/>
    <x v="0"/>
    <x v="0"/>
    <x v="5"/>
    <x v="0"/>
  </r>
  <r>
    <x v="0"/>
    <x v="0"/>
    <n v="2239088022"/>
    <x v="7"/>
    <n v="1500"/>
    <x v="0"/>
    <x v="0"/>
    <x v="5"/>
    <x v="7"/>
    <x v="0"/>
    <x v="0"/>
    <x v="1"/>
    <x v="0"/>
  </r>
  <r>
    <x v="0"/>
    <x v="0"/>
    <n v="2239088023"/>
    <x v="5"/>
    <n v="-400"/>
    <x v="0"/>
    <x v="0"/>
    <x v="5"/>
    <x v="5"/>
    <x v="0"/>
    <x v="0"/>
    <x v="5"/>
    <x v="0"/>
  </r>
  <r>
    <x v="0"/>
    <x v="0"/>
    <n v="2239088023"/>
    <x v="4"/>
    <n v="5000"/>
    <x v="0"/>
    <x v="0"/>
    <x v="5"/>
    <x v="4"/>
    <x v="0"/>
    <x v="0"/>
    <x v="4"/>
    <x v="0"/>
  </r>
  <r>
    <x v="0"/>
    <x v="0"/>
    <n v="2239088024"/>
    <x v="7"/>
    <n v="1500"/>
    <x v="0"/>
    <x v="0"/>
    <x v="5"/>
    <x v="7"/>
    <x v="0"/>
    <x v="0"/>
    <x v="1"/>
    <x v="0"/>
  </r>
  <r>
    <x v="0"/>
    <x v="0"/>
    <n v="2239088025"/>
    <x v="2"/>
    <n v="6000"/>
    <x v="0"/>
    <x v="0"/>
    <x v="5"/>
    <x v="2"/>
    <x v="0"/>
    <x v="0"/>
    <x v="2"/>
    <x v="0"/>
  </r>
  <r>
    <x v="0"/>
    <x v="0"/>
    <n v="2239088026"/>
    <x v="8"/>
    <n v="12000"/>
    <x v="0"/>
    <x v="0"/>
    <x v="5"/>
    <x v="8"/>
    <x v="0"/>
    <x v="0"/>
    <x v="3"/>
    <x v="0"/>
  </r>
  <r>
    <x v="0"/>
    <x v="0"/>
    <n v="2239088027"/>
    <x v="0"/>
    <n v="45480"/>
    <x v="0"/>
    <x v="0"/>
    <x v="5"/>
    <x v="0"/>
    <x v="0"/>
    <x v="0"/>
    <x v="0"/>
    <x v="0"/>
  </r>
  <r>
    <x v="0"/>
    <x v="0"/>
    <n v="2239088028"/>
    <x v="3"/>
    <n v="16000"/>
    <x v="0"/>
    <x v="0"/>
    <x v="5"/>
    <x v="3"/>
    <x v="0"/>
    <x v="0"/>
    <x v="3"/>
    <x v="0"/>
  </r>
  <r>
    <x v="0"/>
    <x v="0"/>
    <n v="2239088029"/>
    <x v="2"/>
    <n v="6600"/>
    <x v="0"/>
    <x v="0"/>
    <x v="5"/>
    <x v="2"/>
    <x v="0"/>
    <x v="0"/>
    <x v="2"/>
    <x v="0"/>
  </r>
  <r>
    <x v="0"/>
    <x v="0"/>
    <n v="2239088030"/>
    <x v="0"/>
    <n v="3000"/>
    <x v="0"/>
    <x v="0"/>
    <x v="5"/>
    <x v="0"/>
    <x v="0"/>
    <x v="0"/>
    <x v="0"/>
    <x v="0"/>
  </r>
  <r>
    <x v="0"/>
    <x v="0"/>
    <n v="2239088032"/>
    <x v="2"/>
    <n v="23650"/>
    <x v="0"/>
    <x v="0"/>
    <x v="5"/>
    <x v="2"/>
    <x v="0"/>
    <x v="0"/>
    <x v="2"/>
    <x v="0"/>
  </r>
  <r>
    <x v="0"/>
    <x v="0"/>
    <n v="2239088033"/>
    <x v="2"/>
    <n v="7700"/>
    <x v="0"/>
    <x v="0"/>
    <x v="5"/>
    <x v="2"/>
    <x v="0"/>
    <x v="0"/>
    <x v="2"/>
    <x v="0"/>
  </r>
  <r>
    <x v="0"/>
    <x v="0"/>
    <n v="2239088034"/>
    <x v="7"/>
    <n v="6500"/>
    <x v="0"/>
    <x v="0"/>
    <x v="5"/>
    <x v="7"/>
    <x v="0"/>
    <x v="0"/>
    <x v="1"/>
    <x v="0"/>
  </r>
  <r>
    <x v="0"/>
    <x v="0"/>
    <n v="2239088035"/>
    <x v="2"/>
    <n v="7500"/>
    <x v="0"/>
    <x v="0"/>
    <x v="5"/>
    <x v="2"/>
    <x v="0"/>
    <x v="0"/>
    <x v="2"/>
    <x v="0"/>
  </r>
  <r>
    <x v="0"/>
    <x v="0"/>
    <n v="2239088036"/>
    <x v="5"/>
    <n v="-300"/>
    <x v="0"/>
    <x v="0"/>
    <x v="5"/>
    <x v="5"/>
    <x v="0"/>
    <x v="0"/>
    <x v="5"/>
    <x v="0"/>
  </r>
  <r>
    <x v="0"/>
    <x v="0"/>
    <n v="2239088036"/>
    <x v="4"/>
    <n v="6000"/>
    <x v="0"/>
    <x v="0"/>
    <x v="5"/>
    <x v="4"/>
    <x v="0"/>
    <x v="0"/>
    <x v="4"/>
    <x v="0"/>
  </r>
  <r>
    <x v="0"/>
    <x v="0"/>
    <n v="2239088037"/>
    <x v="3"/>
    <n v="45540"/>
    <x v="0"/>
    <x v="0"/>
    <x v="5"/>
    <x v="3"/>
    <x v="0"/>
    <x v="0"/>
    <x v="3"/>
    <x v="0"/>
  </r>
  <r>
    <x v="0"/>
    <x v="0"/>
    <n v="2239088038"/>
    <x v="2"/>
    <n v="9500"/>
    <x v="0"/>
    <x v="0"/>
    <x v="5"/>
    <x v="2"/>
    <x v="0"/>
    <x v="0"/>
    <x v="2"/>
    <x v="0"/>
  </r>
  <r>
    <x v="0"/>
    <x v="0"/>
    <n v="2239088039"/>
    <x v="2"/>
    <n v="5500"/>
    <x v="0"/>
    <x v="0"/>
    <x v="5"/>
    <x v="2"/>
    <x v="0"/>
    <x v="0"/>
    <x v="2"/>
    <x v="0"/>
  </r>
  <r>
    <x v="0"/>
    <x v="0"/>
    <n v="2239088040"/>
    <x v="2"/>
    <n v="10500"/>
    <x v="0"/>
    <x v="0"/>
    <x v="5"/>
    <x v="2"/>
    <x v="0"/>
    <x v="0"/>
    <x v="2"/>
    <x v="0"/>
  </r>
  <r>
    <x v="0"/>
    <x v="0"/>
    <n v="2239088041"/>
    <x v="2"/>
    <n v="9900"/>
    <x v="0"/>
    <x v="0"/>
    <x v="5"/>
    <x v="2"/>
    <x v="0"/>
    <x v="0"/>
    <x v="2"/>
    <x v="0"/>
  </r>
  <r>
    <x v="0"/>
    <x v="0"/>
    <n v="2239088043"/>
    <x v="2"/>
    <n v="16500"/>
    <x v="0"/>
    <x v="0"/>
    <x v="5"/>
    <x v="2"/>
    <x v="0"/>
    <x v="0"/>
    <x v="2"/>
    <x v="0"/>
  </r>
  <r>
    <x v="0"/>
    <x v="0"/>
    <n v="2239088044"/>
    <x v="2"/>
    <n v="6500"/>
    <x v="0"/>
    <x v="0"/>
    <x v="5"/>
    <x v="2"/>
    <x v="0"/>
    <x v="0"/>
    <x v="2"/>
    <x v="0"/>
  </r>
  <r>
    <x v="0"/>
    <x v="0"/>
    <n v="2239088045"/>
    <x v="5"/>
    <n v="-450"/>
    <x v="0"/>
    <x v="0"/>
    <x v="5"/>
    <x v="5"/>
    <x v="0"/>
    <x v="0"/>
    <x v="5"/>
    <x v="0"/>
  </r>
  <r>
    <x v="0"/>
    <x v="0"/>
    <n v="2239088045"/>
    <x v="6"/>
    <n v="5000"/>
    <x v="0"/>
    <x v="0"/>
    <x v="5"/>
    <x v="6"/>
    <x v="0"/>
    <x v="0"/>
    <x v="5"/>
    <x v="0"/>
  </r>
  <r>
    <x v="0"/>
    <x v="0"/>
    <n v="2239088045"/>
    <x v="7"/>
    <n v="1950"/>
    <x v="0"/>
    <x v="0"/>
    <x v="5"/>
    <x v="7"/>
    <x v="0"/>
    <x v="0"/>
    <x v="1"/>
    <x v="0"/>
  </r>
  <r>
    <x v="0"/>
    <x v="0"/>
    <n v="2239088046"/>
    <x v="5"/>
    <n v="-4000"/>
    <x v="0"/>
    <x v="0"/>
    <x v="5"/>
    <x v="5"/>
    <x v="0"/>
    <x v="0"/>
    <x v="5"/>
    <x v="0"/>
  </r>
  <r>
    <x v="0"/>
    <x v="0"/>
    <n v="2239088046"/>
    <x v="6"/>
    <n v="20000"/>
    <x v="0"/>
    <x v="0"/>
    <x v="5"/>
    <x v="6"/>
    <x v="0"/>
    <x v="0"/>
    <x v="5"/>
    <x v="0"/>
  </r>
  <r>
    <x v="0"/>
    <x v="0"/>
    <n v="2239088047"/>
    <x v="5"/>
    <n v="-7000"/>
    <x v="0"/>
    <x v="0"/>
    <x v="5"/>
    <x v="5"/>
    <x v="0"/>
    <x v="0"/>
    <x v="5"/>
    <x v="0"/>
  </r>
  <r>
    <x v="0"/>
    <x v="0"/>
    <n v="2239088047"/>
    <x v="6"/>
    <n v="10000"/>
    <x v="0"/>
    <x v="0"/>
    <x v="5"/>
    <x v="6"/>
    <x v="0"/>
    <x v="0"/>
    <x v="5"/>
    <x v="0"/>
  </r>
  <r>
    <x v="0"/>
    <x v="0"/>
    <n v="2239088048"/>
    <x v="5"/>
    <n v="-500"/>
    <x v="0"/>
    <x v="0"/>
    <x v="5"/>
    <x v="5"/>
    <x v="0"/>
    <x v="0"/>
    <x v="5"/>
    <x v="0"/>
  </r>
  <r>
    <x v="0"/>
    <x v="0"/>
    <n v="2239088048"/>
    <x v="6"/>
    <n v="7000"/>
    <x v="0"/>
    <x v="0"/>
    <x v="5"/>
    <x v="6"/>
    <x v="0"/>
    <x v="0"/>
    <x v="5"/>
    <x v="0"/>
  </r>
  <r>
    <x v="0"/>
    <x v="0"/>
    <n v="2239088049"/>
    <x v="3"/>
    <n v="29150"/>
    <x v="0"/>
    <x v="0"/>
    <x v="5"/>
    <x v="3"/>
    <x v="0"/>
    <x v="0"/>
    <x v="3"/>
    <x v="0"/>
  </r>
  <r>
    <x v="0"/>
    <x v="0"/>
    <n v="2239088050"/>
    <x v="3"/>
    <n v="38390"/>
    <x v="0"/>
    <x v="0"/>
    <x v="5"/>
    <x v="3"/>
    <x v="0"/>
    <x v="0"/>
    <x v="3"/>
    <x v="0"/>
  </r>
  <r>
    <x v="0"/>
    <x v="0"/>
    <n v="2239088051"/>
    <x v="5"/>
    <n v="-6000"/>
    <x v="0"/>
    <x v="0"/>
    <x v="5"/>
    <x v="5"/>
    <x v="0"/>
    <x v="0"/>
    <x v="5"/>
    <x v="0"/>
  </r>
  <r>
    <x v="0"/>
    <x v="0"/>
    <n v="2239088051"/>
    <x v="6"/>
    <n v="10000"/>
    <x v="0"/>
    <x v="0"/>
    <x v="5"/>
    <x v="6"/>
    <x v="0"/>
    <x v="0"/>
    <x v="5"/>
    <x v="0"/>
  </r>
  <r>
    <x v="0"/>
    <x v="0"/>
    <n v="2239088052"/>
    <x v="3"/>
    <n v="7000"/>
    <x v="0"/>
    <x v="0"/>
    <x v="5"/>
    <x v="3"/>
    <x v="0"/>
    <x v="0"/>
    <x v="3"/>
    <x v="0"/>
  </r>
  <r>
    <x v="0"/>
    <x v="0"/>
    <n v="2239088053"/>
    <x v="8"/>
    <n v="13000"/>
    <x v="0"/>
    <x v="0"/>
    <x v="5"/>
    <x v="8"/>
    <x v="0"/>
    <x v="0"/>
    <x v="3"/>
    <x v="0"/>
  </r>
  <r>
    <x v="0"/>
    <x v="0"/>
    <n v="2239088054"/>
    <x v="7"/>
    <n v="1500"/>
    <x v="0"/>
    <x v="0"/>
    <x v="5"/>
    <x v="7"/>
    <x v="0"/>
    <x v="0"/>
    <x v="1"/>
    <x v="0"/>
  </r>
  <r>
    <x v="0"/>
    <x v="0"/>
    <n v="2239088056"/>
    <x v="2"/>
    <n v="6900"/>
    <x v="0"/>
    <x v="0"/>
    <x v="5"/>
    <x v="2"/>
    <x v="0"/>
    <x v="0"/>
    <x v="2"/>
    <x v="0"/>
  </r>
  <r>
    <x v="0"/>
    <x v="0"/>
    <n v="2239088057"/>
    <x v="2"/>
    <n v="6600"/>
    <x v="0"/>
    <x v="0"/>
    <x v="5"/>
    <x v="2"/>
    <x v="0"/>
    <x v="0"/>
    <x v="2"/>
    <x v="0"/>
  </r>
  <r>
    <x v="0"/>
    <x v="0"/>
    <n v="2239088058"/>
    <x v="5"/>
    <n v="-3700"/>
    <x v="0"/>
    <x v="0"/>
    <x v="5"/>
    <x v="5"/>
    <x v="0"/>
    <x v="0"/>
    <x v="5"/>
    <x v="0"/>
  </r>
  <r>
    <x v="0"/>
    <x v="0"/>
    <n v="2239088058"/>
    <x v="6"/>
    <n v="10000"/>
    <x v="0"/>
    <x v="0"/>
    <x v="5"/>
    <x v="6"/>
    <x v="0"/>
    <x v="0"/>
    <x v="5"/>
    <x v="0"/>
  </r>
  <r>
    <x v="0"/>
    <x v="0"/>
    <n v="2239088059"/>
    <x v="1"/>
    <n v="12540"/>
    <x v="0"/>
    <x v="0"/>
    <x v="5"/>
    <x v="1"/>
    <x v="0"/>
    <x v="0"/>
    <x v="1"/>
    <x v="0"/>
  </r>
  <r>
    <x v="0"/>
    <x v="0"/>
    <n v="2239088060"/>
    <x v="2"/>
    <n v="6500"/>
    <x v="0"/>
    <x v="0"/>
    <x v="5"/>
    <x v="2"/>
    <x v="0"/>
    <x v="0"/>
    <x v="2"/>
    <x v="0"/>
  </r>
  <r>
    <x v="0"/>
    <x v="0"/>
    <n v="2239088061"/>
    <x v="2"/>
    <n v="7475"/>
    <x v="0"/>
    <x v="0"/>
    <x v="5"/>
    <x v="2"/>
    <x v="0"/>
    <x v="0"/>
    <x v="2"/>
    <x v="0"/>
  </r>
  <r>
    <x v="0"/>
    <x v="0"/>
    <n v="2239088062"/>
    <x v="5"/>
    <n v="-2000"/>
    <x v="0"/>
    <x v="0"/>
    <x v="5"/>
    <x v="5"/>
    <x v="0"/>
    <x v="0"/>
    <x v="5"/>
    <x v="0"/>
  </r>
  <r>
    <x v="0"/>
    <x v="0"/>
    <n v="2239088062"/>
    <x v="6"/>
    <n v="10000"/>
    <x v="0"/>
    <x v="0"/>
    <x v="5"/>
    <x v="6"/>
    <x v="0"/>
    <x v="0"/>
    <x v="5"/>
    <x v="0"/>
  </r>
  <r>
    <x v="0"/>
    <x v="0"/>
    <n v="2239088063"/>
    <x v="3"/>
    <n v="6500"/>
    <x v="0"/>
    <x v="0"/>
    <x v="5"/>
    <x v="3"/>
    <x v="0"/>
    <x v="0"/>
    <x v="3"/>
    <x v="0"/>
  </r>
  <r>
    <x v="0"/>
    <x v="0"/>
    <n v="2239088064"/>
    <x v="5"/>
    <n v="-4000"/>
    <x v="0"/>
    <x v="0"/>
    <x v="5"/>
    <x v="5"/>
    <x v="0"/>
    <x v="0"/>
    <x v="5"/>
    <x v="0"/>
  </r>
  <r>
    <x v="0"/>
    <x v="0"/>
    <n v="2239088064"/>
    <x v="6"/>
    <n v="10000"/>
    <x v="0"/>
    <x v="0"/>
    <x v="5"/>
    <x v="6"/>
    <x v="0"/>
    <x v="0"/>
    <x v="5"/>
    <x v="0"/>
  </r>
  <r>
    <x v="0"/>
    <x v="0"/>
    <n v="2239088065"/>
    <x v="2"/>
    <n v="23540"/>
    <x v="0"/>
    <x v="0"/>
    <x v="5"/>
    <x v="2"/>
    <x v="0"/>
    <x v="0"/>
    <x v="2"/>
    <x v="0"/>
  </r>
  <r>
    <x v="0"/>
    <x v="0"/>
    <n v="2239088066"/>
    <x v="2"/>
    <n v="17000"/>
    <x v="0"/>
    <x v="0"/>
    <x v="5"/>
    <x v="2"/>
    <x v="0"/>
    <x v="0"/>
    <x v="2"/>
    <x v="0"/>
  </r>
  <r>
    <x v="0"/>
    <x v="0"/>
    <n v="2239088067"/>
    <x v="2"/>
    <n v="7500"/>
    <x v="0"/>
    <x v="0"/>
    <x v="5"/>
    <x v="2"/>
    <x v="0"/>
    <x v="0"/>
    <x v="2"/>
    <x v="0"/>
  </r>
  <r>
    <x v="0"/>
    <x v="0"/>
    <n v="2239088068"/>
    <x v="2"/>
    <n v="9500"/>
    <x v="0"/>
    <x v="0"/>
    <x v="5"/>
    <x v="2"/>
    <x v="0"/>
    <x v="0"/>
    <x v="2"/>
    <x v="0"/>
  </r>
  <r>
    <x v="0"/>
    <x v="0"/>
    <n v="2239088069"/>
    <x v="7"/>
    <n v="1500"/>
    <x v="0"/>
    <x v="0"/>
    <x v="5"/>
    <x v="7"/>
    <x v="0"/>
    <x v="0"/>
    <x v="1"/>
    <x v="0"/>
  </r>
  <r>
    <x v="0"/>
    <x v="0"/>
    <n v="2239088070"/>
    <x v="2"/>
    <n v="6500"/>
    <x v="0"/>
    <x v="0"/>
    <x v="5"/>
    <x v="2"/>
    <x v="0"/>
    <x v="0"/>
    <x v="2"/>
    <x v="0"/>
  </r>
  <r>
    <x v="0"/>
    <x v="0"/>
    <n v="2239088071"/>
    <x v="0"/>
    <n v="1950"/>
    <x v="0"/>
    <x v="0"/>
    <x v="5"/>
    <x v="0"/>
    <x v="0"/>
    <x v="0"/>
    <x v="0"/>
    <x v="0"/>
  </r>
  <r>
    <x v="0"/>
    <x v="0"/>
    <n v="2239088072"/>
    <x v="5"/>
    <n v="-200"/>
    <x v="0"/>
    <x v="0"/>
    <x v="5"/>
    <x v="5"/>
    <x v="0"/>
    <x v="0"/>
    <x v="5"/>
    <x v="0"/>
  </r>
  <r>
    <x v="0"/>
    <x v="0"/>
    <n v="2239088072"/>
    <x v="6"/>
    <n v="13000"/>
    <x v="0"/>
    <x v="0"/>
    <x v="5"/>
    <x v="6"/>
    <x v="0"/>
    <x v="0"/>
    <x v="5"/>
    <x v="0"/>
  </r>
  <r>
    <x v="0"/>
    <x v="0"/>
    <n v="2239088073"/>
    <x v="5"/>
    <n v="-4000"/>
    <x v="0"/>
    <x v="0"/>
    <x v="5"/>
    <x v="5"/>
    <x v="0"/>
    <x v="0"/>
    <x v="5"/>
    <x v="0"/>
  </r>
  <r>
    <x v="0"/>
    <x v="0"/>
    <n v="2239088073"/>
    <x v="6"/>
    <n v="10500"/>
    <x v="0"/>
    <x v="0"/>
    <x v="5"/>
    <x v="6"/>
    <x v="0"/>
    <x v="0"/>
    <x v="5"/>
    <x v="0"/>
  </r>
  <r>
    <x v="0"/>
    <x v="0"/>
    <n v="2239088074"/>
    <x v="2"/>
    <n v="13000"/>
    <x v="0"/>
    <x v="0"/>
    <x v="5"/>
    <x v="2"/>
    <x v="0"/>
    <x v="0"/>
    <x v="2"/>
    <x v="0"/>
  </r>
  <r>
    <x v="0"/>
    <x v="0"/>
    <n v="2239088075"/>
    <x v="2"/>
    <n v="3300"/>
    <x v="0"/>
    <x v="0"/>
    <x v="5"/>
    <x v="2"/>
    <x v="0"/>
    <x v="0"/>
    <x v="2"/>
    <x v="0"/>
  </r>
  <r>
    <x v="0"/>
    <x v="0"/>
    <n v="2239088076"/>
    <x v="2"/>
    <n v="6000"/>
    <x v="0"/>
    <x v="0"/>
    <x v="5"/>
    <x v="2"/>
    <x v="0"/>
    <x v="0"/>
    <x v="2"/>
    <x v="0"/>
  </r>
  <r>
    <x v="0"/>
    <x v="0"/>
    <n v="2239088077"/>
    <x v="2"/>
    <n v="15900"/>
    <x v="0"/>
    <x v="0"/>
    <x v="5"/>
    <x v="2"/>
    <x v="0"/>
    <x v="0"/>
    <x v="2"/>
    <x v="0"/>
  </r>
  <r>
    <x v="0"/>
    <x v="0"/>
    <n v="2239088078"/>
    <x v="5"/>
    <n v="-1100"/>
    <x v="0"/>
    <x v="0"/>
    <x v="5"/>
    <x v="5"/>
    <x v="0"/>
    <x v="0"/>
    <x v="5"/>
    <x v="0"/>
  </r>
  <r>
    <x v="0"/>
    <x v="0"/>
    <n v="2239088078"/>
    <x v="6"/>
    <n v="20000"/>
    <x v="0"/>
    <x v="0"/>
    <x v="5"/>
    <x v="6"/>
    <x v="0"/>
    <x v="0"/>
    <x v="5"/>
    <x v="0"/>
  </r>
  <r>
    <x v="0"/>
    <x v="0"/>
    <n v="2239088079"/>
    <x v="7"/>
    <n v="3000"/>
    <x v="0"/>
    <x v="0"/>
    <x v="5"/>
    <x v="7"/>
    <x v="0"/>
    <x v="0"/>
    <x v="1"/>
    <x v="0"/>
  </r>
  <r>
    <x v="0"/>
    <x v="0"/>
    <n v="2239088080"/>
    <x v="5"/>
    <n v="-2500"/>
    <x v="0"/>
    <x v="0"/>
    <x v="5"/>
    <x v="5"/>
    <x v="0"/>
    <x v="0"/>
    <x v="5"/>
    <x v="0"/>
  </r>
  <r>
    <x v="0"/>
    <x v="0"/>
    <n v="2239088080"/>
    <x v="6"/>
    <n v="10000"/>
    <x v="0"/>
    <x v="0"/>
    <x v="5"/>
    <x v="6"/>
    <x v="0"/>
    <x v="0"/>
    <x v="5"/>
    <x v="0"/>
  </r>
  <r>
    <x v="0"/>
    <x v="0"/>
    <n v="2239088081"/>
    <x v="2"/>
    <n v="8250"/>
    <x v="0"/>
    <x v="0"/>
    <x v="5"/>
    <x v="2"/>
    <x v="0"/>
    <x v="0"/>
    <x v="2"/>
    <x v="0"/>
  </r>
  <r>
    <x v="0"/>
    <x v="0"/>
    <n v="2239088083"/>
    <x v="3"/>
    <n v="21000"/>
    <x v="0"/>
    <x v="0"/>
    <x v="5"/>
    <x v="3"/>
    <x v="0"/>
    <x v="0"/>
    <x v="3"/>
    <x v="0"/>
  </r>
  <r>
    <x v="0"/>
    <x v="0"/>
    <n v="2239088084"/>
    <x v="2"/>
    <n v="9500"/>
    <x v="0"/>
    <x v="0"/>
    <x v="5"/>
    <x v="2"/>
    <x v="0"/>
    <x v="0"/>
    <x v="2"/>
    <x v="0"/>
  </r>
  <r>
    <x v="0"/>
    <x v="0"/>
    <n v="2239088085"/>
    <x v="2"/>
    <n v="5720"/>
    <x v="0"/>
    <x v="0"/>
    <x v="5"/>
    <x v="2"/>
    <x v="0"/>
    <x v="0"/>
    <x v="2"/>
    <x v="0"/>
  </r>
  <r>
    <x v="0"/>
    <x v="0"/>
    <n v="2239088085"/>
    <x v="7"/>
    <n v="1300"/>
    <x v="0"/>
    <x v="0"/>
    <x v="5"/>
    <x v="7"/>
    <x v="0"/>
    <x v="0"/>
    <x v="1"/>
    <x v="0"/>
  </r>
  <r>
    <x v="0"/>
    <x v="0"/>
    <n v="2239088086"/>
    <x v="2"/>
    <n v="23500"/>
    <x v="0"/>
    <x v="0"/>
    <x v="5"/>
    <x v="2"/>
    <x v="0"/>
    <x v="0"/>
    <x v="2"/>
    <x v="0"/>
  </r>
  <r>
    <x v="0"/>
    <x v="0"/>
    <n v="2239088087"/>
    <x v="5"/>
    <n v="-600"/>
    <x v="0"/>
    <x v="0"/>
    <x v="5"/>
    <x v="5"/>
    <x v="0"/>
    <x v="0"/>
    <x v="5"/>
    <x v="0"/>
  </r>
  <r>
    <x v="0"/>
    <x v="0"/>
    <n v="2239088087"/>
    <x v="4"/>
    <n v="5000"/>
    <x v="0"/>
    <x v="0"/>
    <x v="5"/>
    <x v="4"/>
    <x v="0"/>
    <x v="0"/>
    <x v="4"/>
    <x v="0"/>
  </r>
  <r>
    <x v="0"/>
    <x v="0"/>
    <n v="2239088088"/>
    <x v="5"/>
    <n v="-1500"/>
    <x v="0"/>
    <x v="0"/>
    <x v="5"/>
    <x v="5"/>
    <x v="0"/>
    <x v="0"/>
    <x v="5"/>
    <x v="0"/>
  </r>
  <r>
    <x v="0"/>
    <x v="0"/>
    <n v="2239088088"/>
    <x v="6"/>
    <n v="9000"/>
    <x v="0"/>
    <x v="0"/>
    <x v="5"/>
    <x v="6"/>
    <x v="0"/>
    <x v="0"/>
    <x v="5"/>
    <x v="0"/>
  </r>
  <r>
    <x v="0"/>
    <x v="0"/>
    <n v="2239088089"/>
    <x v="7"/>
    <n v="1500"/>
    <x v="0"/>
    <x v="0"/>
    <x v="5"/>
    <x v="7"/>
    <x v="0"/>
    <x v="0"/>
    <x v="1"/>
    <x v="0"/>
  </r>
  <r>
    <x v="0"/>
    <x v="0"/>
    <n v="2239088090"/>
    <x v="7"/>
    <n v="1500"/>
    <x v="0"/>
    <x v="0"/>
    <x v="5"/>
    <x v="7"/>
    <x v="0"/>
    <x v="0"/>
    <x v="1"/>
    <x v="0"/>
  </r>
  <r>
    <x v="0"/>
    <x v="0"/>
    <n v="2239088091"/>
    <x v="3"/>
    <n v="18000"/>
    <x v="0"/>
    <x v="0"/>
    <x v="5"/>
    <x v="3"/>
    <x v="0"/>
    <x v="0"/>
    <x v="3"/>
    <x v="0"/>
  </r>
  <r>
    <x v="0"/>
    <x v="0"/>
    <n v="2239088092"/>
    <x v="3"/>
    <n v="63030"/>
    <x v="0"/>
    <x v="0"/>
    <x v="5"/>
    <x v="3"/>
    <x v="0"/>
    <x v="0"/>
    <x v="3"/>
    <x v="0"/>
  </r>
  <r>
    <x v="0"/>
    <x v="0"/>
    <n v="2239088093"/>
    <x v="2"/>
    <n v="15400"/>
    <x v="0"/>
    <x v="0"/>
    <x v="5"/>
    <x v="2"/>
    <x v="0"/>
    <x v="0"/>
    <x v="2"/>
    <x v="0"/>
  </r>
  <r>
    <x v="0"/>
    <x v="0"/>
    <n v="2239088094"/>
    <x v="2"/>
    <n v="8800"/>
    <x v="0"/>
    <x v="0"/>
    <x v="5"/>
    <x v="2"/>
    <x v="0"/>
    <x v="0"/>
    <x v="2"/>
    <x v="0"/>
  </r>
  <r>
    <x v="0"/>
    <x v="0"/>
    <n v="2239088095"/>
    <x v="2"/>
    <n v="13750"/>
    <x v="0"/>
    <x v="0"/>
    <x v="5"/>
    <x v="2"/>
    <x v="0"/>
    <x v="0"/>
    <x v="2"/>
    <x v="0"/>
  </r>
  <r>
    <x v="0"/>
    <x v="0"/>
    <n v="2239088096"/>
    <x v="5"/>
    <n v="-500"/>
    <x v="0"/>
    <x v="0"/>
    <x v="5"/>
    <x v="5"/>
    <x v="0"/>
    <x v="0"/>
    <x v="5"/>
    <x v="0"/>
  </r>
  <r>
    <x v="0"/>
    <x v="0"/>
    <n v="2239088096"/>
    <x v="6"/>
    <n v="5000"/>
    <x v="0"/>
    <x v="0"/>
    <x v="5"/>
    <x v="6"/>
    <x v="0"/>
    <x v="0"/>
    <x v="5"/>
    <x v="0"/>
  </r>
  <r>
    <x v="0"/>
    <x v="0"/>
    <n v="2239088097"/>
    <x v="2"/>
    <n v="4950"/>
    <x v="0"/>
    <x v="0"/>
    <x v="5"/>
    <x v="2"/>
    <x v="0"/>
    <x v="0"/>
    <x v="2"/>
    <x v="0"/>
  </r>
  <r>
    <x v="0"/>
    <x v="0"/>
    <n v="2239088098"/>
    <x v="5"/>
    <n v="-4700"/>
    <x v="0"/>
    <x v="0"/>
    <x v="5"/>
    <x v="5"/>
    <x v="0"/>
    <x v="0"/>
    <x v="5"/>
    <x v="0"/>
  </r>
  <r>
    <x v="0"/>
    <x v="0"/>
    <n v="2239088098"/>
    <x v="4"/>
    <n v="10000"/>
    <x v="0"/>
    <x v="0"/>
    <x v="5"/>
    <x v="4"/>
    <x v="0"/>
    <x v="0"/>
    <x v="4"/>
    <x v="0"/>
  </r>
  <r>
    <x v="0"/>
    <x v="0"/>
    <n v="2239088099"/>
    <x v="5"/>
    <n v="-15000"/>
    <x v="0"/>
    <x v="0"/>
    <x v="5"/>
    <x v="5"/>
    <x v="0"/>
    <x v="0"/>
    <x v="5"/>
    <x v="0"/>
  </r>
  <r>
    <x v="0"/>
    <x v="0"/>
    <n v="2239088099"/>
    <x v="6"/>
    <n v="20000"/>
    <x v="0"/>
    <x v="0"/>
    <x v="5"/>
    <x v="6"/>
    <x v="0"/>
    <x v="0"/>
    <x v="5"/>
    <x v="0"/>
  </r>
  <r>
    <x v="0"/>
    <x v="0"/>
    <n v="2239088100"/>
    <x v="5"/>
    <n v="-11000"/>
    <x v="0"/>
    <x v="0"/>
    <x v="5"/>
    <x v="5"/>
    <x v="0"/>
    <x v="0"/>
    <x v="5"/>
    <x v="0"/>
  </r>
  <r>
    <x v="0"/>
    <x v="0"/>
    <n v="2239088100"/>
    <x v="6"/>
    <n v="20000"/>
    <x v="0"/>
    <x v="0"/>
    <x v="5"/>
    <x v="6"/>
    <x v="0"/>
    <x v="0"/>
    <x v="5"/>
    <x v="0"/>
  </r>
  <r>
    <x v="0"/>
    <x v="0"/>
    <n v="2239088101"/>
    <x v="6"/>
    <n v="10000"/>
    <x v="0"/>
    <x v="0"/>
    <x v="5"/>
    <x v="6"/>
    <x v="0"/>
    <x v="0"/>
    <x v="5"/>
    <x v="0"/>
  </r>
  <r>
    <x v="0"/>
    <x v="0"/>
    <n v="2239088102"/>
    <x v="2"/>
    <n v="13000"/>
    <x v="0"/>
    <x v="0"/>
    <x v="5"/>
    <x v="2"/>
    <x v="0"/>
    <x v="0"/>
    <x v="2"/>
    <x v="0"/>
  </r>
  <r>
    <x v="0"/>
    <x v="0"/>
    <n v="2239088103"/>
    <x v="2"/>
    <n v="6500"/>
    <x v="0"/>
    <x v="0"/>
    <x v="5"/>
    <x v="2"/>
    <x v="0"/>
    <x v="0"/>
    <x v="2"/>
    <x v="0"/>
  </r>
  <r>
    <x v="0"/>
    <x v="0"/>
    <n v="2239088104"/>
    <x v="3"/>
    <n v="7000"/>
    <x v="0"/>
    <x v="0"/>
    <x v="5"/>
    <x v="3"/>
    <x v="0"/>
    <x v="0"/>
    <x v="3"/>
    <x v="0"/>
  </r>
  <r>
    <x v="0"/>
    <x v="0"/>
    <n v="2239088105"/>
    <x v="5"/>
    <n v="-2000"/>
    <x v="0"/>
    <x v="0"/>
    <x v="5"/>
    <x v="5"/>
    <x v="0"/>
    <x v="0"/>
    <x v="5"/>
    <x v="0"/>
  </r>
  <r>
    <x v="0"/>
    <x v="0"/>
    <n v="2239088105"/>
    <x v="6"/>
    <n v="5000"/>
    <x v="0"/>
    <x v="0"/>
    <x v="5"/>
    <x v="6"/>
    <x v="0"/>
    <x v="0"/>
    <x v="5"/>
    <x v="0"/>
  </r>
  <r>
    <x v="0"/>
    <x v="0"/>
    <n v="2239088106"/>
    <x v="7"/>
    <n v="3000"/>
    <x v="0"/>
    <x v="0"/>
    <x v="5"/>
    <x v="7"/>
    <x v="0"/>
    <x v="0"/>
    <x v="1"/>
    <x v="0"/>
  </r>
  <r>
    <x v="0"/>
    <x v="0"/>
    <n v="2239088107"/>
    <x v="7"/>
    <n v="1500"/>
    <x v="0"/>
    <x v="0"/>
    <x v="5"/>
    <x v="7"/>
    <x v="0"/>
    <x v="0"/>
    <x v="1"/>
    <x v="0"/>
  </r>
  <r>
    <x v="0"/>
    <x v="0"/>
    <n v="2239088108"/>
    <x v="5"/>
    <n v="-1200"/>
    <x v="0"/>
    <x v="0"/>
    <x v="5"/>
    <x v="5"/>
    <x v="0"/>
    <x v="0"/>
    <x v="5"/>
    <x v="0"/>
  </r>
  <r>
    <x v="0"/>
    <x v="0"/>
    <n v="2239088108"/>
    <x v="6"/>
    <n v="5000"/>
    <x v="0"/>
    <x v="0"/>
    <x v="5"/>
    <x v="6"/>
    <x v="0"/>
    <x v="0"/>
    <x v="5"/>
    <x v="0"/>
  </r>
  <r>
    <x v="0"/>
    <x v="0"/>
    <n v="2239088109"/>
    <x v="7"/>
    <n v="1500"/>
    <x v="0"/>
    <x v="0"/>
    <x v="5"/>
    <x v="7"/>
    <x v="0"/>
    <x v="0"/>
    <x v="1"/>
    <x v="0"/>
  </r>
  <r>
    <x v="0"/>
    <x v="0"/>
    <n v="2239088110"/>
    <x v="5"/>
    <n v="-2000"/>
    <x v="0"/>
    <x v="0"/>
    <x v="5"/>
    <x v="5"/>
    <x v="0"/>
    <x v="0"/>
    <x v="5"/>
    <x v="0"/>
  </r>
  <r>
    <x v="0"/>
    <x v="0"/>
    <n v="2239088110"/>
    <x v="6"/>
    <n v="15000"/>
    <x v="0"/>
    <x v="0"/>
    <x v="5"/>
    <x v="6"/>
    <x v="0"/>
    <x v="0"/>
    <x v="5"/>
    <x v="0"/>
  </r>
  <r>
    <x v="0"/>
    <x v="0"/>
    <n v="2239088111"/>
    <x v="3"/>
    <n v="25600"/>
    <x v="0"/>
    <x v="0"/>
    <x v="5"/>
    <x v="3"/>
    <x v="0"/>
    <x v="0"/>
    <x v="3"/>
    <x v="0"/>
  </r>
  <r>
    <x v="0"/>
    <x v="0"/>
    <n v="2239088112"/>
    <x v="2"/>
    <n v="12650"/>
    <x v="0"/>
    <x v="0"/>
    <x v="5"/>
    <x v="2"/>
    <x v="0"/>
    <x v="0"/>
    <x v="2"/>
    <x v="0"/>
  </r>
  <r>
    <x v="0"/>
    <x v="0"/>
    <n v="2239088113"/>
    <x v="2"/>
    <n v="79090"/>
    <x v="0"/>
    <x v="0"/>
    <x v="5"/>
    <x v="2"/>
    <x v="0"/>
    <x v="0"/>
    <x v="2"/>
    <x v="0"/>
  </r>
  <r>
    <x v="0"/>
    <x v="0"/>
    <n v="2239088114"/>
    <x v="2"/>
    <n v="14850"/>
    <x v="0"/>
    <x v="0"/>
    <x v="5"/>
    <x v="2"/>
    <x v="0"/>
    <x v="0"/>
    <x v="2"/>
    <x v="0"/>
  </r>
  <r>
    <x v="0"/>
    <x v="0"/>
    <n v="2239088115"/>
    <x v="5"/>
    <n v="-2600"/>
    <x v="0"/>
    <x v="0"/>
    <x v="5"/>
    <x v="5"/>
    <x v="0"/>
    <x v="0"/>
    <x v="5"/>
    <x v="0"/>
  </r>
  <r>
    <x v="0"/>
    <x v="0"/>
    <n v="2239088115"/>
    <x v="6"/>
    <n v="20000"/>
    <x v="0"/>
    <x v="0"/>
    <x v="5"/>
    <x v="6"/>
    <x v="0"/>
    <x v="0"/>
    <x v="5"/>
    <x v="0"/>
  </r>
  <r>
    <x v="0"/>
    <x v="0"/>
    <n v="2239088116"/>
    <x v="2"/>
    <n v="84700"/>
    <x v="0"/>
    <x v="0"/>
    <x v="5"/>
    <x v="2"/>
    <x v="0"/>
    <x v="0"/>
    <x v="2"/>
    <x v="0"/>
  </r>
  <r>
    <x v="0"/>
    <x v="0"/>
    <n v="2239088117"/>
    <x v="3"/>
    <n v="56331"/>
    <x v="0"/>
    <x v="0"/>
    <x v="5"/>
    <x v="3"/>
    <x v="0"/>
    <x v="0"/>
    <x v="3"/>
    <x v="0"/>
  </r>
  <r>
    <x v="0"/>
    <x v="0"/>
    <n v="2239088118"/>
    <x v="5"/>
    <n v="-15000"/>
    <x v="0"/>
    <x v="0"/>
    <x v="5"/>
    <x v="5"/>
    <x v="0"/>
    <x v="0"/>
    <x v="5"/>
    <x v="0"/>
  </r>
  <r>
    <x v="0"/>
    <x v="0"/>
    <n v="2239088118"/>
    <x v="6"/>
    <n v="20000"/>
    <x v="0"/>
    <x v="0"/>
    <x v="5"/>
    <x v="6"/>
    <x v="0"/>
    <x v="0"/>
    <x v="5"/>
    <x v="0"/>
  </r>
  <r>
    <x v="0"/>
    <x v="0"/>
    <n v="2239088119"/>
    <x v="3"/>
    <n v="7000"/>
    <x v="0"/>
    <x v="0"/>
    <x v="5"/>
    <x v="3"/>
    <x v="0"/>
    <x v="0"/>
    <x v="3"/>
    <x v="0"/>
  </r>
  <r>
    <x v="0"/>
    <x v="0"/>
    <n v="2239088121"/>
    <x v="2"/>
    <n v="16720"/>
    <x v="0"/>
    <x v="0"/>
    <x v="5"/>
    <x v="2"/>
    <x v="0"/>
    <x v="0"/>
    <x v="2"/>
    <x v="0"/>
  </r>
  <r>
    <x v="0"/>
    <x v="0"/>
    <n v="2239088123"/>
    <x v="2"/>
    <n v="37290"/>
    <x v="0"/>
    <x v="0"/>
    <x v="5"/>
    <x v="2"/>
    <x v="0"/>
    <x v="0"/>
    <x v="2"/>
    <x v="0"/>
  </r>
  <r>
    <x v="0"/>
    <x v="0"/>
    <n v="2239088124"/>
    <x v="2"/>
    <n v="24000"/>
    <x v="0"/>
    <x v="0"/>
    <x v="5"/>
    <x v="2"/>
    <x v="0"/>
    <x v="0"/>
    <x v="2"/>
    <x v="0"/>
  </r>
  <r>
    <x v="0"/>
    <x v="0"/>
    <n v="2239088125"/>
    <x v="5"/>
    <n v="-750"/>
    <x v="0"/>
    <x v="0"/>
    <x v="5"/>
    <x v="5"/>
    <x v="0"/>
    <x v="0"/>
    <x v="5"/>
    <x v="0"/>
  </r>
  <r>
    <x v="0"/>
    <x v="0"/>
    <n v="2239088125"/>
    <x v="6"/>
    <n v="6000"/>
    <x v="0"/>
    <x v="0"/>
    <x v="5"/>
    <x v="6"/>
    <x v="0"/>
    <x v="0"/>
    <x v="5"/>
    <x v="0"/>
  </r>
  <r>
    <x v="0"/>
    <x v="0"/>
    <n v="2239088126"/>
    <x v="3"/>
    <n v="7350"/>
    <x v="0"/>
    <x v="0"/>
    <x v="5"/>
    <x v="3"/>
    <x v="0"/>
    <x v="0"/>
    <x v="3"/>
    <x v="0"/>
  </r>
  <r>
    <x v="0"/>
    <x v="0"/>
    <n v="2239088126"/>
    <x v="7"/>
    <n v="3150"/>
    <x v="0"/>
    <x v="0"/>
    <x v="5"/>
    <x v="7"/>
    <x v="0"/>
    <x v="0"/>
    <x v="1"/>
    <x v="0"/>
  </r>
  <r>
    <x v="0"/>
    <x v="0"/>
    <n v="2239088128"/>
    <x v="5"/>
    <n v="-500"/>
    <x v="0"/>
    <x v="0"/>
    <x v="5"/>
    <x v="5"/>
    <x v="0"/>
    <x v="0"/>
    <x v="5"/>
    <x v="0"/>
  </r>
  <r>
    <x v="0"/>
    <x v="0"/>
    <n v="2239088128"/>
    <x v="6"/>
    <n v="20000"/>
    <x v="0"/>
    <x v="0"/>
    <x v="5"/>
    <x v="6"/>
    <x v="0"/>
    <x v="0"/>
    <x v="5"/>
    <x v="0"/>
  </r>
  <r>
    <x v="0"/>
    <x v="0"/>
    <n v="2239088129"/>
    <x v="5"/>
    <n v="-7000"/>
    <x v="0"/>
    <x v="0"/>
    <x v="5"/>
    <x v="5"/>
    <x v="0"/>
    <x v="0"/>
    <x v="5"/>
    <x v="0"/>
  </r>
  <r>
    <x v="0"/>
    <x v="0"/>
    <n v="2239088129"/>
    <x v="6"/>
    <n v="10000"/>
    <x v="0"/>
    <x v="0"/>
    <x v="5"/>
    <x v="6"/>
    <x v="0"/>
    <x v="0"/>
    <x v="5"/>
    <x v="0"/>
  </r>
  <r>
    <x v="0"/>
    <x v="0"/>
    <n v="2239088130"/>
    <x v="7"/>
    <n v="1500"/>
    <x v="0"/>
    <x v="0"/>
    <x v="5"/>
    <x v="7"/>
    <x v="0"/>
    <x v="0"/>
    <x v="1"/>
    <x v="0"/>
  </r>
  <r>
    <x v="0"/>
    <x v="0"/>
    <n v="2239088131"/>
    <x v="6"/>
    <n v="6000"/>
    <x v="0"/>
    <x v="0"/>
    <x v="5"/>
    <x v="6"/>
    <x v="0"/>
    <x v="0"/>
    <x v="5"/>
    <x v="0"/>
  </r>
  <r>
    <x v="0"/>
    <x v="0"/>
    <n v="2239088132"/>
    <x v="2"/>
    <n v="5000"/>
    <x v="0"/>
    <x v="0"/>
    <x v="5"/>
    <x v="2"/>
    <x v="0"/>
    <x v="0"/>
    <x v="2"/>
    <x v="0"/>
  </r>
  <r>
    <x v="0"/>
    <x v="0"/>
    <n v="2239088133"/>
    <x v="2"/>
    <n v="6000"/>
    <x v="0"/>
    <x v="0"/>
    <x v="5"/>
    <x v="2"/>
    <x v="0"/>
    <x v="0"/>
    <x v="2"/>
    <x v="0"/>
  </r>
  <r>
    <x v="0"/>
    <x v="0"/>
    <n v="2239088134"/>
    <x v="2"/>
    <n v="6500"/>
    <x v="0"/>
    <x v="0"/>
    <x v="5"/>
    <x v="2"/>
    <x v="0"/>
    <x v="0"/>
    <x v="2"/>
    <x v="0"/>
  </r>
  <r>
    <x v="0"/>
    <x v="0"/>
    <n v="2239088135"/>
    <x v="2"/>
    <n v="1500"/>
    <x v="0"/>
    <x v="0"/>
    <x v="5"/>
    <x v="2"/>
    <x v="0"/>
    <x v="0"/>
    <x v="2"/>
    <x v="0"/>
  </r>
  <r>
    <x v="0"/>
    <x v="0"/>
    <n v="2239088136"/>
    <x v="2"/>
    <n v="12000"/>
    <x v="0"/>
    <x v="0"/>
    <x v="5"/>
    <x v="2"/>
    <x v="0"/>
    <x v="0"/>
    <x v="2"/>
    <x v="0"/>
  </r>
  <r>
    <x v="0"/>
    <x v="0"/>
    <n v="2239088137"/>
    <x v="5"/>
    <n v="-800"/>
    <x v="0"/>
    <x v="0"/>
    <x v="5"/>
    <x v="5"/>
    <x v="0"/>
    <x v="0"/>
    <x v="5"/>
    <x v="0"/>
  </r>
  <r>
    <x v="0"/>
    <x v="0"/>
    <n v="2239088137"/>
    <x v="6"/>
    <n v="8000"/>
    <x v="0"/>
    <x v="0"/>
    <x v="5"/>
    <x v="6"/>
    <x v="0"/>
    <x v="0"/>
    <x v="5"/>
    <x v="0"/>
  </r>
  <r>
    <x v="0"/>
    <x v="0"/>
    <n v="2239088138"/>
    <x v="5"/>
    <n v="-2700"/>
    <x v="0"/>
    <x v="0"/>
    <x v="5"/>
    <x v="5"/>
    <x v="0"/>
    <x v="0"/>
    <x v="5"/>
    <x v="0"/>
  </r>
  <r>
    <x v="0"/>
    <x v="0"/>
    <n v="2239088138"/>
    <x v="6"/>
    <n v="50000"/>
    <x v="0"/>
    <x v="0"/>
    <x v="5"/>
    <x v="6"/>
    <x v="0"/>
    <x v="0"/>
    <x v="5"/>
    <x v="0"/>
  </r>
  <r>
    <x v="0"/>
    <x v="0"/>
    <n v="2239088140"/>
    <x v="6"/>
    <n v="3000"/>
    <x v="0"/>
    <x v="0"/>
    <x v="5"/>
    <x v="6"/>
    <x v="0"/>
    <x v="0"/>
    <x v="5"/>
    <x v="0"/>
  </r>
  <r>
    <x v="0"/>
    <x v="0"/>
    <n v="2239088141"/>
    <x v="2"/>
    <n v="9500"/>
    <x v="0"/>
    <x v="0"/>
    <x v="5"/>
    <x v="2"/>
    <x v="0"/>
    <x v="0"/>
    <x v="2"/>
    <x v="0"/>
  </r>
  <r>
    <x v="0"/>
    <x v="0"/>
    <n v="2239088142"/>
    <x v="2"/>
    <n v="13200"/>
    <x v="0"/>
    <x v="0"/>
    <x v="5"/>
    <x v="2"/>
    <x v="0"/>
    <x v="0"/>
    <x v="2"/>
    <x v="0"/>
  </r>
  <r>
    <x v="0"/>
    <x v="0"/>
    <n v="2239088143"/>
    <x v="2"/>
    <n v="33550"/>
    <x v="0"/>
    <x v="0"/>
    <x v="5"/>
    <x v="2"/>
    <x v="0"/>
    <x v="0"/>
    <x v="2"/>
    <x v="0"/>
  </r>
  <r>
    <x v="0"/>
    <x v="0"/>
    <n v="2239088144"/>
    <x v="2"/>
    <n v="36190"/>
    <x v="0"/>
    <x v="0"/>
    <x v="5"/>
    <x v="2"/>
    <x v="0"/>
    <x v="0"/>
    <x v="2"/>
    <x v="0"/>
  </r>
  <r>
    <x v="0"/>
    <x v="0"/>
    <n v="2239088145"/>
    <x v="2"/>
    <n v="23100"/>
    <x v="0"/>
    <x v="0"/>
    <x v="5"/>
    <x v="2"/>
    <x v="0"/>
    <x v="0"/>
    <x v="2"/>
    <x v="0"/>
  </r>
  <r>
    <x v="0"/>
    <x v="0"/>
    <n v="2239088146"/>
    <x v="2"/>
    <n v="10450"/>
    <x v="0"/>
    <x v="0"/>
    <x v="5"/>
    <x v="2"/>
    <x v="0"/>
    <x v="0"/>
    <x v="2"/>
    <x v="0"/>
  </r>
  <r>
    <x v="0"/>
    <x v="0"/>
    <n v="2239088147"/>
    <x v="3"/>
    <n v="2200"/>
    <x v="0"/>
    <x v="0"/>
    <x v="5"/>
    <x v="3"/>
    <x v="0"/>
    <x v="0"/>
    <x v="3"/>
    <x v="0"/>
  </r>
  <r>
    <x v="0"/>
    <x v="0"/>
    <n v="2239088148"/>
    <x v="2"/>
    <n v="14300"/>
    <x v="0"/>
    <x v="0"/>
    <x v="5"/>
    <x v="2"/>
    <x v="0"/>
    <x v="0"/>
    <x v="2"/>
    <x v="0"/>
  </r>
  <r>
    <x v="0"/>
    <x v="0"/>
    <n v="2239088150"/>
    <x v="2"/>
    <n v="33410"/>
    <x v="0"/>
    <x v="0"/>
    <x v="5"/>
    <x v="2"/>
    <x v="0"/>
    <x v="0"/>
    <x v="2"/>
    <x v="0"/>
  </r>
  <r>
    <x v="0"/>
    <x v="0"/>
    <n v="2239088151"/>
    <x v="5"/>
    <n v="-2500"/>
    <x v="0"/>
    <x v="0"/>
    <x v="5"/>
    <x v="5"/>
    <x v="0"/>
    <x v="0"/>
    <x v="5"/>
    <x v="0"/>
  </r>
  <r>
    <x v="0"/>
    <x v="0"/>
    <n v="2239088151"/>
    <x v="6"/>
    <n v="10000"/>
    <x v="0"/>
    <x v="0"/>
    <x v="5"/>
    <x v="6"/>
    <x v="0"/>
    <x v="0"/>
    <x v="5"/>
    <x v="0"/>
  </r>
  <r>
    <x v="0"/>
    <x v="0"/>
    <n v="2239088152"/>
    <x v="2"/>
    <n v="29700"/>
    <x v="0"/>
    <x v="0"/>
    <x v="5"/>
    <x v="2"/>
    <x v="0"/>
    <x v="0"/>
    <x v="2"/>
    <x v="0"/>
  </r>
  <r>
    <x v="0"/>
    <x v="0"/>
    <n v="2239088153"/>
    <x v="5"/>
    <n v="-6950"/>
    <x v="0"/>
    <x v="0"/>
    <x v="5"/>
    <x v="5"/>
    <x v="0"/>
    <x v="0"/>
    <x v="5"/>
    <x v="0"/>
  </r>
  <r>
    <x v="0"/>
    <x v="0"/>
    <n v="2239088153"/>
    <x v="6"/>
    <n v="20000"/>
    <x v="0"/>
    <x v="0"/>
    <x v="5"/>
    <x v="6"/>
    <x v="0"/>
    <x v="0"/>
    <x v="5"/>
    <x v="0"/>
  </r>
  <r>
    <x v="0"/>
    <x v="0"/>
    <n v="2239088154"/>
    <x v="2"/>
    <n v="9500"/>
    <x v="0"/>
    <x v="0"/>
    <x v="5"/>
    <x v="2"/>
    <x v="0"/>
    <x v="0"/>
    <x v="2"/>
    <x v="0"/>
  </r>
  <r>
    <x v="0"/>
    <x v="0"/>
    <n v="2239088155"/>
    <x v="5"/>
    <n v="-7000"/>
    <x v="0"/>
    <x v="0"/>
    <x v="5"/>
    <x v="5"/>
    <x v="0"/>
    <x v="0"/>
    <x v="5"/>
    <x v="0"/>
  </r>
  <r>
    <x v="0"/>
    <x v="0"/>
    <n v="2239088155"/>
    <x v="6"/>
    <n v="10000"/>
    <x v="0"/>
    <x v="0"/>
    <x v="5"/>
    <x v="6"/>
    <x v="0"/>
    <x v="0"/>
    <x v="5"/>
    <x v="0"/>
  </r>
  <r>
    <x v="0"/>
    <x v="0"/>
    <n v="2239088156"/>
    <x v="5"/>
    <n v="-400"/>
    <x v="0"/>
    <x v="0"/>
    <x v="5"/>
    <x v="5"/>
    <x v="0"/>
    <x v="0"/>
    <x v="5"/>
    <x v="0"/>
  </r>
  <r>
    <x v="0"/>
    <x v="0"/>
    <n v="2239088156"/>
    <x v="4"/>
    <n v="5000"/>
    <x v="0"/>
    <x v="0"/>
    <x v="5"/>
    <x v="4"/>
    <x v="0"/>
    <x v="0"/>
    <x v="4"/>
    <x v="0"/>
  </r>
  <r>
    <x v="0"/>
    <x v="0"/>
    <n v="2239088157"/>
    <x v="2"/>
    <n v="13000"/>
    <x v="0"/>
    <x v="0"/>
    <x v="5"/>
    <x v="2"/>
    <x v="0"/>
    <x v="0"/>
    <x v="2"/>
    <x v="0"/>
  </r>
  <r>
    <x v="0"/>
    <x v="0"/>
    <n v="2239088158"/>
    <x v="6"/>
    <n v="15000"/>
    <x v="0"/>
    <x v="0"/>
    <x v="5"/>
    <x v="6"/>
    <x v="0"/>
    <x v="0"/>
    <x v="5"/>
    <x v="0"/>
  </r>
  <r>
    <x v="0"/>
    <x v="0"/>
    <n v="2239088159"/>
    <x v="5"/>
    <n v="-7500"/>
    <x v="0"/>
    <x v="0"/>
    <x v="5"/>
    <x v="5"/>
    <x v="0"/>
    <x v="0"/>
    <x v="5"/>
    <x v="0"/>
  </r>
  <r>
    <x v="0"/>
    <x v="0"/>
    <n v="2239088159"/>
    <x v="6"/>
    <n v="20000"/>
    <x v="0"/>
    <x v="0"/>
    <x v="5"/>
    <x v="6"/>
    <x v="0"/>
    <x v="0"/>
    <x v="5"/>
    <x v="0"/>
  </r>
  <r>
    <x v="0"/>
    <x v="0"/>
    <n v="2239088161"/>
    <x v="3"/>
    <n v="10890"/>
    <x v="0"/>
    <x v="0"/>
    <x v="5"/>
    <x v="3"/>
    <x v="0"/>
    <x v="0"/>
    <x v="3"/>
    <x v="0"/>
  </r>
  <r>
    <x v="0"/>
    <x v="0"/>
    <n v="2239088162"/>
    <x v="5"/>
    <n v="-5000"/>
    <x v="0"/>
    <x v="0"/>
    <x v="5"/>
    <x v="5"/>
    <x v="0"/>
    <x v="0"/>
    <x v="5"/>
    <x v="0"/>
  </r>
  <r>
    <x v="0"/>
    <x v="0"/>
    <n v="2239088162"/>
    <x v="6"/>
    <n v="10000"/>
    <x v="0"/>
    <x v="0"/>
    <x v="5"/>
    <x v="6"/>
    <x v="0"/>
    <x v="0"/>
    <x v="5"/>
    <x v="0"/>
  </r>
  <r>
    <x v="0"/>
    <x v="0"/>
    <n v="2239088163"/>
    <x v="2"/>
    <n v="5500"/>
    <x v="0"/>
    <x v="0"/>
    <x v="5"/>
    <x v="2"/>
    <x v="0"/>
    <x v="0"/>
    <x v="2"/>
    <x v="0"/>
  </r>
  <r>
    <x v="0"/>
    <x v="0"/>
    <n v="2239088164"/>
    <x v="5"/>
    <n v="-200"/>
    <x v="0"/>
    <x v="0"/>
    <x v="5"/>
    <x v="5"/>
    <x v="0"/>
    <x v="0"/>
    <x v="5"/>
    <x v="0"/>
  </r>
  <r>
    <x v="0"/>
    <x v="0"/>
    <n v="2239088164"/>
    <x v="4"/>
    <n v="5500"/>
    <x v="0"/>
    <x v="0"/>
    <x v="5"/>
    <x v="4"/>
    <x v="0"/>
    <x v="0"/>
    <x v="4"/>
    <x v="0"/>
  </r>
  <r>
    <x v="0"/>
    <x v="0"/>
    <n v="2239088166"/>
    <x v="5"/>
    <n v="-3000"/>
    <x v="0"/>
    <x v="0"/>
    <x v="5"/>
    <x v="5"/>
    <x v="0"/>
    <x v="0"/>
    <x v="5"/>
    <x v="0"/>
  </r>
  <r>
    <x v="0"/>
    <x v="0"/>
    <n v="2239088166"/>
    <x v="6"/>
    <n v="10000"/>
    <x v="0"/>
    <x v="0"/>
    <x v="5"/>
    <x v="6"/>
    <x v="0"/>
    <x v="0"/>
    <x v="5"/>
    <x v="0"/>
  </r>
  <r>
    <x v="0"/>
    <x v="0"/>
    <n v="2239088167"/>
    <x v="7"/>
    <n v="1500"/>
    <x v="0"/>
    <x v="0"/>
    <x v="5"/>
    <x v="7"/>
    <x v="0"/>
    <x v="0"/>
    <x v="1"/>
    <x v="0"/>
  </r>
  <r>
    <x v="0"/>
    <x v="0"/>
    <n v="2239088169"/>
    <x v="7"/>
    <n v="7000"/>
    <x v="0"/>
    <x v="0"/>
    <x v="5"/>
    <x v="7"/>
    <x v="0"/>
    <x v="0"/>
    <x v="1"/>
    <x v="0"/>
  </r>
  <r>
    <x v="0"/>
    <x v="0"/>
    <n v="2239088170"/>
    <x v="2"/>
    <n v="65230"/>
    <x v="0"/>
    <x v="0"/>
    <x v="5"/>
    <x v="2"/>
    <x v="0"/>
    <x v="0"/>
    <x v="2"/>
    <x v="0"/>
  </r>
  <r>
    <x v="0"/>
    <x v="0"/>
    <n v="2239088171"/>
    <x v="2"/>
    <n v="6000"/>
    <x v="0"/>
    <x v="0"/>
    <x v="5"/>
    <x v="2"/>
    <x v="0"/>
    <x v="0"/>
    <x v="2"/>
    <x v="0"/>
  </r>
  <r>
    <x v="0"/>
    <x v="0"/>
    <n v="2239088172"/>
    <x v="1"/>
    <n v="1140"/>
    <x v="0"/>
    <x v="0"/>
    <x v="5"/>
    <x v="1"/>
    <x v="0"/>
    <x v="0"/>
    <x v="1"/>
    <x v="0"/>
  </r>
  <r>
    <x v="0"/>
    <x v="0"/>
    <n v="2239088173"/>
    <x v="2"/>
    <n v="12500"/>
    <x v="0"/>
    <x v="0"/>
    <x v="5"/>
    <x v="2"/>
    <x v="0"/>
    <x v="0"/>
    <x v="2"/>
    <x v="0"/>
  </r>
  <r>
    <x v="0"/>
    <x v="0"/>
    <n v="2239088174"/>
    <x v="7"/>
    <n v="3000"/>
    <x v="0"/>
    <x v="0"/>
    <x v="5"/>
    <x v="7"/>
    <x v="0"/>
    <x v="0"/>
    <x v="1"/>
    <x v="0"/>
  </r>
  <r>
    <x v="0"/>
    <x v="0"/>
    <n v="2239088175"/>
    <x v="2"/>
    <n v="13090"/>
    <x v="0"/>
    <x v="0"/>
    <x v="5"/>
    <x v="2"/>
    <x v="0"/>
    <x v="0"/>
    <x v="2"/>
    <x v="0"/>
  </r>
  <r>
    <x v="0"/>
    <x v="0"/>
    <n v="2239088176"/>
    <x v="2"/>
    <n v="12800"/>
    <x v="0"/>
    <x v="0"/>
    <x v="5"/>
    <x v="2"/>
    <x v="0"/>
    <x v="0"/>
    <x v="2"/>
    <x v="0"/>
  </r>
  <r>
    <x v="0"/>
    <x v="0"/>
    <n v="2239088177"/>
    <x v="2"/>
    <n v="42790"/>
    <x v="0"/>
    <x v="0"/>
    <x v="5"/>
    <x v="2"/>
    <x v="0"/>
    <x v="0"/>
    <x v="2"/>
    <x v="0"/>
  </r>
  <r>
    <x v="0"/>
    <x v="0"/>
    <n v="2239088178"/>
    <x v="5"/>
    <n v="-7000"/>
    <x v="0"/>
    <x v="0"/>
    <x v="5"/>
    <x v="5"/>
    <x v="0"/>
    <x v="0"/>
    <x v="5"/>
    <x v="0"/>
  </r>
  <r>
    <x v="0"/>
    <x v="0"/>
    <n v="2239088178"/>
    <x v="6"/>
    <n v="20000"/>
    <x v="0"/>
    <x v="0"/>
    <x v="5"/>
    <x v="6"/>
    <x v="0"/>
    <x v="0"/>
    <x v="5"/>
    <x v="0"/>
  </r>
  <r>
    <x v="0"/>
    <x v="0"/>
    <n v="2239088179"/>
    <x v="6"/>
    <n v="5000"/>
    <x v="0"/>
    <x v="0"/>
    <x v="5"/>
    <x v="6"/>
    <x v="0"/>
    <x v="0"/>
    <x v="5"/>
    <x v="0"/>
  </r>
  <r>
    <x v="0"/>
    <x v="0"/>
    <n v="2239088180"/>
    <x v="7"/>
    <n v="1500"/>
    <x v="0"/>
    <x v="0"/>
    <x v="5"/>
    <x v="7"/>
    <x v="0"/>
    <x v="0"/>
    <x v="1"/>
    <x v="0"/>
  </r>
  <r>
    <x v="0"/>
    <x v="0"/>
    <n v="2239088181"/>
    <x v="7"/>
    <n v="1500"/>
    <x v="0"/>
    <x v="0"/>
    <x v="5"/>
    <x v="7"/>
    <x v="0"/>
    <x v="0"/>
    <x v="1"/>
    <x v="0"/>
  </r>
  <r>
    <x v="0"/>
    <x v="0"/>
    <n v="2239088182"/>
    <x v="7"/>
    <n v="1500"/>
    <x v="0"/>
    <x v="0"/>
    <x v="5"/>
    <x v="7"/>
    <x v="0"/>
    <x v="0"/>
    <x v="1"/>
    <x v="0"/>
  </r>
  <r>
    <x v="0"/>
    <x v="0"/>
    <n v="2239088183"/>
    <x v="5"/>
    <n v="-3000"/>
    <x v="0"/>
    <x v="0"/>
    <x v="5"/>
    <x v="5"/>
    <x v="0"/>
    <x v="0"/>
    <x v="5"/>
    <x v="0"/>
  </r>
  <r>
    <x v="0"/>
    <x v="0"/>
    <n v="2239088183"/>
    <x v="6"/>
    <n v="10000"/>
    <x v="0"/>
    <x v="0"/>
    <x v="5"/>
    <x v="6"/>
    <x v="0"/>
    <x v="0"/>
    <x v="5"/>
    <x v="0"/>
  </r>
  <r>
    <x v="0"/>
    <x v="0"/>
    <n v="2239088184"/>
    <x v="7"/>
    <n v="1500"/>
    <x v="0"/>
    <x v="0"/>
    <x v="5"/>
    <x v="7"/>
    <x v="0"/>
    <x v="0"/>
    <x v="1"/>
    <x v="0"/>
  </r>
  <r>
    <x v="0"/>
    <x v="0"/>
    <n v="2239088185"/>
    <x v="2"/>
    <n v="12100"/>
    <x v="0"/>
    <x v="0"/>
    <x v="5"/>
    <x v="2"/>
    <x v="0"/>
    <x v="0"/>
    <x v="2"/>
    <x v="0"/>
  </r>
  <r>
    <x v="0"/>
    <x v="0"/>
    <n v="2239088186"/>
    <x v="7"/>
    <n v="6500"/>
    <x v="0"/>
    <x v="0"/>
    <x v="5"/>
    <x v="7"/>
    <x v="0"/>
    <x v="0"/>
    <x v="1"/>
    <x v="0"/>
  </r>
  <r>
    <x v="0"/>
    <x v="0"/>
    <n v="2239088187"/>
    <x v="2"/>
    <n v="3300"/>
    <x v="0"/>
    <x v="0"/>
    <x v="5"/>
    <x v="2"/>
    <x v="0"/>
    <x v="0"/>
    <x v="2"/>
    <x v="0"/>
  </r>
  <r>
    <x v="0"/>
    <x v="0"/>
    <n v="2239088188"/>
    <x v="2"/>
    <n v="15000"/>
    <x v="0"/>
    <x v="0"/>
    <x v="5"/>
    <x v="2"/>
    <x v="0"/>
    <x v="0"/>
    <x v="2"/>
    <x v="0"/>
  </r>
  <r>
    <x v="0"/>
    <x v="0"/>
    <n v="2239088189"/>
    <x v="2"/>
    <n v="16500"/>
    <x v="0"/>
    <x v="0"/>
    <x v="5"/>
    <x v="2"/>
    <x v="0"/>
    <x v="0"/>
    <x v="2"/>
    <x v="0"/>
  </r>
  <r>
    <x v="0"/>
    <x v="0"/>
    <n v="2239088190"/>
    <x v="5"/>
    <n v="-1500"/>
    <x v="0"/>
    <x v="0"/>
    <x v="5"/>
    <x v="5"/>
    <x v="0"/>
    <x v="0"/>
    <x v="5"/>
    <x v="0"/>
  </r>
  <r>
    <x v="0"/>
    <x v="0"/>
    <n v="2239088190"/>
    <x v="6"/>
    <n v="5000"/>
    <x v="0"/>
    <x v="0"/>
    <x v="5"/>
    <x v="6"/>
    <x v="0"/>
    <x v="0"/>
    <x v="5"/>
    <x v="0"/>
  </r>
  <r>
    <x v="0"/>
    <x v="0"/>
    <n v="2239088191"/>
    <x v="5"/>
    <n v="-4000"/>
    <x v="0"/>
    <x v="0"/>
    <x v="5"/>
    <x v="5"/>
    <x v="0"/>
    <x v="0"/>
    <x v="5"/>
    <x v="0"/>
  </r>
  <r>
    <x v="0"/>
    <x v="0"/>
    <n v="2239088191"/>
    <x v="6"/>
    <n v="10500"/>
    <x v="0"/>
    <x v="0"/>
    <x v="5"/>
    <x v="6"/>
    <x v="0"/>
    <x v="0"/>
    <x v="5"/>
    <x v="0"/>
  </r>
  <r>
    <x v="0"/>
    <x v="0"/>
    <n v="2239088192"/>
    <x v="5"/>
    <n v="-3000"/>
    <x v="0"/>
    <x v="0"/>
    <x v="5"/>
    <x v="5"/>
    <x v="0"/>
    <x v="0"/>
    <x v="5"/>
    <x v="0"/>
  </r>
  <r>
    <x v="0"/>
    <x v="0"/>
    <n v="2239088192"/>
    <x v="6"/>
    <n v="10000"/>
    <x v="0"/>
    <x v="0"/>
    <x v="5"/>
    <x v="6"/>
    <x v="0"/>
    <x v="0"/>
    <x v="5"/>
    <x v="0"/>
  </r>
  <r>
    <x v="0"/>
    <x v="0"/>
    <n v="2239088193"/>
    <x v="7"/>
    <n v="7500"/>
    <x v="0"/>
    <x v="0"/>
    <x v="5"/>
    <x v="7"/>
    <x v="0"/>
    <x v="0"/>
    <x v="1"/>
    <x v="0"/>
  </r>
  <r>
    <x v="0"/>
    <x v="0"/>
    <n v="2239088194"/>
    <x v="7"/>
    <n v="6500"/>
    <x v="0"/>
    <x v="0"/>
    <x v="5"/>
    <x v="7"/>
    <x v="0"/>
    <x v="0"/>
    <x v="1"/>
    <x v="0"/>
  </r>
  <r>
    <x v="0"/>
    <x v="0"/>
    <n v="2239088195"/>
    <x v="2"/>
    <n v="42240"/>
    <x v="0"/>
    <x v="0"/>
    <x v="5"/>
    <x v="2"/>
    <x v="0"/>
    <x v="0"/>
    <x v="2"/>
    <x v="0"/>
  </r>
  <r>
    <x v="0"/>
    <x v="0"/>
    <n v="2239088196"/>
    <x v="2"/>
    <n v="20710"/>
    <x v="0"/>
    <x v="0"/>
    <x v="5"/>
    <x v="2"/>
    <x v="0"/>
    <x v="0"/>
    <x v="2"/>
    <x v="0"/>
  </r>
  <r>
    <x v="0"/>
    <x v="0"/>
    <n v="2239088197"/>
    <x v="2"/>
    <n v="2700"/>
    <x v="0"/>
    <x v="0"/>
    <x v="5"/>
    <x v="2"/>
    <x v="0"/>
    <x v="0"/>
    <x v="2"/>
    <x v="0"/>
  </r>
  <r>
    <x v="0"/>
    <x v="0"/>
    <n v="2239088199"/>
    <x v="3"/>
    <n v="9500"/>
    <x v="0"/>
    <x v="0"/>
    <x v="5"/>
    <x v="3"/>
    <x v="0"/>
    <x v="0"/>
    <x v="3"/>
    <x v="0"/>
  </r>
  <r>
    <x v="0"/>
    <x v="0"/>
    <n v="2239088200"/>
    <x v="2"/>
    <n v="9000"/>
    <x v="0"/>
    <x v="0"/>
    <x v="5"/>
    <x v="2"/>
    <x v="0"/>
    <x v="0"/>
    <x v="2"/>
    <x v="0"/>
  </r>
  <r>
    <x v="0"/>
    <x v="0"/>
    <n v="2239088201"/>
    <x v="2"/>
    <n v="9810"/>
    <x v="0"/>
    <x v="0"/>
    <x v="5"/>
    <x v="2"/>
    <x v="0"/>
    <x v="0"/>
    <x v="2"/>
    <x v="0"/>
  </r>
  <r>
    <x v="0"/>
    <x v="0"/>
    <n v="2239088201"/>
    <x v="7"/>
    <n v="1090"/>
    <x v="0"/>
    <x v="0"/>
    <x v="5"/>
    <x v="7"/>
    <x v="0"/>
    <x v="0"/>
    <x v="1"/>
    <x v="0"/>
  </r>
  <r>
    <x v="0"/>
    <x v="0"/>
    <n v="2239088203"/>
    <x v="7"/>
    <n v="1500"/>
    <x v="0"/>
    <x v="0"/>
    <x v="5"/>
    <x v="7"/>
    <x v="0"/>
    <x v="0"/>
    <x v="1"/>
    <x v="0"/>
  </r>
  <r>
    <x v="0"/>
    <x v="0"/>
    <n v="2239088204"/>
    <x v="7"/>
    <n v="3000"/>
    <x v="0"/>
    <x v="0"/>
    <x v="5"/>
    <x v="7"/>
    <x v="0"/>
    <x v="0"/>
    <x v="1"/>
    <x v="0"/>
  </r>
  <r>
    <x v="0"/>
    <x v="0"/>
    <n v="2239088205"/>
    <x v="7"/>
    <n v="3000"/>
    <x v="0"/>
    <x v="0"/>
    <x v="5"/>
    <x v="7"/>
    <x v="0"/>
    <x v="0"/>
    <x v="1"/>
    <x v="0"/>
  </r>
  <r>
    <x v="0"/>
    <x v="0"/>
    <n v="2239088206"/>
    <x v="7"/>
    <n v="4800"/>
    <x v="0"/>
    <x v="0"/>
    <x v="5"/>
    <x v="7"/>
    <x v="0"/>
    <x v="0"/>
    <x v="1"/>
    <x v="0"/>
  </r>
  <r>
    <x v="0"/>
    <x v="0"/>
    <n v="2239088207"/>
    <x v="7"/>
    <n v="4500"/>
    <x v="0"/>
    <x v="0"/>
    <x v="5"/>
    <x v="7"/>
    <x v="0"/>
    <x v="0"/>
    <x v="1"/>
    <x v="0"/>
  </r>
  <r>
    <x v="0"/>
    <x v="0"/>
    <n v="2239088208"/>
    <x v="2"/>
    <n v="3150"/>
    <x v="0"/>
    <x v="0"/>
    <x v="5"/>
    <x v="2"/>
    <x v="0"/>
    <x v="0"/>
    <x v="2"/>
    <x v="0"/>
  </r>
  <r>
    <x v="0"/>
    <x v="0"/>
    <n v="2239088209"/>
    <x v="5"/>
    <n v="-5500"/>
    <x v="0"/>
    <x v="0"/>
    <x v="5"/>
    <x v="5"/>
    <x v="0"/>
    <x v="0"/>
    <x v="5"/>
    <x v="0"/>
  </r>
  <r>
    <x v="0"/>
    <x v="0"/>
    <n v="2239088209"/>
    <x v="6"/>
    <n v="20000"/>
    <x v="0"/>
    <x v="0"/>
    <x v="5"/>
    <x v="6"/>
    <x v="0"/>
    <x v="0"/>
    <x v="5"/>
    <x v="0"/>
  </r>
  <r>
    <x v="0"/>
    <x v="0"/>
    <n v="2239088210"/>
    <x v="2"/>
    <n v="12800"/>
    <x v="0"/>
    <x v="0"/>
    <x v="5"/>
    <x v="2"/>
    <x v="0"/>
    <x v="0"/>
    <x v="2"/>
    <x v="0"/>
  </r>
  <r>
    <x v="0"/>
    <x v="0"/>
    <n v="2239088211"/>
    <x v="5"/>
    <n v="-2500"/>
    <x v="0"/>
    <x v="0"/>
    <x v="5"/>
    <x v="5"/>
    <x v="0"/>
    <x v="0"/>
    <x v="5"/>
    <x v="0"/>
  </r>
  <r>
    <x v="0"/>
    <x v="0"/>
    <n v="2239088211"/>
    <x v="6"/>
    <n v="10000"/>
    <x v="0"/>
    <x v="0"/>
    <x v="5"/>
    <x v="6"/>
    <x v="0"/>
    <x v="0"/>
    <x v="5"/>
    <x v="0"/>
  </r>
  <r>
    <x v="0"/>
    <x v="0"/>
    <n v="2239088212"/>
    <x v="5"/>
    <n v="-3000"/>
    <x v="0"/>
    <x v="0"/>
    <x v="5"/>
    <x v="5"/>
    <x v="0"/>
    <x v="0"/>
    <x v="5"/>
    <x v="0"/>
  </r>
  <r>
    <x v="0"/>
    <x v="0"/>
    <n v="2239088212"/>
    <x v="6"/>
    <n v="10000"/>
    <x v="0"/>
    <x v="0"/>
    <x v="5"/>
    <x v="6"/>
    <x v="0"/>
    <x v="0"/>
    <x v="5"/>
    <x v="0"/>
  </r>
  <r>
    <x v="0"/>
    <x v="0"/>
    <n v="2239088213"/>
    <x v="5"/>
    <n v="-500"/>
    <x v="0"/>
    <x v="0"/>
    <x v="5"/>
    <x v="5"/>
    <x v="0"/>
    <x v="0"/>
    <x v="5"/>
    <x v="0"/>
  </r>
  <r>
    <x v="0"/>
    <x v="0"/>
    <n v="2239088213"/>
    <x v="6"/>
    <n v="12000"/>
    <x v="0"/>
    <x v="0"/>
    <x v="5"/>
    <x v="6"/>
    <x v="0"/>
    <x v="0"/>
    <x v="5"/>
    <x v="0"/>
  </r>
  <r>
    <x v="0"/>
    <x v="0"/>
    <n v="2239088214"/>
    <x v="2"/>
    <n v="3000"/>
    <x v="0"/>
    <x v="0"/>
    <x v="5"/>
    <x v="2"/>
    <x v="0"/>
    <x v="0"/>
    <x v="2"/>
    <x v="0"/>
  </r>
  <r>
    <x v="0"/>
    <x v="0"/>
    <n v="2239088215"/>
    <x v="5"/>
    <n v="-5000"/>
    <x v="0"/>
    <x v="0"/>
    <x v="5"/>
    <x v="5"/>
    <x v="0"/>
    <x v="0"/>
    <x v="5"/>
    <x v="0"/>
  </r>
  <r>
    <x v="0"/>
    <x v="0"/>
    <n v="2239088215"/>
    <x v="4"/>
    <n v="10300"/>
    <x v="0"/>
    <x v="0"/>
    <x v="5"/>
    <x v="4"/>
    <x v="0"/>
    <x v="0"/>
    <x v="4"/>
    <x v="0"/>
  </r>
  <r>
    <x v="0"/>
    <x v="0"/>
    <n v="2239088216"/>
    <x v="6"/>
    <n v="6000"/>
    <x v="0"/>
    <x v="0"/>
    <x v="5"/>
    <x v="6"/>
    <x v="0"/>
    <x v="0"/>
    <x v="5"/>
    <x v="0"/>
  </r>
  <r>
    <x v="0"/>
    <x v="0"/>
    <n v="2239088217"/>
    <x v="5"/>
    <n v="-3000"/>
    <x v="0"/>
    <x v="0"/>
    <x v="5"/>
    <x v="5"/>
    <x v="0"/>
    <x v="0"/>
    <x v="5"/>
    <x v="0"/>
  </r>
  <r>
    <x v="0"/>
    <x v="0"/>
    <n v="2239088217"/>
    <x v="6"/>
    <n v="10000"/>
    <x v="0"/>
    <x v="0"/>
    <x v="5"/>
    <x v="6"/>
    <x v="0"/>
    <x v="0"/>
    <x v="5"/>
    <x v="0"/>
  </r>
  <r>
    <x v="0"/>
    <x v="0"/>
    <n v="2239088218"/>
    <x v="2"/>
    <n v="29700"/>
    <x v="0"/>
    <x v="0"/>
    <x v="5"/>
    <x v="2"/>
    <x v="0"/>
    <x v="0"/>
    <x v="2"/>
    <x v="0"/>
  </r>
  <r>
    <x v="0"/>
    <x v="0"/>
    <n v="2239088219"/>
    <x v="7"/>
    <n v="6000"/>
    <x v="0"/>
    <x v="0"/>
    <x v="5"/>
    <x v="7"/>
    <x v="0"/>
    <x v="0"/>
    <x v="1"/>
    <x v="0"/>
  </r>
  <r>
    <x v="0"/>
    <x v="0"/>
    <n v="2239088220"/>
    <x v="2"/>
    <n v="13750"/>
    <x v="0"/>
    <x v="0"/>
    <x v="5"/>
    <x v="2"/>
    <x v="0"/>
    <x v="0"/>
    <x v="2"/>
    <x v="0"/>
  </r>
  <r>
    <x v="0"/>
    <x v="0"/>
    <n v="2239088221"/>
    <x v="5"/>
    <n v="-450"/>
    <x v="0"/>
    <x v="0"/>
    <x v="5"/>
    <x v="5"/>
    <x v="0"/>
    <x v="0"/>
    <x v="5"/>
    <x v="0"/>
  </r>
  <r>
    <x v="0"/>
    <x v="0"/>
    <n v="2239088221"/>
    <x v="6"/>
    <n v="5000"/>
    <x v="0"/>
    <x v="0"/>
    <x v="5"/>
    <x v="6"/>
    <x v="0"/>
    <x v="0"/>
    <x v="5"/>
    <x v="0"/>
  </r>
  <r>
    <x v="0"/>
    <x v="0"/>
    <n v="2239088221"/>
    <x v="7"/>
    <n v="1950"/>
    <x v="0"/>
    <x v="0"/>
    <x v="5"/>
    <x v="7"/>
    <x v="0"/>
    <x v="0"/>
    <x v="1"/>
    <x v="0"/>
  </r>
  <r>
    <x v="0"/>
    <x v="0"/>
    <n v="2239088222"/>
    <x v="2"/>
    <n v="11900"/>
    <x v="0"/>
    <x v="0"/>
    <x v="5"/>
    <x v="2"/>
    <x v="0"/>
    <x v="0"/>
    <x v="2"/>
    <x v="0"/>
  </r>
  <r>
    <x v="0"/>
    <x v="0"/>
    <n v="2239088223"/>
    <x v="2"/>
    <n v="3500"/>
    <x v="0"/>
    <x v="0"/>
    <x v="5"/>
    <x v="2"/>
    <x v="0"/>
    <x v="0"/>
    <x v="2"/>
    <x v="0"/>
  </r>
  <r>
    <x v="0"/>
    <x v="0"/>
    <n v="2239088223"/>
    <x v="7"/>
    <n v="10000"/>
    <x v="0"/>
    <x v="0"/>
    <x v="5"/>
    <x v="7"/>
    <x v="0"/>
    <x v="0"/>
    <x v="1"/>
    <x v="0"/>
  </r>
  <r>
    <x v="0"/>
    <x v="0"/>
    <n v="2239088224"/>
    <x v="2"/>
    <n v="13000"/>
    <x v="0"/>
    <x v="0"/>
    <x v="5"/>
    <x v="2"/>
    <x v="0"/>
    <x v="0"/>
    <x v="2"/>
    <x v="0"/>
  </r>
  <r>
    <x v="0"/>
    <x v="0"/>
    <n v="2239088225"/>
    <x v="4"/>
    <n v="10600"/>
    <x v="0"/>
    <x v="0"/>
    <x v="5"/>
    <x v="4"/>
    <x v="0"/>
    <x v="0"/>
    <x v="4"/>
    <x v="0"/>
  </r>
  <r>
    <x v="0"/>
    <x v="0"/>
    <n v="2239088226"/>
    <x v="7"/>
    <n v="3000"/>
    <x v="0"/>
    <x v="0"/>
    <x v="5"/>
    <x v="7"/>
    <x v="0"/>
    <x v="0"/>
    <x v="1"/>
    <x v="0"/>
  </r>
  <r>
    <x v="0"/>
    <x v="0"/>
    <n v="2239088227"/>
    <x v="5"/>
    <n v="-2500"/>
    <x v="0"/>
    <x v="0"/>
    <x v="5"/>
    <x v="5"/>
    <x v="0"/>
    <x v="0"/>
    <x v="5"/>
    <x v="0"/>
  </r>
  <r>
    <x v="0"/>
    <x v="0"/>
    <n v="2239088227"/>
    <x v="6"/>
    <n v="10000"/>
    <x v="0"/>
    <x v="0"/>
    <x v="5"/>
    <x v="6"/>
    <x v="0"/>
    <x v="0"/>
    <x v="5"/>
    <x v="0"/>
  </r>
  <r>
    <x v="0"/>
    <x v="0"/>
    <n v="2239088229"/>
    <x v="5"/>
    <n v="-4700"/>
    <x v="0"/>
    <x v="0"/>
    <x v="5"/>
    <x v="5"/>
    <x v="0"/>
    <x v="0"/>
    <x v="5"/>
    <x v="0"/>
  </r>
  <r>
    <x v="0"/>
    <x v="0"/>
    <n v="2239088229"/>
    <x v="4"/>
    <n v="10000"/>
    <x v="0"/>
    <x v="0"/>
    <x v="5"/>
    <x v="4"/>
    <x v="0"/>
    <x v="0"/>
    <x v="4"/>
    <x v="0"/>
  </r>
  <r>
    <x v="0"/>
    <x v="0"/>
    <n v="2239088230"/>
    <x v="5"/>
    <n v="-7720"/>
    <x v="0"/>
    <x v="0"/>
    <x v="5"/>
    <x v="5"/>
    <x v="0"/>
    <x v="0"/>
    <x v="5"/>
    <x v="0"/>
  </r>
  <r>
    <x v="0"/>
    <x v="0"/>
    <n v="2239088230"/>
    <x v="6"/>
    <n v="10000"/>
    <x v="0"/>
    <x v="0"/>
    <x v="5"/>
    <x v="6"/>
    <x v="0"/>
    <x v="0"/>
    <x v="5"/>
    <x v="0"/>
  </r>
  <r>
    <x v="0"/>
    <x v="0"/>
    <n v="2239088231"/>
    <x v="7"/>
    <n v="1500"/>
    <x v="0"/>
    <x v="0"/>
    <x v="5"/>
    <x v="7"/>
    <x v="0"/>
    <x v="0"/>
    <x v="1"/>
    <x v="0"/>
  </r>
  <r>
    <x v="0"/>
    <x v="0"/>
    <n v="2239088232"/>
    <x v="7"/>
    <n v="1500"/>
    <x v="0"/>
    <x v="0"/>
    <x v="5"/>
    <x v="7"/>
    <x v="0"/>
    <x v="0"/>
    <x v="1"/>
    <x v="0"/>
  </r>
  <r>
    <x v="0"/>
    <x v="0"/>
    <n v="2239088233"/>
    <x v="3"/>
    <n v="5250"/>
    <x v="0"/>
    <x v="0"/>
    <x v="5"/>
    <x v="3"/>
    <x v="0"/>
    <x v="0"/>
    <x v="3"/>
    <x v="0"/>
  </r>
  <r>
    <x v="0"/>
    <x v="0"/>
    <n v="2239088234"/>
    <x v="2"/>
    <n v="11000"/>
    <x v="0"/>
    <x v="0"/>
    <x v="5"/>
    <x v="2"/>
    <x v="0"/>
    <x v="0"/>
    <x v="2"/>
    <x v="0"/>
  </r>
  <r>
    <x v="0"/>
    <x v="0"/>
    <n v="2239088234"/>
    <x v="7"/>
    <n v="10000"/>
    <x v="0"/>
    <x v="0"/>
    <x v="5"/>
    <x v="7"/>
    <x v="0"/>
    <x v="0"/>
    <x v="1"/>
    <x v="0"/>
  </r>
  <r>
    <x v="0"/>
    <x v="0"/>
    <n v="2239088235"/>
    <x v="5"/>
    <n v="-3000"/>
    <x v="0"/>
    <x v="0"/>
    <x v="5"/>
    <x v="5"/>
    <x v="0"/>
    <x v="0"/>
    <x v="5"/>
    <x v="0"/>
  </r>
  <r>
    <x v="0"/>
    <x v="0"/>
    <n v="2239088235"/>
    <x v="6"/>
    <n v="30000"/>
    <x v="0"/>
    <x v="0"/>
    <x v="5"/>
    <x v="6"/>
    <x v="0"/>
    <x v="0"/>
    <x v="5"/>
    <x v="0"/>
  </r>
  <r>
    <x v="0"/>
    <x v="0"/>
    <n v="2239088236"/>
    <x v="4"/>
    <n v="4600"/>
    <x v="0"/>
    <x v="0"/>
    <x v="5"/>
    <x v="4"/>
    <x v="0"/>
    <x v="0"/>
    <x v="4"/>
    <x v="0"/>
  </r>
  <r>
    <x v="0"/>
    <x v="0"/>
    <n v="2239088237"/>
    <x v="2"/>
    <n v="3000"/>
    <x v="0"/>
    <x v="0"/>
    <x v="5"/>
    <x v="2"/>
    <x v="0"/>
    <x v="0"/>
    <x v="2"/>
    <x v="0"/>
  </r>
  <r>
    <x v="0"/>
    <x v="0"/>
    <n v="2239088239"/>
    <x v="5"/>
    <n v="-340"/>
    <x v="0"/>
    <x v="0"/>
    <x v="5"/>
    <x v="5"/>
    <x v="0"/>
    <x v="0"/>
    <x v="5"/>
    <x v="0"/>
  </r>
  <r>
    <x v="0"/>
    <x v="0"/>
    <n v="2239088239"/>
    <x v="6"/>
    <n v="3000"/>
    <x v="0"/>
    <x v="0"/>
    <x v="5"/>
    <x v="6"/>
    <x v="0"/>
    <x v="0"/>
    <x v="5"/>
    <x v="0"/>
  </r>
  <r>
    <x v="0"/>
    <x v="0"/>
    <n v="2239088240"/>
    <x v="5"/>
    <n v="-400"/>
    <x v="0"/>
    <x v="0"/>
    <x v="5"/>
    <x v="5"/>
    <x v="0"/>
    <x v="0"/>
    <x v="5"/>
    <x v="0"/>
  </r>
  <r>
    <x v="0"/>
    <x v="0"/>
    <n v="2239088240"/>
    <x v="4"/>
    <n v="5000"/>
    <x v="0"/>
    <x v="0"/>
    <x v="5"/>
    <x v="4"/>
    <x v="0"/>
    <x v="0"/>
    <x v="4"/>
    <x v="0"/>
  </r>
  <r>
    <x v="0"/>
    <x v="0"/>
    <n v="2239088241"/>
    <x v="5"/>
    <n v="-3680"/>
    <x v="0"/>
    <x v="0"/>
    <x v="5"/>
    <x v="5"/>
    <x v="0"/>
    <x v="0"/>
    <x v="5"/>
    <x v="0"/>
  </r>
  <r>
    <x v="0"/>
    <x v="0"/>
    <n v="2239088241"/>
    <x v="6"/>
    <n v="20000"/>
    <x v="0"/>
    <x v="0"/>
    <x v="5"/>
    <x v="6"/>
    <x v="0"/>
    <x v="0"/>
    <x v="5"/>
    <x v="0"/>
  </r>
  <r>
    <x v="0"/>
    <x v="0"/>
    <n v="2239088241"/>
    <x v="7"/>
    <n v="10880"/>
    <x v="0"/>
    <x v="0"/>
    <x v="5"/>
    <x v="7"/>
    <x v="0"/>
    <x v="0"/>
    <x v="1"/>
    <x v="0"/>
  </r>
  <r>
    <x v="0"/>
    <x v="0"/>
    <n v="2239090958"/>
    <x v="1"/>
    <n v="3150"/>
    <x v="0"/>
    <x v="0"/>
    <x v="29"/>
    <x v="1"/>
    <x v="0"/>
    <x v="0"/>
    <x v="1"/>
    <x v="0"/>
  </r>
  <r>
    <x v="0"/>
    <x v="0"/>
    <n v="2239090960"/>
    <x v="1"/>
    <n v="18240"/>
    <x v="0"/>
    <x v="0"/>
    <x v="29"/>
    <x v="1"/>
    <x v="0"/>
    <x v="0"/>
    <x v="1"/>
    <x v="0"/>
  </r>
  <r>
    <x v="0"/>
    <x v="0"/>
    <n v="2239090961"/>
    <x v="1"/>
    <n v="54770"/>
    <x v="0"/>
    <x v="0"/>
    <x v="29"/>
    <x v="1"/>
    <x v="0"/>
    <x v="0"/>
    <x v="1"/>
    <x v="0"/>
  </r>
  <r>
    <x v="0"/>
    <x v="0"/>
    <n v="2239090962"/>
    <x v="1"/>
    <n v="20550"/>
    <x v="0"/>
    <x v="0"/>
    <x v="29"/>
    <x v="1"/>
    <x v="0"/>
    <x v="0"/>
    <x v="1"/>
    <x v="0"/>
  </r>
  <r>
    <x v="0"/>
    <x v="0"/>
    <n v="2239090963"/>
    <x v="1"/>
    <n v="2250"/>
    <x v="0"/>
    <x v="0"/>
    <x v="29"/>
    <x v="1"/>
    <x v="0"/>
    <x v="0"/>
    <x v="1"/>
    <x v="0"/>
  </r>
  <r>
    <x v="0"/>
    <x v="0"/>
    <n v="2239090964"/>
    <x v="1"/>
    <n v="6090"/>
    <x v="0"/>
    <x v="0"/>
    <x v="29"/>
    <x v="1"/>
    <x v="0"/>
    <x v="0"/>
    <x v="1"/>
    <x v="0"/>
  </r>
  <r>
    <x v="0"/>
    <x v="0"/>
    <n v="2239090965"/>
    <x v="1"/>
    <n v="12570"/>
    <x v="0"/>
    <x v="0"/>
    <x v="29"/>
    <x v="1"/>
    <x v="0"/>
    <x v="0"/>
    <x v="1"/>
    <x v="0"/>
  </r>
  <r>
    <x v="0"/>
    <x v="0"/>
    <n v="2239090966"/>
    <x v="1"/>
    <n v="2490"/>
    <x v="0"/>
    <x v="0"/>
    <x v="29"/>
    <x v="1"/>
    <x v="0"/>
    <x v="0"/>
    <x v="1"/>
    <x v="0"/>
  </r>
  <r>
    <x v="0"/>
    <x v="0"/>
    <n v="2239090967"/>
    <x v="1"/>
    <n v="2850"/>
    <x v="0"/>
    <x v="0"/>
    <x v="29"/>
    <x v="1"/>
    <x v="0"/>
    <x v="0"/>
    <x v="1"/>
    <x v="0"/>
  </r>
  <r>
    <x v="0"/>
    <x v="0"/>
    <n v="2239090968"/>
    <x v="1"/>
    <n v="3900"/>
    <x v="0"/>
    <x v="0"/>
    <x v="29"/>
    <x v="1"/>
    <x v="0"/>
    <x v="0"/>
    <x v="1"/>
    <x v="0"/>
  </r>
  <r>
    <x v="0"/>
    <x v="0"/>
    <n v="2239090969"/>
    <x v="1"/>
    <n v="4950"/>
    <x v="0"/>
    <x v="0"/>
    <x v="29"/>
    <x v="1"/>
    <x v="0"/>
    <x v="0"/>
    <x v="1"/>
    <x v="0"/>
  </r>
  <r>
    <x v="0"/>
    <x v="0"/>
    <n v="2239090970"/>
    <x v="1"/>
    <n v="11800"/>
    <x v="0"/>
    <x v="0"/>
    <x v="29"/>
    <x v="1"/>
    <x v="0"/>
    <x v="0"/>
    <x v="1"/>
    <x v="0"/>
  </r>
  <r>
    <x v="0"/>
    <x v="0"/>
    <n v="2239090971"/>
    <x v="1"/>
    <n v="17820"/>
    <x v="0"/>
    <x v="0"/>
    <x v="29"/>
    <x v="1"/>
    <x v="0"/>
    <x v="0"/>
    <x v="1"/>
    <x v="0"/>
  </r>
  <r>
    <x v="0"/>
    <x v="0"/>
    <n v="2239090972"/>
    <x v="1"/>
    <n v="2700"/>
    <x v="0"/>
    <x v="0"/>
    <x v="29"/>
    <x v="1"/>
    <x v="0"/>
    <x v="0"/>
    <x v="1"/>
    <x v="0"/>
  </r>
  <r>
    <x v="0"/>
    <x v="0"/>
    <n v="2239090974"/>
    <x v="1"/>
    <n v="4650"/>
    <x v="0"/>
    <x v="0"/>
    <x v="29"/>
    <x v="1"/>
    <x v="0"/>
    <x v="0"/>
    <x v="1"/>
    <x v="0"/>
  </r>
  <r>
    <x v="0"/>
    <x v="0"/>
    <n v="2239090979"/>
    <x v="1"/>
    <n v="9650"/>
    <x v="0"/>
    <x v="0"/>
    <x v="29"/>
    <x v="1"/>
    <x v="0"/>
    <x v="0"/>
    <x v="1"/>
    <x v="0"/>
  </r>
  <r>
    <x v="0"/>
    <x v="0"/>
    <n v="2239090980"/>
    <x v="2"/>
    <n v="35046"/>
    <x v="0"/>
    <x v="0"/>
    <x v="29"/>
    <x v="2"/>
    <x v="0"/>
    <x v="0"/>
    <x v="2"/>
    <x v="0"/>
  </r>
  <r>
    <x v="0"/>
    <x v="0"/>
    <n v="2239090981"/>
    <x v="7"/>
    <n v="1500"/>
    <x v="0"/>
    <x v="0"/>
    <x v="29"/>
    <x v="7"/>
    <x v="0"/>
    <x v="0"/>
    <x v="1"/>
    <x v="0"/>
  </r>
  <r>
    <x v="0"/>
    <x v="0"/>
    <n v="2239090982"/>
    <x v="5"/>
    <n v="-5400"/>
    <x v="0"/>
    <x v="0"/>
    <x v="29"/>
    <x v="5"/>
    <x v="0"/>
    <x v="0"/>
    <x v="5"/>
    <x v="0"/>
  </r>
  <r>
    <x v="0"/>
    <x v="0"/>
    <n v="2239090982"/>
    <x v="4"/>
    <n v="10000"/>
    <x v="0"/>
    <x v="0"/>
    <x v="29"/>
    <x v="4"/>
    <x v="0"/>
    <x v="0"/>
    <x v="4"/>
    <x v="0"/>
  </r>
  <r>
    <x v="0"/>
    <x v="0"/>
    <n v="2239090983"/>
    <x v="5"/>
    <n v="-2000"/>
    <x v="0"/>
    <x v="0"/>
    <x v="29"/>
    <x v="5"/>
    <x v="0"/>
    <x v="0"/>
    <x v="5"/>
    <x v="0"/>
  </r>
  <r>
    <x v="0"/>
    <x v="0"/>
    <n v="2239090983"/>
    <x v="6"/>
    <n v="10000"/>
    <x v="0"/>
    <x v="0"/>
    <x v="29"/>
    <x v="6"/>
    <x v="0"/>
    <x v="0"/>
    <x v="5"/>
    <x v="0"/>
  </r>
  <r>
    <x v="0"/>
    <x v="0"/>
    <n v="2239090984"/>
    <x v="6"/>
    <n v="2000"/>
    <x v="0"/>
    <x v="0"/>
    <x v="29"/>
    <x v="6"/>
    <x v="0"/>
    <x v="0"/>
    <x v="5"/>
    <x v="0"/>
  </r>
  <r>
    <x v="0"/>
    <x v="0"/>
    <n v="2239090985"/>
    <x v="5"/>
    <n v="-5400"/>
    <x v="0"/>
    <x v="0"/>
    <x v="29"/>
    <x v="5"/>
    <x v="0"/>
    <x v="0"/>
    <x v="5"/>
    <x v="0"/>
  </r>
  <r>
    <x v="0"/>
    <x v="0"/>
    <n v="2239090985"/>
    <x v="4"/>
    <n v="10000"/>
    <x v="0"/>
    <x v="0"/>
    <x v="29"/>
    <x v="4"/>
    <x v="0"/>
    <x v="0"/>
    <x v="4"/>
    <x v="0"/>
  </r>
  <r>
    <x v="0"/>
    <x v="0"/>
    <n v="2239090986"/>
    <x v="5"/>
    <n v="-5000"/>
    <x v="0"/>
    <x v="0"/>
    <x v="29"/>
    <x v="5"/>
    <x v="0"/>
    <x v="0"/>
    <x v="5"/>
    <x v="0"/>
  </r>
  <r>
    <x v="0"/>
    <x v="0"/>
    <n v="2239090986"/>
    <x v="4"/>
    <n v="10000"/>
    <x v="0"/>
    <x v="0"/>
    <x v="29"/>
    <x v="4"/>
    <x v="0"/>
    <x v="0"/>
    <x v="4"/>
    <x v="0"/>
  </r>
  <r>
    <x v="0"/>
    <x v="0"/>
    <n v="2239090987"/>
    <x v="2"/>
    <n v="4400"/>
    <x v="0"/>
    <x v="0"/>
    <x v="29"/>
    <x v="2"/>
    <x v="0"/>
    <x v="0"/>
    <x v="2"/>
    <x v="0"/>
  </r>
  <r>
    <x v="0"/>
    <x v="0"/>
    <n v="2239090988"/>
    <x v="7"/>
    <n v="1500"/>
    <x v="0"/>
    <x v="0"/>
    <x v="29"/>
    <x v="7"/>
    <x v="0"/>
    <x v="0"/>
    <x v="1"/>
    <x v="0"/>
  </r>
  <r>
    <x v="0"/>
    <x v="0"/>
    <n v="2239090989"/>
    <x v="7"/>
    <n v="1500"/>
    <x v="0"/>
    <x v="0"/>
    <x v="29"/>
    <x v="7"/>
    <x v="0"/>
    <x v="0"/>
    <x v="1"/>
    <x v="0"/>
  </r>
  <r>
    <x v="0"/>
    <x v="0"/>
    <n v="2239090990"/>
    <x v="1"/>
    <n v="13320"/>
    <x v="0"/>
    <x v="0"/>
    <x v="29"/>
    <x v="1"/>
    <x v="0"/>
    <x v="0"/>
    <x v="1"/>
    <x v="0"/>
  </r>
  <r>
    <x v="0"/>
    <x v="0"/>
    <n v="2239090991"/>
    <x v="5"/>
    <n v="-3000"/>
    <x v="0"/>
    <x v="0"/>
    <x v="29"/>
    <x v="5"/>
    <x v="0"/>
    <x v="0"/>
    <x v="5"/>
    <x v="0"/>
  </r>
  <r>
    <x v="0"/>
    <x v="0"/>
    <n v="2239090991"/>
    <x v="6"/>
    <n v="10000"/>
    <x v="0"/>
    <x v="0"/>
    <x v="29"/>
    <x v="6"/>
    <x v="0"/>
    <x v="0"/>
    <x v="5"/>
    <x v="0"/>
  </r>
  <r>
    <x v="0"/>
    <x v="0"/>
    <n v="2239090992"/>
    <x v="5"/>
    <n v="-5600"/>
    <x v="0"/>
    <x v="0"/>
    <x v="29"/>
    <x v="5"/>
    <x v="0"/>
    <x v="0"/>
    <x v="5"/>
    <x v="0"/>
  </r>
  <r>
    <x v="0"/>
    <x v="0"/>
    <n v="2239090992"/>
    <x v="4"/>
    <n v="10000"/>
    <x v="0"/>
    <x v="0"/>
    <x v="29"/>
    <x v="4"/>
    <x v="0"/>
    <x v="0"/>
    <x v="4"/>
    <x v="0"/>
  </r>
  <r>
    <x v="0"/>
    <x v="0"/>
    <n v="2239090993"/>
    <x v="5"/>
    <n v="-1000"/>
    <x v="0"/>
    <x v="0"/>
    <x v="29"/>
    <x v="5"/>
    <x v="0"/>
    <x v="0"/>
    <x v="5"/>
    <x v="0"/>
  </r>
  <r>
    <x v="0"/>
    <x v="0"/>
    <n v="2239090993"/>
    <x v="6"/>
    <n v="5000"/>
    <x v="0"/>
    <x v="0"/>
    <x v="29"/>
    <x v="6"/>
    <x v="0"/>
    <x v="0"/>
    <x v="5"/>
    <x v="0"/>
  </r>
  <r>
    <x v="0"/>
    <x v="0"/>
    <n v="2239090994"/>
    <x v="2"/>
    <n v="5500"/>
    <x v="0"/>
    <x v="0"/>
    <x v="29"/>
    <x v="2"/>
    <x v="0"/>
    <x v="0"/>
    <x v="2"/>
    <x v="0"/>
  </r>
  <r>
    <x v="0"/>
    <x v="0"/>
    <n v="2239090995"/>
    <x v="5"/>
    <n v="-1000"/>
    <x v="0"/>
    <x v="0"/>
    <x v="29"/>
    <x v="5"/>
    <x v="0"/>
    <x v="0"/>
    <x v="5"/>
    <x v="0"/>
  </r>
  <r>
    <x v="0"/>
    <x v="0"/>
    <n v="2239090995"/>
    <x v="6"/>
    <n v="5000"/>
    <x v="0"/>
    <x v="0"/>
    <x v="29"/>
    <x v="6"/>
    <x v="0"/>
    <x v="0"/>
    <x v="5"/>
    <x v="0"/>
  </r>
  <r>
    <x v="0"/>
    <x v="0"/>
    <n v="2239090996"/>
    <x v="5"/>
    <n v="-100"/>
    <x v="0"/>
    <x v="0"/>
    <x v="29"/>
    <x v="5"/>
    <x v="0"/>
    <x v="0"/>
    <x v="5"/>
    <x v="0"/>
  </r>
  <r>
    <x v="0"/>
    <x v="0"/>
    <n v="2239090996"/>
    <x v="4"/>
    <n v="4500"/>
    <x v="0"/>
    <x v="0"/>
    <x v="29"/>
    <x v="4"/>
    <x v="0"/>
    <x v="0"/>
    <x v="4"/>
    <x v="0"/>
  </r>
  <r>
    <x v="0"/>
    <x v="0"/>
    <n v="2239090997"/>
    <x v="2"/>
    <n v="39600"/>
    <x v="0"/>
    <x v="0"/>
    <x v="29"/>
    <x v="2"/>
    <x v="0"/>
    <x v="0"/>
    <x v="2"/>
    <x v="0"/>
  </r>
  <r>
    <x v="0"/>
    <x v="0"/>
    <n v="2239090998"/>
    <x v="5"/>
    <n v="-500"/>
    <x v="0"/>
    <x v="0"/>
    <x v="29"/>
    <x v="5"/>
    <x v="0"/>
    <x v="0"/>
    <x v="5"/>
    <x v="0"/>
  </r>
  <r>
    <x v="0"/>
    <x v="0"/>
    <n v="2239090998"/>
    <x v="6"/>
    <n v="5000"/>
    <x v="0"/>
    <x v="0"/>
    <x v="29"/>
    <x v="6"/>
    <x v="0"/>
    <x v="0"/>
    <x v="5"/>
    <x v="0"/>
  </r>
  <r>
    <x v="0"/>
    <x v="0"/>
    <n v="2239090999"/>
    <x v="1"/>
    <n v="1140"/>
    <x v="0"/>
    <x v="0"/>
    <x v="29"/>
    <x v="1"/>
    <x v="0"/>
    <x v="0"/>
    <x v="1"/>
    <x v="0"/>
  </r>
  <r>
    <x v="0"/>
    <x v="0"/>
    <n v="2239091000"/>
    <x v="5"/>
    <n v="-1000"/>
    <x v="0"/>
    <x v="0"/>
    <x v="29"/>
    <x v="5"/>
    <x v="0"/>
    <x v="0"/>
    <x v="5"/>
    <x v="0"/>
  </r>
  <r>
    <x v="0"/>
    <x v="0"/>
    <n v="2239091000"/>
    <x v="6"/>
    <n v="5000"/>
    <x v="0"/>
    <x v="0"/>
    <x v="29"/>
    <x v="6"/>
    <x v="0"/>
    <x v="0"/>
    <x v="5"/>
    <x v="0"/>
  </r>
  <r>
    <x v="0"/>
    <x v="0"/>
    <n v="2239091001"/>
    <x v="2"/>
    <n v="22308"/>
    <x v="0"/>
    <x v="0"/>
    <x v="29"/>
    <x v="2"/>
    <x v="0"/>
    <x v="0"/>
    <x v="2"/>
    <x v="0"/>
  </r>
  <r>
    <x v="0"/>
    <x v="0"/>
    <n v="2239091002"/>
    <x v="4"/>
    <n v="5000"/>
    <x v="0"/>
    <x v="0"/>
    <x v="29"/>
    <x v="4"/>
    <x v="0"/>
    <x v="0"/>
    <x v="4"/>
    <x v="0"/>
  </r>
  <r>
    <x v="0"/>
    <x v="0"/>
    <n v="2239091003"/>
    <x v="2"/>
    <n v="4000"/>
    <x v="0"/>
    <x v="0"/>
    <x v="29"/>
    <x v="2"/>
    <x v="0"/>
    <x v="0"/>
    <x v="2"/>
    <x v="0"/>
  </r>
  <r>
    <x v="0"/>
    <x v="0"/>
    <n v="2239091004"/>
    <x v="2"/>
    <n v="3000"/>
    <x v="0"/>
    <x v="0"/>
    <x v="29"/>
    <x v="2"/>
    <x v="0"/>
    <x v="0"/>
    <x v="2"/>
    <x v="0"/>
  </r>
  <r>
    <x v="0"/>
    <x v="0"/>
    <n v="2239091006"/>
    <x v="2"/>
    <n v="6000"/>
    <x v="0"/>
    <x v="0"/>
    <x v="29"/>
    <x v="2"/>
    <x v="0"/>
    <x v="0"/>
    <x v="2"/>
    <x v="0"/>
  </r>
  <r>
    <x v="0"/>
    <x v="0"/>
    <n v="2239091007"/>
    <x v="3"/>
    <n v="6600"/>
    <x v="0"/>
    <x v="0"/>
    <x v="29"/>
    <x v="3"/>
    <x v="0"/>
    <x v="0"/>
    <x v="3"/>
    <x v="0"/>
  </r>
  <r>
    <x v="0"/>
    <x v="0"/>
    <n v="2239091008"/>
    <x v="2"/>
    <n v="6000"/>
    <x v="0"/>
    <x v="0"/>
    <x v="29"/>
    <x v="2"/>
    <x v="0"/>
    <x v="0"/>
    <x v="2"/>
    <x v="0"/>
  </r>
  <r>
    <x v="0"/>
    <x v="0"/>
    <n v="2239091009"/>
    <x v="3"/>
    <n v="12320"/>
    <x v="0"/>
    <x v="0"/>
    <x v="29"/>
    <x v="3"/>
    <x v="0"/>
    <x v="0"/>
    <x v="3"/>
    <x v="0"/>
  </r>
  <r>
    <x v="0"/>
    <x v="0"/>
    <n v="2239091010"/>
    <x v="7"/>
    <n v="1500"/>
    <x v="0"/>
    <x v="0"/>
    <x v="29"/>
    <x v="7"/>
    <x v="0"/>
    <x v="0"/>
    <x v="1"/>
    <x v="0"/>
  </r>
  <r>
    <x v="0"/>
    <x v="0"/>
    <n v="2239091013"/>
    <x v="5"/>
    <n v="-7300"/>
    <x v="0"/>
    <x v="0"/>
    <x v="29"/>
    <x v="5"/>
    <x v="0"/>
    <x v="0"/>
    <x v="5"/>
    <x v="0"/>
  </r>
  <r>
    <x v="0"/>
    <x v="0"/>
    <n v="2239091013"/>
    <x v="6"/>
    <n v="10000"/>
    <x v="0"/>
    <x v="0"/>
    <x v="29"/>
    <x v="6"/>
    <x v="0"/>
    <x v="0"/>
    <x v="5"/>
    <x v="0"/>
  </r>
  <r>
    <x v="0"/>
    <x v="0"/>
    <n v="2239091014"/>
    <x v="7"/>
    <n v="1500"/>
    <x v="0"/>
    <x v="0"/>
    <x v="29"/>
    <x v="7"/>
    <x v="0"/>
    <x v="0"/>
    <x v="1"/>
    <x v="0"/>
  </r>
  <r>
    <x v="0"/>
    <x v="0"/>
    <n v="2239091015"/>
    <x v="2"/>
    <n v="2000"/>
    <x v="0"/>
    <x v="0"/>
    <x v="29"/>
    <x v="2"/>
    <x v="0"/>
    <x v="0"/>
    <x v="2"/>
    <x v="0"/>
  </r>
  <r>
    <x v="0"/>
    <x v="0"/>
    <n v="2239091016"/>
    <x v="2"/>
    <n v="2000"/>
    <x v="0"/>
    <x v="0"/>
    <x v="29"/>
    <x v="2"/>
    <x v="0"/>
    <x v="0"/>
    <x v="2"/>
    <x v="0"/>
  </r>
  <r>
    <x v="0"/>
    <x v="0"/>
    <n v="2239091017"/>
    <x v="7"/>
    <n v="1500"/>
    <x v="0"/>
    <x v="0"/>
    <x v="29"/>
    <x v="7"/>
    <x v="0"/>
    <x v="0"/>
    <x v="1"/>
    <x v="0"/>
  </r>
  <r>
    <x v="0"/>
    <x v="0"/>
    <n v="2239091018"/>
    <x v="7"/>
    <n v="1500"/>
    <x v="0"/>
    <x v="0"/>
    <x v="29"/>
    <x v="7"/>
    <x v="0"/>
    <x v="0"/>
    <x v="1"/>
    <x v="0"/>
  </r>
  <r>
    <x v="0"/>
    <x v="0"/>
    <n v="2239091019"/>
    <x v="7"/>
    <n v="1500"/>
    <x v="0"/>
    <x v="0"/>
    <x v="29"/>
    <x v="7"/>
    <x v="0"/>
    <x v="0"/>
    <x v="1"/>
    <x v="0"/>
  </r>
  <r>
    <x v="0"/>
    <x v="0"/>
    <n v="2239091020"/>
    <x v="2"/>
    <n v="2000"/>
    <x v="0"/>
    <x v="0"/>
    <x v="29"/>
    <x v="2"/>
    <x v="0"/>
    <x v="0"/>
    <x v="2"/>
    <x v="0"/>
  </r>
  <r>
    <x v="0"/>
    <x v="0"/>
    <n v="2239091022"/>
    <x v="6"/>
    <n v="8000"/>
    <x v="0"/>
    <x v="0"/>
    <x v="29"/>
    <x v="6"/>
    <x v="0"/>
    <x v="0"/>
    <x v="5"/>
    <x v="0"/>
  </r>
  <r>
    <x v="0"/>
    <x v="0"/>
    <n v="2239091023"/>
    <x v="6"/>
    <n v="4000"/>
    <x v="0"/>
    <x v="0"/>
    <x v="29"/>
    <x v="6"/>
    <x v="0"/>
    <x v="0"/>
    <x v="5"/>
    <x v="0"/>
  </r>
  <r>
    <x v="0"/>
    <x v="0"/>
    <n v="2239091024"/>
    <x v="1"/>
    <n v="13600"/>
    <x v="0"/>
    <x v="0"/>
    <x v="29"/>
    <x v="1"/>
    <x v="0"/>
    <x v="0"/>
    <x v="1"/>
    <x v="0"/>
  </r>
  <r>
    <x v="0"/>
    <x v="0"/>
    <n v="2239091025"/>
    <x v="5"/>
    <n v="-13000"/>
    <x v="0"/>
    <x v="0"/>
    <x v="29"/>
    <x v="5"/>
    <x v="0"/>
    <x v="0"/>
    <x v="5"/>
    <x v="0"/>
  </r>
  <r>
    <x v="0"/>
    <x v="0"/>
    <n v="2239091025"/>
    <x v="6"/>
    <n v="20000"/>
    <x v="0"/>
    <x v="0"/>
    <x v="29"/>
    <x v="6"/>
    <x v="0"/>
    <x v="0"/>
    <x v="5"/>
    <x v="0"/>
  </r>
  <r>
    <x v="0"/>
    <x v="0"/>
    <n v="2239091026"/>
    <x v="2"/>
    <n v="5000"/>
    <x v="0"/>
    <x v="0"/>
    <x v="29"/>
    <x v="2"/>
    <x v="0"/>
    <x v="0"/>
    <x v="2"/>
    <x v="0"/>
  </r>
  <r>
    <x v="0"/>
    <x v="0"/>
    <n v="2239091027"/>
    <x v="5"/>
    <n v="-600"/>
    <x v="0"/>
    <x v="0"/>
    <x v="29"/>
    <x v="5"/>
    <x v="0"/>
    <x v="0"/>
    <x v="5"/>
    <x v="0"/>
  </r>
  <r>
    <x v="0"/>
    <x v="0"/>
    <n v="2239091027"/>
    <x v="4"/>
    <n v="5000"/>
    <x v="0"/>
    <x v="0"/>
    <x v="29"/>
    <x v="4"/>
    <x v="0"/>
    <x v="0"/>
    <x v="4"/>
    <x v="0"/>
  </r>
  <r>
    <x v="0"/>
    <x v="0"/>
    <n v="2239091028"/>
    <x v="5"/>
    <n v="-3000"/>
    <x v="0"/>
    <x v="0"/>
    <x v="29"/>
    <x v="5"/>
    <x v="0"/>
    <x v="0"/>
    <x v="5"/>
    <x v="0"/>
  </r>
  <r>
    <x v="0"/>
    <x v="0"/>
    <n v="2239091028"/>
    <x v="6"/>
    <n v="5000"/>
    <x v="0"/>
    <x v="0"/>
    <x v="29"/>
    <x v="6"/>
    <x v="0"/>
    <x v="0"/>
    <x v="5"/>
    <x v="0"/>
  </r>
  <r>
    <x v="0"/>
    <x v="0"/>
    <n v="2239091029"/>
    <x v="2"/>
    <n v="6000"/>
    <x v="0"/>
    <x v="0"/>
    <x v="29"/>
    <x v="2"/>
    <x v="0"/>
    <x v="0"/>
    <x v="2"/>
    <x v="0"/>
  </r>
  <r>
    <x v="0"/>
    <x v="0"/>
    <n v="2239091030"/>
    <x v="2"/>
    <n v="5500"/>
    <x v="0"/>
    <x v="0"/>
    <x v="29"/>
    <x v="2"/>
    <x v="0"/>
    <x v="0"/>
    <x v="2"/>
    <x v="0"/>
  </r>
  <r>
    <x v="0"/>
    <x v="0"/>
    <n v="2239091031"/>
    <x v="6"/>
    <n v="3000"/>
    <x v="0"/>
    <x v="0"/>
    <x v="29"/>
    <x v="6"/>
    <x v="0"/>
    <x v="0"/>
    <x v="5"/>
    <x v="0"/>
  </r>
  <r>
    <x v="0"/>
    <x v="0"/>
    <n v="2239091032"/>
    <x v="7"/>
    <n v="1500"/>
    <x v="0"/>
    <x v="0"/>
    <x v="29"/>
    <x v="7"/>
    <x v="0"/>
    <x v="0"/>
    <x v="1"/>
    <x v="0"/>
  </r>
  <r>
    <x v="0"/>
    <x v="0"/>
    <n v="2239091033"/>
    <x v="5"/>
    <n v="-2000"/>
    <x v="0"/>
    <x v="0"/>
    <x v="29"/>
    <x v="5"/>
    <x v="0"/>
    <x v="0"/>
    <x v="5"/>
    <x v="0"/>
  </r>
  <r>
    <x v="0"/>
    <x v="0"/>
    <n v="2239091033"/>
    <x v="6"/>
    <n v="5500"/>
    <x v="0"/>
    <x v="0"/>
    <x v="29"/>
    <x v="6"/>
    <x v="0"/>
    <x v="0"/>
    <x v="5"/>
    <x v="0"/>
  </r>
  <r>
    <x v="0"/>
    <x v="0"/>
    <n v="2239091034"/>
    <x v="7"/>
    <n v="1500"/>
    <x v="0"/>
    <x v="0"/>
    <x v="29"/>
    <x v="7"/>
    <x v="0"/>
    <x v="0"/>
    <x v="1"/>
    <x v="0"/>
  </r>
  <r>
    <x v="0"/>
    <x v="0"/>
    <n v="2239091035"/>
    <x v="5"/>
    <n v="-6000"/>
    <x v="0"/>
    <x v="0"/>
    <x v="29"/>
    <x v="5"/>
    <x v="0"/>
    <x v="0"/>
    <x v="5"/>
    <x v="0"/>
  </r>
  <r>
    <x v="0"/>
    <x v="0"/>
    <n v="2239091035"/>
    <x v="6"/>
    <n v="10000"/>
    <x v="0"/>
    <x v="0"/>
    <x v="29"/>
    <x v="6"/>
    <x v="0"/>
    <x v="0"/>
    <x v="5"/>
    <x v="0"/>
  </r>
  <r>
    <x v="0"/>
    <x v="0"/>
    <n v="2239091036"/>
    <x v="6"/>
    <n v="4000"/>
    <x v="0"/>
    <x v="0"/>
    <x v="29"/>
    <x v="6"/>
    <x v="0"/>
    <x v="0"/>
    <x v="5"/>
    <x v="0"/>
  </r>
  <r>
    <x v="0"/>
    <x v="0"/>
    <n v="2239091037"/>
    <x v="5"/>
    <n v="-1000"/>
    <x v="0"/>
    <x v="0"/>
    <x v="29"/>
    <x v="5"/>
    <x v="0"/>
    <x v="0"/>
    <x v="5"/>
    <x v="0"/>
  </r>
  <r>
    <x v="0"/>
    <x v="0"/>
    <n v="2239091037"/>
    <x v="6"/>
    <n v="5000"/>
    <x v="0"/>
    <x v="0"/>
    <x v="29"/>
    <x v="6"/>
    <x v="0"/>
    <x v="0"/>
    <x v="5"/>
    <x v="0"/>
  </r>
  <r>
    <x v="0"/>
    <x v="0"/>
    <n v="2239091038"/>
    <x v="5"/>
    <n v="-300"/>
    <x v="0"/>
    <x v="0"/>
    <x v="29"/>
    <x v="5"/>
    <x v="0"/>
    <x v="0"/>
    <x v="5"/>
    <x v="0"/>
  </r>
  <r>
    <x v="0"/>
    <x v="0"/>
    <n v="2239091038"/>
    <x v="4"/>
    <n v="6000"/>
    <x v="0"/>
    <x v="0"/>
    <x v="29"/>
    <x v="4"/>
    <x v="0"/>
    <x v="0"/>
    <x v="4"/>
    <x v="0"/>
  </r>
  <r>
    <x v="0"/>
    <x v="0"/>
    <n v="2239091039"/>
    <x v="7"/>
    <n v="1500"/>
    <x v="0"/>
    <x v="0"/>
    <x v="29"/>
    <x v="7"/>
    <x v="0"/>
    <x v="0"/>
    <x v="1"/>
    <x v="0"/>
  </r>
  <r>
    <x v="0"/>
    <x v="0"/>
    <n v="2239091040"/>
    <x v="7"/>
    <n v="1500"/>
    <x v="0"/>
    <x v="0"/>
    <x v="29"/>
    <x v="7"/>
    <x v="0"/>
    <x v="0"/>
    <x v="1"/>
    <x v="0"/>
  </r>
  <r>
    <x v="0"/>
    <x v="0"/>
    <n v="2239091041"/>
    <x v="5"/>
    <n v="-4800"/>
    <x v="0"/>
    <x v="0"/>
    <x v="29"/>
    <x v="5"/>
    <x v="0"/>
    <x v="0"/>
    <x v="5"/>
    <x v="0"/>
  </r>
  <r>
    <x v="0"/>
    <x v="0"/>
    <n v="2239091041"/>
    <x v="6"/>
    <n v="10000"/>
    <x v="0"/>
    <x v="0"/>
    <x v="29"/>
    <x v="6"/>
    <x v="0"/>
    <x v="0"/>
    <x v="5"/>
    <x v="0"/>
  </r>
  <r>
    <x v="0"/>
    <x v="0"/>
    <n v="2239091042"/>
    <x v="1"/>
    <n v="1050"/>
    <x v="0"/>
    <x v="0"/>
    <x v="29"/>
    <x v="1"/>
    <x v="0"/>
    <x v="0"/>
    <x v="1"/>
    <x v="0"/>
  </r>
  <r>
    <x v="0"/>
    <x v="0"/>
    <n v="2239091044"/>
    <x v="5"/>
    <n v="-8000"/>
    <x v="0"/>
    <x v="0"/>
    <x v="29"/>
    <x v="5"/>
    <x v="0"/>
    <x v="0"/>
    <x v="5"/>
    <x v="0"/>
  </r>
  <r>
    <x v="0"/>
    <x v="0"/>
    <n v="2239091044"/>
    <x v="6"/>
    <n v="10000"/>
    <x v="0"/>
    <x v="0"/>
    <x v="29"/>
    <x v="6"/>
    <x v="0"/>
    <x v="0"/>
    <x v="5"/>
    <x v="0"/>
  </r>
  <r>
    <x v="0"/>
    <x v="0"/>
    <n v="2239091045"/>
    <x v="7"/>
    <n v="1500"/>
    <x v="0"/>
    <x v="0"/>
    <x v="29"/>
    <x v="7"/>
    <x v="0"/>
    <x v="0"/>
    <x v="1"/>
    <x v="0"/>
  </r>
  <r>
    <x v="0"/>
    <x v="0"/>
    <n v="2239091046"/>
    <x v="3"/>
    <n v="6000"/>
    <x v="0"/>
    <x v="0"/>
    <x v="29"/>
    <x v="3"/>
    <x v="0"/>
    <x v="0"/>
    <x v="3"/>
    <x v="0"/>
  </r>
  <r>
    <x v="0"/>
    <x v="0"/>
    <n v="2239091047"/>
    <x v="7"/>
    <n v="1500"/>
    <x v="0"/>
    <x v="0"/>
    <x v="29"/>
    <x v="7"/>
    <x v="0"/>
    <x v="0"/>
    <x v="1"/>
    <x v="0"/>
  </r>
  <r>
    <x v="0"/>
    <x v="0"/>
    <n v="2239091048"/>
    <x v="2"/>
    <n v="74052"/>
    <x v="0"/>
    <x v="0"/>
    <x v="29"/>
    <x v="2"/>
    <x v="0"/>
    <x v="0"/>
    <x v="2"/>
    <x v="0"/>
  </r>
  <r>
    <x v="0"/>
    <x v="0"/>
    <n v="2239091049"/>
    <x v="2"/>
    <n v="2200"/>
    <x v="0"/>
    <x v="0"/>
    <x v="29"/>
    <x v="2"/>
    <x v="0"/>
    <x v="0"/>
    <x v="2"/>
    <x v="0"/>
  </r>
  <r>
    <x v="0"/>
    <x v="0"/>
    <n v="2239091050"/>
    <x v="2"/>
    <n v="17490"/>
    <x v="0"/>
    <x v="0"/>
    <x v="29"/>
    <x v="2"/>
    <x v="0"/>
    <x v="0"/>
    <x v="2"/>
    <x v="0"/>
  </r>
  <r>
    <x v="0"/>
    <x v="0"/>
    <n v="2239091051"/>
    <x v="2"/>
    <n v="15300"/>
    <x v="0"/>
    <x v="0"/>
    <x v="29"/>
    <x v="2"/>
    <x v="0"/>
    <x v="0"/>
    <x v="2"/>
    <x v="0"/>
  </r>
  <r>
    <x v="0"/>
    <x v="0"/>
    <n v="2239091052"/>
    <x v="5"/>
    <n v="-8060"/>
    <x v="0"/>
    <x v="0"/>
    <x v="29"/>
    <x v="5"/>
    <x v="0"/>
    <x v="0"/>
    <x v="5"/>
    <x v="0"/>
  </r>
  <r>
    <x v="0"/>
    <x v="0"/>
    <n v="2239091052"/>
    <x v="6"/>
    <n v="20000"/>
    <x v="0"/>
    <x v="0"/>
    <x v="29"/>
    <x v="6"/>
    <x v="0"/>
    <x v="0"/>
    <x v="5"/>
    <x v="0"/>
  </r>
  <r>
    <x v="0"/>
    <x v="0"/>
    <n v="2239091052"/>
    <x v="7"/>
    <n v="7960"/>
    <x v="0"/>
    <x v="0"/>
    <x v="29"/>
    <x v="7"/>
    <x v="0"/>
    <x v="0"/>
    <x v="1"/>
    <x v="0"/>
  </r>
  <r>
    <x v="0"/>
    <x v="0"/>
    <n v="2239091053"/>
    <x v="6"/>
    <n v="1000"/>
    <x v="0"/>
    <x v="0"/>
    <x v="29"/>
    <x v="6"/>
    <x v="0"/>
    <x v="0"/>
    <x v="5"/>
    <x v="0"/>
  </r>
  <r>
    <x v="0"/>
    <x v="0"/>
    <n v="2239091054"/>
    <x v="6"/>
    <n v="7000"/>
    <x v="0"/>
    <x v="0"/>
    <x v="29"/>
    <x v="6"/>
    <x v="0"/>
    <x v="0"/>
    <x v="5"/>
    <x v="0"/>
  </r>
  <r>
    <x v="0"/>
    <x v="0"/>
    <n v="2239091055"/>
    <x v="7"/>
    <n v="1500"/>
    <x v="0"/>
    <x v="0"/>
    <x v="29"/>
    <x v="7"/>
    <x v="0"/>
    <x v="0"/>
    <x v="1"/>
    <x v="0"/>
  </r>
  <r>
    <x v="0"/>
    <x v="0"/>
    <n v="2239091056"/>
    <x v="7"/>
    <n v="1500"/>
    <x v="0"/>
    <x v="0"/>
    <x v="29"/>
    <x v="7"/>
    <x v="0"/>
    <x v="0"/>
    <x v="1"/>
    <x v="0"/>
  </r>
  <r>
    <x v="0"/>
    <x v="0"/>
    <n v="2239091057"/>
    <x v="4"/>
    <n v="5300"/>
    <x v="0"/>
    <x v="0"/>
    <x v="29"/>
    <x v="4"/>
    <x v="0"/>
    <x v="0"/>
    <x v="4"/>
    <x v="0"/>
  </r>
  <r>
    <x v="0"/>
    <x v="0"/>
    <n v="2239091058"/>
    <x v="5"/>
    <n v="-9100"/>
    <x v="0"/>
    <x v="0"/>
    <x v="29"/>
    <x v="5"/>
    <x v="0"/>
    <x v="0"/>
    <x v="5"/>
    <x v="0"/>
  </r>
  <r>
    <x v="0"/>
    <x v="0"/>
    <n v="2239091058"/>
    <x v="4"/>
    <n v="20000"/>
    <x v="0"/>
    <x v="0"/>
    <x v="29"/>
    <x v="4"/>
    <x v="0"/>
    <x v="0"/>
    <x v="4"/>
    <x v="0"/>
  </r>
  <r>
    <x v="0"/>
    <x v="0"/>
    <n v="2239091059"/>
    <x v="2"/>
    <n v="40590"/>
    <x v="0"/>
    <x v="0"/>
    <x v="29"/>
    <x v="2"/>
    <x v="0"/>
    <x v="0"/>
    <x v="2"/>
    <x v="0"/>
  </r>
  <r>
    <x v="0"/>
    <x v="0"/>
    <n v="2239091060"/>
    <x v="1"/>
    <n v="4050"/>
    <x v="0"/>
    <x v="0"/>
    <x v="29"/>
    <x v="1"/>
    <x v="0"/>
    <x v="0"/>
    <x v="1"/>
    <x v="0"/>
  </r>
  <r>
    <x v="0"/>
    <x v="0"/>
    <n v="2239091061"/>
    <x v="5"/>
    <n v="-1200"/>
    <x v="0"/>
    <x v="0"/>
    <x v="29"/>
    <x v="5"/>
    <x v="0"/>
    <x v="0"/>
    <x v="5"/>
    <x v="0"/>
  </r>
  <r>
    <x v="0"/>
    <x v="0"/>
    <n v="2239091061"/>
    <x v="4"/>
    <n v="10000"/>
    <x v="0"/>
    <x v="0"/>
    <x v="29"/>
    <x v="4"/>
    <x v="0"/>
    <x v="0"/>
    <x v="4"/>
    <x v="0"/>
  </r>
  <r>
    <x v="0"/>
    <x v="0"/>
    <n v="2239091062"/>
    <x v="5"/>
    <n v="-1000"/>
    <x v="0"/>
    <x v="0"/>
    <x v="29"/>
    <x v="5"/>
    <x v="0"/>
    <x v="0"/>
    <x v="5"/>
    <x v="0"/>
  </r>
  <r>
    <x v="0"/>
    <x v="0"/>
    <n v="2239091062"/>
    <x v="6"/>
    <n v="5000"/>
    <x v="0"/>
    <x v="0"/>
    <x v="29"/>
    <x v="6"/>
    <x v="0"/>
    <x v="0"/>
    <x v="5"/>
    <x v="0"/>
  </r>
  <r>
    <x v="0"/>
    <x v="0"/>
    <n v="2239091063"/>
    <x v="1"/>
    <n v="1800"/>
    <x v="0"/>
    <x v="0"/>
    <x v="29"/>
    <x v="1"/>
    <x v="0"/>
    <x v="0"/>
    <x v="1"/>
    <x v="0"/>
  </r>
  <r>
    <x v="0"/>
    <x v="0"/>
    <n v="2239091065"/>
    <x v="2"/>
    <n v="15840"/>
    <x v="0"/>
    <x v="0"/>
    <x v="29"/>
    <x v="2"/>
    <x v="0"/>
    <x v="0"/>
    <x v="2"/>
    <x v="0"/>
  </r>
  <r>
    <x v="0"/>
    <x v="0"/>
    <n v="2239091066"/>
    <x v="7"/>
    <n v="1500"/>
    <x v="0"/>
    <x v="0"/>
    <x v="29"/>
    <x v="7"/>
    <x v="0"/>
    <x v="0"/>
    <x v="1"/>
    <x v="0"/>
  </r>
  <r>
    <x v="0"/>
    <x v="0"/>
    <n v="2239091067"/>
    <x v="7"/>
    <n v="1500"/>
    <x v="0"/>
    <x v="0"/>
    <x v="29"/>
    <x v="7"/>
    <x v="0"/>
    <x v="0"/>
    <x v="1"/>
    <x v="0"/>
  </r>
  <r>
    <x v="0"/>
    <x v="0"/>
    <n v="2239091068"/>
    <x v="7"/>
    <n v="1500"/>
    <x v="0"/>
    <x v="0"/>
    <x v="29"/>
    <x v="7"/>
    <x v="0"/>
    <x v="0"/>
    <x v="1"/>
    <x v="0"/>
  </r>
  <r>
    <x v="0"/>
    <x v="0"/>
    <n v="2239091069"/>
    <x v="2"/>
    <n v="21362"/>
    <x v="0"/>
    <x v="0"/>
    <x v="29"/>
    <x v="2"/>
    <x v="0"/>
    <x v="0"/>
    <x v="2"/>
    <x v="0"/>
  </r>
  <r>
    <x v="0"/>
    <x v="0"/>
    <n v="2239091070"/>
    <x v="5"/>
    <n v="-2500"/>
    <x v="0"/>
    <x v="0"/>
    <x v="29"/>
    <x v="5"/>
    <x v="0"/>
    <x v="0"/>
    <x v="5"/>
    <x v="0"/>
  </r>
  <r>
    <x v="0"/>
    <x v="0"/>
    <n v="2239091070"/>
    <x v="6"/>
    <n v="10000"/>
    <x v="0"/>
    <x v="0"/>
    <x v="29"/>
    <x v="6"/>
    <x v="0"/>
    <x v="0"/>
    <x v="5"/>
    <x v="0"/>
  </r>
  <r>
    <x v="0"/>
    <x v="0"/>
    <n v="2239091071"/>
    <x v="7"/>
    <n v="1500"/>
    <x v="0"/>
    <x v="0"/>
    <x v="29"/>
    <x v="7"/>
    <x v="0"/>
    <x v="0"/>
    <x v="1"/>
    <x v="0"/>
  </r>
  <r>
    <x v="0"/>
    <x v="0"/>
    <n v="2239091072"/>
    <x v="7"/>
    <n v="1500"/>
    <x v="0"/>
    <x v="0"/>
    <x v="29"/>
    <x v="7"/>
    <x v="0"/>
    <x v="0"/>
    <x v="1"/>
    <x v="0"/>
  </r>
  <r>
    <x v="0"/>
    <x v="0"/>
    <n v="2239091073"/>
    <x v="5"/>
    <n v="-6200"/>
    <x v="0"/>
    <x v="0"/>
    <x v="29"/>
    <x v="5"/>
    <x v="0"/>
    <x v="0"/>
    <x v="5"/>
    <x v="0"/>
  </r>
  <r>
    <x v="0"/>
    <x v="0"/>
    <n v="2239091073"/>
    <x v="6"/>
    <n v="10000"/>
    <x v="0"/>
    <x v="0"/>
    <x v="29"/>
    <x v="6"/>
    <x v="0"/>
    <x v="0"/>
    <x v="5"/>
    <x v="0"/>
  </r>
  <r>
    <x v="0"/>
    <x v="0"/>
    <n v="2239091074"/>
    <x v="2"/>
    <n v="5500"/>
    <x v="0"/>
    <x v="0"/>
    <x v="29"/>
    <x v="2"/>
    <x v="0"/>
    <x v="0"/>
    <x v="2"/>
    <x v="0"/>
  </r>
  <r>
    <x v="0"/>
    <x v="0"/>
    <n v="2239091076"/>
    <x v="7"/>
    <n v="7500"/>
    <x v="0"/>
    <x v="0"/>
    <x v="29"/>
    <x v="7"/>
    <x v="0"/>
    <x v="0"/>
    <x v="1"/>
    <x v="0"/>
  </r>
  <r>
    <x v="0"/>
    <x v="0"/>
    <n v="2239091077"/>
    <x v="7"/>
    <n v="7500"/>
    <x v="0"/>
    <x v="0"/>
    <x v="29"/>
    <x v="7"/>
    <x v="0"/>
    <x v="0"/>
    <x v="1"/>
    <x v="0"/>
  </r>
  <r>
    <x v="0"/>
    <x v="0"/>
    <n v="2239091078"/>
    <x v="2"/>
    <n v="36190"/>
    <x v="0"/>
    <x v="0"/>
    <x v="29"/>
    <x v="2"/>
    <x v="0"/>
    <x v="0"/>
    <x v="2"/>
    <x v="0"/>
  </r>
  <r>
    <x v="0"/>
    <x v="0"/>
    <n v="2239091079"/>
    <x v="7"/>
    <n v="1500"/>
    <x v="0"/>
    <x v="0"/>
    <x v="29"/>
    <x v="7"/>
    <x v="0"/>
    <x v="0"/>
    <x v="1"/>
    <x v="0"/>
  </r>
  <r>
    <x v="0"/>
    <x v="0"/>
    <n v="2239091080"/>
    <x v="2"/>
    <n v="2000"/>
    <x v="0"/>
    <x v="0"/>
    <x v="29"/>
    <x v="2"/>
    <x v="0"/>
    <x v="0"/>
    <x v="2"/>
    <x v="0"/>
  </r>
  <r>
    <x v="0"/>
    <x v="0"/>
    <n v="2239091081"/>
    <x v="2"/>
    <n v="2500"/>
    <x v="0"/>
    <x v="0"/>
    <x v="29"/>
    <x v="2"/>
    <x v="0"/>
    <x v="0"/>
    <x v="2"/>
    <x v="0"/>
  </r>
  <r>
    <x v="0"/>
    <x v="0"/>
    <n v="2239091082"/>
    <x v="5"/>
    <n v="-500"/>
    <x v="0"/>
    <x v="0"/>
    <x v="29"/>
    <x v="5"/>
    <x v="0"/>
    <x v="0"/>
    <x v="5"/>
    <x v="0"/>
  </r>
  <r>
    <x v="0"/>
    <x v="0"/>
    <n v="2239091082"/>
    <x v="6"/>
    <n v="7000"/>
    <x v="0"/>
    <x v="0"/>
    <x v="29"/>
    <x v="6"/>
    <x v="0"/>
    <x v="0"/>
    <x v="5"/>
    <x v="0"/>
  </r>
  <r>
    <x v="0"/>
    <x v="0"/>
    <n v="2239091083"/>
    <x v="7"/>
    <n v="1500"/>
    <x v="0"/>
    <x v="0"/>
    <x v="29"/>
    <x v="7"/>
    <x v="0"/>
    <x v="0"/>
    <x v="1"/>
    <x v="0"/>
  </r>
  <r>
    <x v="0"/>
    <x v="0"/>
    <n v="2239091084"/>
    <x v="2"/>
    <n v="7700"/>
    <x v="0"/>
    <x v="0"/>
    <x v="29"/>
    <x v="2"/>
    <x v="0"/>
    <x v="0"/>
    <x v="2"/>
    <x v="0"/>
  </r>
  <r>
    <x v="0"/>
    <x v="0"/>
    <n v="2239091085"/>
    <x v="5"/>
    <n v="-1280"/>
    <x v="0"/>
    <x v="0"/>
    <x v="29"/>
    <x v="5"/>
    <x v="0"/>
    <x v="0"/>
    <x v="5"/>
    <x v="0"/>
  </r>
  <r>
    <x v="0"/>
    <x v="0"/>
    <n v="2239091085"/>
    <x v="6"/>
    <n v="10000"/>
    <x v="0"/>
    <x v="0"/>
    <x v="29"/>
    <x v="6"/>
    <x v="0"/>
    <x v="0"/>
    <x v="5"/>
    <x v="0"/>
  </r>
  <r>
    <x v="0"/>
    <x v="0"/>
    <n v="2239091085"/>
    <x v="7"/>
    <n v="2180"/>
    <x v="0"/>
    <x v="0"/>
    <x v="29"/>
    <x v="7"/>
    <x v="0"/>
    <x v="0"/>
    <x v="1"/>
    <x v="0"/>
  </r>
  <r>
    <x v="0"/>
    <x v="0"/>
    <n v="2239091086"/>
    <x v="7"/>
    <n v="1500"/>
    <x v="0"/>
    <x v="0"/>
    <x v="29"/>
    <x v="7"/>
    <x v="0"/>
    <x v="0"/>
    <x v="1"/>
    <x v="0"/>
  </r>
  <r>
    <x v="0"/>
    <x v="0"/>
    <n v="2239091087"/>
    <x v="5"/>
    <n v="-4300"/>
    <x v="0"/>
    <x v="0"/>
    <x v="29"/>
    <x v="5"/>
    <x v="0"/>
    <x v="0"/>
    <x v="5"/>
    <x v="0"/>
  </r>
  <r>
    <x v="0"/>
    <x v="0"/>
    <n v="2239091087"/>
    <x v="4"/>
    <n v="10000"/>
    <x v="0"/>
    <x v="0"/>
    <x v="29"/>
    <x v="4"/>
    <x v="0"/>
    <x v="0"/>
    <x v="4"/>
    <x v="0"/>
  </r>
  <r>
    <x v="0"/>
    <x v="0"/>
    <n v="2239091088"/>
    <x v="7"/>
    <n v="1500"/>
    <x v="0"/>
    <x v="0"/>
    <x v="29"/>
    <x v="7"/>
    <x v="0"/>
    <x v="0"/>
    <x v="1"/>
    <x v="0"/>
  </r>
  <r>
    <x v="0"/>
    <x v="0"/>
    <n v="2239091089"/>
    <x v="7"/>
    <n v="1500"/>
    <x v="0"/>
    <x v="0"/>
    <x v="29"/>
    <x v="7"/>
    <x v="0"/>
    <x v="0"/>
    <x v="1"/>
    <x v="0"/>
  </r>
  <r>
    <x v="0"/>
    <x v="0"/>
    <n v="2239091090"/>
    <x v="7"/>
    <n v="1500"/>
    <x v="0"/>
    <x v="0"/>
    <x v="29"/>
    <x v="7"/>
    <x v="0"/>
    <x v="0"/>
    <x v="1"/>
    <x v="0"/>
  </r>
  <r>
    <x v="0"/>
    <x v="0"/>
    <n v="2239091091"/>
    <x v="7"/>
    <n v="1500"/>
    <x v="0"/>
    <x v="0"/>
    <x v="29"/>
    <x v="7"/>
    <x v="0"/>
    <x v="0"/>
    <x v="1"/>
    <x v="0"/>
  </r>
  <r>
    <x v="0"/>
    <x v="0"/>
    <n v="2239091092"/>
    <x v="2"/>
    <n v="16500"/>
    <x v="0"/>
    <x v="0"/>
    <x v="29"/>
    <x v="2"/>
    <x v="0"/>
    <x v="0"/>
    <x v="2"/>
    <x v="0"/>
  </r>
  <r>
    <x v="0"/>
    <x v="0"/>
    <n v="2239091093"/>
    <x v="2"/>
    <n v="33990"/>
    <x v="0"/>
    <x v="0"/>
    <x v="29"/>
    <x v="2"/>
    <x v="0"/>
    <x v="0"/>
    <x v="2"/>
    <x v="0"/>
  </r>
  <r>
    <x v="0"/>
    <x v="0"/>
    <n v="2239091094"/>
    <x v="7"/>
    <n v="1500"/>
    <x v="0"/>
    <x v="0"/>
    <x v="29"/>
    <x v="7"/>
    <x v="0"/>
    <x v="0"/>
    <x v="1"/>
    <x v="0"/>
  </r>
  <r>
    <x v="0"/>
    <x v="0"/>
    <n v="2239091095"/>
    <x v="7"/>
    <n v="1500"/>
    <x v="0"/>
    <x v="0"/>
    <x v="29"/>
    <x v="7"/>
    <x v="0"/>
    <x v="0"/>
    <x v="1"/>
    <x v="0"/>
  </r>
  <r>
    <x v="0"/>
    <x v="0"/>
    <n v="2239091096"/>
    <x v="7"/>
    <n v="1500"/>
    <x v="0"/>
    <x v="0"/>
    <x v="29"/>
    <x v="7"/>
    <x v="0"/>
    <x v="0"/>
    <x v="1"/>
    <x v="0"/>
  </r>
  <r>
    <x v="0"/>
    <x v="0"/>
    <n v="2239091097"/>
    <x v="7"/>
    <n v="1500"/>
    <x v="0"/>
    <x v="0"/>
    <x v="29"/>
    <x v="7"/>
    <x v="0"/>
    <x v="0"/>
    <x v="1"/>
    <x v="0"/>
  </r>
  <r>
    <x v="0"/>
    <x v="0"/>
    <n v="2239091098"/>
    <x v="7"/>
    <n v="7000"/>
    <x v="0"/>
    <x v="0"/>
    <x v="29"/>
    <x v="7"/>
    <x v="0"/>
    <x v="0"/>
    <x v="1"/>
    <x v="0"/>
  </r>
  <r>
    <x v="0"/>
    <x v="0"/>
    <n v="2239091099"/>
    <x v="7"/>
    <n v="4000"/>
    <x v="0"/>
    <x v="0"/>
    <x v="29"/>
    <x v="7"/>
    <x v="0"/>
    <x v="0"/>
    <x v="1"/>
    <x v="0"/>
  </r>
  <r>
    <x v="0"/>
    <x v="0"/>
    <n v="2239091100"/>
    <x v="7"/>
    <n v="1500"/>
    <x v="0"/>
    <x v="0"/>
    <x v="29"/>
    <x v="7"/>
    <x v="0"/>
    <x v="0"/>
    <x v="1"/>
    <x v="0"/>
  </r>
  <r>
    <x v="0"/>
    <x v="0"/>
    <n v="2239091101"/>
    <x v="7"/>
    <n v="1500"/>
    <x v="0"/>
    <x v="0"/>
    <x v="29"/>
    <x v="7"/>
    <x v="0"/>
    <x v="0"/>
    <x v="1"/>
    <x v="0"/>
  </r>
  <r>
    <x v="0"/>
    <x v="0"/>
    <n v="2239091102"/>
    <x v="7"/>
    <n v="1500"/>
    <x v="0"/>
    <x v="0"/>
    <x v="29"/>
    <x v="7"/>
    <x v="0"/>
    <x v="0"/>
    <x v="1"/>
    <x v="0"/>
  </r>
  <r>
    <x v="0"/>
    <x v="0"/>
    <n v="2239091103"/>
    <x v="7"/>
    <n v="1500"/>
    <x v="0"/>
    <x v="0"/>
    <x v="29"/>
    <x v="7"/>
    <x v="0"/>
    <x v="0"/>
    <x v="1"/>
    <x v="0"/>
  </r>
  <r>
    <x v="0"/>
    <x v="0"/>
    <n v="2239091104"/>
    <x v="7"/>
    <n v="1500"/>
    <x v="0"/>
    <x v="0"/>
    <x v="29"/>
    <x v="7"/>
    <x v="0"/>
    <x v="0"/>
    <x v="1"/>
    <x v="0"/>
  </r>
  <r>
    <x v="0"/>
    <x v="0"/>
    <n v="2239091105"/>
    <x v="7"/>
    <n v="1500"/>
    <x v="0"/>
    <x v="0"/>
    <x v="29"/>
    <x v="7"/>
    <x v="0"/>
    <x v="0"/>
    <x v="1"/>
    <x v="0"/>
  </r>
  <r>
    <x v="0"/>
    <x v="0"/>
    <n v="2239091106"/>
    <x v="7"/>
    <n v="1500"/>
    <x v="0"/>
    <x v="0"/>
    <x v="29"/>
    <x v="7"/>
    <x v="0"/>
    <x v="0"/>
    <x v="1"/>
    <x v="0"/>
  </r>
  <r>
    <x v="0"/>
    <x v="0"/>
    <n v="2239091108"/>
    <x v="5"/>
    <n v="-5680"/>
    <x v="0"/>
    <x v="0"/>
    <x v="29"/>
    <x v="5"/>
    <x v="0"/>
    <x v="0"/>
    <x v="5"/>
    <x v="0"/>
  </r>
  <r>
    <x v="0"/>
    <x v="0"/>
    <n v="2239091108"/>
    <x v="6"/>
    <n v="20000"/>
    <x v="0"/>
    <x v="0"/>
    <x v="29"/>
    <x v="6"/>
    <x v="0"/>
    <x v="0"/>
    <x v="5"/>
    <x v="0"/>
  </r>
  <r>
    <x v="0"/>
    <x v="0"/>
    <n v="2239091109"/>
    <x v="5"/>
    <n v="-100"/>
    <x v="0"/>
    <x v="0"/>
    <x v="29"/>
    <x v="5"/>
    <x v="0"/>
    <x v="0"/>
    <x v="5"/>
    <x v="0"/>
  </r>
  <r>
    <x v="0"/>
    <x v="0"/>
    <n v="2239091109"/>
    <x v="4"/>
    <n v="4500"/>
    <x v="0"/>
    <x v="0"/>
    <x v="29"/>
    <x v="4"/>
    <x v="0"/>
    <x v="0"/>
    <x v="4"/>
    <x v="0"/>
  </r>
  <r>
    <x v="0"/>
    <x v="0"/>
    <n v="2239091110"/>
    <x v="5"/>
    <n v="-300"/>
    <x v="0"/>
    <x v="0"/>
    <x v="29"/>
    <x v="5"/>
    <x v="0"/>
    <x v="0"/>
    <x v="5"/>
    <x v="0"/>
  </r>
  <r>
    <x v="0"/>
    <x v="0"/>
    <n v="2239091110"/>
    <x v="4"/>
    <n v="6000"/>
    <x v="0"/>
    <x v="0"/>
    <x v="29"/>
    <x v="4"/>
    <x v="0"/>
    <x v="0"/>
    <x v="4"/>
    <x v="0"/>
  </r>
  <r>
    <x v="0"/>
    <x v="0"/>
    <n v="2239091111"/>
    <x v="7"/>
    <n v="1500"/>
    <x v="0"/>
    <x v="0"/>
    <x v="29"/>
    <x v="7"/>
    <x v="0"/>
    <x v="0"/>
    <x v="1"/>
    <x v="0"/>
  </r>
  <r>
    <x v="0"/>
    <x v="0"/>
    <n v="2239091112"/>
    <x v="7"/>
    <n v="1500"/>
    <x v="0"/>
    <x v="0"/>
    <x v="29"/>
    <x v="7"/>
    <x v="0"/>
    <x v="0"/>
    <x v="1"/>
    <x v="0"/>
  </r>
  <r>
    <x v="0"/>
    <x v="0"/>
    <n v="2239091113"/>
    <x v="3"/>
    <n v="13200"/>
    <x v="0"/>
    <x v="0"/>
    <x v="29"/>
    <x v="3"/>
    <x v="0"/>
    <x v="0"/>
    <x v="3"/>
    <x v="0"/>
  </r>
  <r>
    <x v="0"/>
    <x v="0"/>
    <n v="2239091114"/>
    <x v="2"/>
    <n v="42240"/>
    <x v="0"/>
    <x v="0"/>
    <x v="29"/>
    <x v="2"/>
    <x v="0"/>
    <x v="0"/>
    <x v="2"/>
    <x v="0"/>
  </r>
  <r>
    <x v="0"/>
    <x v="0"/>
    <n v="2239091115"/>
    <x v="5"/>
    <n v="-1000"/>
    <x v="0"/>
    <x v="0"/>
    <x v="29"/>
    <x v="5"/>
    <x v="0"/>
    <x v="0"/>
    <x v="5"/>
    <x v="0"/>
  </r>
  <r>
    <x v="0"/>
    <x v="0"/>
    <n v="2239091115"/>
    <x v="4"/>
    <n v="5400"/>
    <x v="0"/>
    <x v="0"/>
    <x v="29"/>
    <x v="4"/>
    <x v="0"/>
    <x v="0"/>
    <x v="4"/>
    <x v="0"/>
  </r>
  <r>
    <x v="0"/>
    <x v="0"/>
    <n v="2239091116"/>
    <x v="2"/>
    <n v="5500"/>
    <x v="0"/>
    <x v="0"/>
    <x v="29"/>
    <x v="2"/>
    <x v="0"/>
    <x v="0"/>
    <x v="2"/>
    <x v="0"/>
  </r>
  <r>
    <x v="0"/>
    <x v="0"/>
    <n v="2239091117"/>
    <x v="7"/>
    <n v="1500"/>
    <x v="0"/>
    <x v="0"/>
    <x v="29"/>
    <x v="7"/>
    <x v="0"/>
    <x v="0"/>
    <x v="1"/>
    <x v="0"/>
  </r>
  <r>
    <x v="0"/>
    <x v="0"/>
    <n v="2239091118"/>
    <x v="5"/>
    <n v="-4700"/>
    <x v="0"/>
    <x v="0"/>
    <x v="29"/>
    <x v="5"/>
    <x v="0"/>
    <x v="0"/>
    <x v="5"/>
    <x v="0"/>
  </r>
  <r>
    <x v="0"/>
    <x v="0"/>
    <n v="2239091118"/>
    <x v="4"/>
    <n v="10000"/>
    <x v="0"/>
    <x v="0"/>
    <x v="29"/>
    <x v="4"/>
    <x v="0"/>
    <x v="0"/>
    <x v="4"/>
    <x v="0"/>
  </r>
  <r>
    <x v="0"/>
    <x v="0"/>
    <n v="2239091119"/>
    <x v="5"/>
    <n v="-1200"/>
    <x v="0"/>
    <x v="0"/>
    <x v="29"/>
    <x v="5"/>
    <x v="0"/>
    <x v="0"/>
    <x v="5"/>
    <x v="0"/>
  </r>
  <r>
    <x v="0"/>
    <x v="0"/>
    <n v="2239091119"/>
    <x v="6"/>
    <n v="5000"/>
    <x v="0"/>
    <x v="0"/>
    <x v="29"/>
    <x v="6"/>
    <x v="0"/>
    <x v="0"/>
    <x v="5"/>
    <x v="0"/>
  </r>
  <r>
    <x v="0"/>
    <x v="0"/>
    <n v="2239091120"/>
    <x v="5"/>
    <n v="-400"/>
    <x v="0"/>
    <x v="0"/>
    <x v="29"/>
    <x v="5"/>
    <x v="0"/>
    <x v="0"/>
    <x v="5"/>
    <x v="0"/>
  </r>
  <r>
    <x v="0"/>
    <x v="0"/>
    <n v="2239091120"/>
    <x v="4"/>
    <n v="6000"/>
    <x v="0"/>
    <x v="0"/>
    <x v="29"/>
    <x v="4"/>
    <x v="0"/>
    <x v="0"/>
    <x v="4"/>
    <x v="0"/>
  </r>
  <r>
    <x v="0"/>
    <x v="0"/>
    <n v="2239091121"/>
    <x v="5"/>
    <n v="-1000"/>
    <x v="0"/>
    <x v="0"/>
    <x v="29"/>
    <x v="5"/>
    <x v="0"/>
    <x v="0"/>
    <x v="5"/>
    <x v="0"/>
  </r>
  <r>
    <x v="0"/>
    <x v="0"/>
    <n v="2239091121"/>
    <x v="6"/>
    <n v="7000"/>
    <x v="0"/>
    <x v="0"/>
    <x v="29"/>
    <x v="6"/>
    <x v="0"/>
    <x v="0"/>
    <x v="5"/>
    <x v="0"/>
  </r>
  <r>
    <x v="0"/>
    <x v="0"/>
    <n v="2239091122"/>
    <x v="5"/>
    <n v="-400"/>
    <x v="0"/>
    <x v="0"/>
    <x v="29"/>
    <x v="5"/>
    <x v="0"/>
    <x v="0"/>
    <x v="5"/>
    <x v="0"/>
  </r>
  <r>
    <x v="0"/>
    <x v="0"/>
    <n v="2239091122"/>
    <x v="6"/>
    <n v="10000"/>
    <x v="0"/>
    <x v="0"/>
    <x v="29"/>
    <x v="6"/>
    <x v="0"/>
    <x v="0"/>
    <x v="5"/>
    <x v="0"/>
  </r>
  <r>
    <x v="0"/>
    <x v="0"/>
    <n v="2239091123"/>
    <x v="5"/>
    <n v="-17100"/>
    <x v="0"/>
    <x v="0"/>
    <x v="29"/>
    <x v="5"/>
    <x v="0"/>
    <x v="0"/>
    <x v="5"/>
    <x v="0"/>
  </r>
  <r>
    <x v="0"/>
    <x v="0"/>
    <n v="2239091123"/>
    <x v="6"/>
    <n v="40000"/>
    <x v="0"/>
    <x v="0"/>
    <x v="29"/>
    <x v="6"/>
    <x v="0"/>
    <x v="0"/>
    <x v="5"/>
    <x v="0"/>
  </r>
  <r>
    <x v="0"/>
    <x v="0"/>
    <n v="2239091124"/>
    <x v="7"/>
    <n v="1500"/>
    <x v="0"/>
    <x v="0"/>
    <x v="29"/>
    <x v="7"/>
    <x v="0"/>
    <x v="0"/>
    <x v="1"/>
    <x v="0"/>
  </r>
  <r>
    <x v="0"/>
    <x v="0"/>
    <n v="2239091125"/>
    <x v="3"/>
    <n v="9000"/>
    <x v="0"/>
    <x v="0"/>
    <x v="29"/>
    <x v="3"/>
    <x v="0"/>
    <x v="0"/>
    <x v="3"/>
    <x v="0"/>
  </r>
  <r>
    <x v="0"/>
    <x v="0"/>
    <n v="2239091126"/>
    <x v="2"/>
    <n v="6000"/>
    <x v="0"/>
    <x v="0"/>
    <x v="29"/>
    <x v="2"/>
    <x v="0"/>
    <x v="0"/>
    <x v="2"/>
    <x v="0"/>
  </r>
  <r>
    <x v="0"/>
    <x v="0"/>
    <n v="2239091127"/>
    <x v="5"/>
    <n v="-4000"/>
    <x v="0"/>
    <x v="0"/>
    <x v="29"/>
    <x v="5"/>
    <x v="0"/>
    <x v="0"/>
    <x v="5"/>
    <x v="0"/>
  </r>
  <r>
    <x v="0"/>
    <x v="0"/>
    <n v="2239091127"/>
    <x v="6"/>
    <n v="10160"/>
    <x v="0"/>
    <x v="0"/>
    <x v="29"/>
    <x v="6"/>
    <x v="0"/>
    <x v="0"/>
    <x v="5"/>
    <x v="0"/>
  </r>
  <r>
    <x v="0"/>
    <x v="0"/>
    <n v="2239091128"/>
    <x v="5"/>
    <n v="-6100"/>
    <x v="0"/>
    <x v="0"/>
    <x v="29"/>
    <x v="5"/>
    <x v="0"/>
    <x v="0"/>
    <x v="5"/>
    <x v="0"/>
  </r>
  <r>
    <x v="0"/>
    <x v="0"/>
    <n v="2239091128"/>
    <x v="4"/>
    <n v="10500"/>
    <x v="0"/>
    <x v="0"/>
    <x v="29"/>
    <x v="4"/>
    <x v="0"/>
    <x v="0"/>
    <x v="4"/>
    <x v="0"/>
  </r>
  <r>
    <x v="0"/>
    <x v="0"/>
    <n v="2239091129"/>
    <x v="5"/>
    <n v="-2340"/>
    <x v="0"/>
    <x v="0"/>
    <x v="29"/>
    <x v="5"/>
    <x v="0"/>
    <x v="0"/>
    <x v="5"/>
    <x v="0"/>
  </r>
  <r>
    <x v="0"/>
    <x v="0"/>
    <n v="2239091129"/>
    <x v="6"/>
    <n v="5000"/>
    <x v="0"/>
    <x v="0"/>
    <x v="29"/>
    <x v="6"/>
    <x v="0"/>
    <x v="0"/>
    <x v="5"/>
    <x v="0"/>
  </r>
  <r>
    <x v="0"/>
    <x v="0"/>
    <n v="2239091130"/>
    <x v="5"/>
    <n v="-7900"/>
    <x v="0"/>
    <x v="0"/>
    <x v="29"/>
    <x v="5"/>
    <x v="0"/>
    <x v="0"/>
    <x v="5"/>
    <x v="0"/>
  </r>
  <r>
    <x v="0"/>
    <x v="0"/>
    <n v="2239091130"/>
    <x v="6"/>
    <n v="10000"/>
    <x v="0"/>
    <x v="0"/>
    <x v="29"/>
    <x v="6"/>
    <x v="0"/>
    <x v="0"/>
    <x v="5"/>
    <x v="0"/>
  </r>
  <r>
    <x v="0"/>
    <x v="0"/>
    <n v="2239091131"/>
    <x v="5"/>
    <n v="-1200"/>
    <x v="0"/>
    <x v="0"/>
    <x v="29"/>
    <x v="5"/>
    <x v="0"/>
    <x v="0"/>
    <x v="5"/>
    <x v="0"/>
  </r>
  <r>
    <x v="0"/>
    <x v="0"/>
    <n v="2239091131"/>
    <x v="6"/>
    <n v="5000"/>
    <x v="0"/>
    <x v="0"/>
    <x v="29"/>
    <x v="6"/>
    <x v="0"/>
    <x v="0"/>
    <x v="5"/>
    <x v="0"/>
  </r>
  <r>
    <x v="0"/>
    <x v="0"/>
    <n v="2239091133"/>
    <x v="7"/>
    <n v="8000"/>
    <x v="0"/>
    <x v="0"/>
    <x v="29"/>
    <x v="7"/>
    <x v="0"/>
    <x v="0"/>
    <x v="1"/>
    <x v="0"/>
  </r>
  <r>
    <x v="0"/>
    <x v="0"/>
    <n v="2239091134"/>
    <x v="7"/>
    <n v="1500"/>
    <x v="0"/>
    <x v="0"/>
    <x v="29"/>
    <x v="7"/>
    <x v="0"/>
    <x v="0"/>
    <x v="1"/>
    <x v="0"/>
  </r>
  <r>
    <x v="0"/>
    <x v="0"/>
    <n v="2239091135"/>
    <x v="5"/>
    <n v="-1000"/>
    <x v="0"/>
    <x v="0"/>
    <x v="29"/>
    <x v="5"/>
    <x v="0"/>
    <x v="0"/>
    <x v="5"/>
    <x v="0"/>
  </r>
  <r>
    <x v="0"/>
    <x v="0"/>
    <n v="2239091135"/>
    <x v="6"/>
    <n v="10000"/>
    <x v="0"/>
    <x v="0"/>
    <x v="29"/>
    <x v="6"/>
    <x v="0"/>
    <x v="0"/>
    <x v="5"/>
    <x v="0"/>
  </r>
  <r>
    <x v="0"/>
    <x v="0"/>
    <n v="2239091136"/>
    <x v="6"/>
    <n v="5000"/>
    <x v="0"/>
    <x v="0"/>
    <x v="29"/>
    <x v="6"/>
    <x v="0"/>
    <x v="0"/>
    <x v="5"/>
    <x v="0"/>
  </r>
  <r>
    <x v="0"/>
    <x v="0"/>
    <n v="2239091139"/>
    <x v="7"/>
    <n v="3000"/>
    <x v="0"/>
    <x v="0"/>
    <x v="29"/>
    <x v="7"/>
    <x v="0"/>
    <x v="0"/>
    <x v="1"/>
    <x v="0"/>
  </r>
  <r>
    <x v="0"/>
    <x v="0"/>
    <n v="2239091140"/>
    <x v="7"/>
    <n v="1500"/>
    <x v="0"/>
    <x v="0"/>
    <x v="29"/>
    <x v="7"/>
    <x v="0"/>
    <x v="0"/>
    <x v="1"/>
    <x v="0"/>
  </r>
  <r>
    <x v="0"/>
    <x v="0"/>
    <n v="2239091142"/>
    <x v="3"/>
    <n v="9000"/>
    <x v="0"/>
    <x v="0"/>
    <x v="29"/>
    <x v="3"/>
    <x v="0"/>
    <x v="0"/>
    <x v="3"/>
    <x v="0"/>
  </r>
  <r>
    <x v="0"/>
    <x v="0"/>
    <n v="2239091143"/>
    <x v="2"/>
    <n v="4400"/>
    <x v="0"/>
    <x v="0"/>
    <x v="29"/>
    <x v="2"/>
    <x v="0"/>
    <x v="0"/>
    <x v="2"/>
    <x v="0"/>
  </r>
  <r>
    <x v="0"/>
    <x v="0"/>
    <n v="2239091144"/>
    <x v="5"/>
    <n v="-2500"/>
    <x v="0"/>
    <x v="0"/>
    <x v="29"/>
    <x v="5"/>
    <x v="0"/>
    <x v="0"/>
    <x v="5"/>
    <x v="0"/>
  </r>
  <r>
    <x v="0"/>
    <x v="0"/>
    <n v="2239091144"/>
    <x v="6"/>
    <n v="10000"/>
    <x v="0"/>
    <x v="0"/>
    <x v="29"/>
    <x v="6"/>
    <x v="0"/>
    <x v="0"/>
    <x v="5"/>
    <x v="0"/>
  </r>
  <r>
    <x v="0"/>
    <x v="0"/>
    <n v="2239091145"/>
    <x v="6"/>
    <n v="5000"/>
    <x v="0"/>
    <x v="0"/>
    <x v="29"/>
    <x v="6"/>
    <x v="0"/>
    <x v="0"/>
    <x v="5"/>
    <x v="0"/>
  </r>
  <r>
    <x v="0"/>
    <x v="0"/>
    <n v="2239091146"/>
    <x v="7"/>
    <n v="1500"/>
    <x v="0"/>
    <x v="0"/>
    <x v="29"/>
    <x v="7"/>
    <x v="0"/>
    <x v="0"/>
    <x v="1"/>
    <x v="0"/>
  </r>
  <r>
    <x v="0"/>
    <x v="0"/>
    <n v="2239091147"/>
    <x v="7"/>
    <n v="1500"/>
    <x v="0"/>
    <x v="0"/>
    <x v="29"/>
    <x v="7"/>
    <x v="0"/>
    <x v="0"/>
    <x v="1"/>
    <x v="0"/>
  </r>
  <r>
    <x v="0"/>
    <x v="0"/>
    <n v="2239091148"/>
    <x v="5"/>
    <n v="-6770"/>
    <x v="0"/>
    <x v="0"/>
    <x v="29"/>
    <x v="5"/>
    <x v="0"/>
    <x v="0"/>
    <x v="5"/>
    <x v="0"/>
  </r>
  <r>
    <x v="0"/>
    <x v="0"/>
    <n v="2239091148"/>
    <x v="6"/>
    <n v="20000"/>
    <x v="0"/>
    <x v="0"/>
    <x v="29"/>
    <x v="6"/>
    <x v="0"/>
    <x v="0"/>
    <x v="5"/>
    <x v="0"/>
  </r>
  <r>
    <x v="0"/>
    <x v="0"/>
    <n v="2239091149"/>
    <x v="7"/>
    <n v="5000"/>
    <x v="0"/>
    <x v="0"/>
    <x v="29"/>
    <x v="7"/>
    <x v="0"/>
    <x v="0"/>
    <x v="1"/>
    <x v="0"/>
  </r>
  <r>
    <x v="0"/>
    <x v="0"/>
    <n v="2239091150"/>
    <x v="2"/>
    <n v="3000"/>
    <x v="0"/>
    <x v="0"/>
    <x v="29"/>
    <x v="2"/>
    <x v="0"/>
    <x v="0"/>
    <x v="2"/>
    <x v="0"/>
  </r>
  <r>
    <x v="0"/>
    <x v="0"/>
    <n v="2239091152"/>
    <x v="6"/>
    <n v="5000"/>
    <x v="0"/>
    <x v="0"/>
    <x v="29"/>
    <x v="6"/>
    <x v="0"/>
    <x v="0"/>
    <x v="5"/>
    <x v="0"/>
  </r>
  <r>
    <x v="0"/>
    <x v="0"/>
    <n v="2239091153"/>
    <x v="5"/>
    <n v="-12500"/>
    <x v="0"/>
    <x v="0"/>
    <x v="29"/>
    <x v="5"/>
    <x v="0"/>
    <x v="0"/>
    <x v="5"/>
    <x v="0"/>
  </r>
  <r>
    <x v="0"/>
    <x v="0"/>
    <n v="2239091153"/>
    <x v="6"/>
    <n v="20000"/>
    <x v="0"/>
    <x v="0"/>
    <x v="29"/>
    <x v="6"/>
    <x v="0"/>
    <x v="0"/>
    <x v="5"/>
    <x v="0"/>
  </r>
  <r>
    <x v="0"/>
    <x v="0"/>
    <n v="2239091154"/>
    <x v="7"/>
    <n v="1500"/>
    <x v="0"/>
    <x v="0"/>
    <x v="29"/>
    <x v="7"/>
    <x v="0"/>
    <x v="0"/>
    <x v="1"/>
    <x v="0"/>
  </r>
  <r>
    <x v="0"/>
    <x v="0"/>
    <n v="2239091155"/>
    <x v="7"/>
    <n v="1500"/>
    <x v="0"/>
    <x v="0"/>
    <x v="29"/>
    <x v="7"/>
    <x v="0"/>
    <x v="0"/>
    <x v="1"/>
    <x v="0"/>
  </r>
  <r>
    <x v="0"/>
    <x v="0"/>
    <n v="2239091156"/>
    <x v="7"/>
    <n v="3500"/>
    <x v="0"/>
    <x v="0"/>
    <x v="29"/>
    <x v="7"/>
    <x v="0"/>
    <x v="0"/>
    <x v="1"/>
    <x v="0"/>
  </r>
  <r>
    <x v="0"/>
    <x v="0"/>
    <n v="2239091157"/>
    <x v="7"/>
    <n v="9900"/>
    <x v="0"/>
    <x v="0"/>
    <x v="29"/>
    <x v="7"/>
    <x v="0"/>
    <x v="0"/>
    <x v="1"/>
    <x v="0"/>
  </r>
  <r>
    <x v="0"/>
    <x v="0"/>
    <n v="2239091158"/>
    <x v="5"/>
    <n v="-5500"/>
    <x v="0"/>
    <x v="0"/>
    <x v="29"/>
    <x v="5"/>
    <x v="0"/>
    <x v="0"/>
    <x v="5"/>
    <x v="0"/>
  </r>
  <r>
    <x v="0"/>
    <x v="0"/>
    <n v="2239091158"/>
    <x v="6"/>
    <n v="10000"/>
    <x v="0"/>
    <x v="0"/>
    <x v="29"/>
    <x v="6"/>
    <x v="0"/>
    <x v="0"/>
    <x v="5"/>
    <x v="0"/>
  </r>
  <r>
    <x v="0"/>
    <x v="0"/>
    <n v="2239091159"/>
    <x v="5"/>
    <n v="-5600"/>
    <x v="0"/>
    <x v="0"/>
    <x v="29"/>
    <x v="5"/>
    <x v="0"/>
    <x v="0"/>
    <x v="5"/>
    <x v="0"/>
  </r>
  <r>
    <x v="0"/>
    <x v="0"/>
    <n v="2239091159"/>
    <x v="4"/>
    <n v="10000"/>
    <x v="0"/>
    <x v="0"/>
    <x v="29"/>
    <x v="4"/>
    <x v="0"/>
    <x v="0"/>
    <x v="4"/>
    <x v="0"/>
  </r>
  <r>
    <x v="0"/>
    <x v="0"/>
    <n v="2239091160"/>
    <x v="7"/>
    <n v="3000"/>
    <x v="0"/>
    <x v="0"/>
    <x v="29"/>
    <x v="7"/>
    <x v="0"/>
    <x v="0"/>
    <x v="1"/>
    <x v="0"/>
  </r>
  <r>
    <x v="0"/>
    <x v="0"/>
    <n v="2239092877"/>
    <x v="1"/>
    <n v="24840"/>
    <x v="0"/>
    <x v="0"/>
    <x v="30"/>
    <x v="1"/>
    <x v="0"/>
    <x v="0"/>
    <x v="1"/>
    <x v="0"/>
  </r>
  <r>
    <x v="0"/>
    <x v="0"/>
    <n v="2239092882"/>
    <x v="7"/>
    <n v="1500"/>
    <x v="0"/>
    <x v="0"/>
    <x v="30"/>
    <x v="7"/>
    <x v="0"/>
    <x v="0"/>
    <x v="1"/>
    <x v="0"/>
  </r>
  <r>
    <x v="0"/>
    <x v="0"/>
    <n v="2239092883"/>
    <x v="1"/>
    <n v="16150"/>
    <x v="0"/>
    <x v="0"/>
    <x v="30"/>
    <x v="1"/>
    <x v="0"/>
    <x v="0"/>
    <x v="1"/>
    <x v="0"/>
  </r>
  <r>
    <x v="0"/>
    <x v="0"/>
    <n v="2239092884"/>
    <x v="1"/>
    <n v="5150"/>
    <x v="0"/>
    <x v="0"/>
    <x v="30"/>
    <x v="1"/>
    <x v="0"/>
    <x v="0"/>
    <x v="1"/>
    <x v="0"/>
  </r>
  <r>
    <x v="0"/>
    <x v="0"/>
    <n v="2239092885"/>
    <x v="1"/>
    <n v="28250"/>
    <x v="0"/>
    <x v="0"/>
    <x v="30"/>
    <x v="1"/>
    <x v="0"/>
    <x v="0"/>
    <x v="1"/>
    <x v="0"/>
  </r>
  <r>
    <x v="0"/>
    <x v="0"/>
    <n v="2239092886"/>
    <x v="1"/>
    <n v="1140"/>
    <x v="0"/>
    <x v="0"/>
    <x v="30"/>
    <x v="1"/>
    <x v="0"/>
    <x v="0"/>
    <x v="1"/>
    <x v="0"/>
  </r>
  <r>
    <x v="0"/>
    <x v="0"/>
    <n v="2239092887"/>
    <x v="1"/>
    <n v="7470"/>
    <x v="0"/>
    <x v="0"/>
    <x v="30"/>
    <x v="1"/>
    <x v="0"/>
    <x v="0"/>
    <x v="1"/>
    <x v="0"/>
  </r>
  <r>
    <x v="0"/>
    <x v="0"/>
    <n v="2239092888"/>
    <x v="1"/>
    <n v="13390"/>
    <x v="0"/>
    <x v="0"/>
    <x v="30"/>
    <x v="1"/>
    <x v="0"/>
    <x v="0"/>
    <x v="1"/>
    <x v="0"/>
  </r>
  <r>
    <x v="0"/>
    <x v="0"/>
    <n v="2239092889"/>
    <x v="1"/>
    <n v="4770"/>
    <x v="0"/>
    <x v="0"/>
    <x v="30"/>
    <x v="1"/>
    <x v="0"/>
    <x v="0"/>
    <x v="1"/>
    <x v="0"/>
  </r>
  <r>
    <x v="0"/>
    <x v="0"/>
    <n v="2239092890"/>
    <x v="1"/>
    <n v="1470"/>
    <x v="0"/>
    <x v="0"/>
    <x v="30"/>
    <x v="1"/>
    <x v="0"/>
    <x v="0"/>
    <x v="1"/>
    <x v="0"/>
  </r>
  <r>
    <x v="0"/>
    <x v="0"/>
    <n v="2239092891"/>
    <x v="1"/>
    <n v="2940"/>
    <x v="0"/>
    <x v="0"/>
    <x v="30"/>
    <x v="1"/>
    <x v="0"/>
    <x v="0"/>
    <x v="1"/>
    <x v="0"/>
  </r>
  <r>
    <x v="0"/>
    <x v="0"/>
    <n v="2239092892"/>
    <x v="1"/>
    <n v="2250"/>
    <x v="0"/>
    <x v="0"/>
    <x v="30"/>
    <x v="1"/>
    <x v="0"/>
    <x v="0"/>
    <x v="1"/>
    <x v="0"/>
  </r>
  <r>
    <x v="0"/>
    <x v="0"/>
    <n v="2239092893"/>
    <x v="1"/>
    <n v="6585"/>
    <x v="0"/>
    <x v="0"/>
    <x v="30"/>
    <x v="1"/>
    <x v="0"/>
    <x v="0"/>
    <x v="1"/>
    <x v="0"/>
  </r>
  <r>
    <x v="0"/>
    <x v="0"/>
    <n v="2239092894"/>
    <x v="1"/>
    <n v="60470"/>
    <x v="0"/>
    <x v="0"/>
    <x v="30"/>
    <x v="1"/>
    <x v="0"/>
    <x v="0"/>
    <x v="1"/>
    <x v="0"/>
  </r>
  <r>
    <x v="0"/>
    <x v="0"/>
    <n v="2239092895"/>
    <x v="1"/>
    <n v="7770"/>
    <x v="0"/>
    <x v="0"/>
    <x v="30"/>
    <x v="1"/>
    <x v="0"/>
    <x v="0"/>
    <x v="1"/>
    <x v="0"/>
  </r>
  <r>
    <x v="0"/>
    <x v="0"/>
    <n v="2239092896"/>
    <x v="1"/>
    <n v="10740"/>
    <x v="0"/>
    <x v="0"/>
    <x v="30"/>
    <x v="1"/>
    <x v="0"/>
    <x v="0"/>
    <x v="1"/>
    <x v="0"/>
  </r>
  <r>
    <x v="0"/>
    <x v="0"/>
    <n v="2239092897"/>
    <x v="1"/>
    <n v="1590"/>
    <x v="0"/>
    <x v="0"/>
    <x v="30"/>
    <x v="1"/>
    <x v="0"/>
    <x v="0"/>
    <x v="1"/>
    <x v="0"/>
  </r>
  <r>
    <x v="0"/>
    <x v="0"/>
    <n v="2239092898"/>
    <x v="1"/>
    <n v="1350"/>
    <x v="0"/>
    <x v="0"/>
    <x v="30"/>
    <x v="1"/>
    <x v="0"/>
    <x v="0"/>
    <x v="1"/>
    <x v="0"/>
  </r>
  <r>
    <x v="0"/>
    <x v="0"/>
    <n v="2239092899"/>
    <x v="1"/>
    <n v="3150"/>
    <x v="0"/>
    <x v="0"/>
    <x v="30"/>
    <x v="1"/>
    <x v="0"/>
    <x v="0"/>
    <x v="1"/>
    <x v="0"/>
  </r>
  <r>
    <x v="0"/>
    <x v="0"/>
    <n v="2239092900"/>
    <x v="1"/>
    <n v="11220"/>
    <x v="0"/>
    <x v="0"/>
    <x v="30"/>
    <x v="1"/>
    <x v="0"/>
    <x v="0"/>
    <x v="1"/>
    <x v="0"/>
  </r>
  <r>
    <x v="0"/>
    <x v="0"/>
    <n v="2239092901"/>
    <x v="1"/>
    <n v="5400"/>
    <x v="0"/>
    <x v="0"/>
    <x v="30"/>
    <x v="1"/>
    <x v="0"/>
    <x v="0"/>
    <x v="1"/>
    <x v="0"/>
  </r>
  <r>
    <x v="0"/>
    <x v="0"/>
    <n v="2239092902"/>
    <x v="1"/>
    <n v="23850"/>
    <x v="0"/>
    <x v="0"/>
    <x v="30"/>
    <x v="1"/>
    <x v="0"/>
    <x v="0"/>
    <x v="1"/>
    <x v="0"/>
  </r>
  <r>
    <x v="0"/>
    <x v="0"/>
    <n v="2239092903"/>
    <x v="1"/>
    <n v="50970"/>
    <x v="0"/>
    <x v="0"/>
    <x v="30"/>
    <x v="1"/>
    <x v="0"/>
    <x v="0"/>
    <x v="1"/>
    <x v="0"/>
  </r>
  <r>
    <x v="0"/>
    <x v="0"/>
    <n v="2239092904"/>
    <x v="1"/>
    <n v="21370"/>
    <x v="0"/>
    <x v="0"/>
    <x v="30"/>
    <x v="1"/>
    <x v="0"/>
    <x v="0"/>
    <x v="1"/>
    <x v="0"/>
  </r>
  <r>
    <x v="0"/>
    <x v="0"/>
    <n v="2239092906"/>
    <x v="1"/>
    <n v="21000"/>
    <x v="0"/>
    <x v="0"/>
    <x v="30"/>
    <x v="1"/>
    <x v="0"/>
    <x v="0"/>
    <x v="1"/>
    <x v="0"/>
  </r>
  <r>
    <x v="0"/>
    <x v="0"/>
    <n v="2239092909"/>
    <x v="1"/>
    <n v="20640"/>
    <x v="0"/>
    <x v="0"/>
    <x v="30"/>
    <x v="1"/>
    <x v="0"/>
    <x v="0"/>
    <x v="1"/>
    <x v="0"/>
  </r>
  <r>
    <x v="0"/>
    <x v="0"/>
    <n v="2239092912"/>
    <x v="1"/>
    <n v="27840"/>
    <x v="0"/>
    <x v="0"/>
    <x v="30"/>
    <x v="1"/>
    <x v="0"/>
    <x v="0"/>
    <x v="1"/>
    <x v="0"/>
  </r>
  <r>
    <x v="0"/>
    <x v="0"/>
    <n v="2239092913"/>
    <x v="1"/>
    <n v="2040"/>
    <x v="0"/>
    <x v="0"/>
    <x v="30"/>
    <x v="1"/>
    <x v="0"/>
    <x v="0"/>
    <x v="1"/>
    <x v="0"/>
  </r>
  <r>
    <x v="0"/>
    <x v="0"/>
    <n v="2239092914"/>
    <x v="1"/>
    <n v="32690"/>
    <x v="0"/>
    <x v="0"/>
    <x v="30"/>
    <x v="1"/>
    <x v="0"/>
    <x v="0"/>
    <x v="1"/>
    <x v="0"/>
  </r>
  <r>
    <x v="0"/>
    <x v="0"/>
    <n v="2239092915"/>
    <x v="1"/>
    <n v="80480"/>
    <x v="0"/>
    <x v="0"/>
    <x v="30"/>
    <x v="1"/>
    <x v="0"/>
    <x v="0"/>
    <x v="1"/>
    <x v="0"/>
  </r>
  <r>
    <x v="0"/>
    <x v="0"/>
    <n v="2239092916"/>
    <x v="1"/>
    <n v="61170"/>
    <x v="0"/>
    <x v="0"/>
    <x v="30"/>
    <x v="1"/>
    <x v="0"/>
    <x v="0"/>
    <x v="1"/>
    <x v="0"/>
  </r>
  <r>
    <x v="0"/>
    <x v="0"/>
    <n v="2239092917"/>
    <x v="1"/>
    <n v="18300"/>
    <x v="0"/>
    <x v="0"/>
    <x v="30"/>
    <x v="1"/>
    <x v="0"/>
    <x v="0"/>
    <x v="1"/>
    <x v="0"/>
  </r>
  <r>
    <x v="0"/>
    <x v="0"/>
    <n v="2239092918"/>
    <x v="1"/>
    <n v="21790"/>
    <x v="0"/>
    <x v="0"/>
    <x v="30"/>
    <x v="1"/>
    <x v="0"/>
    <x v="0"/>
    <x v="1"/>
    <x v="0"/>
  </r>
  <r>
    <x v="0"/>
    <x v="0"/>
    <n v="2239092919"/>
    <x v="1"/>
    <n v="41670"/>
    <x v="0"/>
    <x v="0"/>
    <x v="30"/>
    <x v="1"/>
    <x v="0"/>
    <x v="0"/>
    <x v="1"/>
    <x v="0"/>
  </r>
  <r>
    <x v="0"/>
    <x v="0"/>
    <n v="2239092921"/>
    <x v="1"/>
    <n v="29490"/>
    <x v="0"/>
    <x v="0"/>
    <x v="30"/>
    <x v="1"/>
    <x v="0"/>
    <x v="0"/>
    <x v="1"/>
    <x v="0"/>
  </r>
  <r>
    <x v="0"/>
    <x v="0"/>
    <n v="2239092922"/>
    <x v="1"/>
    <n v="2250"/>
    <x v="0"/>
    <x v="0"/>
    <x v="30"/>
    <x v="1"/>
    <x v="0"/>
    <x v="0"/>
    <x v="1"/>
    <x v="0"/>
  </r>
  <r>
    <x v="0"/>
    <x v="0"/>
    <n v="2239092923"/>
    <x v="1"/>
    <n v="6930"/>
    <x v="0"/>
    <x v="0"/>
    <x v="30"/>
    <x v="1"/>
    <x v="0"/>
    <x v="0"/>
    <x v="1"/>
    <x v="0"/>
  </r>
  <r>
    <x v="0"/>
    <x v="0"/>
    <n v="2239092924"/>
    <x v="1"/>
    <n v="4500"/>
    <x v="0"/>
    <x v="0"/>
    <x v="30"/>
    <x v="1"/>
    <x v="0"/>
    <x v="0"/>
    <x v="1"/>
    <x v="0"/>
  </r>
  <r>
    <x v="0"/>
    <x v="0"/>
    <n v="2239092925"/>
    <x v="1"/>
    <n v="9450"/>
    <x v="0"/>
    <x v="0"/>
    <x v="30"/>
    <x v="1"/>
    <x v="0"/>
    <x v="0"/>
    <x v="1"/>
    <x v="0"/>
  </r>
  <r>
    <x v="0"/>
    <x v="0"/>
    <n v="2239092926"/>
    <x v="1"/>
    <n v="3150"/>
    <x v="0"/>
    <x v="0"/>
    <x v="30"/>
    <x v="1"/>
    <x v="0"/>
    <x v="0"/>
    <x v="1"/>
    <x v="0"/>
  </r>
  <r>
    <x v="0"/>
    <x v="0"/>
    <n v="2239092927"/>
    <x v="1"/>
    <n v="8450"/>
    <x v="0"/>
    <x v="0"/>
    <x v="30"/>
    <x v="1"/>
    <x v="0"/>
    <x v="0"/>
    <x v="1"/>
    <x v="0"/>
  </r>
  <r>
    <x v="0"/>
    <x v="0"/>
    <n v="2239092928"/>
    <x v="1"/>
    <n v="1140"/>
    <x v="0"/>
    <x v="0"/>
    <x v="30"/>
    <x v="1"/>
    <x v="0"/>
    <x v="0"/>
    <x v="1"/>
    <x v="0"/>
  </r>
  <r>
    <x v="0"/>
    <x v="0"/>
    <n v="2239092929"/>
    <x v="1"/>
    <n v="51770"/>
    <x v="0"/>
    <x v="0"/>
    <x v="30"/>
    <x v="1"/>
    <x v="0"/>
    <x v="0"/>
    <x v="1"/>
    <x v="0"/>
  </r>
  <r>
    <x v="0"/>
    <x v="0"/>
    <n v="2239092930"/>
    <x v="1"/>
    <n v="5700"/>
    <x v="0"/>
    <x v="0"/>
    <x v="30"/>
    <x v="1"/>
    <x v="0"/>
    <x v="0"/>
    <x v="1"/>
    <x v="0"/>
  </r>
  <r>
    <x v="0"/>
    <x v="0"/>
    <n v="2239092931"/>
    <x v="1"/>
    <n v="2700"/>
    <x v="0"/>
    <x v="0"/>
    <x v="30"/>
    <x v="1"/>
    <x v="0"/>
    <x v="0"/>
    <x v="1"/>
    <x v="0"/>
  </r>
  <r>
    <x v="0"/>
    <x v="0"/>
    <n v="2239092932"/>
    <x v="1"/>
    <n v="25170"/>
    <x v="0"/>
    <x v="0"/>
    <x v="30"/>
    <x v="1"/>
    <x v="0"/>
    <x v="0"/>
    <x v="1"/>
    <x v="0"/>
  </r>
  <r>
    <x v="0"/>
    <x v="0"/>
    <n v="2239092933"/>
    <x v="1"/>
    <n v="900"/>
    <x v="0"/>
    <x v="0"/>
    <x v="30"/>
    <x v="1"/>
    <x v="0"/>
    <x v="0"/>
    <x v="1"/>
    <x v="0"/>
  </r>
  <r>
    <x v="0"/>
    <x v="0"/>
    <n v="2239092934"/>
    <x v="1"/>
    <n v="6500"/>
    <x v="0"/>
    <x v="0"/>
    <x v="30"/>
    <x v="1"/>
    <x v="0"/>
    <x v="0"/>
    <x v="1"/>
    <x v="0"/>
  </r>
  <r>
    <x v="0"/>
    <x v="0"/>
    <n v="2239092935"/>
    <x v="1"/>
    <n v="2700"/>
    <x v="0"/>
    <x v="0"/>
    <x v="30"/>
    <x v="1"/>
    <x v="0"/>
    <x v="0"/>
    <x v="1"/>
    <x v="0"/>
  </r>
  <r>
    <x v="0"/>
    <x v="0"/>
    <n v="2239092936"/>
    <x v="1"/>
    <n v="3600"/>
    <x v="0"/>
    <x v="0"/>
    <x v="30"/>
    <x v="1"/>
    <x v="0"/>
    <x v="0"/>
    <x v="1"/>
    <x v="0"/>
  </r>
  <r>
    <x v="0"/>
    <x v="0"/>
    <n v="2239092937"/>
    <x v="1"/>
    <n v="3150"/>
    <x v="0"/>
    <x v="0"/>
    <x v="30"/>
    <x v="1"/>
    <x v="0"/>
    <x v="0"/>
    <x v="1"/>
    <x v="0"/>
  </r>
  <r>
    <x v="0"/>
    <x v="0"/>
    <n v="2239092938"/>
    <x v="1"/>
    <n v="4080"/>
    <x v="0"/>
    <x v="0"/>
    <x v="30"/>
    <x v="1"/>
    <x v="0"/>
    <x v="0"/>
    <x v="1"/>
    <x v="0"/>
  </r>
  <r>
    <x v="0"/>
    <x v="0"/>
    <n v="2239092939"/>
    <x v="1"/>
    <n v="600"/>
    <x v="0"/>
    <x v="0"/>
    <x v="30"/>
    <x v="1"/>
    <x v="0"/>
    <x v="0"/>
    <x v="1"/>
    <x v="0"/>
  </r>
  <r>
    <x v="0"/>
    <x v="0"/>
    <n v="2239092940"/>
    <x v="1"/>
    <n v="11800"/>
    <x v="0"/>
    <x v="0"/>
    <x v="30"/>
    <x v="1"/>
    <x v="0"/>
    <x v="0"/>
    <x v="1"/>
    <x v="0"/>
  </r>
  <r>
    <x v="0"/>
    <x v="0"/>
    <n v="2239092941"/>
    <x v="1"/>
    <n v="2280"/>
    <x v="0"/>
    <x v="0"/>
    <x v="30"/>
    <x v="1"/>
    <x v="0"/>
    <x v="0"/>
    <x v="1"/>
    <x v="0"/>
  </r>
  <r>
    <x v="0"/>
    <x v="0"/>
    <n v="2239092942"/>
    <x v="1"/>
    <n v="1140"/>
    <x v="0"/>
    <x v="0"/>
    <x v="30"/>
    <x v="1"/>
    <x v="0"/>
    <x v="0"/>
    <x v="1"/>
    <x v="0"/>
  </r>
  <r>
    <x v="0"/>
    <x v="0"/>
    <n v="2239092943"/>
    <x v="1"/>
    <n v="1140"/>
    <x v="0"/>
    <x v="0"/>
    <x v="30"/>
    <x v="1"/>
    <x v="0"/>
    <x v="0"/>
    <x v="1"/>
    <x v="0"/>
  </r>
  <r>
    <x v="0"/>
    <x v="0"/>
    <n v="2239092944"/>
    <x v="1"/>
    <n v="25760"/>
    <x v="0"/>
    <x v="0"/>
    <x v="30"/>
    <x v="1"/>
    <x v="0"/>
    <x v="0"/>
    <x v="1"/>
    <x v="0"/>
  </r>
  <r>
    <x v="0"/>
    <x v="0"/>
    <n v="2239092946"/>
    <x v="5"/>
    <n v="-6875"/>
    <x v="0"/>
    <x v="0"/>
    <x v="30"/>
    <x v="5"/>
    <x v="0"/>
    <x v="0"/>
    <x v="5"/>
    <x v="0"/>
  </r>
  <r>
    <x v="0"/>
    <x v="0"/>
    <n v="2239092946"/>
    <x v="6"/>
    <n v="20000"/>
    <x v="0"/>
    <x v="0"/>
    <x v="30"/>
    <x v="6"/>
    <x v="0"/>
    <x v="0"/>
    <x v="5"/>
    <x v="0"/>
  </r>
  <r>
    <x v="0"/>
    <x v="0"/>
    <n v="2239092947"/>
    <x v="2"/>
    <n v="14168"/>
    <x v="0"/>
    <x v="0"/>
    <x v="30"/>
    <x v="2"/>
    <x v="0"/>
    <x v="0"/>
    <x v="2"/>
    <x v="0"/>
  </r>
  <r>
    <x v="0"/>
    <x v="0"/>
    <n v="2239092948"/>
    <x v="5"/>
    <n v="-200"/>
    <x v="0"/>
    <x v="0"/>
    <x v="30"/>
    <x v="5"/>
    <x v="0"/>
    <x v="0"/>
    <x v="5"/>
    <x v="0"/>
  </r>
  <r>
    <x v="0"/>
    <x v="0"/>
    <n v="2239092948"/>
    <x v="6"/>
    <n v="5000"/>
    <x v="0"/>
    <x v="0"/>
    <x v="30"/>
    <x v="6"/>
    <x v="0"/>
    <x v="0"/>
    <x v="5"/>
    <x v="0"/>
  </r>
  <r>
    <x v="0"/>
    <x v="0"/>
    <n v="2239092948"/>
    <x v="7"/>
    <n v="1200"/>
    <x v="0"/>
    <x v="0"/>
    <x v="30"/>
    <x v="7"/>
    <x v="0"/>
    <x v="0"/>
    <x v="1"/>
    <x v="0"/>
  </r>
  <r>
    <x v="0"/>
    <x v="0"/>
    <n v="2239092949"/>
    <x v="5"/>
    <n v="-270"/>
    <x v="0"/>
    <x v="0"/>
    <x v="30"/>
    <x v="5"/>
    <x v="0"/>
    <x v="0"/>
    <x v="5"/>
    <x v="0"/>
  </r>
  <r>
    <x v="0"/>
    <x v="0"/>
    <n v="2239092949"/>
    <x v="6"/>
    <n v="10000"/>
    <x v="0"/>
    <x v="0"/>
    <x v="30"/>
    <x v="6"/>
    <x v="0"/>
    <x v="0"/>
    <x v="5"/>
    <x v="0"/>
  </r>
  <r>
    <x v="0"/>
    <x v="0"/>
    <n v="2239092949"/>
    <x v="7"/>
    <n v="4170"/>
    <x v="0"/>
    <x v="0"/>
    <x v="30"/>
    <x v="7"/>
    <x v="0"/>
    <x v="0"/>
    <x v="1"/>
    <x v="0"/>
  </r>
  <r>
    <x v="0"/>
    <x v="0"/>
    <n v="2239092952"/>
    <x v="1"/>
    <n v="2280"/>
    <x v="0"/>
    <x v="0"/>
    <x v="30"/>
    <x v="1"/>
    <x v="0"/>
    <x v="0"/>
    <x v="1"/>
    <x v="0"/>
  </r>
  <r>
    <x v="0"/>
    <x v="0"/>
    <n v="2239092953"/>
    <x v="1"/>
    <n v="900"/>
    <x v="0"/>
    <x v="0"/>
    <x v="30"/>
    <x v="1"/>
    <x v="0"/>
    <x v="0"/>
    <x v="1"/>
    <x v="0"/>
  </r>
  <r>
    <x v="0"/>
    <x v="0"/>
    <n v="2239092954"/>
    <x v="1"/>
    <n v="1590"/>
    <x v="0"/>
    <x v="0"/>
    <x v="30"/>
    <x v="1"/>
    <x v="0"/>
    <x v="0"/>
    <x v="1"/>
    <x v="0"/>
  </r>
  <r>
    <x v="0"/>
    <x v="0"/>
    <n v="2239092955"/>
    <x v="7"/>
    <n v="1500"/>
    <x v="0"/>
    <x v="0"/>
    <x v="30"/>
    <x v="7"/>
    <x v="0"/>
    <x v="0"/>
    <x v="1"/>
    <x v="0"/>
  </r>
  <r>
    <x v="0"/>
    <x v="0"/>
    <n v="2239092956"/>
    <x v="2"/>
    <n v="6400"/>
    <x v="0"/>
    <x v="0"/>
    <x v="30"/>
    <x v="2"/>
    <x v="0"/>
    <x v="0"/>
    <x v="2"/>
    <x v="0"/>
  </r>
  <r>
    <x v="0"/>
    <x v="0"/>
    <n v="2239092957"/>
    <x v="1"/>
    <n v="900"/>
    <x v="0"/>
    <x v="0"/>
    <x v="30"/>
    <x v="1"/>
    <x v="0"/>
    <x v="0"/>
    <x v="1"/>
    <x v="0"/>
  </r>
  <r>
    <x v="0"/>
    <x v="0"/>
    <n v="2239092958"/>
    <x v="7"/>
    <n v="1500"/>
    <x v="0"/>
    <x v="0"/>
    <x v="30"/>
    <x v="7"/>
    <x v="0"/>
    <x v="0"/>
    <x v="1"/>
    <x v="0"/>
  </r>
  <r>
    <x v="0"/>
    <x v="0"/>
    <n v="2239092959"/>
    <x v="1"/>
    <n v="12040"/>
    <x v="0"/>
    <x v="0"/>
    <x v="30"/>
    <x v="1"/>
    <x v="0"/>
    <x v="0"/>
    <x v="1"/>
    <x v="0"/>
  </r>
  <r>
    <x v="0"/>
    <x v="0"/>
    <n v="2239092960"/>
    <x v="4"/>
    <n v="10000"/>
    <x v="0"/>
    <x v="0"/>
    <x v="30"/>
    <x v="4"/>
    <x v="0"/>
    <x v="0"/>
    <x v="4"/>
    <x v="0"/>
  </r>
  <r>
    <x v="0"/>
    <x v="0"/>
    <n v="2239092962"/>
    <x v="2"/>
    <n v="23100"/>
    <x v="0"/>
    <x v="0"/>
    <x v="30"/>
    <x v="2"/>
    <x v="0"/>
    <x v="0"/>
    <x v="2"/>
    <x v="0"/>
  </r>
  <r>
    <x v="0"/>
    <x v="0"/>
    <n v="2239092964"/>
    <x v="1"/>
    <n v="3090"/>
    <x v="0"/>
    <x v="0"/>
    <x v="30"/>
    <x v="1"/>
    <x v="0"/>
    <x v="0"/>
    <x v="1"/>
    <x v="0"/>
  </r>
  <r>
    <x v="0"/>
    <x v="0"/>
    <n v="2239092965"/>
    <x v="2"/>
    <n v="13700"/>
    <x v="0"/>
    <x v="0"/>
    <x v="30"/>
    <x v="2"/>
    <x v="0"/>
    <x v="0"/>
    <x v="2"/>
    <x v="0"/>
  </r>
  <r>
    <x v="0"/>
    <x v="0"/>
    <n v="2239092966"/>
    <x v="1"/>
    <n v="3300"/>
    <x v="0"/>
    <x v="0"/>
    <x v="30"/>
    <x v="1"/>
    <x v="0"/>
    <x v="0"/>
    <x v="1"/>
    <x v="0"/>
  </r>
  <r>
    <x v="0"/>
    <x v="0"/>
    <n v="2239092967"/>
    <x v="2"/>
    <n v="12870"/>
    <x v="0"/>
    <x v="0"/>
    <x v="30"/>
    <x v="2"/>
    <x v="0"/>
    <x v="0"/>
    <x v="2"/>
    <x v="0"/>
  </r>
  <r>
    <x v="0"/>
    <x v="0"/>
    <n v="2239092968"/>
    <x v="5"/>
    <n v="-600"/>
    <x v="0"/>
    <x v="0"/>
    <x v="30"/>
    <x v="5"/>
    <x v="0"/>
    <x v="0"/>
    <x v="5"/>
    <x v="0"/>
  </r>
  <r>
    <x v="0"/>
    <x v="0"/>
    <n v="2239092968"/>
    <x v="6"/>
    <n v="3000"/>
    <x v="0"/>
    <x v="0"/>
    <x v="30"/>
    <x v="6"/>
    <x v="0"/>
    <x v="0"/>
    <x v="5"/>
    <x v="0"/>
  </r>
  <r>
    <x v="0"/>
    <x v="0"/>
    <n v="2239092968"/>
    <x v="7"/>
    <n v="600"/>
    <x v="0"/>
    <x v="0"/>
    <x v="30"/>
    <x v="7"/>
    <x v="0"/>
    <x v="0"/>
    <x v="1"/>
    <x v="0"/>
  </r>
  <r>
    <x v="0"/>
    <x v="0"/>
    <n v="2239092969"/>
    <x v="2"/>
    <n v="12600"/>
    <x v="0"/>
    <x v="0"/>
    <x v="30"/>
    <x v="2"/>
    <x v="0"/>
    <x v="0"/>
    <x v="2"/>
    <x v="0"/>
  </r>
  <r>
    <x v="0"/>
    <x v="0"/>
    <n v="2239092970"/>
    <x v="2"/>
    <n v="13420"/>
    <x v="0"/>
    <x v="0"/>
    <x v="30"/>
    <x v="2"/>
    <x v="0"/>
    <x v="0"/>
    <x v="2"/>
    <x v="0"/>
  </r>
  <r>
    <x v="0"/>
    <x v="0"/>
    <n v="2239092971"/>
    <x v="2"/>
    <n v="41745"/>
    <x v="0"/>
    <x v="0"/>
    <x v="30"/>
    <x v="2"/>
    <x v="0"/>
    <x v="0"/>
    <x v="2"/>
    <x v="0"/>
  </r>
  <r>
    <x v="0"/>
    <x v="0"/>
    <n v="2239092972"/>
    <x v="2"/>
    <n v="75735"/>
    <x v="0"/>
    <x v="0"/>
    <x v="30"/>
    <x v="2"/>
    <x v="0"/>
    <x v="0"/>
    <x v="2"/>
    <x v="0"/>
  </r>
  <r>
    <x v="0"/>
    <x v="0"/>
    <n v="2239092973"/>
    <x v="5"/>
    <n v="-5600"/>
    <x v="0"/>
    <x v="0"/>
    <x v="30"/>
    <x v="5"/>
    <x v="0"/>
    <x v="0"/>
    <x v="5"/>
    <x v="0"/>
  </r>
  <r>
    <x v="0"/>
    <x v="0"/>
    <n v="2239092973"/>
    <x v="4"/>
    <n v="10000"/>
    <x v="0"/>
    <x v="0"/>
    <x v="30"/>
    <x v="4"/>
    <x v="0"/>
    <x v="0"/>
    <x v="4"/>
    <x v="0"/>
  </r>
  <r>
    <x v="0"/>
    <x v="0"/>
    <n v="2239092974"/>
    <x v="2"/>
    <n v="23045"/>
    <x v="0"/>
    <x v="0"/>
    <x v="30"/>
    <x v="2"/>
    <x v="0"/>
    <x v="0"/>
    <x v="2"/>
    <x v="0"/>
  </r>
  <r>
    <x v="0"/>
    <x v="0"/>
    <n v="2239092975"/>
    <x v="2"/>
    <n v="12320"/>
    <x v="0"/>
    <x v="0"/>
    <x v="30"/>
    <x v="2"/>
    <x v="0"/>
    <x v="0"/>
    <x v="2"/>
    <x v="0"/>
  </r>
  <r>
    <x v="0"/>
    <x v="0"/>
    <n v="2239092976"/>
    <x v="2"/>
    <n v="20020"/>
    <x v="0"/>
    <x v="0"/>
    <x v="30"/>
    <x v="2"/>
    <x v="0"/>
    <x v="0"/>
    <x v="2"/>
    <x v="0"/>
  </r>
  <r>
    <x v="0"/>
    <x v="0"/>
    <n v="2239092977"/>
    <x v="2"/>
    <n v="14850"/>
    <x v="0"/>
    <x v="0"/>
    <x v="30"/>
    <x v="2"/>
    <x v="0"/>
    <x v="0"/>
    <x v="2"/>
    <x v="0"/>
  </r>
  <r>
    <x v="0"/>
    <x v="0"/>
    <n v="2239092979"/>
    <x v="7"/>
    <n v="3000"/>
    <x v="0"/>
    <x v="0"/>
    <x v="30"/>
    <x v="7"/>
    <x v="0"/>
    <x v="0"/>
    <x v="1"/>
    <x v="0"/>
  </r>
  <r>
    <x v="0"/>
    <x v="0"/>
    <n v="2239092982"/>
    <x v="2"/>
    <n v="4400"/>
    <x v="0"/>
    <x v="0"/>
    <x v="30"/>
    <x v="2"/>
    <x v="0"/>
    <x v="0"/>
    <x v="2"/>
    <x v="0"/>
  </r>
  <r>
    <x v="0"/>
    <x v="0"/>
    <n v="2239092984"/>
    <x v="2"/>
    <n v="38115"/>
    <x v="0"/>
    <x v="0"/>
    <x v="30"/>
    <x v="2"/>
    <x v="0"/>
    <x v="0"/>
    <x v="2"/>
    <x v="0"/>
  </r>
  <r>
    <x v="0"/>
    <x v="0"/>
    <n v="2239092985"/>
    <x v="7"/>
    <n v="4800"/>
    <x v="0"/>
    <x v="0"/>
    <x v="30"/>
    <x v="7"/>
    <x v="0"/>
    <x v="0"/>
    <x v="1"/>
    <x v="0"/>
  </r>
  <r>
    <x v="0"/>
    <x v="0"/>
    <n v="2239092986"/>
    <x v="2"/>
    <n v="2250"/>
    <x v="0"/>
    <x v="0"/>
    <x v="30"/>
    <x v="2"/>
    <x v="0"/>
    <x v="0"/>
    <x v="2"/>
    <x v="0"/>
  </r>
  <r>
    <x v="0"/>
    <x v="0"/>
    <n v="2239092987"/>
    <x v="1"/>
    <n v="28870"/>
    <x v="0"/>
    <x v="0"/>
    <x v="30"/>
    <x v="1"/>
    <x v="0"/>
    <x v="0"/>
    <x v="1"/>
    <x v="0"/>
  </r>
  <r>
    <x v="0"/>
    <x v="0"/>
    <n v="2239092988"/>
    <x v="5"/>
    <n v="-14700"/>
    <x v="0"/>
    <x v="0"/>
    <x v="30"/>
    <x v="5"/>
    <x v="0"/>
    <x v="0"/>
    <x v="5"/>
    <x v="0"/>
  </r>
  <r>
    <x v="0"/>
    <x v="0"/>
    <n v="2239092988"/>
    <x v="4"/>
    <n v="20000"/>
    <x v="0"/>
    <x v="0"/>
    <x v="30"/>
    <x v="4"/>
    <x v="0"/>
    <x v="0"/>
    <x v="4"/>
    <x v="0"/>
  </r>
  <r>
    <x v="0"/>
    <x v="0"/>
    <n v="2239092989"/>
    <x v="1"/>
    <n v="4770"/>
    <x v="0"/>
    <x v="0"/>
    <x v="30"/>
    <x v="1"/>
    <x v="0"/>
    <x v="0"/>
    <x v="1"/>
    <x v="0"/>
  </r>
  <r>
    <x v="0"/>
    <x v="0"/>
    <n v="2239092991"/>
    <x v="5"/>
    <n v="-600"/>
    <x v="0"/>
    <x v="0"/>
    <x v="30"/>
    <x v="5"/>
    <x v="0"/>
    <x v="0"/>
    <x v="5"/>
    <x v="0"/>
  </r>
  <r>
    <x v="0"/>
    <x v="0"/>
    <n v="2239092991"/>
    <x v="4"/>
    <n v="5000"/>
    <x v="0"/>
    <x v="0"/>
    <x v="30"/>
    <x v="4"/>
    <x v="0"/>
    <x v="0"/>
    <x v="4"/>
    <x v="0"/>
  </r>
  <r>
    <x v="0"/>
    <x v="0"/>
    <n v="2239092992"/>
    <x v="5"/>
    <n v="-8660"/>
    <x v="0"/>
    <x v="0"/>
    <x v="30"/>
    <x v="5"/>
    <x v="0"/>
    <x v="0"/>
    <x v="5"/>
    <x v="0"/>
  </r>
  <r>
    <x v="0"/>
    <x v="0"/>
    <n v="2239092992"/>
    <x v="6"/>
    <n v="50000"/>
    <x v="0"/>
    <x v="0"/>
    <x v="30"/>
    <x v="6"/>
    <x v="0"/>
    <x v="0"/>
    <x v="5"/>
    <x v="0"/>
  </r>
  <r>
    <x v="0"/>
    <x v="0"/>
    <n v="2239092993"/>
    <x v="4"/>
    <n v="5000"/>
    <x v="0"/>
    <x v="0"/>
    <x v="30"/>
    <x v="4"/>
    <x v="0"/>
    <x v="0"/>
    <x v="4"/>
    <x v="0"/>
  </r>
  <r>
    <x v="0"/>
    <x v="0"/>
    <n v="2239092994"/>
    <x v="5"/>
    <n v="-4300"/>
    <x v="0"/>
    <x v="0"/>
    <x v="30"/>
    <x v="5"/>
    <x v="0"/>
    <x v="0"/>
    <x v="5"/>
    <x v="0"/>
  </r>
  <r>
    <x v="0"/>
    <x v="0"/>
    <n v="2239092994"/>
    <x v="4"/>
    <n v="10000"/>
    <x v="0"/>
    <x v="0"/>
    <x v="30"/>
    <x v="4"/>
    <x v="0"/>
    <x v="0"/>
    <x v="4"/>
    <x v="0"/>
  </r>
  <r>
    <x v="0"/>
    <x v="0"/>
    <n v="2239092995"/>
    <x v="1"/>
    <n v="4950"/>
    <x v="0"/>
    <x v="0"/>
    <x v="30"/>
    <x v="1"/>
    <x v="0"/>
    <x v="0"/>
    <x v="1"/>
    <x v="0"/>
  </r>
  <r>
    <x v="0"/>
    <x v="0"/>
    <n v="2239092996"/>
    <x v="7"/>
    <n v="3000"/>
    <x v="0"/>
    <x v="0"/>
    <x v="30"/>
    <x v="7"/>
    <x v="0"/>
    <x v="0"/>
    <x v="1"/>
    <x v="0"/>
  </r>
  <r>
    <x v="0"/>
    <x v="0"/>
    <n v="2239092997"/>
    <x v="2"/>
    <n v="8250"/>
    <x v="0"/>
    <x v="0"/>
    <x v="30"/>
    <x v="2"/>
    <x v="0"/>
    <x v="0"/>
    <x v="2"/>
    <x v="0"/>
  </r>
  <r>
    <x v="0"/>
    <x v="0"/>
    <n v="2239092998"/>
    <x v="2"/>
    <n v="3960"/>
    <x v="0"/>
    <x v="0"/>
    <x v="30"/>
    <x v="2"/>
    <x v="0"/>
    <x v="0"/>
    <x v="2"/>
    <x v="0"/>
  </r>
  <r>
    <x v="0"/>
    <x v="0"/>
    <n v="2239092999"/>
    <x v="7"/>
    <n v="1500"/>
    <x v="0"/>
    <x v="0"/>
    <x v="30"/>
    <x v="7"/>
    <x v="0"/>
    <x v="0"/>
    <x v="1"/>
    <x v="0"/>
  </r>
  <r>
    <x v="0"/>
    <x v="0"/>
    <n v="2239093000"/>
    <x v="1"/>
    <n v="3800"/>
    <x v="0"/>
    <x v="0"/>
    <x v="30"/>
    <x v="1"/>
    <x v="0"/>
    <x v="0"/>
    <x v="1"/>
    <x v="0"/>
  </r>
  <r>
    <x v="0"/>
    <x v="0"/>
    <n v="2239093001"/>
    <x v="5"/>
    <n v="-5200"/>
    <x v="0"/>
    <x v="0"/>
    <x v="30"/>
    <x v="5"/>
    <x v="0"/>
    <x v="0"/>
    <x v="5"/>
    <x v="0"/>
  </r>
  <r>
    <x v="0"/>
    <x v="0"/>
    <n v="2239093001"/>
    <x v="6"/>
    <n v="40000"/>
    <x v="0"/>
    <x v="0"/>
    <x v="30"/>
    <x v="6"/>
    <x v="0"/>
    <x v="0"/>
    <x v="5"/>
    <x v="0"/>
  </r>
  <r>
    <x v="0"/>
    <x v="0"/>
    <n v="2239093002"/>
    <x v="5"/>
    <n v="-4600"/>
    <x v="0"/>
    <x v="0"/>
    <x v="30"/>
    <x v="5"/>
    <x v="0"/>
    <x v="0"/>
    <x v="5"/>
    <x v="0"/>
  </r>
  <r>
    <x v="0"/>
    <x v="0"/>
    <n v="2239093002"/>
    <x v="6"/>
    <n v="20000"/>
    <x v="0"/>
    <x v="0"/>
    <x v="30"/>
    <x v="6"/>
    <x v="0"/>
    <x v="0"/>
    <x v="5"/>
    <x v="0"/>
  </r>
  <r>
    <x v="0"/>
    <x v="0"/>
    <n v="2239093003"/>
    <x v="2"/>
    <n v="13200"/>
    <x v="0"/>
    <x v="0"/>
    <x v="30"/>
    <x v="2"/>
    <x v="0"/>
    <x v="0"/>
    <x v="2"/>
    <x v="0"/>
  </r>
  <r>
    <x v="0"/>
    <x v="0"/>
    <n v="2239093004"/>
    <x v="7"/>
    <n v="1500"/>
    <x v="0"/>
    <x v="0"/>
    <x v="30"/>
    <x v="7"/>
    <x v="0"/>
    <x v="0"/>
    <x v="1"/>
    <x v="0"/>
  </r>
  <r>
    <x v="0"/>
    <x v="0"/>
    <n v="2239093005"/>
    <x v="2"/>
    <n v="3000"/>
    <x v="0"/>
    <x v="0"/>
    <x v="30"/>
    <x v="2"/>
    <x v="0"/>
    <x v="0"/>
    <x v="2"/>
    <x v="0"/>
  </r>
  <r>
    <x v="0"/>
    <x v="0"/>
    <n v="2239093006"/>
    <x v="2"/>
    <n v="10890"/>
    <x v="0"/>
    <x v="0"/>
    <x v="30"/>
    <x v="2"/>
    <x v="0"/>
    <x v="0"/>
    <x v="2"/>
    <x v="0"/>
  </r>
  <r>
    <x v="0"/>
    <x v="0"/>
    <n v="2239093007"/>
    <x v="2"/>
    <n v="13500"/>
    <x v="0"/>
    <x v="0"/>
    <x v="30"/>
    <x v="2"/>
    <x v="0"/>
    <x v="0"/>
    <x v="2"/>
    <x v="0"/>
  </r>
  <r>
    <x v="0"/>
    <x v="0"/>
    <n v="2239093008"/>
    <x v="5"/>
    <n v="-1000"/>
    <x v="0"/>
    <x v="0"/>
    <x v="30"/>
    <x v="5"/>
    <x v="0"/>
    <x v="0"/>
    <x v="5"/>
    <x v="0"/>
  </r>
  <r>
    <x v="0"/>
    <x v="0"/>
    <n v="2239093008"/>
    <x v="4"/>
    <n v="5400"/>
    <x v="0"/>
    <x v="0"/>
    <x v="30"/>
    <x v="4"/>
    <x v="0"/>
    <x v="0"/>
    <x v="4"/>
    <x v="0"/>
  </r>
  <r>
    <x v="0"/>
    <x v="0"/>
    <n v="2239093009"/>
    <x v="7"/>
    <n v="3000"/>
    <x v="0"/>
    <x v="0"/>
    <x v="30"/>
    <x v="7"/>
    <x v="0"/>
    <x v="0"/>
    <x v="1"/>
    <x v="0"/>
  </r>
  <r>
    <x v="0"/>
    <x v="0"/>
    <n v="2239093010"/>
    <x v="6"/>
    <n v="6000"/>
    <x v="0"/>
    <x v="0"/>
    <x v="30"/>
    <x v="6"/>
    <x v="0"/>
    <x v="0"/>
    <x v="5"/>
    <x v="0"/>
  </r>
  <r>
    <x v="0"/>
    <x v="0"/>
    <n v="2239093011"/>
    <x v="5"/>
    <n v="-14300"/>
    <x v="0"/>
    <x v="0"/>
    <x v="30"/>
    <x v="5"/>
    <x v="0"/>
    <x v="0"/>
    <x v="5"/>
    <x v="0"/>
  </r>
  <r>
    <x v="0"/>
    <x v="0"/>
    <n v="2239093011"/>
    <x v="4"/>
    <n v="20000"/>
    <x v="0"/>
    <x v="0"/>
    <x v="30"/>
    <x v="4"/>
    <x v="0"/>
    <x v="0"/>
    <x v="4"/>
    <x v="0"/>
  </r>
  <r>
    <x v="0"/>
    <x v="0"/>
    <n v="2239093012"/>
    <x v="6"/>
    <n v="3000"/>
    <x v="0"/>
    <x v="0"/>
    <x v="30"/>
    <x v="6"/>
    <x v="0"/>
    <x v="0"/>
    <x v="5"/>
    <x v="0"/>
  </r>
  <r>
    <x v="0"/>
    <x v="0"/>
    <n v="2239093013"/>
    <x v="2"/>
    <n v="59290"/>
    <x v="0"/>
    <x v="0"/>
    <x v="30"/>
    <x v="2"/>
    <x v="0"/>
    <x v="0"/>
    <x v="2"/>
    <x v="0"/>
  </r>
  <r>
    <x v="0"/>
    <x v="0"/>
    <n v="2239093014"/>
    <x v="2"/>
    <n v="22000"/>
    <x v="0"/>
    <x v="0"/>
    <x v="30"/>
    <x v="2"/>
    <x v="0"/>
    <x v="0"/>
    <x v="2"/>
    <x v="0"/>
  </r>
  <r>
    <x v="0"/>
    <x v="0"/>
    <n v="2239093015"/>
    <x v="2"/>
    <n v="8250"/>
    <x v="0"/>
    <x v="0"/>
    <x v="30"/>
    <x v="2"/>
    <x v="0"/>
    <x v="0"/>
    <x v="2"/>
    <x v="0"/>
  </r>
  <r>
    <x v="0"/>
    <x v="0"/>
    <n v="2239093016"/>
    <x v="1"/>
    <n v="4500"/>
    <x v="0"/>
    <x v="0"/>
    <x v="30"/>
    <x v="1"/>
    <x v="0"/>
    <x v="0"/>
    <x v="1"/>
    <x v="0"/>
  </r>
  <r>
    <x v="0"/>
    <x v="0"/>
    <n v="2239093017"/>
    <x v="2"/>
    <n v="8250"/>
    <x v="0"/>
    <x v="0"/>
    <x v="30"/>
    <x v="2"/>
    <x v="0"/>
    <x v="0"/>
    <x v="2"/>
    <x v="0"/>
  </r>
  <r>
    <x v="0"/>
    <x v="0"/>
    <n v="2239093018"/>
    <x v="5"/>
    <n v="-5300"/>
    <x v="0"/>
    <x v="0"/>
    <x v="30"/>
    <x v="5"/>
    <x v="0"/>
    <x v="0"/>
    <x v="5"/>
    <x v="0"/>
  </r>
  <r>
    <x v="0"/>
    <x v="0"/>
    <n v="2239093018"/>
    <x v="6"/>
    <n v="20000"/>
    <x v="0"/>
    <x v="0"/>
    <x v="30"/>
    <x v="6"/>
    <x v="0"/>
    <x v="0"/>
    <x v="5"/>
    <x v="0"/>
  </r>
  <r>
    <x v="0"/>
    <x v="0"/>
    <n v="2239093019"/>
    <x v="4"/>
    <n v="5000"/>
    <x v="0"/>
    <x v="0"/>
    <x v="30"/>
    <x v="4"/>
    <x v="0"/>
    <x v="0"/>
    <x v="4"/>
    <x v="0"/>
  </r>
  <r>
    <x v="0"/>
    <x v="0"/>
    <n v="2239093020"/>
    <x v="2"/>
    <n v="26400"/>
    <x v="0"/>
    <x v="0"/>
    <x v="30"/>
    <x v="2"/>
    <x v="0"/>
    <x v="0"/>
    <x v="2"/>
    <x v="0"/>
  </r>
  <r>
    <x v="0"/>
    <x v="0"/>
    <n v="2239093021"/>
    <x v="6"/>
    <n v="3150"/>
    <x v="0"/>
    <x v="0"/>
    <x v="30"/>
    <x v="6"/>
    <x v="0"/>
    <x v="0"/>
    <x v="5"/>
    <x v="0"/>
  </r>
  <r>
    <x v="0"/>
    <x v="0"/>
    <n v="2239093022"/>
    <x v="5"/>
    <n v="-4000"/>
    <x v="0"/>
    <x v="0"/>
    <x v="30"/>
    <x v="5"/>
    <x v="0"/>
    <x v="0"/>
    <x v="5"/>
    <x v="0"/>
  </r>
  <r>
    <x v="0"/>
    <x v="0"/>
    <n v="2239093022"/>
    <x v="6"/>
    <n v="10000"/>
    <x v="0"/>
    <x v="0"/>
    <x v="30"/>
    <x v="6"/>
    <x v="0"/>
    <x v="0"/>
    <x v="5"/>
    <x v="0"/>
  </r>
  <r>
    <x v="0"/>
    <x v="0"/>
    <n v="2239093023"/>
    <x v="2"/>
    <n v="12243"/>
    <x v="0"/>
    <x v="0"/>
    <x v="30"/>
    <x v="2"/>
    <x v="0"/>
    <x v="0"/>
    <x v="2"/>
    <x v="0"/>
  </r>
  <r>
    <x v="0"/>
    <x v="0"/>
    <n v="2239093024"/>
    <x v="5"/>
    <n v="-4300"/>
    <x v="0"/>
    <x v="0"/>
    <x v="30"/>
    <x v="5"/>
    <x v="0"/>
    <x v="0"/>
    <x v="5"/>
    <x v="0"/>
  </r>
  <r>
    <x v="0"/>
    <x v="0"/>
    <n v="2239093024"/>
    <x v="4"/>
    <n v="10000"/>
    <x v="0"/>
    <x v="0"/>
    <x v="30"/>
    <x v="4"/>
    <x v="0"/>
    <x v="0"/>
    <x v="4"/>
    <x v="0"/>
  </r>
  <r>
    <x v="0"/>
    <x v="0"/>
    <n v="2239093025"/>
    <x v="5"/>
    <n v="-500"/>
    <x v="0"/>
    <x v="0"/>
    <x v="30"/>
    <x v="5"/>
    <x v="0"/>
    <x v="0"/>
    <x v="5"/>
    <x v="0"/>
  </r>
  <r>
    <x v="0"/>
    <x v="0"/>
    <n v="2239093025"/>
    <x v="6"/>
    <n v="5000"/>
    <x v="0"/>
    <x v="0"/>
    <x v="30"/>
    <x v="6"/>
    <x v="0"/>
    <x v="0"/>
    <x v="5"/>
    <x v="0"/>
  </r>
  <r>
    <x v="0"/>
    <x v="0"/>
    <n v="2239093026"/>
    <x v="2"/>
    <n v="13750"/>
    <x v="0"/>
    <x v="0"/>
    <x v="30"/>
    <x v="2"/>
    <x v="0"/>
    <x v="0"/>
    <x v="2"/>
    <x v="0"/>
  </r>
  <r>
    <x v="0"/>
    <x v="0"/>
    <n v="2239093028"/>
    <x v="7"/>
    <n v="7000"/>
    <x v="0"/>
    <x v="0"/>
    <x v="30"/>
    <x v="7"/>
    <x v="0"/>
    <x v="0"/>
    <x v="1"/>
    <x v="0"/>
  </r>
  <r>
    <x v="0"/>
    <x v="0"/>
    <n v="2239093029"/>
    <x v="7"/>
    <n v="1500"/>
    <x v="0"/>
    <x v="0"/>
    <x v="30"/>
    <x v="7"/>
    <x v="0"/>
    <x v="0"/>
    <x v="1"/>
    <x v="0"/>
  </r>
  <r>
    <x v="0"/>
    <x v="0"/>
    <n v="2239093030"/>
    <x v="2"/>
    <n v="24100"/>
    <x v="0"/>
    <x v="0"/>
    <x v="30"/>
    <x v="2"/>
    <x v="0"/>
    <x v="0"/>
    <x v="2"/>
    <x v="0"/>
  </r>
  <r>
    <x v="0"/>
    <x v="0"/>
    <n v="2239093031"/>
    <x v="5"/>
    <n v="-15000"/>
    <x v="0"/>
    <x v="0"/>
    <x v="30"/>
    <x v="5"/>
    <x v="0"/>
    <x v="0"/>
    <x v="5"/>
    <x v="0"/>
  </r>
  <r>
    <x v="0"/>
    <x v="0"/>
    <n v="2239093031"/>
    <x v="4"/>
    <n v="20300"/>
    <x v="0"/>
    <x v="0"/>
    <x v="30"/>
    <x v="4"/>
    <x v="0"/>
    <x v="0"/>
    <x v="4"/>
    <x v="0"/>
  </r>
  <r>
    <x v="0"/>
    <x v="0"/>
    <n v="2239093032"/>
    <x v="7"/>
    <n v="1500"/>
    <x v="0"/>
    <x v="0"/>
    <x v="30"/>
    <x v="7"/>
    <x v="0"/>
    <x v="0"/>
    <x v="1"/>
    <x v="0"/>
  </r>
  <r>
    <x v="0"/>
    <x v="0"/>
    <n v="2239093033"/>
    <x v="5"/>
    <n v="-1200"/>
    <x v="0"/>
    <x v="0"/>
    <x v="30"/>
    <x v="5"/>
    <x v="0"/>
    <x v="0"/>
    <x v="5"/>
    <x v="0"/>
  </r>
  <r>
    <x v="0"/>
    <x v="0"/>
    <n v="2239093033"/>
    <x v="4"/>
    <n v="10000"/>
    <x v="0"/>
    <x v="0"/>
    <x v="30"/>
    <x v="4"/>
    <x v="0"/>
    <x v="0"/>
    <x v="4"/>
    <x v="0"/>
  </r>
  <r>
    <x v="0"/>
    <x v="0"/>
    <n v="2239093034"/>
    <x v="5"/>
    <n v="-15000"/>
    <x v="0"/>
    <x v="0"/>
    <x v="30"/>
    <x v="5"/>
    <x v="0"/>
    <x v="0"/>
    <x v="5"/>
    <x v="0"/>
  </r>
  <r>
    <x v="0"/>
    <x v="0"/>
    <n v="2239093034"/>
    <x v="4"/>
    <n v="20300"/>
    <x v="0"/>
    <x v="0"/>
    <x v="30"/>
    <x v="4"/>
    <x v="0"/>
    <x v="0"/>
    <x v="4"/>
    <x v="0"/>
  </r>
  <r>
    <x v="0"/>
    <x v="0"/>
    <n v="2239093035"/>
    <x v="5"/>
    <n v="-4300"/>
    <x v="0"/>
    <x v="0"/>
    <x v="30"/>
    <x v="5"/>
    <x v="0"/>
    <x v="0"/>
    <x v="5"/>
    <x v="0"/>
  </r>
  <r>
    <x v="0"/>
    <x v="0"/>
    <n v="2239093035"/>
    <x v="6"/>
    <n v="10000"/>
    <x v="0"/>
    <x v="0"/>
    <x v="30"/>
    <x v="6"/>
    <x v="0"/>
    <x v="0"/>
    <x v="5"/>
    <x v="0"/>
  </r>
  <r>
    <x v="0"/>
    <x v="0"/>
    <n v="2239093036"/>
    <x v="5"/>
    <n v="-2000"/>
    <x v="0"/>
    <x v="0"/>
    <x v="30"/>
    <x v="5"/>
    <x v="0"/>
    <x v="0"/>
    <x v="5"/>
    <x v="0"/>
  </r>
  <r>
    <x v="0"/>
    <x v="0"/>
    <n v="2239093036"/>
    <x v="6"/>
    <n v="5150"/>
    <x v="0"/>
    <x v="0"/>
    <x v="30"/>
    <x v="6"/>
    <x v="0"/>
    <x v="0"/>
    <x v="5"/>
    <x v="0"/>
  </r>
  <r>
    <x v="0"/>
    <x v="0"/>
    <n v="2239093038"/>
    <x v="1"/>
    <n v="1140"/>
    <x v="0"/>
    <x v="0"/>
    <x v="30"/>
    <x v="1"/>
    <x v="0"/>
    <x v="0"/>
    <x v="1"/>
    <x v="0"/>
  </r>
  <r>
    <x v="0"/>
    <x v="0"/>
    <n v="2239093039"/>
    <x v="1"/>
    <n v="2100"/>
    <x v="0"/>
    <x v="0"/>
    <x v="30"/>
    <x v="1"/>
    <x v="0"/>
    <x v="0"/>
    <x v="1"/>
    <x v="0"/>
  </r>
  <r>
    <x v="0"/>
    <x v="0"/>
    <n v="2239093040"/>
    <x v="7"/>
    <n v="1500"/>
    <x v="0"/>
    <x v="0"/>
    <x v="30"/>
    <x v="7"/>
    <x v="0"/>
    <x v="0"/>
    <x v="1"/>
    <x v="0"/>
  </r>
  <r>
    <x v="0"/>
    <x v="0"/>
    <n v="2239093041"/>
    <x v="7"/>
    <n v="1500"/>
    <x v="0"/>
    <x v="0"/>
    <x v="30"/>
    <x v="7"/>
    <x v="0"/>
    <x v="0"/>
    <x v="1"/>
    <x v="0"/>
  </r>
  <r>
    <x v="0"/>
    <x v="0"/>
    <n v="2239093043"/>
    <x v="1"/>
    <n v="4500"/>
    <x v="0"/>
    <x v="0"/>
    <x v="30"/>
    <x v="1"/>
    <x v="0"/>
    <x v="0"/>
    <x v="1"/>
    <x v="0"/>
  </r>
  <r>
    <x v="0"/>
    <x v="0"/>
    <n v="2239093044"/>
    <x v="7"/>
    <n v="7000"/>
    <x v="0"/>
    <x v="0"/>
    <x v="30"/>
    <x v="7"/>
    <x v="0"/>
    <x v="0"/>
    <x v="1"/>
    <x v="0"/>
  </r>
  <r>
    <x v="0"/>
    <x v="0"/>
    <n v="2239093045"/>
    <x v="2"/>
    <n v="8360"/>
    <x v="0"/>
    <x v="0"/>
    <x v="30"/>
    <x v="2"/>
    <x v="0"/>
    <x v="0"/>
    <x v="2"/>
    <x v="0"/>
  </r>
  <r>
    <x v="0"/>
    <x v="0"/>
    <n v="2239093046"/>
    <x v="7"/>
    <n v="1500"/>
    <x v="0"/>
    <x v="0"/>
    <x v="30"/>
    <x v="7"/>
    <x v="0"/>
    <x v="0"/>
    <x v="1"/>
    <x v="0"/>
  </r>
  <r>
    <x v="0"/>
    <x v="0"/>
    <n v="2239093047"/>
    <x v="2"/>
    <n v="11550"/>
    <x v="0"/>
    <x v="0"/>
    <x v="30"/>
    <x v="2"/>
    <x v="0"/>
    <x v="0"/>
    <x v="2"/>
    <x v="0"/>
  </r>
  <r>
    <x v="0"/>
    <x v="0"/>
    <n v="2239093048"/>
    <x v="1"/>
    <n v="4500"/>
    <x v="0"/>
    <x v="0"/>
    <x v="30"/>
    <x v="1"/>
    <x v="0"/>
    <x v="0"/>
    <x v="1"/>
    <x v="0"/>
  </r>
  <r>
    <x v="0"/>
    <x v="0"/>
    <n v="2239093049"/>
    <x v="5"/>
    <n v="-5020"/>
    <x v="0"/>
    <x v="0"/>
    <x v="30"/>
    <x v="5"/>
    <x v="0"/>
    <x v="0"/>
    <x v="5"/>
    <x v="0"/>
  </r>
  <r>
    <x v="0"/>
    <x v="0"/>
    <n v="2239093049"/>
    <x v="6"/>
    <n v="10000"/>
    <x v="0"/>
    <x v="0"/>
    <x v="30"/>
    <x v="6"/>
    <x v="0"/>
    <x v="0"/>
    <x v="5"/>
    <x v="0"/>
  </r>
  <r>
    <x v="0"/>
    <x v="0"/>
    <n v="2239093050"/>
    <x v="1"/>
    <n v="4770"/>
    <x v="0"/>
    <x v="0"/>
    <x v="30"/>
    <x v="1"/>
    <x v="0"/>
    <x v="0"/>
    <x v="1"/>
    <x v="0"/>
  </r>
  <r>
    <x v="0"/>
    <x v="0"/>
    <n v="2239093051"/>
    <x v="7"/>
    <n v="1500"/>
    <x v="0"/>
    <x v="0"/>
    <x v="30"/>
    <x v="7"/>
    <x v="0"/>
    <x v="0"/>
    <x v="1"/>
    <x v="0"/>
  </r>
  <r>
    <x v="0"/>
    <x v="0"/>
    <n v="2239093052"/>
    <x v="5"/>
    <n v="-600"/>
    <x v="0"/>
    <x v="0"/>
    <x v="30"/>
    <x v="5"/>
    <x v="0"/>
    <x v="0"/>
    <x v="5"/>
    <x v="0"/>
  </r>
  <r>
    <x v="0"/>
    <x v="0"/>
    <n v="2239093052"/>
    <x v="4"/>
    <n v="5000"/>
    <x v="0"/>
    <x v="0"/>
    <x v="30"/>
    <x v="4"/>
    <x v="0"/>
    <x v="0"/>
    <x v="4"/>
    <x v="0"/>
  </r>
  <r>
    <x v="0"/>
    <x v="0"/>
    <n v="2239093053"/>
    <x v="5"/>
    <n v="-4750"/>
    <x v="0"/>
    <x v="0"/>
    <x v="30"/>
    <x v="5"/>
    <x v="0"/>
    <x v="0"/>
    <x v="5"/>
    <x v="0"/>
  </r>
  <r>
    <x v="0"/>
    <x v="0"/>
    <n v="2239093053"/>
    <x v="6"/>
    <n v="10000"/>
    <x v="0"/>
    <x v="0"/>
    <x v="30"/>
    <x v="6"/>
    <x v="0"/>
    <x v="0"/>
    <x v="5"/>
    <x v="0"/>
  </r>
  <r>
    <x v="0"/>
    <x v="0"/>
    <n v="2239093054"/>
    <x v="7"/>
    <n v="1500"/>
    <x v="0"/>
    <x v="0"/>
    <x v="30"/>
    <x v="7"/>
    <x v="0"/>
    <x v="0"/>
    <x v="1"/>
    <x v="0"/>
  </r>
  <r>
    <x v="0"/>
    <x v="0"/>
    <n v="2239093056"/>
    <x v="5"/>
    <n v="-3460"/>
    <x v="0"/>
    <x v="0"/>
    <x v="30"/>
    <x v="5"/>
    <x v="0"/>
    <x v="0"/>
    <x v="5"/>
    <x v="0"/>
  </r>
  <r>
    <x v="0"/>
    <x v="0"/>
    <n v="2239093056"/>
    <x v="6"/>
    <n v="10000"/>
    <x v="0"/>
    <x v="0"/>
    <x v="30"/>
    <x v="6"/>
    <x v="0"/>
    <x v="0"/>
    <x v="5"/>
    <x v="0"/>
  </r>
  <r>
    <x v="0"/>
    <x v="0"/>
    <n v="2239093056"/>
    <x v="7"/>
    <n v="4360"/>
    <x v="0"/>
    <x v="0"/>
    <x v="30"/>
    <x v="7"/>
    <x v="0"/>
    <x v="0"/>
    <x v="1"/>
    <x v="0"/>
  </r>
  <r>
    <x v="0"/>
    <x v="0"/>
    <n v="2239093058"/>
    <x v="5"/>
    <n v="-5000"/>
    <x v="0"/>
    <x v="0"/>
    <x v="30"/>
    <x v="5"/>
    <x v="0"/>
    <x v="0"/>
    <x v="5"/>
    <x v="0"/>
  </r>
  <r>
    <x v="0"/>
    <x v="0"/>
    <n v="2239093058"/>
    <x v="6"/>
    <n v="10000"/>
    <x v="0"/>
    <x v="0"/>
    <x v="30"/>
    <x v="6"/>
    <x v="0"/>
    <x v="0"/>
    <x v="5"/>
    <x v="0"/>
  </r>
  <r>
    <x v="0"/>
    <x v="0"/>
    <n v="2239093059"/>
    <x v="5"/>
    <n v="-3700"/>
    <x v="0"/>
    <x v="0"/>
    <x v="30"/>
    <x v="5"/>
    <x v="0"/>
    <x v="0"/>
    <x v="5"/>
    <x v="0"/>
  </r>
  <r>
    <x v="0"/>
    <x v="0"/>
    <n v="2239093059"/>
    <x v="6"/>
    <n v="10000"/>
    <x v="0"/>
    <x v="0"/>
    <x v="30"/>
    <x v="6"/>
    <x v="0"/>
    <x v="0"/>
    <x v="5"/>
    <x v="0"/>
  </r>
  <r>
    <x v="0"/>
    <x v="0"/>
    <n v="2239093060"/>
    <x v="7"/>
    <n v="1500"/>
    <x v="0"/>
    <x v="0"/>
    <x v="30"/>
    <x v="7"/>
    <x v="0"/>
    <x v="0"/>
    <x v="1"/>
    <x v="0"/>
  </r>
  <r>
    <x v="0"/>
    <x v="0"/>
    <n v="2239093061"/>
    <x v="7"/>
    <n v="1500"/>
    <x v="0"/>
    <x v="0"/>
    <x v="30"/>
    <x v="7"/>
    <x v="0"/>
    <x v="0"/>
    <x v="1"/>
    <x v="0"/>
  </r>
  <r>
    <x v="0"/>
    <x v="0"/>
    <n v="2239093062"/>
    <x v="7"/>
    <n v="1500"/>
    <x v="0"/>
    <x v="0"/>
    <x v="30"/>
    <x v="7"/>
    <x v="0"/>
    <x v="0"/>
    <x v="1"/>
    <x v="0"/>
  </r>
  <r>
    <x v="0"/>
    <x v="0"/>
    <n v="2239093063"/>
    <x v="7"/>
    <n v="3500"/>
    <x v="0"/>
    <x v="0"/>
    <x v="30"/>
    <x v="7"/>
    <x v="0"/>
    <x v="0"/>
    <x v="1"/>
    <x v="0"/>
  </r>
  <r>
    <x v="0"/>
    <x v="0"/>
    <n v="2239095162"/>
    <x v="0"/>
    <n v="45080"/>
    <x v="0"/>
    <x v="0"/>
    <x v="31"/>
    <x v="0"/>
    <x v="0"/>
    <x v="0"/>
    <x v="0"/>
    <x v="0"/>
  </r>
  <r>
    <x v="0"/>
    <x v="0"/>
    <n v="2239095163"/>
    <x v="1"/>
    <n v="12750"/>
    <x v="0"/>
    <x v="0"/>
    <x v="31"/>
    <x v="1"/>
    <x v="0"/>
    <x v="0"/>
    <x v="1"/>
    <x v="0"/>
  </r>
  <r>
    <x v="0"/>
    <x v="0"/>
    <n v="2239095167"/>
    <x v="0"/>
    <n v="3900"/>
    <x v="0"/>
    <x v="0"/>
    <x v="31"/>
    <x v="0"/>
    <x v="0"/>
    <x v="0"/>
    <x v="0"/>
    <x v="0"/>
  </r>
  <r>
    <x v="0"/>
    <x v="0"/>
    <n v="2239095168"/>
    <x v="1"/>
    <n v="57300"/>
    <x v="0"/>
    <x v="0"/>
    <x v="31"/>
    <x v="1"/>
    <x v="0"/>
    <x v="0"/>
    <x v="1"/>
    <x v="0"/>
  </r>
  <r>
    <x v="0"/>
    <x v="0"/>
    <n v="2239095169"/>
    <x v="0"/>
    <n v="29100"/>
    <x v="0"/>
    <x v="0"/>
    <x v="31"/>
    <x v="0"/>
    <x v="0"/>
    <x v="0"/>
    <x v="0"/>
    <x v="0"/>
  </r>
  <r>
    <x v="0"/>
    <x v="0"/>
    <n v="2239095170"/>
    <x v="0"/>
    <n v="6750"/>
    <x v="0"/>
    <x v="0"/>
    <x v="31"/>
    <x v="0"/>
    <x v="0"/>
    <x v="0"/>
    <x v="0"/>
    <x v="0"/>
  </r>
  <r>
    <x v="0"/>
    <x v="0"/>
    <n v="2239095171"/>
    <x v="0"/>
    <n v="2250"/>
    <x v="0"/>
    <x v="0"/>
    <x v="31"/>
    <x v="0"/>
    <x v="0"/>
    <x v="0"/>
    <x v="0"/>
    <x v="0"/>
  </r>
  <r>
    <x v="0"/>
    <x v="0"/>
    <n v="2239095172"/>
    <x v="0"/>
    <n v="11750"/>
    <x v="0"/>
    <x v="0"/>
    <x v="31"/>
    <x v="0"/>
    <x v="0"/>
    <x v="0"/>
    <x v="0"/>
    <x v="0"/>
  </r>
  <r>
    <x v="0"/>
    <x v="0"/>
    <n v="2239095173"/>
    <x v="0"/>
    <n v="18540"/>
    <x v="0"/>
    <x v="0"/>
    <x v="31"/>
    <x v="0"/>
    <x v="0"/>
    <x v="0"/>
    <x v="0"/>
    <x v="0"/>
  </r>
  <r>
    <x v="0"/>
    <x v="0"/>
    <n v="2239095174"/>
    <x v="0"/>
    <n v="2250"/>
    <x v="0"/>
    <x v="0"/>
    <x v="31"/>
    <x v="0"/>
    <x v="0"/>
    <x v="0"/>
    <x v="0"/>
    <x v="0"/>
  </r>
  <r>
    <x v="0"/>
    <x v="0"/>
    <n v="2239095175"/>
    <x v="0"/>
    <n v="3300"/>
    <x v="0"/>
    <x v="0"/>
    <x v="31"/>
    <x v="0"/>
    <x v="0"/>
    <x v="0"/>
    <x v="0"/>
    <x v="0"/>
  </r>
  <r>
    <x v="0"/>
    <x v="0"/>
    <n v="2239095176"/>
    <x v="0"/>
    <n v="34500"/>
    <x v="0"/>
    <x v="0"/>
    <x v="31"/>
    <x v="0"/>
    <x v="0"/>
    <x v="0"/>
    <x v="0"/>
    <x v="0"/>
  </r>
  <r>
    <x v="0"/>
    <x v="0"/>
    <n v="2239095177"/>
    <x v="0"/>
    <n v="1500"/>
    <x v="0"/>
    <x v="0"/>
    <x v="31"/>
    <x v="0"/>
    <x v="0"/>
    <x v="0"/>
    <x v="0"/>
    <x v="0"/>
  </r>
  <r>
    <x v="0"/>
    <x v="0"/>
    <n v="2239095178"/>
    <x v="0"/>
    <n v="1500"/>
    <x v="0"/>
    <x v="0"/>
    <x v="31"/>
    <x v="0"/>
    <x v="0"/>
    <x v="0"/>
    <x v="0"/>
    <x v="0"/>
  </r>
  <r>
    <x v="0"/>
    <x v="0"/>
    <n v="2239095179"/>
    <x v="0"/>
    <n v="1800"/>
    <x v="0"/>
    <x v="0"/>
    <x v="31"/>
    <x v="0"/>
    <x v="0"/>
    <x v="0"/>
    <x v="0"/>
    <x v="0"/>
  </r>
  <r>
    <x v="0"/>
    <x v="0"/>
    <n v="2239095180"/>
    <x v="0"/>
    <n v="2250"/>
    <x v="0"/>
    <x v="0"/>
    <x v="31"/>
    <x v="0"/>
    <x v="0"/>
    <x v="0"/>
    <x v="0"/>
    <x v="0"/>
  </r>
  <r>
    <x v="0"/>
    <x v="0"/>
    <n v="2239095181"/>
    <x v="0"/>
    <n v="2250"/>
    <x v="0"/>
    <x v="0"/>
    <x v="31"/>
    <x v="0"/>
    <x v="0"/>
    <x v="0"/>
    <x v="0"/>
    <x v="0"/>
  </r>
  <r>
    <x v="0"/>
    <x v="0"/>
    <n v="2239095182"/>
    <x v="0"/>
    <n v="5700"/>
    <x v="0"/>
    <x v="0"/>
    <x v="31"/>
    <x v="0"/>
    <x v="0"/>
    <x v="0"/>
    <x v="0"/>
    <x v="0"/>
  </r>
  <r>
    <x v="0"/>
    <x v="0"/>
    <n v="2239095183"/>
    <x v="0"/>
    <n v="7020"/>
    <x v="0"/>
    <x v="0"/>
    <x v="31"/>
    <x v="0"/>
    <x v="0"/>
    <x v="0"/>
    <x v="0"/>
    <x v="0"/>
  </r>
  <r>
    <x v="0"/>
    <x v="0"/>
    <n v="2239095184"/>
    <x v="0"/>
    <n v="6570"/>
    <x v="0"/>
    <x v="0"/>
    <x v="31"/>
    <x v="0"/>
    <x v="0"/>
    <x v="0"/>
    <x v="0"/>
    <x v="0"/>
  </r>
  <r>
    <x v="0"/>
    <x v="0"/>
    <n v="2239095185"/>
    <x v="0"/>
    <n v="2400"/>
    <x v="0"/>
    <x v="0"/>
    <x v="31"/>
    <x v="0"/>
    <x v="0"/>
    <x v="0"/>
    <x v="0"/>
    <x v="0"/>
  </r>
  <r>
    <x v="0"/>
    <x v="0"/>
    <n v="2239095186"/>
    <x v="0"/>
    <n v="1350"/>
    <x v="0"/>
    <x v="0"/>
    <x v="31"/>
    <x v="0"/>
    <x v="0"/>
    <x v="0"/>
    <x v="0"/>
    <x v="0"/>
  </r>
  <r>
    <x v="0"/>
    <x v="0"/>
    <n v="2239095187"/>
    <x v="0"/>
    <n v="5100"/>
    <x v="0"/>
    <x v="0"/>
    <x v="31"/>
    <x v="0"/>
    <x v="0"/>
    <x v="0"/>
    <x v="0"/>
    <x v="0"/>
  </r>
  <r>
    <x v="0"/>
    <x v="0"/>
    <n v="2239095188"/>
    <x v="0"/>
    <n v="4500"/>
    <x v="0"/>
    <x v="0"/>
    <x v="31"/>
    <x v="0"/>
    <x v="0"/>
    <x v="0"/>
    <x v="0"/>
    <x v="0"/>
  </r>
  <r>
    <x v="0"/>
    <x v="0"/>
    <n v="2239095190"/>
    <x v="0"/>
    <n v="1800"/>
    <x v="0"/>
    <x v="0"/>
    <x v="31"/>
    <x v="0"/>
    <x v="0"/>
    <x v="0"/>
    <x v="0"/>
    <x v="0"/>
  </r>
  <r>
    <x v="0"/>
    <x v="0"/>
    <n v="2239095192"/>
    <x v="0"/>
    <n v="1500"/>
    <x v="0"/>
    <x v="0"/>
    <x v="31"/>
    <x v="0"/>
    <x v="0"/>
    <x v="0"/>
    <x v="0"/>
    <x v="0"/>
  </r>
  <r>
    <x v="0"/>
    <x v="0"/>
    <n v="2239095193"/>
    <x v="0"/>
    <n v="1800"/>
    <x v="0"/>
    <x v="0"/>
    <x v="31"/>
    <x v="0"/>
    <x v="0"/>
    <x v="0"/>
    <x v="0"/>
    <x v="0"/>
  </r>
  <r>
    <x v="0"/>
    <x v="0"/>
    <n v="2239095195"/>
    <x v="0"/>
    <n v="900"/>
    <x v="0"/>
    <x v="0"/>
    <x v="31"/>
    <x v="0"/>
    <x v="0"/>
    <x v="0"/>
    <x v="0"/>
    <x v="0"/>
  </r>
  <r>
    <x v="0"/>
    <x v="0"/>
    <n v="2239095197"/>
    <x v="0"/>
    <n v="3900"/>
    <x v="0"/>
    <x v="0"/>
    <x v="31"/>
    <x v="0"/>
    <x v="0"/>
    <x v="0"/>
    <x v="0"/>
    <x v="0"/>
  </r>
  <r>
    <x v="0"/>
    <x v="0"/>
    <n v="2239095198"/>
    <x v="1"/>
    <n v="4050"/>
    <x v="0"/>
    <x v="0"/>
    <x v="31"/>
    <x v="1"/>
    <x v="0"/>
    <x v="0"/>
    <x v="1"/>
    <x v="0"/>
  </r>
  <r>
    <x v="0"/>
    <x v="0"/>
    <n v="2239095199"/>
    <x v="1"/>
    <n v="1470"/>
    <x v="0"/>
    <x v="0"/>
    <x v="31"/>
    <x v="1"/>
    <x v="0"/>
    <x v="0"/>
    <x v="1"/>
    <x v="0"/>
  </r>
  <r>
    <x v="0"/>
    <x v="0"/>
    <n v="2239095200"/>
    <x v="1"/>
    <n v="2700"/>
    <x v="0"/>
    <x v="0"/>
    <x v="31"/>
    <x v="1"/>
    <x v="0"/>
    <x v="0"/>
    <x v="1"/>
    <x v="0"/>
  </r>
  <r>
    <x v="0"/>
    <x v="0"/>
    <n v="2239095201"/>
    <x v="1"/>
    <n v="2850"/>
    <x v="0"/>
    <x v="0"/>
    <x v="31"/>
    <x v="1"/>
    <x v="0"/>
    <x v="0"/>
    <x v="1"/>
    <x v="0"/>
  </r>
  <r>
    <x v="0"/>
    <x v="0"/>
    <n v="2239095202"/>
    <x v="1"/>
    <n v="22400"/>
    <x v="0"/>
    <x v="0"/>
    <x v="31"/>
    <x v="1"/>
    <x v="0"/>
    <x v="0"/>
    <x v="1"/>
    <x v="0"/>
  </r>
  <r>
    <x v="0"/>
    <x v="0"/>
    <n v="2239095203"/>
    <x v="2"/>
    <n v="14168"/>
    <x v="0"/>
    <x v="0"/>
    <x v="31"/>
    <x v="2"/>
    <x v="0"/>
    <x v="0"/>
    <x v="2"/>
    <x v="0"/>
  </r>
  <r>
    <x v="0"/>
    <x v="0"/>
    <n v="2239095204"/>
    <x v="0"/>
    <n v="1800"/>
    <x v="0"/>
    <x v="0"/>
    <x v="31"/>
    <x v="0"/>
    <x v="0"/>
    <x v="0"/>
    <x v="0"/>
    <x v="0"/>
  </r>
  <r>
    <x v="0"/>
    <x v="0"/>
    <n v="2239095205"/>
    <x v="2"/>
    <n v="14168"/>
    <x v="0"/>
    <x v="0"/>
    <x v="31"/>
    <x v="2"/>
    <x v="0"/>
    <x v="0"/>
    <x v="2"/>
    <x v="0"/>
  </r>
  <r>
    <x v="0"/>
    <x v="0"/>
    <n v="2239095206"/>
    <x v="3"/>
    <n v="6440"/>
    <x v="0"/>
    <x v="0"/>
    <x v="31"/>
    <x v="3"/>
    <x v="0"/>
    <x v="0"/>
    <x v="3"/>
    <x v="0"/>
  </r>
  <r>
    <x v="0"/>
    <x v="0"/>
    <n v="2239095207"/>
    <x v="2"/>
    <n v="14168"/>
    <x v="0"/>
    <x v="0"/>
    <x v="31"/>
    <x v="2"/>
    <x v="0"/>
    <x v="0"/>
    <x v="2"/>
    <x v="0"/>
  </r>
  <r>
    <x v="0"/>
    <x v="0"/>
    <n v="2239095209"/>
    <x v="1"/>
    <n v="2940"/>
    <x v="0"/>
    <x v="0"/>
    <x v="31"/>
    <x v="1"/>
    <x v="0"/>
    <x v="0"/>
    <x v="1"/>
    <x v="0"/>
  </r>
  <r>
    <x v="0"/>
    <x v="0"/>
    <n v="2239095210"/>
    <x v="2"/>
    <n v="2100"/>
    <x v="0"/>
    <x v="0"/>
    <x v="31"/>
    <x v="2"/>
    <x v="0"/>
    <x v="0"/>
    <x v="2"/>
    <x v="0"/>
  </r>
  <r>
    <x v="0"/>
    <x v="0"/>
    <n v="2239095210"/>
    <x v="7"/>
    <n v="900"/>
    <x v="0"/>
    <x v="0"/>
    <x v="31"/>
    <x v="7"/>
    <x v="0"/>
    <x v="0"/>
    <x v="1"/>
    <x v="0"/>
  </r>
  <r>
    <x v="0"/>
    <x v="0"/>
    <n v="2239095211"/>
    <x v="1"/>
    <n v="900"/>
    <x v="0"/>
    <x v="0"/>
    <x v="31"/>
    <x v="1"/>
    <x v="0"/>
    <x v="0"/>
    <x v="1"/>
    <x v="0"/>
  </r>
  <r>
    <x v="0"/>
    <x v="0"/>
    <n v="2239095215"/>
    <x v="6"/>
    <n v="5000"/>
    <x v="0"/>
    <x v="0"/>
    <x v="31"/>
    <x v="6"/>
    <x v="0"/>
    <x v="0"/>
    <x v="5"/>
    <x v="0"/>
  </r>
  <r>
    <x v="0"/>
    <x v="0"/>
    <n v="2239095216"/>
    <x v="6"/>
    <n v="3250"/>
    <x v="0"/>
    <x v="0"/>
    <x v="31"/>
    <x v="6"/>
    <x v="0"/>
    <x v="0"/>
    <x v="5"/>
    <x v="0"/>
  </r>
  <r>
    <x v="0"/>
    <x v="0"/>
    <n v="2239095217"/>
    <x v="6"/>
    <n v="17400"/>
    <x v="0"/>
    <x v="0"/>
    <x v="31"/>
    <x v="6"/>
    <x v="0"/>
    <x v="0"/>
    <x v="5"/>
    <x v="0"/>
  </r>
  <r>
    <x v="0"/>
    <x v="0"/>
    <n v="2239095218"/>
    <x v="1"/>
    <n v="900"/>
    <x v="0"/>
    <x v="0"/>
    <x v="31"/>
    <x v="1"/>
    <x v="0"/>
    <x v="0"/>
    <x v="1"/>
    <x v="0"/>
  </r>
  <r>
    <x v="0"/>
    <x v="0"/>
    <n v="2239095219"/>
    <x v="2"/>
    <n v="107700"/>
    <x v="0"/>
    <x v="0"/>
    <x v="31"/>
    <x v="2"/>
    <x v="0"/>
    <x v="0"/>
    <x v="2"/>
    <x v="0"/>
  </r>
  <r>
    <x v="0"/>
    <x v="0"/>
    <n v="2239095220"/>
    <x v="2"/>
    <n v="3750"/>
    <x v="0"/>
    <x v="0"/>
    <x v="31"/>
    <x v="2"/>
    <x v="0"/>
    <x v="0"/>
    <x v="2"/>
    <x v="0"/>
  </r>
  <r>
    <x v="0"/>
    <x v="0"/>
    <n v="2239095221"/>
    <x v="2"/>
    <n v="4250"/>
    <x v="0"/>
    <x v="0"/>
    <x v="31"/>
    <x v="2"/>
    <x v="0"/>
    <x v="0"/>
    <x v="2"/>
    <x v="0"/>
  </r>
  <r>
    <x v="0"/>
    <x v="0"/>
    <n v="2239095221"/>
    <x v="7"/>
    <n v="4250"/>
    <x v="0"/>
    <x v="0"/>
    <x v="31"/>
    <x v="7"/>
    <x v="0"/>
    <x v="0"/>
    <x v="1"/>
    <x v="0"/>
  </r>
  <r>
    <x v="0"/>
    <x v="0"/>
    <n v="2239095223"/>
    <x v="5"/>
    <n v="-4750"/>
    <x v="0"/>
    <x v="0"/>
    <x v="31"/>
    <x v="5"/>
    <x v="0"/>
    <x v="0"/>
    <x v="5"/>
    <x v="0"/>
  </r>
  <r>
    <x v="0"/>
    <x v="0"/>
    <n v="2239095223"/>
    <x v="6"/>
    <n v="30000"/>
    <x v="0"/>
    <x v="0"/>
    <x v="31"/>
    <x v="6"/>
    <x v="0"/>
    <x v="0"/>
    <x v="5"/>
    <x v="0"/>
  </r>
  <r>
    <x v="0"/>
    <x v="0"/>
    <n v="2239095224"/>
    <x v="6"/>
    <n v="2000"/>
    <x v="0"/>
    <x v="0"/>
    <x v="31"/>
    <x v="6"/>
    <x v="0"/>
    <x v="0"/>
    <x v="5"/>
    <x v="0"/>
  </r>
  <r>
    <x v="0"/>
    <x v="0"/>
    <n v="2239095225"/>
    <x v="7"/>
    <n v="7500"/>
    <x v="0"/>
    <x v="0"/>
    <x v="31"/>
    <x v="7"/>
    <x v="0"/>
    <x v="0"/>
    <x v="1"/>
    <x v="0"/>
  </r>
  <r>
    <x v="0"/>
    <x v="0"/>
    <n v="2239095226"/>
    <x v="2"/>
    <n v="4125"/>
    <x v="0"/>
    <x v="0"/>
    <x v="31"/>
    <x v="2"/>
    <x v="0"/>
    <x v="0"/>
    <x v="2"/>
    <x v="0"/>
  </r>
  <r>
    <x v="0"/>
    <x v="0"/>
    <n v="2239095227"/>
    <x v="7"/>
    <n v="1500"/>
    <x v="0"/>
    <x v="0"/>
    <x v="31"/>
    <x v="7"/>
    <x v="0"/>
    <x v="0"/>
    <x v="1"/>
    <x v="0"/>
  </r>
  <r>
    <x v="0"/>
    <x v="0"/>
    <n v="2239095228"/>
    <x v="1"/>
    <n v="1140"/>
    <x v="0"/>
    <x v="0"/>
    <x v="31"/>
    <x v="1"/>
    <x v="0"/>
    <x v="0"/>
    <x v="1"/>
    <x v="0"/>
  </r>
  <r>
    <x v="0"/>
    <x v="0"/>
    <n v="2239095229"/>
    <x v="1"/>
    <n v="1140"/>
    <x v="0"/>
    <x v="0"/>
    <x v="31"/>
    <x v="1"/>
    <x v="0"/>
    <x v="0"/>
    <x v="1"/>
    <x v="0"/>
  </r>
  <r>
    <x v="0"/>
    <x v="0"/>
    <n v="2239095230"/>
    <x v="6"/>
    <n v="4000"/>
    <x v="0"/>
    <x v="0"/>
    <x v="31"/>
    <x v="6"/>
    <x v="0"/>
    <x v="0"/>
    <x v="5"/>
    <x v="0"/>
  </r>
  <r>
    <x v="0"/>
    <x v="0"/>
    <n v="2239095232"/>
    <x v="3"/>
    <n v="4675"/>
    <x v="0"/>
    <x v="0"/>
    <x v="31"/>
    <x v="3"/>
    <x v="0"/>
    <x v="0"/>
    <x v="3"/>
    <x v="0"/>
  </r>
  <r>
    <x v="0"/>
    <x v="0"/>
    <n v="2239095233"/>
    <x v="6"/>
    <n v="3750"/>
    <x v="0"/>
    <x v="0"/>
    <x v="31"/>
    <x v="6"/>
    <x v="0"/>
    <x v="0"/>
    <x v="5"/>
    <x v="0"/>
  </r>
  <r>
    <x v="0"/>
    <x v="0"/>
    <n v="2239095234"/>
    <x v="5"/>
    <n v="-7050"/>
    <x v="0"/>
    <x v="0"/>
    <x v="31"/>
    <x v="5"/>
    <x v="0"/>
    <x v="0"/>
    <x v="5"/>
    <x v="0"/>
  </r>
  <r>
    <x v="0"/>
    <x v="0"/>
    <n v="2239095234"/>
    <x v="6"/>
    <n v="20000"/>
    <x v="0"/>
    <x v="0"/>
    <x v="31"/>
    <x v="6"/>
    <x v="0"/>
    <x v="0"/>
    <x v="5"/>
    <x v="0"/>
  </r>
  <r>
    <x v="0"/>
    <x v="0"/>
    <n v="2239095235"/>
    <x v="2"/>
    <n v="36135"/>
    <x v="0"/>
    <x v="0"/>
    <x v="31"/>
    <x v="2"/>
    <x v="0"/>
    <x v="0"/>
    <x v="2"/>
    <x v="0"/>
  </r>
  <r>
    <x v="0"/>
    <x v="0"/>
    <n v="2239095236"/>
    <x v="6"/>
    <n v="3000"/>
    <x v="0"/>
    <x v="0"/>
    <x v="31"/>
    <x v="6"/>
    <x v="0"/>
    <x v="0"/>
    <x v="5"/>
    <x v="0"/>
  </r>
  <r>
    <x v="0"/>
    <x v="0"/>
    <n v="2239095237"/>
    <x v="2"/>
    <n v="26290"/>
    <x v="0"/>
    <x v="0"/>
    <x v="31"/>
    <x v="2"/>
    <x v="0"/>
    <x v="0"/>
    <x v="2"/>
    <x v="0"/>
  </r>
  <r>
    <x v="0"/>
    <x v="0"/>
    <n v="2239095237"/>
    <x v="7"/>
    <n v="23900"/>
    <x v="0"/>
    <x v="0"/>
    <x v="31"/>
    <x v="7"/>
    <x v="0"/>
    <x v="0"/>
    <x v="1"/>
    <x v="0"/>
  </r>
  <r>
    <x v="0"/>
    <x v="0"/>
    <n v="2239095238"/>
    <x v="5"/>
    <n v="-50"/>
    <x v="0"/>
    <x v="0"/>
    <x v="31"/>
    <x v="5"/>
    <x v="0"/>
    <x v="0"/>
    <x v="5"/>
    <x v="0"/>
  </r>
  <r>
    <x v="0"/>
    <x v="0"/>
    <n v="2239095238"/>
    <x v="6"/>
    <n v="5500"/>
    <x v="0"/>
    <x v="0"/>
    <x v="31"/>
    <x v="6"/>
    <x v="0"/>
    <x v="0"/>
    <x v="5"/>
    <x v="0"/>
  </r>
  <r>
    <x v="0"/>
    <x v="0"/>
    <n v="2239095239"/>
    <x v="7"/>
    <n v="1500"/>
    <x v="0"/>
    <x v="0"/>
    <x v="31"/>
    <x v="7"/>
    <x v="0"/>
    <x v="0"/>
    <x v="1"/>
    <x v="0"/>
  </r>
  <r>
    <x v="0"/>
    <x v="0"/>
    <n v="2239095240"/>
    <x v="7"/>
    <n v="1500"/>
    <x v="0"/>
    <x v="0"/>
    <x v="31"/>
    <x v="7"/>
    <x v="0"/>
    <x v="0"/>
    <x v="1"/>
    <x v="0"/>
  </r>
  <r>
    <x v="0"/>
    <x v="0"/>
    <n v="2239095241"/>
    <x v="7"/>
    <n v="7500"/>
    <x v="0"/>
    <x v="0"/>
    <x v="31"/>
    <x v="7"/>
    <x v="0"/>
    <x v="0"/>
    <x v="1"/>
    <x v="0"/>
  </r>
  <r>
    <x v="0"/>
    <x v="0"/>
    <n v="2239095243"/>
    <x v="2"/>
    <n v="3250"/>
    <x v="0"/>
    <x v="0"/>
    <x v="31"/>
    <x v="2"/>
    <x v="0"/>
    <x v="0"/>
    <x v="2"/>
    <x v="0"/>
  </r>
  <r>
    <x v="0"/>
    <x v="0"/>
    <n v="2239095244"/>
    <x v="5"/>
    <n v="-1500"/>
    <x v="0"/>
    <x v="0"/>
    <x v="31"/>
    <x v="5"/>
    <x v="0"/>
    <x v="0"/>
    <x v="5"/>
    <x v="0"/>
  </r>
  <r>
    <x v="0"/>
    <x v="0"/>
    <n v="2239095244"/>
    <x v="6"/>
    <n v="10000"/>
    <x v="0"/>
    <x v="0"/>
    <x v="31"/>
    <x v="6"/>
    <x v="0"/>
    <x v="0"/>
    <x v="5"/>
    <x v="0"/>
  </r>
  <r>
    <x v="0"/>
    <x v="0"/>
    <n v="2239095244"/>
    <x v="7"/>
    <n v="8500"/>
    <x v="0"/>
    <x v="0"/>
    <x v="31"/>
    <x v="7"/>
    <x v="0"/>
    <x v="0"/>
    <x v="1"/>
    <x v="0"/>
  </r>
  <r>
    <x v="0"/>
    <x v="0"/>
    <n v="2239095245"/>
    <x v="4"/>
    <n v="45700"/>
    <x v="0"/>
    <x v="0"/>
    <x v="31"/>
    <x v="4"/>
    <x v="0"/>
    <x v="0"/>
    <x v="4"/>
    <x v="0"/>
  </r>
  <r>
    <x v="0"/>
    <x v="0"/>
    <n v="2239095246"/>
    <x v="3"/>
    <n v="18920"/>
    <x v="0"/>
    <x v="0"/>
    <x v="31"/>
    <x v="3"/>
    <x v="0"/>
    <x v="0"/>
    <x v="3"/>
    <x v="0"/>
  </r>
  <r>
    <x v="0"/>
    <x v="0"/>
    <n v="2239095248"/>
    <x v="7"/>
    <n v="1500"/>
    <x v="0"/>
    <x v="0"/>
    <x v="31"/>
    <x v="7"/>
    <x v="0"/>
    <x v="0"/>
    <x v="1"/>
    <x v="0"/>
  </r>
  <r>
    <x v="0"/>
    <x v="0"/>
    <n v="2239095249"/>
    <x v="5"/>
    <n v="-1750"/>
    <x v="0"/>
    <x v="0"/>
    <x v="31"/>
    <x v="5"/>
    <x v="0"/>
    <x v="0"/>
    <x v="5"/>
    <x v="0"/>
  </r>
  <r>
    <x v="0"/>
    <x v="0"/>
    <n v="2239095249"/>
    <x v="6"/>
    <n v="5000"/>
    <x v="0"/>
    <x v="0"/>
    <x v="31"/>
    <x v="6"/>
    <x v="0"/>
    <x v="0"/>
    <x v="5"/>
    <x v="0"/>
  </r>
  <r>
    <x v="0"/>
    <x v="0"/>
    <n v="2239095250"/>
    <x v="5"/>
    <n v="-8500"/>
    <x v="0"/>
    <x v="0"/>
    <x v="31"/>
    <x v="5"/>
    <x v="0"/>
    <x v="0"/>
    <x v="5"/>
    <x v="0"/>
  </r>
  <r>
    <x v="0"/>
    <x v="0"/>
    <n v="2239095250"/>
    <x v="6"/>
    <n v="20000"/>
    <x v="0"/>
    <x v="0"/>
    <x v="31"/>
    <x v="6"/>
    <x v="0"/>
    <x v="0"/>
    <x v="5"/>
    <x v="0"/>
  </r>
  <r>
    <x v="0"/>
    <x v="0"/>
    <n v="2239095251"/>
    <x v="2"/>
    <n v="40870"/>
    <x v="0"/>
    <x v="0"/>
    <x v="31"/>
    <x v="2"/>
    <x v="0"/>
    <x v="0"/>
    <x v="2"/>
    <x v="0"/>
  </r>
  <r>
    <x v="0"/>
    <x v="0"/>
    <n v="2239095252"/>
    <x v="1"/>
    <n v="4050"/>
    <x v="0"/>
    <x v="0"/>
    <x v="31"/>
    <x v="1"/>
    <x v="0"/>
    <x v="0"/>
    <x v="1"/>
    <x v="0"/>
  </r>
  <r>
    <x v="0"/>
    <x v="0"/>
    <n v="2239095253"/>
    <x v="2"/>
    <n v="26950"/>
    <x v="0"/>
    <x v="0"/>
    <x v="31"/>
    <x v="2"/>
    <x v="0"/>
    <x v="0"/>
    <x v="2"/>
    <x v="0"/>
  </r>
  <r>
    <x v="0"/>
    <x v="0"/>
    <n v="2239095253"/>
    <x v="7"/>
    <n v="8000"/>
    <x v="0"/>
    <x v="0"/>
    <x v="31"/>
    <x v="7"/>
    <x v="0"/>
    <x v="0"/>
    <x v="1"/>
    <x v="0"/>
  </r>
  <r>
    <x v="0"/>
    <x v="0"/>
    <n v="2239095254"/>
    <x v="2"/>
    <n v="11550"/>
    <x v="0"/>
    <x v="0"/>
    <x v="31"/>
    <x v="2"/>
    <x v="0"/>
    <x v="0"/>
    <x v="2"/>
    <x v="0"/>
  </r>
  <r>
    <x v="0"/>
    <x v="0"/>
    <n v="2239095255"/>
    <x v="5"/>
    <n v="-5050"/>
    <x v="0"/>
    <x v="0"/>
    <x v="31"/>
    <x v="5"/>
    <x v="0"/>
    <x v="0"/>
    <x v="5"/>
    <x v="0"/>
  </r>
  <r>
    <x v="0"/>
    <x v="0"/>
    <n v="2239095255"/>
    <x v="6"/>
    <n v="20000"/>
    <x v="0"/>
    <x v="0"/>
    <x v="31"/>
    <x v="6"/>
    <x v="0"/>
    <x v="0"/>
    <x v="5"/>
    <x v="0"/>
  </r>
  <r>
    <x v="0"/>
    <x v="0"/>
    <n v="2239095256"/>
    <x v="2"/>
    <n v="14245"/>
    <x v="0"/>
    <x v="0"/>
    <x v="31"/>
    <x v="2"/>
    <x v="0"/>
    <x v="0"/>
    <x v="2"/>
    <x v="0"/>
  </r>
  <r>
    <x v="0"/>
    <x v="0"/>
    <n v="2239095257"/>
    <x v="2"/>
    <n v="3250"/>
    <x v="0"/>
    <x v="0"/>
    <x v="31"/>
    <x v="2"/>
    <x v="0"/>
    <x v="0"/>
    <x v="2"/>
    <x v="0"/>
  </r>
  <r>
    <x v="0"/>
    <x v="0"/>
    <n v="2239095258"/>
    <x v="2"/>
    <n v="3250"/>
    <x v="0"/>
    <x v="0"/>
    <x v="31"/>
    <x v="2"/>
    <x v="0"/>
    <x v="0"/>
    <x v="2"/>
    <x v="0"/>
  </r>
  <r>
    <x v="0"/>
    <x v="0"/>
    <n v="2239095260"/>
    <x v="7"/>
    <n v="1500"/>
    <x v="0"/>
    <x v="0"/>
    <x v="31"/>
    <x v="7"/>
    <x v="0"/>
    <x v="0"/>
    <x v="1"/>
    <x v="0"/>
  </r>
  <r>
    <x v="0"/>
    <x v="0"/>
    <n v="2239095261"/>
    <x v="5"/>
    <n v="-2650"/>
    <x v="0"/>
    <x v="0"/>
    <x v="31"/>
    <x v="5"/>
    <x v="0"/>
    <x v="0"/>
    <x v="5"/>
    <x v="0"/>
  </r>
  <r>
    <x v="0"/>
    <x v="0"/>
    <n v="2239095261"/>
    <x v="6"/>
    <n v="20000"/>
    <x v="0"/>
    <x v="0"/>
    <x v="31"/>
    <x v="6"/>
    <x v="0"/>
    <x v="0"/>
    <x v="5"/>
    <x v="0"/>
  </r>
  <r>
    <x v="0"/>
    <x v="0"/>
    <n v="2239095262"/>
    <x v="2"/>
    <n v="7500"/>
    <x v="0"/>
    <x v="0"/>
    <x v="31"/>
    <x v="2"/>
    <x v="0"/>
    <x v="0"/>
    <x v="2"/>
    <x v="0"/>
  </r>
  <r>
    <x v="0"/>
    <x v="0"/>
    <n v="2239095263"/>
    <x v="5"/>
    <n v="-50"/>
    <x v="0"/>
    <x v="0"/>
    <x v="31"/>
    <x v="5"/>
    <x v="0"/>
    <x v="0"/>
    <x v="5"/>
    <x v="0"/>
  </r>
  <r>
    <x v="0"/>
    <x v="0"/>
    <n v="2239095263"/>
    <x v="6"/>
    <n v="11000"/>
    <x v="0"/>
    <x v="0"/>
    <x v="31"/>
    <x v="6"/>
    <x v="0"/>
    <x v="0"/>
    <x v="5"/>
    <x v="0"/>
  </r>
  <r>
    <x v="0"/>
    <x v="0"/>
    <n v="2239095264"/>
    <x v="1"/>
    <n v="900"/>
    <x v="0"/>
    <x v="0"/>
    <x v="31"/>
    <x v="1"/>
    <x v="0"/>
    <x v="0"/>
    <x v="1"/>
    <x v="0"/>
  </r>
  <r>
    <x v="0"/>
    <x v="0"/>
    <n v="2239095265"/>
    <x v="2"/>
    <n v="4125"/>
    <x v="0"/>
    <x v="0"/>
    <x v="31"/>
    <x v="2"/>
    <x v="0"/>
    <x v="0"/>
    <x v="2"/>
    <x v="0"/>
  </r>
  <r>
    <x v="0"/>
    <x v="0"/>
    <n v="2239095265"/>
    <x v="7"/>
    <n v="3750"/>
    <x v="0"/>
    <x v="0"/>
    <x v="31"/>
    <x v="7"/>
    <x v="0"/>
    <x v="0"/>
    <x v="1"/>
    <x v="0"/>
  </r>
  <r>
    <x v="0"/>
    <x v="0"/>
    <n v="2239095267"/>
    <x v="7"/>
    <n v="1500"/>
    <x v="0"/>
    <x v="0"/>
    <x v="31"/>
    <x v="7"/>
    <x v="0"/>
    <x v="0"/>
    <x v="1"/>
    <x v="0"/>
  </r>
  <r>
    <x v="0"/>
    <x v="0"/>
    <n v="2239095268"/>
    <x v="7"/>
    <n v="1500"/>
    <x v="0"/>
    <x v="0"/>
    <x v="31"/>
    <x v="7"/>
    <x v="0"/>
    <x v="0"/>
    <x v="1"/>
    <x v="0"/>
  </r>
  <r>
    <x v="0"/>
    <x v="0"/>
    <n v="2239095269"/>
    <x v="2"/>
    <n v="10500"/>
    <x v="0"/>
    <x v="0"/>
    <x v="31"/>
    <x v="2"/>
    <x v="0"/>
    <x v="0"/>
    <x v="2"/>
    <x v="0"/>
  </r>
  <r>
    <x v="0"/>
    <x v="0"/>
    <n v="2239095270"/>
    <x v="2"/>
    <n v="7500"/>
    <x v="0"/>
    <x v="0"/>
    <x v="31"/>
    <x v="2"/>
    <x v="0"/>
    <x v="0"/>
    <x v="2"/>
    <x v="0"/>
  </r>
  <r>
    <x v="0"/>
    <x v="0"/>
    <n v="2239095271"/>
    <x v="5"/>
    <n v="-7000"/>
    <x v="0"/>
    <x v="0"/>
    <x v="31"/>
    <x v="5"/>
    <x v="0"/>
    <x v="0"/>
    <x v="5"/>
    <x v="0"/>
  </r>
  <r>
    <x v="0"/>
    <x v="0"/>
    <n v="2239095271"/>
    <x v="6"/>
    <n v="20000"/>
    <x v="0"/>
    <x v="0"/>
    <x v="31"/>
    <x v="6"/>
    <x v="0"/>
    <x v="0"/>
    <x v="5"/>
    <x v="0"/>
  </r>
  <r>
    <x v="0"/>
    <x v="0"/>
    <n v="2239095272"/>
    <x v="7"/>
    <n v="7500"/>
    <x v="0"/>
    <x v="0"/>
    <x v="31"/>
    <x v="7"/>
    <x v="0"/>
    <x v="0"/>
    <x v="1"/>
    <x v="0"/>
  </r>
  <r>
    <x v="0"/>
    <x v="0"/>
    <n v="2239095273"/>
    <x v="1"/>
    <n v="3000"/>
    <x v="0"/>
    <x v="0"/>
    <x v="31"/>
    <x v="1"/>
    <x v="0"/>
    <x v="0"/>
    <x v="1"/>
    <x v="0"/>
  </r>
  <r>
    <x v="0"/>
    <x v="0"/>
    <n v="2239095274"/>
    <x v="2"/>
    <n v="10500"/>
    <x v="0"/>
    <x v="0"/>
    <x v="31"/>
    <x v="2"/>
    <x v="0"/>
    <x v="0"/>
    <x v="2"/>
    <x v="0"/>
  </r>
  <r>
    <x v="0"/>
    <x v="0"/>
    <n v="2239095275"/>
    <x v="1"/>
    <n v="900"/>
    <x v="0"/>
    <x v="0"/>
    <x v="31"/>
    <x v="1"/>
    <x v="0"/>
    <x v="0"/>
    <x v="1"/>
    <x v="0"/>
  </r>
  <r>
    <x v="0"/>
    <x v="0"/>
    <n v="2239095276"/>
    <x v="7"/>
    <n v="1500"/>
    <x v="0"/>
    <x v="0"/>
    <x v="31"/>
    <x v="7"/>
    <x v="0"/>
    <x v="0"/>
    <x v="1"/>
    <x v="0"/>
  </r>
  <r>
    <x v="0"/>
    <x v="0"/>
    <n v="2239095277"/>
    <x v="2"/>
    <n v="6000"/>
    <x v="0"/>
    <x v="0"/>
    <x v="31"/>
    <x v="2"/>
    <x v="0"/>
    <x v="0"/>
    <x v="2"/>
    <x v="0"/>
  </r>
  <r>
    <x v="0"/>
    <x v="0"/>
    <n v="2239095278"/>
    <x v="2"/>
    <n v="6500"/>
    <x v="0"/>
    <x v="0"/>
    <x v="31"/>
    <x v="2"/>
    <x v="0"/>
    <x v="0"/>
    <x v="2"/>
    <x v="0"/>
  </r>
  <r>
    <x v="0"/>
    <x v="0"/>
    <n v="2239095279"/>
    <x v="1"/>
    <n v="18220"/>
    <x v="0"/>
    <x v="0"/>
    <x v="31"/>
    <x v="1"/>
    <x v="0"/>
    <x v="0"/>
    <x v="1"/>
    <x v="0"/>
  </r>
  <r>
    <x v="0"/>
    <x v="0"/>
    <n v="2239095280"/>
    <x v="7"/>
    <n v="8000"/>
    <x v="0"/>
    <x v="0"/>
    <x v="31"/>
    <x v="7"/>
    <x v="0"/>
    <x v="0"/>
    <x v="1"/>
    <x v="0"/>
  </r>
  <r>
    <x v="0"/>
    <x v="0"/>
    <n v="2239095281"/>
    <x v="5"/>
    <n v="-2400"/>
    <x v="0"/>
    <x v="0"/>
    <x v="31"/>
    <x v="5"/>
    <x v="0"/>
    <x v="0"/>
    <x v="5"/>
    <x v="0"/>
  </r>
  <r>
    <x v="0"/>
    <x v="0"/>
    <n v="2239095281"/>
    <x v="6"/>
    <n v="10000"/>
    <x v="0"/>
    <x v="0"/>
    <x v="31"/>
    <x v="6"/>
    <x v="0"/>
    <x v="0"/>
    <x v="5"/>
    <x v="0"/>
  </r>
  <r>
    <x v="0"/>
    <x v="0"/>
    <n v="2239095282"/>
    <x v="7"/>
    <n v="1500"/>
    <x v="0"/>
    <x v="0"/>
    <x v="31"/>
    <x v="7"/>
    <x v="0"/>
    <x v="0"/>
    <x v="1"/>
    <x v="0"/>
  </r>
  <r>
    <x v="0"/>
    <x v="0"/>
    <n v="2239095283"/>
    <x v="2"/>
    <n v="18150"/>
    <x v="0"/>
    <x v="0"/>
    <x v="31"/>
    <x v="2"/>
    <x v="0"/>
    <x v="0"/>
    <x v="2"/>
    <x v="0"/>
  </r>
  <r>
    <x v="0"/>
    <x v="0"/>
    <n v="2239095284"/>
    <x v="2"/>
    <n v="7500"/>
    <x v="0"/>
    <x v="0"/>
    <x v="31"/>
    <x v="2"/>
    <x v="0"/>
    <x v="0"/>
    <x v="2"/>
    <x v="0"/>
  </r>
  <r>
    <x v="0"/>
    <x v="0"/>
    <n v="2239095285"/>
    <x v="7"/>
    <n v="1500"/>
    <x v="0"/>
    <x v="0"/>
    <x v="31"/>
    <x v="7"/>
    <x v="0"/>
    <x v="0"/>
    <x v="1"/>
    <x v="0"/>
  </r>
  <r>
    <x v="0"/>
    <x v="0"/>
    <n v="2239095286"/>
    <x v="7"/>
    <n v="1500"/>
    <x v="0"/>
    <x v="0"/>
    <x v="31"/>
    <x v="7"/>
    <x v="0"/>
    <x v="0"/>
    <x v="1"/>
    <x v="0"/>
  </r>
  <r>
    <x v="0"/>
    <x v="0"/>
    <n v="2239095287"/>
    <x v="5"/>
    <n v="-5000"/>
    <x v="0"/>
    <x v="0"/>
    <x v="31"/>
    <x v="5"/>
    <x v="0"/>
    <x v="0"/>
    <x v="5"/>
    <x v="0"/>
  </r>
  <r>
    <x v="0"/>
    <x v="0"/>
    <n v="2239095287"/>
    <x v="6"/>
    <n v="10000"/>
    <x v="0"/>
    <x v="0"/>
    <x v="31"/>
    <x v="6"/>
    <x v="0"/>
    <x v="0"/>
    <x v="5"/>
    <x v="0"/>
  </r>
  <r>
    <x v="0"/>
    <x v="0"/>
    <n v="2239095288"/>
    <x v="2"/>
    <n v="10494"/>
    <x v="0"/>
    <x v="0"/>
    <x v="31"/>
    <x v="2"/>
    <x v="0"/>
    <x v="0"/>
    <x v="2"/>
    <x v="0"/>
  </r>
  <r>
    <x v="0"/>
    <x v="0"/>
    <n v="2239095289"/>
    <x v="7"/>
    <n v="1500"/>
    <x v="0"/>
    <x v="0"/>
    <x v="31"/>
    <x v="7"/>
    <x v="0"/>
    <x v="0"/>
    <x v="1"/>
    <x v="0"/>
  </r>
  <r>
    <x v="0"/>
    <x v="0"/>
    <n v="2239095290"/>
    <x v="7"/>
    <n v="7500"/>
    <x v="0"/>
    <x v="0"/>
    <x v="31"/>
    <x v="7"/>
    <x v="0"/>
    <x v="0"/>
    <x v="1"/>
    <x v="0"/>
  </r>
  <r>
    <x v="0"/>
    <x v="0"/>
    <n v="2239095292"/>
    <x v="7"/>
    <n v="1500"/>
    <x v="0"/>
    <x v="0"/>
    <x v="31"/>
    <x v="7"/>
    <x v="0"/>
    <x v="0"/>
    <x v="1"/>
    <x v="0"/>
  </r>
  <r>
    <x v="0"/>
    <x v="0"/>
    <n v="2239095293"/>
    <x v="2"/>
    <n v="21000"/>
    <x v="0"/>
    <x v="0"/>
    <x v="31"/>
    <x v="2"/>
    <x v="0"/>
    <x v="0"/>
    <x v="2"/>
    <x v="0"/>
  </r>
  <r>
    <x v="0"/>
    <x v="0"/>
    <n v="2239095294"/>
    <x v="2"/>
    <n v="5800"/>
    <x v="0"/>
    <x v="0"/>
    <x v="31"/>
    <x v="2"/>
    <x v="0"/>
    <x v="0"/>
    <x v="2"/>
    <x v="0"/>
  </r>
  <r>
    <x v="0"/>
    <x v="0"/>
    <n v="2239095295"/>
    <x v="5"/>
    <n v="-200"/>
    <x v="0"/>
    <x v="0"/>
    <x v="31"/>
    <x v="5"/>
    <x v="0"/>
    <x v="0"/>
    <x v="5"/>
    <x v="0"/>
  </r>
  <r>
    <x v="0"/>
    <x v="0"/>
    <n v="2239095295"/>
    <x v="6"/>
    <n v="11000"/>
    <x v="0"/>
    <x v="0"/>
    <x v="31"/>
    <x v="6"/>
    <x v="0"/>
    <x v="0"/>
    <x v="5"/>
    <x v="0"/>
  </r>
  <r>
    <x v="0"/>
    <x v="0"/>
    <n v="2239095296"/>
    <x v="5"/>
    <n v="-1500"/>
    <x v="0"/>
    <x v="0"/>
    <x v="31"/>
    <x v="5"/>
    <x v="0"/>
    <x v="0"/>
    <x v="5"/>
    <x v="0"/>
  </r>
  <r>
    <x v="0"/>
    <x v="0"/>
    <n v="2239095296"/>
    <x v="6"/>
    <n v="5000"/>
    <x v="0"/>
    <x v="0"/>
    <x v="31"/>
    <x v="6"/>
    <x v="0"/>
    <x v="0"/>
    <x v="5"/>
    <x v="0"/>
  </r>
  <r>
    <x v="0"/>
    <x v="0"/>
    <n v="2239095297"/>
    <x v="5"/>
    <n v="-600"/>
    <x v="0"/>
    <x v="0"/>
    <x v="31"/>
    <x v="5"/>
    <x v="0"/>
    <x v="0"/>
    <x v="5"/>
    <x v="0"/>
  </r>
  <r>
    <x v="0"/>
    <x v="0"/>
    <n v="2239095297"/>
    <x v="4"/>
    <n v="5000"/>
    <x v="0"/>
    <x v="0"/>
    <x v="31"/>
    <x v="4"/>
    <x v="0"/>
    <x v="0"/>
    <x v="4"/>
    <x v="0"/>
  </r>
  <r>
    <x v="0"/>
    <x v="0"/>
    <n v="2239095299"/>
    <x v="2"/>
    <n v="3000"/>
    <x v="0"/>
    <x v="0"/>
    <x v="31"/>
    <x v="2"/>
    <x v="0"/>
    <x v="0"/>
    <x v="2"/>
    <x v="0"/>
  </r>
  <r>
    <x v="0"/>
    <x v="0"/>
    <n v="2239095300"/>
    <x v="2"/>
    <n v="22550"/>
    <x v="0"/>
    <x v="0"/>
    <x v="31"/>
    <x v="2"/>
    <x v="0"/>
    <x v="0"/>
    <x v="2"/>
    <x v="0"/>
  </r>
  <r>
    <x v="0"/>
    <x v="0"/>
    <n v="2239095301"/>
    <x v="5"/>
    <n v="-4300"/>
    <x v="0"/>
    <x v="0"/>
    <x v="31"/>
    <x v="5"/>
    <x v="0"/>
    <x v="0"/>
    <x v="5"/>
    <x v="0"/>
  </r>
  <r>
    <x v="0"/>
    <x v="0"/>
    <n v="2239095301"/>
    <x v="4"/>
    <n v="10000"/>
    <x v="0"/>
    <x v="0"/>
    <x v="31"/>
    <x v="4"/>
    <x v="0"/>
    <x v="0"/>
    <x v="4"/>
    <x v="0"/>
  </r>
  <r>
    <x v="0"/>
    <x v="0"/>
    <n v="2239095302"/>
    <x v="4"/>
    <n v="4400"/>
    <x v="0"/>
    <x v="0"/>
    <x v="31"/>
    <x v="4"/>
    <x v="0"/>
    <x v="0"/>
    <x v="4"/>
    <x v="0"/>
  </r>
  <r>
    <x v="0"/>
    <x v="0"/>
    <n v="2239095304"/>
    <x v="5"/>
    <n v="-4300"/>
    <x v="0"/>
    <x v="0"/>
    <x v="31"/>
    <x v="5"/>
    <x v="0"/>
    <x v="0"/>
    <x v="5"/>
    <x v="0"/>
  </r>
  <r>
    <x v="0"/>
    <x v="0"/>
    <n v="2239095304"/>
    <x v="4"/>
    <n v="10000"/>
    <x v="0"/>
    <x v="0"/>
    <x v="31"/>
    <x v="4"/>
    <x v="0"/>
    <x v="0"/>
    <x v="4"/>
    <x v="0"/>
  </r>
  <r>
    <x v="0"/>
    <x v="0"/>
    <n v="2239095305"/>
    <x v="7"/>
    <n v="1500"/>
    <x v="0"/>
    <x v="0"/>
    <x v="31"/>
    <x v="7"/>
    <x v="0"/>
    <x v="0"/>
    <x v="1"/>
    <x v="0"/>
  </r>
  <r>
    <x v="0"/>
    <x v="0"/>
    <n v="2239095306"/>
    <x v="4"/>
    <n v="5700"/>
    <x v="0"/>
    <x v="0"/>
    <x v="31"/>
    <x v="4"/>
    <x v="0"/>
    <x v="0"/>
    <x v="4"/>
    <x v="0"/>
  </r>
  <r>
    <x v="0"/>
    <x v="0"/>
    <n v="2239095307"/>
    <x v="5"/>
    <n v="-4000"/>
    <x v="0"/>
    <x v="0"/>
    <x v="31"/>
    <x v="5"/>
    <x v="0"/>
    <x v="0"/>
    <x v="5"/>
    <x v="0"/>
  </r>
  <r>
    <x v="0"/>
    <x v="0"/>
    <n v="2239095307"/>
    <x v="6"/>
    <n v="10000"/>
    <x v="0"/>
    <x v="0"/>
    <x v="31"/>
    <x v="6"/>
    <x v="0"/>
    <x v="0"/>
    <x v="5"/>
    <x v="0"/>
  </r>
  <r>
    <x v="0"/>
    <x v="0"/>
    <n v="2239095308"/>
    <x v="5"/>
    <n v="-16000"/>
    <x v="0"/>
    <x v="0"/>
    <x v="31"/>
    <x v="5"/>
    <x v="0"/>
    <x v="0"/>
    <x v="5"/>
    <x v="0"/>
  </r>
  <r>
    <x v="0"/>
    <x v="0"/>
    <n v="2239095308"/>
    <x v="4"/>
    <n v="20400"/>
    <x v="0"/>
    <x v="0"/>
    <x v="31"/>
    <x v="4"/>
    <x v="0"/>
    <x v="0"/>
    <x v="4"/>
    <x v="0"/>
  </r>
  <r>
    <x v="0"/>
    <x v="0"/>
    <n v="2239095309"/>
    <x v="5"/>
    <n v="-4700"/>
    <x v="0"/>
    <x v="0"/>
    <x v="31"/>
    <x v="5"/>
    <x v="0"/>
    <x v="0"/>
    <x v="5"/>
    <x v="0"/>
  </r>
  <r>
    <x v="0"/>
    <x v="0"/>
    <n v="2239095309"/>
    <x v="4"/>
    <n v="10000"/>
    <x v="0"/>
    <x v="0"/>
    <x v="31"/>
    <x v="4"/>
    <x v="0"/>
    <x v="0"/>
    <x v="4"/>
    <x v="0"/>
  </r>
  <r>
    <x v="0"/>
    <x v="0"/>
    <n v="2239095310"/>
    <x v="5"/>
    <n v="-19300"/>
    <x v="0"/>
    <x v="0"/>
    <x v="31"/>
    <x v="5"/>
    <x v="0"/>
    <x v="0"/>
    <x v="5"/>
    <x v="0"/>
  </r>
  <r>
    <x v="0"/>
    <x v="0"/>
    <n v="2239095310"/>
    <x v="4"/>
    <n v="25000"/>
    <x v="0"/>
    <x v="0"/>
    <x v="31"/>
    <x v="4"/>
    <x v="0"/>
    <x v="0"/>
    <x v="4"/>
    <x v="0"/>
  </r>
  <r>
    <x v="0"/>
    <x v="0"/>
    <n v="2239095311"/>
    <x v="2"/>
    <n v="12100"/>
    <x v="0"/>
    <x v="0"/>
    <x v="31"/>
    <x v="2"/>
    <x v="0"/>
    <x v="0"/>
    <x v="2"/>
    <x v="0"/>
  </r>
  <r>
    <x v="0"/>
    <x v="0"/>
    <n v="2239095312"/>
    <x v="7"/>
    <n v="4500"/>
    <x v="0"/>
    <x v="0"/>
    <x v="31"/>
    <x v="7"/>
    <x v="0"/>
    <x v="0"/>
    <x v="1"/>
    <x v="0"/>
  </r>
  <r>
    <x v="0"/>
    <x v="0"/>
    <n v="2239095313"/>
    <x v="7"/>
    <n v="1500"/>
    <x v="0"/>
    <x v="0"/>
    <x v="31"/>
    <x v="7"/>
    <x v="0"/>
    <x v="0"/>
    <x v="1"/>
    <x v="0"/>
  </r>
  <r>
    <x v="0"/>
    <x v="0"/>
    <n v="2239095314"/>
    <x v="7"/>
    <n v="1500"/>
    <x v="0"/>
    <x v="0"/>
    <x v="31"/>
    <x v="7"/>
    <x v="0"/>
    <x v="0"/>
    <x v="1"/>
    <x v="0"/>
  </r>
  <r>
    <x v="0"/>
    <x v="0"/>
    <n v="2239095316"/>
    <x v="7"/>
    <n v="1500"/>
    <x v="0"/>
    <x v="0"/>
    <x v="31"/>
    <x v="7"/>
    <x v="0"/>
    <x v="0"/>
    <x v="1"/>
    <x v="0"/>
  </r>
  <r>
    <x v="0"/>
    <x v="0"/>
    <n v="2239095317"/>
    <x v="7"/>
    <n v="1500"/>
    <x v="0"/>
    <x v="0"/>
    <x v="31"/>
    <x v="7"/>
    <x v="0"/>
    <x v="0"/>
    <x v="1"/>
    <x v="0"/>
  </r>
  <r>
    <x v="0"/>
    <x v="0"/>
    <n v="2239095318"/>
    <x v="2"/>
    <n v="8000"/>
    <x v="0"/>
    <x v="0"/>
    <x v="31"/>
    <x v="2"/>
    <x v="0"/>
    <x v="0"/>
    <x v="2"/>
    <x v="0"/>
  </r>
  <r>
    <x v="0"/>
    <x v="0"/>
    <n v="2239095319"/>
    <x v="3"/>
    <n v="8250"/>
    <x v="0"/>
    <x v="0"/>
    <x v="31"/>
    <x v="3"/>
    <x v="0"/>
    <x v="0"/>
    <x v="3"/>
    <x v="0"/>
  </r>
  <r>
    <x v="0"/>
    <x v="0"/>
    <n v="2239095321"/>
    <x v="5"/>
    <n v="-3440"/>
    <x v="0"/>
    <x v="0"/>
    <x v="31"/>
    <x v="5"/>
    <x v="0"/>
    <x v="0"/>
    <x v="5"/>
    <x v="0"/>
  </r>
  <r>
    <x v="0"/>
    <x v="0"/>
    <n v="2239095321"/>
    <x v="6"/>
    <n v="25000"/>
    <x v="0"/>
    <x v="0"/>
    <x v="31"/>
    <x v="6"/>
    <x v="0"/>
    <x v="0"/>
    <x v="5"/>
    <x v="0"/>
  </r>
  <r>
    <x v="0"/>
    <x v="0"/>
    <n v="2239095322"/>
    <x v="7"/>
    <n v="1500"/>
    <x v="0"/>
    <x v="0"/>
    <x v="31"/>
    <x v="7"/>
    <x v="0"/>
    <x v="0"/>
    <x v="1"/>
    <x v="0"/>
  </r>
  <r>
    <x v="0"/>
    <x v="0"/>
    <n v="2239095323"/>
    <x v="2"/>
    <n v="10640"/>
    <x v="0"/>
    <x v="0"/>
    <x v="31"/>
    <x v="2"/>
    <x v="0"/>
    <x v="0"/>
    <x v="2"/>
    <x v="0"/>
  </r>
  <r>
    <x v="0"/>
    <x v="0"/>
    <n v="2239095324"/>
    <x v="5"/>
    <n v="-4300"/>
    <x v="0"/>
    <x v="0"/>
    <x v="31"/>
    <x v="5"/>
    <x v="0"/>
    <x v="0"/>
    <x v="5"/>
    <x v="0"/>
  </r>
  <r>
    <x v="0"/>
    <x v="0"/>
    <n v="2239095324"/>
    <x v="4"/>
    <n v="10000"/>
    <x v="0"/>
    <x v="0"/>
    <x v="31"/>
    <x v="4"/>
    <x v="0"/>
    <x v="0"/>
    <x v="4"/>
    <x v="0"/>
  </r>
  <r>
    <x v="0"/>
    <x v="0"/>
    <n v="2239095325"/>
    <x v="2"/>
    <n v="8000"/>
    <x v="0"/>
    <x v="0"/>
    <x v="31"/>
    <x v="2"/>
    <x v="0"/>
    <x v="0"/>
    <x v="2"/>
    <x v="0"/>
  </r>
  <r>
    <x v="0"/>
    <x v="0"/>
    <n v="2239095326"/>
    <x v="3"/>
    <n v="8250"/>
    <x v="0"/>
    <x v="0"/>
    <x v="31"/>
    <x v="3"/>
    <x v="0"/>
    <x v="0"/>
    <x v="3"/>
    <x v="0"/>
  </r>
  <r>
    <x v="0"/>
    <x v="0"/>
    <n v="2239095327"/>
    <x v="2"/>
    <n v="20750"/>
    <x v="0"/>
    <x v="0"/>
    <x v="31"/>
    <x v="2"/>
    <x v="0"/>
    <x v="0"/>
    <x v="2"/>
    <x v="0"/>
  </r>
  <r>
    <x v="0"/>
    <x v="0"/>
    <n v="2239095328"/>
    <x v="7"/>
    <n v="1500"/>
    <x v="0"/>
    <x v="0"/>
    <x v="31"/>
    <x v="7"/>
    <x v="0"/>
    <x v="0"/>
    <x v="1"/>
    <x v="0"/>
  </r>
  <r>
    <x v="0"/>
    <x v="0"/>
    <n v="2239095329"/>
    <x v="7"/>
    <n v="1500"/>
    <x v="0"/>
    <x v="0"/>
    <x v="31"/>
    <x v="7"/>
    <x v="0"/>
    <x v="0"/>
    <x v="1"/>
    <x v="0"/>
  </r>
  <r>
    <x v="0"/>
    <x v="0"/>
    <n v="2239095330"/>
    <x v="5"/>
    <n v="-4300"/>
    <x v="0"/>
    <x v="0"/>
    <x v="31"/>
    <x v="5"/>
    <x v="0"/>
    <x v="0"/>
    <x v="5"/>
    <x v="0"/>
  </r>
  <r>
    <x v="0"/>
    <x v="0"/>
    <n v="2239095330"/>
    <x v="4"/>
    <n v="10000"/>
    <x v="0"/>
    <x v="0"/>
    <x v="31"/>
    <x v="4"/>
    <x v="0"/>
    <x v="0"/>
    <x v="4"/>
    <x v="0"/>
  </r>
  <r>
    <x v="0"/>
    <x v="0"/>
    <n v="2239095331"/>
    <x v="2"/>
    <n v="19272"/>
    <x v="0"/>
    <x v="0"/>
    <x v="31"/>
    <x v="2"/>
    <x v="0"/>
    <x v="0"/>
    <x v="2"/>
    <x v="0"/>
  </r>
  <r>
    <x v="0"/>
    <x v="0"/>
    <n v="2239095331"/>
    <x v="7"/>
    <n v="1980"/>
    <x v="0"/>
    <x v="0"/>
    <x v="31"/>
    <x v="7"/>
    <x v="0"/>
    <x v="0"/>
    <x v="1"/>
    <x v="0"/>
  </r>
  <r>
    <x v="0"/>
    <x v="0"/>
    <n v="2239095332"/>
    <x v="5"/>
    <n v="-6200"/>
    <x v="0"/>
    <x v="0"/>
    <x v="31"/>
    <x v="5"/>
    <x v="0"/>
    <x v="0"/>
    <x v="5"/>
    <x v="0"/>
  </r>
  <r>
    <x v="0"/>
    <x v="0"/>
    <n v="2239095332"/>
    <x v="6"/>
    <n v="10000"/>
    <x v="0"/>
    <x v="0"/>
    <x v="31"/>
    <x v="6"/>
    <x v="0"/>
    <x v="0"/>
    <x v="5"/>
    <x v="0"/>
  </r>
  <r>
    <x v="0"/>
    <x v="0"/>
    <n v="2239095333"/>
    <x v="2"/>
    <n v="8800"/>
    <x v="0"/>
    <x v="0"/>
    <x v="31"/>
    <x v="2"/>
    <x v="0"/>
    <x v="0"/>
    <x v="2"/>
    <x v="0"/>
  </r>
  <r>
    <x v="0"/>
    <x v="0"/>
    <n v="2239095335"/>
    <x v="7"/>
    <n v="3000"/>
    <x v="0"/>
    <x v="0"/>
    <x v="31"/>
    <x v="7"/>
    <x v="0"/>
    <x v="0"/>
    <x v="1"/>
    <x v="0"/>
  </r>
  <r>
    <x v="0"/>
    <x v="0"/>
    <n v="2239095336"/>
    <x v="7"/>
    <n v="3800"/>
    <x v="0"/>
    <x v="0"/>
    <x v="31"/>
    <x v="7"/>
    <x v="0"/>
    <x v="0"/>
    <x v="1"/>
    <x v="0"/>
  </r>
  <r>
    <x v="0"/>
    <x v="0"/>
    <n v="2239095337"/>
    <x v="3"/>
    <n v="8250"/>
    <x v="0"/>
    <x v="0"/>
    <x v="31"/>
    <x v="3"/>
    <x v="0"/>
    <x v="0"/>
    <x v="3"/>
    <x v="0"/>
  </r>
  <r>
    <x v="0"/>
    <x v="0"/>
    <n v="2239095338"/>
    <x v="1"/>
    <n v="2250"/>
    <x v="0"/>
    <x v="0"/>
    <x v="31"/>
    <x v="1"/>
    <x v="0"/>
    <x v="0"/>
    <x v="1"/>
    <x v="0"/>
  </r>
  <r>
    <x v="0"/>
    <x v="0"/>
    <n v="2239095339"/>
    <x v="2"/>
    <n v="3000"/>
    <x v="0"/>
    <x v="0"/>
    <x v="31"/>
    <x v="2"/>
    <x v="0"/>
    <x v="0"/>
    <x v="2"/>
    <x v="0"/>
  </r>
  <r>
    <x v="0"/>
    <x v="0"/>
    <n v="2239095340"/>
    <x v="4"/>
    <n v="4400"/>
    <x v="0"/>
    <x v="0"/>
    <x v="31"/>
    <x v="4"/>
    <x v="0"/>
    <x v="0"/>
    <x v="4"/>
    <x v="0"/>
  </r>
  <r>
    <x v="0"/>
    <x v="0"/>
    <n v="2239095341"/>
    <x v="7"/>
    <n v="3000"/>
    <x v="0"/>
    <x v="0"/>
    <x v="31"/>
    <x v="7"/>
    <x v="0"/>
    <x v="0"/>
    <x v="1"/>
    <x v="0"/>
  </r>
  <r>
    <x v="0"/>
    <x v="0"/>
    <n v="2239095342"/>
    <x v="5"/>
    <n v="-13500"/>
    <x v="0"/>
    <x v="0"/>
    <x v="31"/>
    <x v="5"/>
    <x v="0"/>
    <x v="0"/>
    <x v="5"/>
    <x v="0"/>
  </r>
  <r>
    <x v="0"/>
    <x v="0"/>
    <n v="2239095342"/>
    <x v="6"/>
    <n v="20000"/>
    <x v="0"/>
    <x v="0"/>
    <x v="31"/>
    <x v="6"/>
    <x v="0"/>
    <x v="0"/>
    <x v="5"/>
    <x v="0"/>
  </r>
  <r>
    <x v="0"/>
    <x v="0"/>
    <n v="2239095343"/>
    <x v="0"/>
    <n v="4500"/>
    <x v="0"/>
    <x v="0"/>
    <x v="31"/>
    <x v="0"/>
    <x v="0"/>
    <x v="0"/>
    <x v="0"/>
    <x v="0"/>
  </r>
  <r>
    <x v="0"/>
    <x v="0"/>
    <n v="2239098232"/>
    <x v="7"/>
    <n v="3000"/>
    <x v="0"/>
    <x v="0"/>
    <x v="32"/>
    <x v="7"/>
    <x v="0"/>
    <x v="0"/>
    <x v="1"/>
    <x v="0"/>
  </r>
  <r>
    <x v="0"/>
    <x v="0"/>
    <n v="2239098233"/>
    <x v="1"/>
    <n v="1800"/>
    <x v="0"/>
    <x v="0"/>
    <x v="32"/>
    <x v="1"/>
    <x v="0"/>
    <x v="0"/>
    <x v="1"/>
    <x v="0"/>
  </r>
  <r>
    <x v="0"/>
    <x v="0"/>
    <n v="2239098234"/>
    <x v="1"/>
    <n v="1140"/>
    <x v="0"/>
    <x v="0"/>
    <x v="32"/>
    <x v="1"/>
    <x v="0"/>
    <x v="0"/>
    <x v="1"/>
    <x v="0"/>
  </r>
  <r>
    <x v="0"/>
    <x v="0"/>
    <n v="2239098235"/>
    <x v="1"/>
    <n v="1200"/>
    <x v="0"/>
    <x v="0"/>
    <x v="32"/>
    <x v="1"/>
    <x v="0"/>
    <x v="0"/>
    <x v="1"/>
    <x v="0"/>
  </r>
  <r>
    <x v="0"/>
    <x v="0"/>
    <n v="2239098236"/>
    <x v="1"/>
    <n v="9900"/>
    <x v="0"/>
    <x v="0"/>
    <x v="32"/>
    <x v="1"/>
    <x v="0"/>
    <x v="0"/>
    <x v="1"/>
    <x v="0"/>
  </r>
  <r>
    <x v="0"/>
    <x v="0"/>
    <n v="2239098237"/>
    <x v="7"/>
    <n v="6500"/>
    <x v="0"/>
    <x v="0"/>
    <x v="32"/>
    <x v="7"/>
    <x v="0"/>
    <x v="0"/>
    <x v="1"/>
    <x v="0"/>
  </r>
  <r>
    <x v="0"/>
    <x v="0"/>
    <n v="2239098238"/>
    <x v="1"/>
    <n v="36900"/>
    <x v="0"/>
    <x v="0"/>
    <x v="32"/>
    <x v="1"/>
    <x v="0"/>
    <x v="0"/>
    <x v="1"/>
    <x v="0"/>
  </r>
  <r>
    <x v="0"/>
    <x v="0"/>
    <n v="2239098239"/>
    <x v="1"/>
    <n v="5850"/>
    <x v="0"/>
    <x v="0"/>
    <x v="32"/>
    <x v="1"/>
    <x v="0"/>
    <x v="0"/>
    <x v="1"/>
    <x v="0"/>
  </r>
  <r>
    <x v="0"/>
    <x v="0"/>
    <n v="2239098240"/>
    <x v="1"/>
    <n v="2850"/>
    <x v="0"/>
    <x v="0"/>
    <x v="32"/>
    <x v="1"/>
    <x v="0"/>
    <x v="0"/>
    <x v="1"/>
    <x v="0"/>
  </r>
  <r>
    <x v="0"/>
    <x v="0"/>
    <n v="2239098242"/>
    <x v="1"/>
    <n v="4740"/>
    <x v="0"/>
    <x v="0"/>
    <x v="32"/>
    <x v="1"/>
    <x v="0"/>
    <x v="0"/>
    <x v="1"/>
    <x v="0"/>
  </r>
  <r>
    <x v="0"/>
    <x v="0"/>
    <n v="2239098250"/>
    <x v="1"/>
    <n v="2280"/>
    <x v="0"/>
    <x v="0"/>
    <x v="32"/>
    <x v="1"/>
    <x v="0"/>
    <x v="0"/>
    <x v="1"/>
    <x v="0"/>
  </r>
  <r>
    <x v="0"/>
    <x v="0"/>
    <n v="2239098251"/>
    <x v="1"/>
    <n v="3750"/>
    <x v="0"/>
    <x v="0"/>
    <x v="32"/>
    <x v="1"/>
    <x v="0"/>
    <x v="0"/>
    <x v="1"/>
    <x v="0"/>
  </r>
  <r>
    <x v="0"/>
    <x v="0"/>
    <n v="2239098252"/>
    <x v="1"/>
    <n v="28950"/>
    <x v="0"/>
    <x v="0"/>
    <x v="32"/>
    <x v="1"/>
    <x v="0"/>
    <x v="0"/>
    <x v="1"/>
    <x v="0"/>
  </r>
  <r>
    <x v="0"/>
    <x v="0"/>
    <n v="2239098253"/>
    <x v="1"/>
    <n v="4500"/>
    <x v="0"/>
    <x v="0"/>
    <x v="32"/>
    <x v="1"/>
    <x v="0"/>
    <x v="0"/>
    <x v="1"/>
    <x v="0"/>
  </r>
  <r>
    <x v="0"/>
    <x v="0"/>
    <n v="2239098255"/>
    <x v="1"/>
    <n v="26310"/>
    <x v="0"/>
    <x v="0"/>
    <x v="32"/>
    <x v="1"/>
    <x v="0"/>
    <x v="0"/>
    <x v="1"/>
    <x v="0"/>
  </r>
  <r>
    <x v="0"/>
    <x v="0"/>
    <n v="2239098256"/>
    <x v="1"/>
    <n v="1050"/>
    <x v="0"/>
    <x v="0"/>
    <x v="32"/>
    <x v="1"/>
    <x v="0"/>
    <x v="0"/>
    <x v="1"/>
    <x v="0"/>
  </r>
  <r>
    <x v="0"/>
    <x v="0"/>
    <n v="2239098257"/>
    <x v="1"/>
    <n v="1350"/>
    <x v="0"/>
    <x v="0"/>
    <x v="32"/>
    <x v="1"/>
    <x v="0"/>
    <x v="0"/>
    <x v="1"/>
    <x v="0"/>
  </r>
  <r>
    <x v="0"/>
    <x v="0"/>
    <n v="2239098258"/>
    <x v="1"/>
    <n v="2700"/>
    <x v="0"/>
    <x v="0"/>
    <x v="32"/>
    <x v="1"/>
    <x v="0"/>
    <x v="0"/>
    <x v="1"/>
    <x v="0"/>
  </r>
  <r>
    <x v="0"/>
    <x v="0"/>
    <n v="2239098259"/>
    <x v="1"/>
    <n v="11490"/>
    <x v="0"/>
    <x v="0"/>
    <x v="32"/>
    <x v="1"/>
    <x v="0"/>
    <x v="0"/>
    <x v="1"/>
    <x v="0"/>
  </r>
  <r>
    <x v="0"/>
    <x v="0"/>
    <n v="2239098260"/>
    <x v="1"/>
    <n v="2280"/>
    <x v="0"/>
    <x v="0"/>
    <x v="32"/>
    <x v="1"/>
    <x v="0"/>
    <x v="0"/>
    <x v="1"/>
    <x v="0"/>
  </r>
  <r>
    <x v="0"/>
    <x v="0"/>
    <n v="2239098261"/>
    <x v="1"/>
    <n v="11850"/>
    <x v="0"/>
    <x v="0"/>
    <x v="32"/>
    <x v="1"/>
    <x v="0"/>
    <x v="0"/>
    <x v="1"/>
    <x v="0"/>
  </r>
  <r>
    <x v="0"/>
    <x v="0"/>
    <n v="2239098262"/>
    <x v="1"/>
    <n v="11940"/>
    <x v="0"/>
    <x v="0"/>
    <x v="32"/>
    <x v="1"/>
    <x v="0"/>
    <x v="0"/>
    <x v="1"/>
    <x v="0"/>
  </r>
  <r>
    <x v="0"/>
    <x v="0"/>
    <n v="2239098263"/>
    <x v="1"/>
    <n v="28320"/>
    <x v="0"/>
    <x v="0"/>
    <x v="32"/>
    <x v="1"/>
    <x v="0"/>
    <x v="0"/>
    <x v="1"/>
    <x v="0"/>
  </r>
  <r>
    <x v="0"/>
    <x v="0"/>
    <n v="2239098264"/>
    <x v="1"/>
    <n v="28750"/>
    <x v="0"/>
    <x v="0"/>
    <x v="32"/>
    <x v="1"/>
    <x v="0"/>
    <x v="0"/>
    <x v="1"/>
    <x v="0"/>
  </r>
  <r>
    <x v="0"/>
    <x v="0"/>
    <n v="2239098265"/>
    <x v="1"/>
    <n v="9720"/>
    <x v="0"/>
    <x v="0"/>
    <x v="32"/>
    <x v="1"/>
    <x v="0"/>
    <x v="0"/>
    <x v="1"/>
    <x v="0"/>
  </r>
  <r>
    <x v="0"/>
    <x v="0"/>
    <n v="2239098266"/>
    <x v="1"/>
    <n v="17520"/>
    <x v="0"/>
    <x v="0"/>
    <x v="32"/>
    <x v="1"/>
    <x v="0"/>
    <x v="0"/>
    <x v="1"/>
    <x v="0"/>
  </r>
  <r>
    <x v="0"/>
    <x v="0"/>
    <n v="2239098267"/>
    <x v="1"/>
    <n v="4050"/>
    <x v="0"/>
    <x v="0"/>
    <x v="32"/>
    <x v="1"/>
    <x v="0"/>
    <x v="0"/>
    <x v="1"/>
    <x v="0"/>
  </r>
  <r>
    <x v="0"/>
    <x v="0"/>
    <n v="2239098268"/>
    <x v="1"/>
    <n v="2850"/>
    <x v="0"/>
    <x v="0"/>
    <x v="32"/>
    <x v="1"/>
    <x v="0"/>
    <x v="0"/>
    <x v="1"/>
    <x v="0"/>
  </r>
  <r>
    <x v="0"/>
    <x v="0"/>
    <n v="2239098269"/>
    <x v="1"/>
    <n v="5100"/>
    <x v="0"/>
    <x v="0"/>
    <x v="32"/>
    <x v="1"/>
    <x v="0"/>
    <x v="0"/>
    <x v="1"/>
    <x v="0"/>
  </r>
  <r>
    <x v="0"/>
    <x v="0"/>
    <n v="2239098270"/>
    <x v="1"/>
    <n v="28100"/>
    <x v="0"/>
    <x v="0"/>
    <x v="32"/>
    <x v="1"/>
    <x v="0"/>
    <x v="0"/>
    <x v="1"/>
    <x v="0"/>
  </r>
  <r>
    <x v="0"/>
    <x v="0"/>
    <n v="2239098271"/>
    <x v="6"/>
    <n v="3000"/>
    <x v="0"/>
    <x v="0"/>
    <x v="32"/>
    <x v="6"/>
    <x v="0"/>
    <x v="0"/>
    <x v="5"/>
    <x v="0"/>
  </r>
  <r>
    <x v="0"/>
    <x v="0"/>
    <n v="2239098272"/>
    <x v="6"/>
    <n v="6440"/>
    <x v="0"/>
    <x v="0"/>
    <x v="32"/>
    <x v="6"/>
    <x v="0"/>
    <x v="0"/>
    <x v="5"/>
    <x v="0"/>
  </r>
  <r>
    <x v="0"/>
    <x v="0"/>
    <n v="2239098273"/>
    <x v="2"/>
    <n v="13684"/>
    <x v="0"/>
    <x v="0"/>
    <x v="32"/>
    <x v="2"/>
    <x v="0"/>
    <x v="0"/>
    <x v="2"/>
    <x v="0"/>
  </r>
  <r>
    <x v="0"/>
    <x v="0"/>
    <n v="2239098274"/>
    <x v="2"/>
    <n v="16984"/>
    <x v="0"/>
    <x v="0"/>
    <x v="32"/>
    <x v="2"/>
    <x v="0"/>
    <x v="0"/>
    <x v="2"/>
    <x v="0"/>
  </r>
  <r>
    <x v="0"/>
    <x v="0"/>
    <n v="2239098275"/>
    <x v="7"/>
    <n v="1500"/>
    <x v="0"/>
    <x v="0"/>
    <x v="32"/>
    <x v="7"/>
    <x v="0"/>
    <x v="0"/>
    <x v="1"/>
    <x v="0"/>
  </r>
  <r>
    <x v="0"/>
    <x v="0"/>
    <n v="2239098276"/>
    <x v="1"/>
    <n v="1800"/>
    <x v="0"/>
    <x v="0"/>
    <x v="32"/>
    <x v="1"/>
    <x v="0"/>
    <x v="0"/>
    <x v="1"/>
    <x v="0"/>
  </r>
  <r>
    <x v="0"/>
    <x v="0"/>
    <n v="2239098277"/>
    <x v="1"/>
    <n v="3180"/>
    <x v="0"/>
    <x v="0"/>
    <x v="32"/>
    <x v="1"/>
    <x v="0"/>
    <x v="0"/>
    <x v="1"/>
    <x v="0"/>
  </r>
  <r>
    <x v="0"/>
    <x v="0"/>
    <n v="2239098279"/>
    <x v="1"/>
    <n v="2700"/>
    <x v="0"/>
    <x v="0"/>
    <x v="32"/>
    <x v="1"/>
    <x v="0"/>
    <x v="0"/>
    <x v="1"/>
    <x v="0"/>
  </r>
  <r>
    <x v="0"/>
    <x v="0"/>
    <n v="2239098280"/>
    <x v="6"/>
    <n v="3250"/>
    <x v="0"/>
    <x v="0"/>
    <x v="32"/>
    <x v="6"/>
    <x v="0"/>
    <x v="0"/>
    <x v="5"/>
    <x v="0"/>
  </r>
  <r>
    <x v="0"/>
    <x v="0"/>
    <n v="2239098281"/>
    <x v="6"/>
    <n v="7600"/>
    <x v="0"/>
    <x v="0"/>
    <x v="32"/>
    <x v="6"/>
    <x v="0"/>
    <x v="0"/>
    <x v="5"/>
    <x v="0"/>
  </r>
  <r>
    <x v="0"/>
    <x v="0"/>
    <n v="2239098282"/>
    <x v="2"/>
    <n v="3250"/>
    <x v="0"/>
    <x v="0"/>
    <x v="32"/>
    <x v="2"/>
    <x v="0"/>
    <x v="0"/>
    <x v="2"/>
    <x v="0"/>
  </r>
  <r>
    <x v="0"/>
    <x v="0"/>
    <n v="2239098283"/>
    <x v="1"/>
    <n v="1140"/>
    <x v="0"/>
    <x v="0"/>
    <x v="32"/>
    <x v="1"/>
    <x v="0"/>
    <x v="0"/>
    <x v="1"/>
    <x v="0"/>
  </r>
  <r>
    <x v="0"/>
    <x v="0"/>
    <n v="2239098284"/>
    <x v="2"/>
    <n v="53240"/>
    <x v="0"/>
    <x v="0"/>
    <x v="32"/>
    <x v="2"/>
    <x v="0"/>
    <x v="0"/>
    <x v="2"/>
    <x v="0"/>
  </r>
  <r>
    <x v="0"/>
    <x v="0"/>
    <n v="2239098285"/>
    <x v="1"/>
    <n v="19210"/>
    <x v="0"/>
    <x v="0"/>
    <x v="32"/>
    <x v="1"/>
    <x v="0"/>
    <x v="0"/>
    <x v="1"/>
    <x v="0"/>
  </r>
  <r>
    <x v="0"/>
    <x v="0"/>
    <n v="2239098286"/>
    <x v="2"/>
    <n v="229735"/>
    <x v="0"/>
    <x v="0"/>
    <x v="32"/>
    <x v="2"/>
    <x v="0"/>
    <x v="0"/>
    <x v="2"/>
    <x v="0"/>
  </r>
  <r>
    <x v="0"/>
    <x v="0"/>
    <n v="2239098287"/>
    <x v="3"/>
    <n v="4250"/>
    <x v="0"/>
    <x v="0"/>
    <x v="32"/>
    <x v="3"/>
    <x v="0"/>
    <x v="0"/>
    <x v="3"/>
    <x v="0"/>
  </r>
  <r>
    <x v="0"/>
    <x v="0"/>
    <n v="2239098288"/>
    <x v="1"/>
    <n v="2040"/>
    <x v="0"/>
    <x v="0"/>
    <x v="32"/>
    <x v="1"/>
    <x v="0"/>
    <x v="0"/>
    <x v="1"/>
    <x v="0"/>
  </r>
  <r>
    <x v="0"/>
    <x v="0"/>
    <n v="2239098290"/>
    <x v="4"/>
    <n v="9400"/>
    <x v="0"/>
    <x v="0"/>
    <x v="32"/>
    <x v="4"/>
    <x v="0"/>
    <x v="0"/>
    <x v="4"/>
    <x v="0"/>
  </r>
  <r>
    <x v="0"/>
    <x v="0"/>
    <n v="2239098291"/>
    <x v="3"/>
    <n v="19745"/>
    <x v="0"/>
    <x v="0"/>
    <x v="32"/>
    <x v="3"/>
    <x v="0"/>
    <x v="0"/>
    <x v="3"/>
    <x v="0"/>
  </r>
  <r>
    <x v="0"/>
    <x v="0"/>
    <n v="2239098292"/>
    <x v="7"/>
    <n v="1500"/>
    <x v="0"/>
    <x v="0"/>
    <x v="32"/>
    <x v="7"/>
    <x v="0"/>
    <x v="0"/>
    <x v="1"/>
    <x v="0"/>
  </r>
  <r>
    <x v="0"/>
    <x v="0"/>
    <n v="2239098293"/>
    <x v="7"/>
    <n v="1500"/>
    <x v="0"/>
    <x v="0"/>
    <x v="32"/>
    <x v="7"/>
    <x v="0"/>
    <x v="0"/>
    <x v="1"/>
    <x v="0"/>
  </r>
  <r>
    <x v="0"/>
    <x v="0"/>
    <n v="2239098294"/>
    <x v="1"/>
    <n v="900"/>
    <x v="0"/>
    <x v="0"/>
    <x v="32"/>
    <x v="1"/>
    <x v="0"/>
    <x v="0"/>
    <x v="1"/>
    <x v="0"/>
  </r>
  <r>
    <x v="0"/>
    <x v="0"/>
    <n v="2239098295"/>
    <x v="1"/>
    <n v="2700"/>
    <x v="0"/>
    <x v="0"/>
    <x v="32"/>
    <x v="1"/>
    <x v="0"/>
    <x v="0"/>
    <x v="1"/>
    <x v="0"/>
  </r>
  <r>
    <x v="0"/>
    <x v="0"/>
    <n v="2239098297"/>
    <x v="3"/>
    <n v="7150"/>
    <x v="0"/>
    <x v="0"/>
    <x v="32"/>
    <x v="3"/>
    <x v="0"/>
    <x v="0"/>
    <x v="3"/>
    <x v="0"/>
  </r>
  <r>
    <x v="0"/>
    <x v="0"/>
    <n v="2239098298"/>
    <x v="1"/>
    <n v="3750"/>
    <x v="0"/>
    <x v="0"/>
    <x v="32"/>
    <x v="1"/>
    <x v="0"/>
    <x v="0"/>
    <x v="1"/>
    <x v="0"/>
  </r>
  <r>
    <x v="0"/>
    <x v="0"/>
    <n v="2239098300"/>
    <x v="2"/>
    <n v="33650"/>
    <x v="0"/>
    <x v="0"/>
    <x v="32"/>
    <x v="2"/>
    <x v="0"/>
    <x v="0"/>
    <x v="2"/>
    <x v="0"/>
  </r>
  <r>
    <x v="0"/>
    <x v="0"/>
    <n v="2239098301"/>
    <x v="1"/>
    <n v="2040"/>
    <x v="0"/>
    <x v="0"/>
    <x v="32"/>
    <x v="1"/>
    <x v="0"/>
    <x v="0"/>
    <x v="1"/>
    <x v="0"/>
  </r>
  <r>
    <x v="0"/>
    <x v="0"/>
    <n v="2239098302"/>
    <x v="1"/>
    <n v="2040"/>
    <x v="0"/>
    <x v="0"/>
    <x v="32"/>
    <x v="1"/>
    <x v="0"/>
    <x v="0"/>
    <x v="1"/>
    <x v="0"/>
  </r>
  <r>
    <x v="0"/>
    <x v="0"/>
    <n v="2239098303"/>
    <x v="3"/>
    <n v="11495"/>
    <x v="0"/>
    <x v="0"/>
    <x v="32"/>
    <x v="3"/>
    <x v="0"/>
    <x v="0"/>
    <x v="3"/>
    <x v="0"/>
  </r>
  <r>
    <x v="0"/>
    <x v="0"/>
    <n v="2239098304"/>
    <x v="7"/>
    <n v="1500"/>
    <x v="0"/>
    <x v="0"/>
    <x v="32"/>
    <x v="7"/>
    <x v="0"/>
    <x v="0"/>
    <x v="1"/>
    <x v="0"/>
  </r>
  <r>
    <x v="0"/>
    <x v="0"/>
    <n v="2239098305"/>
    <x v="5"/>
    <n v="-3300"/>
    <x v="0"/>
    <x v="0"/>
    <x v="32"/>
    <x v="5"/>
    <x v="0"/>
    <x v="0"/>
    <x v="5"/>
    <x v="0"/>
  </r>
  <r>
    <x v="0"/>
    <x v="0"/>
    <n v="2239098305"/>
    <x v="6"/>
    <n v="20000"/>
    <x v="0"/>
    <x v="0"/>
    <x v="32"/>
    <x v="6"/>
    <x v="0"/>
    <x v="0"/>
    <x v="5"/>
    <x v="0"/>
  </r>
  <r>
    <x v="0"/>
    <x v="0"/>
    <n v="2239098306"/>
    <x v="3"/>
    <n v="19470"/>
    <x v="0"/>
    <x v="0"/>
    <x v="32"/>
    <x v="3"/>
    <x v="0"/>
    <x v="0"/>
    <x v="3"/>
    <x v="0"/>
  </r>
  <r>
    <x v="0"/>
    <x v="0"/>
    <n v="2239098307"/>
    <x v="7"/>
    <n v="1500"/>
    <x v="0"/>
    <x v="0"/>
    <x v="32"/>
    <x v="7"/>
    <x v="0"/>
    <x v="0"/>
    <x v="1"/>
    <x v="0"/>
  </r>
  <r>
    <x v="0"/>
    <x v="0"/>
    <n v="2239098308"/>
    <x v="5"/>
    <n v="-7800"/>
    <x v="0"/>
    <x v="0"/>
    <x v="32"/>
    <x v="5"/>
    <x v="0"/>
    <x v="0"/>
    <x v="5"/>
    <x v="0"/>
  </r>
  <r>
    <x v="0"/>
    <x v="0"/>
    <n v="2239098308"/>
    <x v="6"/>
    <n v="20000"/>
    <x v="0"/>
    <x v="0"/>
    <x v="32"/>
    <x v="6"/>
    <x v="0"/>
    <x v="0"/>
    <x v="5"/>
    <x v="0"/>
  </r>
  <r>
    <x v="0"/>
    <x v="0"/>
    <n v="2239098309"/>
    <x v="2"/>
    <n v="54615"/>
    <x v="0"/>
    <x v="0"/>
    <x v="32"/>
    <x v="2"/>
    <x v="0"/>
    <x v="0"/>
    <x v="2"/>
    <x v="0"/>
  </r>
  <r>
    <x v="0"/>
    <x v="0"/>
    <n v="2239098309"/>
    <x v="7"/>
    <n v="4250"/>
    <x v="0"/>
    <x v="0"/>
    <x v="32"/>
    <x v="7"/>
    <x v="0"/>
    <x v="0"/>
    <x v="1"/>
    <x v="0"/>
  </r>
  <r>
    <x v="0"/>
    <x v="0"/>
    <n v="2239098311"/>
    <x v="1"/>
    <n v="1350"/>
    <x v="0"/>
    <x v="0"/>
    <x v="32"/>
    <x v="1"/>
    <x v="0"/>
    <x v="0"/>
    <x v="1"/>
    <x v="0"/>
  </r>
  <r>
    <x v="0"/>
    <x v="0"/>
    <n v="2239098312"/>
    <x v="5"/>
    <n v="-300"/>
    <x v="0"/>
    <x v="0"/>
    <x v="32"/>
    <x v="5"/>
    <x v="0"/>
    <x v="0"/>
    <x v="5"/>
    <x v="0"/>
  </r>
  <r>
    <x v="0"/>
    <x v="0"/>
    <n v="2239098312"/>
    <x v="4"/>
    <n v="6000"/>
    <x v="0"/>
    <x v="0"/>
    <x v="32"/>
    <x v="4"/>
    <x v="0"/>
    <x v="0"/>
    <x v="4"/>
    <x v="0"/>
  </r>
  <r>
    <x v="0"/>
    <x v="0"/>
    <n v="2239098313"/>
    <x v="7"/>
    <n v="1500"/>
    <x v="0"/>
    <x v="0"/>
    <x v="32"/>
    <x v="7"/>
    <x v="0"/>
    <x v="0"/>
    <x v="1"/>
    <x v="0"/>
  </r>
  <r>
    <x v="0"/>
    <x v="0"/>
    <n v="2239098314"/>
    <x v="6"/>
    <n v="100000"/>
    <x v="0"/>
    <x v="0"/>
    <x v="32"/>
    <x v="6"/>
    <x v="0"/>
    <x v="0"/>
    <x v="5"/>
    <x v="0"/>
  </r>
  <r>
    <x v="0"/>
    <x v="0"/>
    <n v="2239098314"/>
    <x v="7"/>
    <n v="13000"/>
    <x v="0"/>
    <x v="0"/>
    <x v="32"/>
    <x v="7"/>
    <x v="0"/>
    <x v="0"/>
    <x v="1"/>
    <x v="0"/>
  </r>
  <r>
    <x v="0"/>
    <x v="0"/>
    <n v="2239098315"/>
    <x v="7"/>
    <n v="1500"/>
    <x v="0"/>
    <x v="0"/>
    <x v="32"/>
    <x v="7"/>
    <x v="0"/>
    <x v="0"/>
    <x v="1"/>
    <x v="0"/>
  </r>
  <r>
    <x v="0"/>
    <x v="0"/>
    <n v="2239098316"/>
    <x v="3"/>
    <n v="33000"/>
    <x v="0"/>
    <x v="0"/>
    <x v="32"/>
    <x v="3"/>
    <x v="0"/>
    <x v="0"/>
    <x v="3"/>
    <x v="0"/>
  </r>
  <r>
    <x v="0"/>
    <x v="0"/>
    <n v="2239098317"/>
    <x v="2"/>
    <n v="19750"/>
    <x v="0"/>
    <x v="0"/>
    <x v="32"/>
    <x v="2"/>
    <x v="0"/>
    <x v="0"/>
    <x v="2"/>
    <x v="0"/>
  </r>
  <r>
    <x v="0"/>
    <x v="0"/>
    <n v="2239098319"/>
    <x v="2"/>
    <n v="6500"/>
    <x v="0"/>
    <x v="0"/>
    <x v="32"/>
    <x v="2"/>
    <x v="0"/>
    <x v="0"/>
    <x v="2"/>
    <x v="0"/>
  </r>
  <r>
    <x v="0"/>
    <x v="0"/>
    <n v="2239098321"/>
    <x v="2"/>
    <n v="15070"/>
    <x v="0"/>
    <x v="0"/>
    <x v="32"/>
    <x v="2"/>
    <x v="0"/>
    <x v="0"/>
    <x v="2"/>
    <x v="0"/>
  </r>
  <r>
    <x v="0"/>
    <x v="0"/>
    <n v="2239098322"/>
    <x v="5"/>
    <n v="-6100"/>
    <x v="0"/>
    <x v="0"/>
    <x v="32"/>
    <x v="5"/>
    <x v="0"/>
    <x v="0"/>
    <x v="5"/>
    <x v="0"/>
  </r>
  <r>
    <x v="0"/>
    <x v="0"/>
    <n v="2239098322"/>
    <x v="4"/>
    <n v="10500"/>
    <x v="0"/>
    <x v="0"/>
    <x v="32"/>
    <x v="4"/>
    <x v="0"/>
    <x v="0"/>
    <x v="4"/>
    <x v="0"/>
  </r>
  <r>
    <x v="0"/>
    <x v="0"/>
    <n v="2239098323"/>
    <x v="2"/>
    <n v="2500"/>
    <x v="0"/>
    <x v="0"/>
    <x v="32"/>
    <x v="2"/>
    <x v="0"/>
    <x v="0"/>
    <x v="2"/>
    <x v="0"/>
  </r>
  <r>
    <x v="0"/>
    <x v="0"/>
    <n v="2239098324"/>
    <x v="6"/>
    <n v="1000"/>
    <x v="0"/>
    <x v="0"/>
    <x v="32"/>
    <x v="6"/>
    <x v="0"/>
    <x v="0"/>
    <x v="5"/>
    <x v="0"/>
  </r>
  <r>
    <x v="0"/>
    <x v="0"/>
    <n v="2239098325"/>
    <x v="5"/>
    <n v="-5000"/>
    <x v="0"/>
    <x v="0"/>
    <x v="32"/>
    <x v="5"/>
    <x v="0"/>
    <x v="0"/>
    <x v="5"/>
    <x v="0"/>
  </r>
  <r>
    <x v="0"/>
    <x v="0"/>
    <n v="2239098325"/>
    <x v="4"/>
    <n v="10000"/>
    <x v="0"/>
    <x v="0"/>
    <x v="32"/>
    <x v="4"/>
    <x v="0"/>
    <x v="0"/>
    <x v="4"/>
    <x v="0"/>
  </r>
  <r>
    <x v="0"/>
    <x v="0"/>
    <n v="2239098326"/>
    <x v="1"/>
    <n v="1140"/>
    <x v="0"/>
    <x v="0"/>
    <x v="32"/>
    <x v="1"/>
    <x v="0"/>
    <x v="0"/>
    <x v="1"/>
    <x v="0"/>
  </r>
  <r>
    <x v="0"/>
    <x v="0"/>
    <n v="2239098327"/>
    <x v="2"/>
    <n v="9625"/>
    <x v="0"/>
    <x v="0"/>
    <x v="32"/>
    <x v="2"/>
    <x v="0"/>
    <x v="0"/>
    <x v="2"/>
    <x v="0"/>
  </r>
  <r>
    <x v="0"/>
    <x v="0"/>
    <n v="2239098328"/>
    <x v="2"/>
    <n v="30745"/>
    <x v="0"/>
    <x v="0"/>
    <x v="32"/>
    <x v="2"/>
    <x v="0"/>
    <x v="0"/>
    <x v="2"/>
    <x v="0"/>
  </r>
  <r>
    <x v="0"/>
    <x v="0"/>
    <n v="2239098330"/>
    <x v="2"/>
    <n v="12595"/>
    <x v="0"/>
    <x v="0"/>
    <x v="32"/>
    <x v="2"/>
    <x v="0"/>
    <x v="0"/>
    <x v="2"/>
    <x v="0"/>
  </r>
  <r>
    <x v="0"/>
    <x v="0"/>
    <n v="2239098331"/>
    <x v="3"/>
    <n v="18425"/>
    <x v="0"/>
    <x v="0"/>
    <x v="32"/>
    <x v="3"/>
    <x v="0"/>
    <x v="0"/>
    <x v="3"/>
    <x v="0"/>
  </r>
  <r>
    <x v="0"/>
    <x v="0"/>
    <n v="2239098332"/>
    <x v="7"/>
    <n v="1500"/>
    <x v="0"/>
    <x v="0"/>
    <x v="32"/>
    <x v="7"/>
    <x v="0"/>
    <x v="0"/>
    <x v="1"/>
    <x v="0"/>
  </r>
  <r>
    <x v="0"/>
    <x v="0"/>
    <n v="2239098333"/>
    <x v="5"/>
    <n v="-50"/>
    <x v="0"/>
    <x v="0"/>
    <x v="32"/>
    <x v="5"/>
    <x v="0"/>
    <x v="0"/>
    <x v="5"/>
    <x v="0"/>
  </r>
  <r>
    <x v="0"/>
    <x v="0"/>
    <n v="2239098333"/>
    <x v="6"/>
    <n v="3300"/>
    <x v="0"/>
    <x v="0"/>
    <x v="32"/>
    <x v="6"/>
    <x v="0"/>
    <x v="0"/>
    <x v="5"/>
    <x v="0"/>
  </r>
  <r>
    <x v="0"/>
    <x v="0"/>
    <n v="2239098334"/>
    <x v="2"/>
    <n v="27610"/>
    <x v="0"/>
    <x v="0"/>
    <x v="32"/>
    <x v="2"/>
    <x v="0"/>
    <x v="0"/>
    <x v="2"/>
    <x v="0"/>
  </r>
  <r>
    <x v="0"/>
    <x v="0"/>
    <n v="2239098335"/>
    <x v="1"/>
    <n v="1350"/>
    <x v="0"/>
    <x v="0"/>
    <x v="32"/>
    <x v="1"/>
    <x v="0"/>
    <x v="0"/>
    <x v="1"/>
    <x v="0"/>
  </r>
  <r>
    <x v="0"/>
    <x v="0"/>
    <n v="2239098336"/>
    <x v="5"/>
    <n v="-1100"/>
    <x v="0"/>
    <x v="0"/>
    <x v="32"/>
    <x v="5"/>
    <x v="0"/>
    <x v="0"/>
    <x v="5"/>
    <x v="0"/>
  </r>
  <r>
    <x v="0"/>
    <x v="0"/>
    <n v="2239098336"/>
    <x v="6"/>
    <n v="42000"/>
    <x v="0"/>
    <x v="0"/>
    <x v="32"/>
    <x v="6"/>
    <x v="0"/>
    <x v="0"/>
    <x v="5"/>
    <x v="0"/>
  </r>
  <r>
    <x v="0"/>
    <x v="0"/>
    <n v="2239098337"/>
    <x v="7"/>
    <n v="1500"/>
    <x v="0"/>
    <x v="0"/>
    <x v="32"/>
    <x v="7"/>
    <x v="0"/>
    <x v="0"/>
    <x v="1"/>
    <x v="0"/>
  </r>
  <r>
    <x v="0"/>
    <x v="0"/>
    <n v="2239098338"/>
    <x v="5"/>
    <n v="-1000"/>
    <x v="0"/>
    <x v="0"/>
    <x v="32"/>
    <x v="5"/>
    <x v="0"/>
    <x v="0"/>
    <x v="5"/>
    <x v="0"/>
  </r>
  <r>
    <x v="0"/>
    <x v="0"/>
    <n v="2239098338"/>
    <x v="4"/>
    <n v="5400"/>
    <x v="0"/>
    <x v="0"/>
    <x v="32"/>
    <x v="4"/>
    <x v="0"/>
    <x v="0"/>
    <x v="4"/>
    <x v="0"/>
  </r>
  <r>
    <x v="0"/>
    <x v="0"/>
    <n v="2239098339"/>
    <x v="1"/>
    <n v="1725"/>
    <x v="0"/>
    <x v="0"/>
    <x v="32"/>
    <x v="1"/>
    <x v="0"/>
    <x v="0"/>
    <x v="1"/>
    <x v="0"/>
  </r>
  <r>
    <x v="0"/>
    <x v="0"/>
    <n v="2239098340"/>
    <x v="6"/>
    <n v="6000"/>
    <x v="0"/>
    <x v="0"/>
    <x v="32"/>
    <x v="6"/>
    <x v="0"/>
    <x v="0"/>
    <x v="5"/>
    <x v="0"/>
  </r>
  <r>
    <x v="0"/>
    <x v="0"/>
    <n v="2239098341"/>
    <x v="7"/>
    <n v="1500"/>
    <x v="0"/>
    <x v="0"/>
    <x v="32"/>
    <x v="7"/>
    <x v="0"/>
    <x v="0"/>
    <x v="1"/>
    <x v="0"/>
  </r>
  <r>
    <x v="0"/>
    <x v="0"/>
    <n v="2239098342"/>
    <x v="2"/>
    <n v="10500"/>
    <x v="0"/>
    <x v="0"/>
    <x v="32"/>
    <x v="2"/>
    <x v="0"/>
    <x v="0"/>
    <x v="2"/>
    <x v="0"/>
  </r>
  <r>
    <x v="0"/>
    <x v="0"/>
    <n v="2239098343"/>
    <x v="7"/>
    <n v="1500"/>
    <x v="0"/>
    <x v="0"/>
    <x v="32"/>
    <x v="7"/>
    <x v="0"/>
    <x v="0"/>
    <x v="1"/>
    <x v="0"/>
  </r>
  <r>
    <x v="0"/>
    <x v="0"/>
    <n v="2239098344"/>
    <x v="5"/>
    <n v="-1400"/>
    <x v="0"/>
    <x v="0"/>
    <x v="32"/>
    <x v="5"/>
    <x v="0"/>
    <x v="0"/>
    <x v="5"/>
    <x v="0"/>
  </r>
  <r>
    <x v="0"/>
    <x v="0"/>
    <n v="2239098344"/>
    <x v="6"/>
    <n v="20000"/>
    <x v="0"/>
    <x v="0"/>
    <x v="32"/>
    <x v="6"/>
    <x v="0"/>
    <x v="0"/>
    <x v="5"/>
    <x v="0"/>
  </r>
  <r>
    <x v="0"/>
    <x v="0"/>
    <n v="2239098345"/>
    <x v="6"/>
    <n v="3600"/>
    <x v="0"/>
    <x v="0"/>
    <x v="32"/>
    <x v="6"/>
    <x v="0"/>
    <x v="0"/>
    <x v="5"/>
    <x v="0"/>
  </r>
  <r>
    <x v="0"/>
    <x v="0"/>
    <n v="2239098346"/>
    <x v="5"/>
    <n v="-14300"/>
    <x v="0"/>
    <x v="0"/>
    <x v="32"/>
    <x v="5"/>
    <x v="0"/>
    <x v="0"/>
    <x v="5"/>
    <x v="0"/>
  </r>
  <r>
    <x v="0"/>
    <x v="0"/>
    <n v="2239098346"/>
    <x v="4"/>
    <n v="20000"/>
    <x v="0"/>
    <x v="0"/>
    <x v="32"/>
    <x v="4"/>
    <x v="0"/>
    <x v="0"/>
    <x v="4"/>
    <x v="0"/>
  </r>
  <r>
    <x v="0"/>
    <x v="0"/>
    <n v="2239098347"/>
    <x v="2"/>
    <n v="8800"/>
    <x v="0"/>
    <x v="0"/>
    <x v="32"/>
    <x v="2"/>
    <x v="0"/>
    <x v="0"/>
    <x v="2"/>
    <x v="0"/>
  </r>
  <r>
    <x v="0"/>
    <x v="0"/>
    <n v="2239098348"/>
    <x v="2"/>
    <n v="8250"/>
    <x v="0"/>
    <x v="0"/>
    <x v="32"/>
    <x v="2"/>
    <x v="0"/>
    <x v="0"/>
    <x v="2"/>
    <x v="0"/>
  </r>
  <r>
    <x v="0"/>
    <x v="0"/>
    <n v="2239098349"/>
    <x v="5"/>
    <n v="-2000"/>
    <x v="0"/>
    <x v="0"/>
    <x v="32"/>
    <x v="5"/>
    <x v="0"/>
    <x v="0"/>
    <x v="5"/>
    <x v="0"/>
  </r>
  <r>
    <x v="0"/>
    <x v="0"/>
    <n v="2239098349"/>
    <x v="6"/>
    <n v="5000"/>
    <x v="0"/>
    <x v="0"/>
    <x v="32"/>
    <x v="6"/>
    <x v="0"/>
    <x v="0"/>
    <x v="5"/>
    <x v="0"/>
  </r>
  <r>
    <x v="0"/>
    <x v="0"/>
    <n v="2239098350"/>
    <x v="3"/>
    <n v="16500"/>
    <x v="0"/>
    <x v="0"/>
    <x v="32"/>
    <x v="3"/>
    <x v="0"/>
    <x v="0"/>
    <x v="3"/>
    <x v="0"/>
  </r>
  <r>
    <x v="0"/>
    <x v="0"/>
    <n v="2239098351"/>
    <x v="7"/>
    <n v="1500"/>
    <x v="0"/>
    <x v="0"/>
    <x v="32"/>
    <x v="7"/>
    <x v="0"/>
    <x v="0"/>
    <x v="1"/>
    <x v="0"/>
  </r>
  <r>
    <x v="0"/>
    <x v="0"/>
    <n v="2239098352"/>
    <x v="7"/>
    <n v="1500"/>
    <x v="0"/>
    <x v="0"/>
    <x v="32"/>
    <x v="7"/>
    <x v="0"/>
    <x v="0"/>
    <x v="1"/>
    <x v="0"/>
  </r>
  <r>
    <x v="0"/>
    <x v="0"/>
    <n v="2239098354"/>
    <x v="1"/>
    <n v="2100"/>
    <x v="0"/>
    <x v="0"/>
    <x v="32"/>
    <x v="1"/>
    <x v="0"/>
    <x v="0"/>
    <x v="1"/>
    <x v="0"/>
  </r>
  <r>
    <x v="0"/>
    <x v="0"/>
    <n v="2239098355"/>
    <x v="3"/>
    <n v="7700"/>
    <x v="0"/>
    <x v="0"/>
    <x v="32"/>
    <x v="3"/>
    <x v="0"/>
    <x v="0"/>
    <x v="3"/>
    <x v="0"/>
  </r>
  <r>
    <x v="0"/>
    <x v="0"/>
    <n v="2239098356"/>
    <x v="5"/>
    <n v="-1460"/>
    <x v="0"/>
    <x v="0"/>
    <x v="32"/>
    <x v="5"/>
    <x v="0"/>
    <x v="0"/>
    <x v="5"/>
    <x v="0"/>
  </r>
  <r>
    <x v="0"/>
    <x v="0"/>
    <n v="2239098356"/>
    <x v="6"/>
    <n v="20000"/>
    <x v="0"/>
    <x v="0"/>
    <x v="32"/>
    <x v="6"/>
    <x v="0"/>
    <x v="0"/>
    <x v="5"/>
    <x v="0"/>
  </r>
  <r>
    <x v="0"/>
    <x v="0"/>
    <n v="2239098357"/>
    <x v="7"/>
    <n v="1500"/>
    <x v="0"/>
    <x v="0"/>
    <x v="32"/>
    <x v="7"/>
    <x v="0"/>
    <x v="0"/>
    <x v="1"/>
    <x v="0"/>
  </r>
  <r>
    <x v="0"/>
    <x v="0"/>
    <n v="2239098358"/>
    <x v="2"/>
    <n v="6000"/>
    <x v="0"/>
    <x v="0"/>
    <x v="32"/>
    <x v="2"/>
    <x v="0"/>
    <x v="0"/>
    <x v="2"/>
    <x v="0"/>
  </r>
  <r>
    <x v="0"/>
    <x v="0"/>
    <n v="2239098359"/>
    <x v="3"/>
    <n v="6500"/>
    <x v="0"/>
    <x v="0"/>
    <x v="32"/>
    <x v="3"/>
    <x v="0"/>
    <x v="0"/>
    <x v="3"/>
    <x v="0"/>
  </r>
  <r>
    <x v="0"/>
    <x v="0"/>
    <n v="2239098360"/>
    <x v="2"/>
    <n v="7000"/>
    <x v="0"/>
    <x v="0"/>
    <x v="32"/>
    <x v="2"/>
    <x v="0"/>
    <x v="0"/>
    <x v="2"/>
    <x v="0"/>
  </r>
  <r>
    <x v="0"/>
    <x v="0"/>
    <n v="2239098361"/>
    <x v="5"/>
    <n v="-4700"/>
    <x v="0"/>
    <x v="0"/>
    <x v="32"/>
    <x v="5"/>
    <x v="0"/>
    <x v="0"/>
    <x v="5"/>
    <x v="0"/>
  </r>
  <r>
    <x v="0"/>
    <x v="0"/>
    <n v="2239098361"/>
    <x v="4"/>
    <n v="10000"/>
    <x v="0"/>
    <x v="0"/>
    <x v="32"/>
    <x v="4"/>
    <x v="0"/>
    <x v="0"/>
    <x v="4"/>
    <x v="0"/>
  </r>
  <r>
    <x v="0"/>
    <x v="0"/>
    <n v="2239098362"/>
    <x v="5"/>
    <n v="-17550"/>
    <x v="0"/>
    <x v="0"/>
    <x v="32"/>
    <x v="5"/>
    <x v="0"/>
    <x v="0"/>
    <x v="5"/>
    <x v="0"/>
  </r>
  <r>
    <x v="0"/>
    <x v="0"/>
    <n v="2239098362"/>
    <x v="6"/>
    <n v="20000"/>
    <x v="0"/>
    <x v="0"/>
    <x v="32"/>
    <x v="6"/>
    <x v="0"/>
    <x v="0"/>
    <x v="5"/>
    <x v="0"/>
  </r>
  <r>
    <x v="0"/>
    <x v="0"/>
    <n v="2239098363"/>
    <x v="2"/>
    <n v="14300"/>
    <x v="0"/>
    <x v="0"/>
    <x v="32"/>
    <x v="2"/>
    <x v="0"/>
    <x v="0"/>
    <x v="2"/>
    <x v="0"/>
  </r>
  <r>
    <x v="0"/>
    <x v="0"/>
    <n v="2239098364"/>
    <x v="5"/>
    <n v="-2340"/>
    <x v="0"/>
    <x v="0"/>
    <x v="32"/>
    <x v="5"/>
    <x v="0"/>
    <x v="0"/>
    <x v="5"/>
    <x v="0"/>
  </r>
  <r>
    <x v="0"/>
    <x v="0"/>
    <n v="2239098364"/>
    <x v="6"/>
    <n v="5000"/>
    <x v="0"/>
    <x v="0"/>
    <x v="32"/>
    <x v="6"/>
    <x v="0"/>
    <x v="0"/>
    <x v="5"/>
    <x v="0"/>
  </r>
  <r>
    <x v="0"/>
    <x v="0"/>
    <n v="2239098365"/>
    <x v="5"/>
    <n v="-4100"/>
    <x v="0"/>
    <x v="0"/>
    <x v="32"/>
    <x v="5"/>
    <x v="0"/>
    <x v="0"/>
    <x v="5"/>
    <x v="0"/>
  </r>
  <r>
    <x v="0"/>
    <x v="0"/>
    <n v="2239098365"/>
    <x v="6"/>
    <n v="20000"/>
    <x v="0"/>
    <x v="0"/>
    <x v="32"/>
    <x v="6"/>
    <x v="0"/>
    <x v="0"/>
    <x v="5"/>
    <x v="0"/>
  </r>
  <r>
    <x v="0"/>
    <x v="0"/>
    <n v="2239098366"/>
    <x v="5"/>
    <n v="-1170"/>
    <x v="0"/>
    <x v="0"/>
    <x v="32"/>
    <x v="5"/>
    <x v="0"/>
    <x v="0"/>
    <x v="5"/>
    <x v="0"/>
  </r>
  <r>
    <x v="0"/>
    <x v="0"/>
    <n v="2239098366"/>
    <x v="6"/>
    <n v="20000"/>
    <x v="0"/>
    <x v="0"/>
    <x v="32"/>
    <x v="6"/>
    <x v="0"/>
    <x v="0"/>
    <x v="5"/>
    <x v="0"/>
  </r>
  <r>
    <x v="0"/>
    <x v="0"/>
    <n v="2239098367"/>
    <x v="1"/>
    <n v="6500"/>
    <x v="0"/>
    <x v="0"/>
    <x v="32"/>
    <x v="1"/>
    <x v="0"/>
    <x v="0"/>
    <x v="1"/>
    <x v="0"/>
  </r>
  <r>
    <x v="0"/>
    <x v="0"/>
    <n v="2239098368"/>
    <x v="5"/>
    <n v="-1700"/>
    <x v="0"/>
    <x v="0"/>
    <x v="32"/>
    <x v="5"/>
    <x v="0"/>
    <x v="0"/>
    <x v="5"/>
    <x v="0"/>
  </r>
  <r>
    <x v="0"/>
    <x v="0"/>
    <n v="2239098368"/>
    <x v="6"/>
    <n v="15000"/>
    <x v="0"/>
    <x v="0"/>
    <x v="32"/>
    <x v="6"/>
    <x v="0"/>
    <x v="0"/>
    <x v="5"/>
    <x v="0"/>
  </r>
  <r>
    <x v="0"/>
    <x v="0"/>
    <n v="2239098369"/>
    <x v="1"/>
    <n v="1500"/>
    <x v="0"/>
    <x v="0"/>
    <x v="32"/>
    <x v="1"/>
    <x v="0"/>
    <x v="0"/>
    <x v="1"/>
    <x v="0"/>
  </r>
  <r>
    <x v="0"/>
    <x v="0"/>
    <n v="2239098370"/>
    <x v="2"/>
    <n v="12650"/>
    <x v="0"/>
    <x v="0"/>
    <x v="32"/>
    <x v="2"/>
    <x v="0"/>
    <x v="0"/>
    <x v="2"/>
    <x v="0"/>
  </r>
  <r>
    <x v="0"/>
    <x v="0"/>
    <n v="2239098371"/>
    <x v="7"/>
    <n v="1500"/>
    <x v="0"/>
    <x v="0"/>
    <x v="32"/>
    <x v="7"/>
    <x v="0"/>
    <x v="0"/>
    <x v="1"/>
    <x v="0"/>
  </r>
  <r>
    <x v="0"/>
    <x v="0"/>
    <n v="2239098372"/>
    <x v="2"/>
    <n v="6500"/>
    <x v="0"/>
    <x v="0"/>
    <x v="32"/>
    <x v="2"/>
    <x v="0"/>
    <x v="0"/>
    <x v="2"/>
    <x v="0"/>
  </r>
  <r>
    <x v="0"/>
    <x v="0"/>
    <n v="2239098373"/>
    <x v="2"/>
    <n v="6000"/>
    <x v="0"/>
    <x v="0"/>
    <x v="32"/>
    <x v="2"/>
    <x v="0"/>
    <x v="0"/>
    <x v="2"/>
    <x v="0"/>
  </r>
  <r>
    <x v="0"/>
    <x v="0"/>
    <n v="2239098374"/>
    <x v="7"/>
    <n v="1500"/>
    <x v="0"/>
    <x v="0"/>
    <x v="32"/>
    <x v="7"/>
    <x v="0"/>
    <x v="0"/>
    <x v="1"/>
    <x v="0"/>
  </r>
  <r>
    <x v="0"/>
    <x v="0"/>
    <n v="2239098375"/>
    <x v="5"/>
    <n v="-6500"/>
    <x v="0"/>
    <x v="0"/>
    <x v="32"/>
    <x v="5"/>
    <x v="0"/>
    <x v="0"/>
    <x v="5"/>
    <x v="0"/>
  </r>
  <r>
    <x v="0"/>
    <x v="0"/>
    <n v="2239098375"/>
    <x v="6"/>
    <n v="20000"/>
    <x v="0"/>
    <x v="0"/>
    <x v="32"/>
    <x v="6"/>
    <x v="0"/>
    <x v="0"/>
    <x v="5"/>
    <x v="0"/>
  </r>
  <r>
    <x v="0"/>
    <x v="0"/>
    <n v="2239098376"/>
    <x v="5"/>
    <n v="-460"/>
    <x v="0"/>
    <x v="0"/>
    <x v="32"/>
    <x v="5"/>
    <x v="0"/>
    <x v="0"/>
    <x v="5"/>
    <x v="0"/>
  </r>
  <r>
    <x v="0"/>
    <x v="0"/>
    <n v="2239098376"/>
    <x v="6"/>
    <n v="43000"/>
    <x v="0"/>
    <x v="0"/>
    <x v="32"/>
    <x v="6"/>
    <x v="0"/>
    <x v="0"/>
    <x v="5"/>
    <x v="0"/>
  </r>
  <r>
    <x v="0"/>
    <x v="0"/>
    <n v="2239098377"/>
    <x v="5"/>
    <n v="-300"/>
    <x v="0"/>
    <x v="0"/>
    <x v="32"/>
    <x v="5"/>
    <x v="0"/>
    <x v="0"/>
    <x v="5"/>
    <x v="0"/>
  </r>
  <r>
    <x v="0"/>
    <x v="0"/>
    <n v="2239098377"/>
    <x v="4"/>
    <n v="6000"/>
    <x v="0"/>
    <x v="0"/>
    <x v="32"/>
    <x v="4"/>
    <x v="0"/>
    <x v="0"/>
    <x v="4"/>
    <x v="0"/>
  </r>
  <r>
    <x v="0"/>
    <x v="0"/>
    <n v="2239098378"/>
    <x v="7"/>
    <n v="1500"/>
    <x v="0"/>
    <x v="0"/>
    <x v="32"/>
    <x v="7"/>
    <x v="0"/>
    <x v="0"/>
    <x v="1"/>
    <x v="0"/>
  </r>
  <r>
    <x v="0"/>
    <x v="0"/>
    <n v="2239098379"/>
    <x v="7"/>
    <n v="1500"/>
    <x v="0"/>
    <x v="0"/>
    <x v="32"/>
    <x v="7"/>
    <x v="0"/>
    <x v="0"/>
    <x v="1"/>
    <x v="0"/>
  </r>
  <r>
    <x v="0"/>
    <x v="0"/>
    <n v="2239098382"/>
    <x v="2"/>
    <n v="7700"/>
    <x v="0"/>
    <x v="0"/>
    <x v="32"/>
    <x v="2"/>
    <x v="0"/>
    <x v="0"/>
    <x v="2"/>
    <x v="0"/>
  </r>
  <r>
    <x v="0"/>
    <x v="0"/>
    <n v="2239098383"/>
    <x v="7"/>
    <n v="1500"/>
    <x v="0"/>
    <x v="0"/>
    <x v="32"/>
    <x v="7"/>
    <x v="0"/>
    <x v="0"/>
    <x v="1"/>
    <x v="0"/>
  </r>
  <r>
    <x v="0"/>
    <x v="0"/>
    <n v="2239098385"/>
    <x v="7"/>
    <n v="1500"/>
    <x v="0"/>
    <x v="0"/>
    <x v="32"/>
    <x v="7"/>
    <x v="0"/>
    <x v="0"/>
    <x v="1"/>
    <x v="0"/>
  </r>
  <r>
    <x v="0"/>
    <x v="0"/>
    <n v="2239098387"/>
    <x v="5"/>
    <n v="-500"/>
    <x v="0"/>
    <x v="0"/>
    <x v="32"/>
    <x v="5"/>
    <x v="0"/>
    <x v="0"/>
    <x v="5"/>
    <x v="0"/>
  </r>
  <r>
    <x v="0"/>
    <x v="0"/>
    <n v="2239098387"/>
    <x v="6"/>
    <n v="10000"/>
    <x v="0"/>
    <x v="0"/>
    <x v="32"/>
    <x v="6"/>
    <x v="0"/>
    <x v="0"/>
    <x v="5"/>
    <x v="0"/>
  </r>
  <r>
    <x v="0"/>
    <x v="0"/>
    <n v="2239098388"/>
    <x v="7"/>
    <n v="1500"/>
    <x v="0"/>
    <x v="0"/>
    <x v="32"/>
    <x v="7"/>
    <x v="0"/>
    <x v="0"/>
    <x v="1"/>
    <x v="0"/>
  </r>
  <r>
    <x v="0"/>
    <x v="0"/>
    <n v="2239098390"/>
    <x v="7"/>
    <n v="1500"/>
    <x v="0"/>
    <x v="0"/>
    <x v="32"/>
    <x v="7"/>
    <x v="0"/>
    <x v="0"/>
    <x v="1"/>
    <x v="0"/>
  </r>
  <r>
    <x v="0"/>
    <x v="0"/>
    <n v="2239098391"/>
    <x v="5"/>
    <n v="-1250"/>
    <x v="0"/>
    <x v="0"/>
    <x v="32"/>
    <x v="5"/>
    <x v="0"/>
    <x v="0"/>
    <x v="5"/>
    <x v="0"/>
  </r>
  <r>
    <x v="0"/>
    <x v="0"/>
    <n v="2239098391"/>
    <x v="6"/>
    <n v="10000"/>
    <x v="0"/>
    <x v="0"/>
    <x v="32"/>
    <x v="6"/>
    <x v="0"/>
    <x v="0"/>
    <x v="5"/>
    <x v="0"/>
  </r>
  <r>
    <x v="0"/>
    <x v="0"/>
    <n v="2239098392"/>
    <x v="2"/>
    <n v="10000"/>
    <x v="0"/>
    <x v="0"/>
    <x v="32"/>
    <x v="2"/>
    <x v="0"/>
    <x v="0"/>
    <x v="2"/>
    <x v="0"/>
  </r>
  <r>
    <x v="0"/>
    <x v="0"/>
    <n v="2239098393"/>
    <x v="7"/>
    <n v="1500"/>
    <x v="0"/>
    <x v="0"/>
    <x v="32"/>
    <x v="7"/>
    <x v="0"/>
    <x v="0"/>
    <x v="1"/>
    <x v="0"/>
  </r>
  <r>
    <x v="0"/>
    <x v="0"/>
    <n v="2239098394"/>
    <x v="3"/>
    <n v="7150"/>
    <x v="0"/>
    <x v="0"/>
    <x v="32"/>
    <x v="3"/>
    <x v="0"/>
    <x v="0"/>
    <x v="3"/>
    <x v="0"/>
  </r>
  <r>
    <x v="0"/>
    <x v="0"/>
    <n v="2239098395"/>
    <x v="2"/>
    <n v="21450"/>
    <x v="0"/>
    <x v="0"/>
    <x v="32"/>
    <x v="2"/>
    <x v="0"/>
    <x v="0"/>
    <x v="2"/>
    <x v="0"/>
  </r>
  <r>
    <x v="0"/>
    <x v="0"/>
    <n v="2239098397"/>
    <x v="5"/>
    <n v="-4700"/>
    <x v="0"/>
    <x v="0"/>
    <x v="32"/>
    <x v="5"/>
    <x v="0"/>
    <x v="0"/>
    <x v="5"/>
    <x v="0"/>
  </r>
  <r>
    <x v="0"/>
    <x v="0"/>
    <n v="2239098397"/>
    <x v="4"/>
    <n v="10000"/>
    <x v="0"/>
    <x v="0"/>
    <x v="32"/>
    <x v="4"/>
    <x v="0"/>
    <x v="0"/>
    <x v="4"/>
    <x v="0"/>
  </r>
  <r>
    <x v="0"/>
    <x v="0"/>
    <n v="2239098398"/>
    <x v="2"/>
    <n v="15840"/>
    <x v="0"/>
    <x v="0"/>
    <x v="32"/>
    <x v="2"/>
    <x v="0"/>
    <x v="0"/>
    <x v="2"/>
    <x v="0"/>
  </r>
  <r>
    <x v="0"/>
    <x v="0"/>
    <n v="2239098399"/>
    <x v="6"/>
    <n v="3150"/>
    <x v="0"/>
    <x v="0"/>
    <x v="32"/>
    <x v="6"/>
    <x v="0"/>
    <x v="0"/>
    <x v="5"/>
    <x v="0"/>
  </r>
  <r>
    <x v="0"/>
    <x v="0"/>
    <n v="2239098400"/>
    <x v="5"/>
    <n v="-8600"/>
    <x v="0"/>
    <x v="0"/>
    <x v="32"/>
    <x v="5"/>
    <x v="0"/>
    <x v="0"/>
    <x v="5"/>
    <x v="0"/>
  </r>
  <r>
    <x v="0"/>
    <x v="0"/>
    <n v="2239098400"/>
    <x v="4"/>
    <n v="20000"/>
    <x v="0"/>
    <x v="0"/>
    <x v="32"/>
    <x v="4"/>
    <x v="0"/>
    <x v="0"/>
    <x v="4"/>
    <x v="0"/>
  </r>
  <r>
    <x v="0"/>
    <x v="0"/>
    <n v="2239098401"/>
    <x v="2"/>
    <n v="22000"/>
    <x v="0"/>
    <x v="0"/>
    <x v="32"/>
    <x v="2"/>
    <x v="0"/>
    <x v="0"/>
    <x v="2"/>
    <x v="0"/>
  </r>
  <r>
    <x v="0"/>
    <x v="0"/>
    <n v="2239098402"/>
    <x v="7"/>
    <n v="1500"/>
    <x v="0"/>
    <x v="0"/>
    <x v="32"/>
    <x v="7"/>
    <x v="0"/>
    <x v="0"/>
    <x v="1"/>
    <x v="0"/>
  </r>
  <r>
    <x v="0"/>
    <x v="0"/>
    <n v="2239098403"/>
    <x v="7"/>
    <n v="1500"/>
    <x v="0"/>
    <x v="0"/>
    <x v="32"/>
    <x v="7"/>
    <x v="0"/>
    <x v="0"/>
    <x v="1"/>
    <x v="0"/>
  </r>
  <r>
    <x v="0"/>
    <x v="0"/>
    <n v="2239098404"/>
    <x v="2"/>
    <n v="5005"/>
    <x v="0"/>
    <x v="0"/>
    <x v="32"/>
    <x v="2"/>
    <x v="0"/>
    <x v="0"/>
    <x v="2"/>
    <x v="0"/>
  </r>
  <r>
    <x v="0"/>
    <x v="0"/>
    <n v="2239098404"/>
    <x v="7"/>
    <n v="1950"/>
    <x v="0"/>
    <x v="0"/>
    <x v="32"/>
    <x v="7"/>
    <x v="0"/>
    <x v="0"/>
    <x v="1"/>
    <x v="0"/>
  </r>
  <r>
    <x v="0"/>
    <x v="0"/>
    <n v="2239098405"/>
    <x v="5"/>
    <n v="-3600"/>
    <x v="0"/>
    <x v="0"/>
    <x v="32"/>
    <x v="5"/>
    <x v="0"/>
    <x v="0"/>
    <x v="5"/>
    <x v="0"/>
  </r>
  <r>
    <x v="0"/>
    <x v="0"/>
    <n v="2239098405"/>
    <x v="6"/>
    <n v="15000"/>
    <x v="0"/>
    <x v="0"/>
    <x v="32"/>
    <x v="6"/>
    <x v="0"/>
    <x v="0"/>
    <x v="5"/>
    <x v="0"/>
  </r>
  <r>
    <x v="0"/>
    <x v="0"/>
    <n v="2239098406"/>
    <x v="7"/>
    <n v="4800"/>
    <x v="0"/>
    <x v="0"/>
    <x v="32"/>
    <x v="7"/>
    <x v="0"/>
    <x v="0"/>
    <x v="1"/>
    <x v="0"/>
  </r>
  <r>
    <x v="0"/>
    <x v="0"/>
    <n v="2239098407"/>
    <x v="2"/>
    <n v="9000"/>
    <x v="0"/>
    <x v="0"/>
    <x v="32"/>
    <x v="2"/>
    <x v="0"/>
    <x v="0"/>
    <x v="2"/>
    <x v="0"/>
  </r>
  <r>
    <x v="0"/>
    <x v="0"/>
    <n v="2239098408"/>
    <x v="2"/>
    <n v="5000"/>
    <x v="0"/>
    <x v="0"/>
    <x v="32"/>
    <x v="2"/>
    <x v="0"/>
    <x v="0"/>
    <x v="2"/>
    <x v="0"/>
  </r>
  <r>
    <x v="0"/>
    <x v="0"/>
    <n v="2239098409"/>
    <x v="5"/>
    <n v="-3000"/>
    <x v="0"/>
    <x v="0"/>
    <x v="32"/>
    <x v="5"/>
    <x v="0"/>
    <x v="0"/>
    <x v="5"/>
    <x v="0"/>
  </r>
  <r>
    <x v="0"/>
    <x v="0"/>
    <n v="2239098409"/>
    <x v="6"/>
    <n v="15000"/>
    <x v="0"/>
    <x v="0"/>
    <x v="32"/>
    <x v="6"/>
    <x v="0"/>
    <x v="0"/>
    <x v="5"/>
    <x v="0"/>
  </r>
  <r>
    <x v="0"/>
    <x v="0"/>
    <n v="2239098410"/>
    <x v="2"/>
    <n v="6600"/>
    <x v="0"/>
    <x v="0"/>
    <x v="32"/>
    <x v="2"/>
    <x v="0"/>
    <x v="0"/>
    <x v="2"/>
    <x v="0"/>
  </r>
  <r>
    <x v="0"/>
    <x v="0"/>
    <n v="2239098411"/>
    <x v="2"/>
    <n v="23760"/>
    <x v="0"/>
    <x v="0"/>
    <x v="32"/>
    <x v="2"/>
    <x v="0"/>
    <x v="0"/>
    <x v="2"/>
    <x v="0"/>
  </r>
  <r>
    <x v="0"/>
    <x v="0"/>
    <n v="2239098412"/>
    <x v="2"/>
    <n v="7500"/>
    <x v="0"/>
    <x v="0"/>
    <x v="32"/>
    <x v="2"/>
    <x v="0"/>
    <x v="0"/>
    <x v="2"/>
    <x v="0"/>
  </r>
  <r>
    <x v="0"/>
    <x v="0"/>
    <n v="2239098413"/>
    <x v="2"/>
    <n v="24750"/>
    <x v="0"/>
    <x v="0"/>
    <x v="32"/>
    <x v="2"/>
    <x v="0"/>
    <x v="0"/>
    <x v="2"/>
    <x v="0"/>
  </r>
  <r>
    <x v="0"/>
    <x v="0"/>
    <n v="2239098414"/>
    <x v="2"/>
    <n v="7500"/>
    <x v="0"/>
    <x v="0"/>
    <x v="32"/>
    <x v="2"/>
    <x v="0"/>
    <x v="0"/>
    <x v="2"/>
    <x v="0"/>
  </r>
  <r>
    <x v="0"/>
    <x v="0"/>
    <n v="2239098415"/>
    <x v="3"/>
    <n v="21450"/>
    <x v="0"/>
    <x v="0"/>
    <x v="32"/>
    <x v="3"/>
    <x v="0"/>
    <x v="0"/>
    <x v="3"/>
    <x v="0"/>
  </r>
  <r>
    <x v="0"/>
    <x v="0"/>
    <n v="2239098416"/>
    <x v="2"/>
    <n v="14400"/>
    <x v="0"/>
    <x v="0"/>
    <x v="32"/>
    <x v="2"/>
    <x v="0"/>
    <x v="0"/>
    <x v="2"/>
    <x v="0"/>
  </r>
  <r>
    <x v="0"/>
    <x v="0"/>
    <n v="2239098417"/>
    <x v="5"/>
    <n v="-7000"/>
    <x v="0"/>
    <x v="0"/>
    <x v="32"/>
    <x v="5"/>
    <x v="0"/>
    <x v="0"/>
    <x v="5"/>
    <x v="0"/>
  </r>
  <r>
    <x v="0"/>
    <x v="0"/>
    <n v="2239098417"/>
    <x v="6"/>
    <n v="10500"/>
    <x v="0"/>
    <x v="0"/>
    <x v="32"/>
    <x v="6"/>
    <x v="0"/>
    <x v="0"/>
    <x v="5"/>
    <x v="0"/>
  </r>
  <r>
    <x v="0"/>
    <x v="0"/>
    <n v="2239098418"/>
    <x v="5"/>
    <n v="-300"/>
    <x v="0"/>
    <x v="0"/>
    <x v="32"/>
    <x v="5"/>
    <x v="0"/>
    <x v="0"/>
    <x v="5"/>
    <x v="0"/>
  </r>
  <r>
    <x v="0"/>
    <x v="0"/>
    <n v="2239098418"/>
    <x v="4"/>
    <n v="6000"/>
    <x v="0"/>
    <x v="0"/>
    <x v="32"/>
    <x v="4"/>
    <x v="0"/>
    <x v="0"/>
    <x v="4"/>
    <x v="0"/>
  </r>
  <r>
    <x v="0"/>
    <x v="0"/>
    <n v="2239098419"/>
    <x v="7"/>
    <n v="1500"/>
    <x v="0"/>
    <x v="0"/>
    <x v="32"/>
    <x v="7"/>
    <x v="0"/>
    <x v="0"/>
    <x v="1"/>
    <x v="0"/>
  </r>
  <r>
    <x v="0"/>
    <x v="0"/>
    <n v="2239098421"/>
    <x v="5"/>
    <n v="-8500"/>
    <x v="0"/>
    <x v="0"/>
    <x v="32"/>
    <x v="5"/>
    <x v="0"/>
    <x v="0"/>
    <x v="5"/>
    <x v="0"/>
  </r>
  <r>
    <x v="0"/>
    <x v="0"/>
    <n v="2239098421"/>
    <x v="6"/>
    <n v="25000"/>
    <x v="0"/>
    <x v="0"/>
    <x v="32"/>
    <x v="6"/>
    <x v="0"/>
    <x v="0"/>
    <x v="5"/>
    <x v="0"/>
  </r>
  <r>
    <x v="0"/>
    <x v="0"/>
    <n v="2239098423"/>
    <x v="5"/>
    <n v="-7000"/>
    <x v="0"/>
    <x v="0"/>
    <x v="32"/>
    <x v="5"/>
    <x v="0"/>
    <x v="0"/>
    <x v="5"/>
    <x v="0"/>
  </r>
  <r>
    <x v="0"/>
    <x v="0"/>
    <n v="2239098423"/>
    <x v="6"/>
    <n v="10000"/>
    <x v="0"/>
    <x v="0"/>
    <x v="32"/>
    <x v="6"/>
    <x v="0"/>
    <x v="0"/>
    <x v="5"/>
    <x v="0"/>
  </r>
  <r>
    <x v="0"/>
    <x v="0"/>
    <n v="2239098424"/>
    <x v="2"/>
    <n v="24750"/>
    <x v="0"/>
    <x v="0"/>
    <x v="32"/>
    <x v="2"/>
    <x v="0"/>
    <x v="0"/>
    <x v="2"/>
    <x v="0"/>
  </r>
  <r>
    <x v="0"/>
    <x v="0"/>
    <n v="2239098425"/>
    <x v="7"/>
    <n v="3000"/>
    <x v="0"/>
    <x v="0"/>
    <x v="32"/>
    <x v="7"/>
    <x v="0"/>
    <x v="0"/>
    <x v="1"/>
    <x v="0"/>
  </r>
  <r>
    <x v="0"/>
    <x v="0"/>
    <n v="2239098426"/>
    <x v="7"/>
    <n v="5000"/>
    <x v="0"/>
    <x v="0"/>
    <x v="32"/>
    <x v="7"/>
    <x v="0"/>
    <x v="0"/>
    <x v="1"/>
    <x v="0"/>
  </r>
  <r>
    <x v="0"/>
    <x v="0"/>
    <n v="2239098427"/>
    <x v="5"/>
    <n v="-4000"/>
    <x v="0"/>
    <x v="0"/>
    <x v="32"/>
    <x v="5"/>
    <x v="0"/>
    <x v="0"/>
    <x v="5"/>
    <x v="0"/>
  </r>
  <r>
    <x v="0"/>
    <x v="0"/>
    <n v="2239098427"/>
    <x v="6"/>
    <n v="10000"/>
    <x v="0"/>
    <x v="0"/>
    <x v="32"/>
    <x v="6"/>
    <x v="0"/>
    <x v="0"/>
    <x v="5"/>
    <x v="0"/>
  </r>
  <r>
    <x v="0"/>
    <x v="0"/>
    <n v="2239098428"/>
    <x v="2"/>
    <n v="13000"/>
    <x v="0"/>
    <x v="0"/>
    <x v="32"/>
    <x v="2"/>
    <x v="0"/>
    <x v="0"/>
    <x v="2"/>
    <x v="0"/>
  </r>
  <r>
    <x v="0"/>
    <x v="0"/>
    <n v="2239098430"/>
    <x v="7"/>
    <n v="3000"/>
    <x v="0"/>
    <x v="0"/>
    <x v="32"/>
    <x v="7"/>
    <x v="0"/>
    <x v="0"/>
    <x v="1"/>
    <x v="0"/>
  </r>
  <r>
    <x v="0"/>
    <x v="0"/>
    <n v="2239098431"/>
    <x v="5"/>
    <n v="-10460"/>
    <x v="0"/>
    <x v="0"/>
    <x v="32"/>
    <x v="5"/>
    <x v="0"/>
    <x v="0"/>
    <x v="5"/>
    <x v="0"/>
  </r>
  <r>
    <x v="0"/>
    <x v="0"/>
    <n v="2239098431"/>
    <x v="6"/>
    <n v="65000"/>
    <x v="0"/>
    <x v="0"/>
    <x v="32"/>
    <x v="6"/>
    <x v="0"/>
    <x v="0"/>
    <x v="5"/>
    <x v="0"/>
  </r>
  <r>
    <x v="0"/>
    <x v="0"/>
    <n v="2239098432"/>
    <x v="5"/>
    <n v="-8960"/>
    <x v="0"/>
    <x v="0"/>
    <x v="32"/>
    <x v="5"/>
    <x v="0"/>
    <x v="0"/>
    <x v="5"/>
    <x v="0"/>
  </r>
  <r>
    <x v="0"/>
    <x v="0"/>
    <n v="2239098432"/>
    <x v="6"/>
    <n v="20000"/>
    <x v="0"/>
    <x v="0"/>
    <x v="32"/>
    <x v="6"/>
    <x v="0"/>
    <x v="0"/>
    <x v="5"/>
    <x v="0"/>
  </r>
  <r>
    <x v="0"/>
    <x v="0"/>
    <n v="2239098433"/>
    <x v="3"/>
    <n v="10780"/>
    <x v="0"/>
    <x v="0"/>
    <x v="32"/>
    <x v="3"/>
    <x v="0"/>
    <x v="0"/>
    <x v="3"/>
    <x v="0"/>
  </r>
  <r>
    <x v="0"/>
    <x v="0"/>
    <n v="2239098433"/>
    <x v="7"/>
    <n v="1950"/>
    <x v="0"/>
    <x v="0"/>
    <x v="32"/>
    <x v="7"/>
    <x v="0"/>
    <x v="0"/>
    <x v="1"/>
    <x v="0"/>
  </r>
  <r>
    <x v="0"/>
    <x v="0"/>
    <n v="2239098434"/>
    <x v="7"/>
    <n v="1500"/>
    <x v="0"/>
    <x v="0"/>
    <x v="32"/>
    <x v="7"/>
    <x v="0"/>
    <x v="0"/>
    <x v="1"/>
    <x v="0"/>
  </r>
  <r>
    <x v="0"/>
    <x v="0"/>
    <n v="2239098435"/>
    <x v="3"/>
    <n v="19500"/>
    <x v="0"/>
    <x v="0"/>
    <x v="32"/>
    <x v="3"/>
    <x v="0"/>
    <x v="0"/>
    <x v="3"/>
    <x v="0"/>
  </r>
  <r>
    <x v="0"/>
    <x v="0"/>
    <n v="2239098436"/>
    <x v="3"/>
    <n v="7900"/>
    <x v="0"/>
    <x v="0"/>
    <x v="32"/>
    <x v="3"/>
    <x v="0"/>
    <x v="0"/>
    <x v="3"/>
    <x v="0"/>
  </r>
  <r>
    <x v="0"/>
    <x v="0"/>
    <n v="2239098437"/>
    <x v="3"/>
    <n v="10900"/>
    <x v="0"/>
    <x v="0"/>
    <x v="32"/>
    <x v="3"/>
    <x v="0"/>
    <x v="0"/>
    <x v="3"/>
    <x v="0"/>
  </r>
  <r>
    <x v="0"/>
    <x v="0"/>
    <n v="2239098438"/>
    <x v="7"/>
    <n v="3800"/>
    <x v="0"/>
    <x v="0"/>
    <x v="32"/>
    <x v="7"/>
    <x v="0"/>
    <x v="0"/>
    <x v="1"/>
    <x v="0"/>
  </r>
  <r>
    <x v="0"/>
    <x v="0"/>
    <n v="2239098440"/>
    <x v="2"/>
    <n v="5200"/>
    <x v="0"/>
    <x v="0"/>
    <x v="32"/>
    <x v="2"/>
    <x v="0"/>
    <x v="0"/>
    <x v="2"/>
    <x v="0"/>
  </r>
  <r>
    <x v="0"/>
    <x v="0"/>
    <n v="2239098440"/>
    <x v="7"/>
    <n v="1300"/>
    <x v="0"/>
    <x v="0"/>
    <x v="32"/>
    <x v="7"/>
    <x v="0"/>
    <x v="0"/>
    <x v="1"/>
    <x v="0"/>
  </r>
  <r>
    <x v="0"/>
    <x v="0"/>
    <n v="2239098441"/>
    <x v="5"/>
    <n v="-83500"/>
    <x v="0"/>
    <x v="0"/>
    <x v="32"/>
    <x v="5"/>
    <x v="0"/>
    <x v="0"/>
    <x v="5"/>
    <x v="0"/>
  </r>
  <r>
    <x v="0"/>
    <x v="0"/>
    <n v="2239098441"/>
    <x v="6"/>
    <n v="100000"/>
    <x v="0"/>
    <x v="0"/>
    <x v="32"/>
    <x v="6"/>
    <x v="0"/>
    <x v="0"/>
    <x v="5"/>
    <x v="0"/>
  </r>
  <r>
    <x v="0"/>
    <x v="0"/>
    <n v="2239098442"/>
    <x v="5"/>
    <n v="-2000"/>
    <x v="0"/>
    <x v="0"/>
    <x v="32"/>
    <x v="5"/>
    <x v="0"/>
    <x v="0"/>
    <x v="5"/>
    <x v="0"/>
  </r>
  <r>
    <x v="0"/>
    <x v="0"/>
    <n v="2239098442"/>
    <x v="6"/>
    <n v="5000"/>
    <x v="0"/>
    <x v="0"/>
    <x v="32"/>
    <x v="6"/>
    <x v="0"/>
    <x v="0"/>
    <x v="5"/>
    <x v="0"/>
  </r>
  <r>
    <x v="0"/>
    <x v="0"/>
    <n v="2239098443"/>
    <x v="7"/>
    <n v="6500"/>
    <x v="0"/>
    <x v="0"/>
    <x v="32"/>
    <x v="7"/>
    <x v="0"/>
    <x v="0"/>
    <x v="1"/>
    <x v="0"/>
  </r>
  <r>
    <x v="0"/>
    <x v="0"/>
    <n v="2239098444"/>
    <x v="5"/>
    <n v="-1680"/>
    <x v="0"/>
    <x v="0"/>
    <x v="32"/>
    <x v="5"/>
    <x v="0"/>
    <x v="0"/>
    <x v="5"/>
    <x v="0"/>
  </r>
  <r>
    <x v="0"/>
    <x v="0"/>
    <n v="2239098444"/>
    <x v="6"/>
    <n v="30000"/>
    <x v="0"/>
    <x v="0"/>
    <x v="32"/>
    <x v="6"/>
    <x v="0"/>
    <x v="0"/>
    <x v="5"/>
    <x v="0"/>
  </r>
  <r>
    <x v="0"/>
    <x v="0"/>
    <n v="2239098445"/>
    <x v="2"/>
    <n v="6500"/>
    <x v="0"/>
    <x v="0"/>
    <x v="32"/>
    <x v="2"/>
    <x v="0"/>
    <x v="0"/>
    <x v="2"/>
    <x v="0"/>
  </r>
  <r>
    <x v="0"/>
    <x v="0"/>
    <n v="2239098446"/>
    <x v="2"/>
    <n v="8000"/>
    <x v="0"/>
    <x v="0"/>
    <x v="32"/>
    <x v="2"/>
    <x v="0"/>
    <x v="0"/>
    <x v="2"/>
    <x v="0"/>
  </r>
  <r>
    <x v="0"/>
    <x v="0"/>
    <n v="2239098447"/>
    <x v="5"/>
    <n v="-500"/>
    <x v="0"/>
    <x v="0"/>
    <x v="32"/>
    <x v="5"/>
    <x v="0"/>
    <x v="0"/>
    <x v="5"/>
    <x v="0"/>
  </r>
  <r>
    <x v="0"/>
    <x v="0"/>
    <n v="2239098447"/>
    <x v="6"/>
    <n v="7000"/>
    <x v="0"/>
    <x v="0"/>
    <x v="32"/>
    <x v="6"/>
    <x v="0"/>
    <x v="0"/>
    <x v="5"/>
    <x v="0"/>
  </r>
  <r>
    <x v="0"/>
    <x v="0"/>
    <n v="2239098448"/>
    <x v="7"/>
    <n v="6500"/>
    <x v="0"/>
    <x v="0"/>
    <x v="32"/>
    <x v="7"/>
    <x v="0"/>
    <x v="0"/>
    <x v="1"/>
    <x v="0"/>
  </r>
  <r>
    <x v="0"/>
    <x v="0"/>
    <n v="2239098449"/>
    <x v="7"/>
    <n v="1500"/>
    <x v="0"/>
    <x v="0"/>
    <x v="32"/>
    <x v="7"/>
    <x v="0"/>
    <x v="0"/>
    <x v="1"/>
    <x v="0"/>
  </r>
  <r>
    <x v="0"/>
    <x v="0"/>
    <n v="2239098450"/>
    <x v="5"/>
    <n v="-5000"/>
    <x v="0"/>
    <x v="0"/>
    <x v="32"/>
    <x v="5"/>
    <x v="0"/>
    <x v="0"/>
    <x v="5"/>
    <x v="0"/>
  </r>
  <r>
    <x v="0"/>
    <x v="0"/>
    <n v="2239098450"/>
    <x v="6"/>
    <n v="10000"/>
    <x v="0"/>
    <x v="0"/>
    <x v="32"/>
    <x v="6"/>
    <x v="0"/>
    <x v="0"/>
    <x v="5"/>
    <x v="0"/>
  </r>
  <r>
    <x v="0"/>
    <x v="0"/>
    <n v="2239098451"/>
    <x v="7"/>
    <n v="7500"/>
    <x v="0"/>
    <x v="0"/>
    <x v="32"/>
    <x v="7"/>
    <x v="0"/>
    <x v="0"/>
    <x v="1"/>
    <x v="0"/>
  </r>
  <r>
    <x v="0"/>
    <x v="0"/>
    <n v="2239098452"/>
    <x v="7"/>
    <n v="1500"/>
    <x v="0"/>
    <x v="0"/>
    <x v="32"/>
    <x v="7"/>
    <x v="0"/>
    <x v="0"/>
    <x v="1"/>
    <x v="0"/>
  </r>
  <r>
    <x v="0"/>
    <x v="0"/>
    <n v="2239098453"/>
    <x v="5"/>
    <n v="-3500"/>
    <x v="0"/>
    <x v="0"/>
    <x v="32"/>
    <x v="5"/>
    <x v="0"/>
    <x v="0"/>
    <x v="5"/>
    <x v="0"/>
  </r>
  <r>
    <x v="0"/>
    <x v="0"/>
    <n v="2239098453"/>
    <x v="6"/>
    <n v="20000"/>
    <x v="0"/>
    <x v="0"/>
    <x v="32"/>
    <x v="6"/>
    <x v="0"/>
    <x v="0"/>
    <x v="5"/>
    <x v="0"/>
  </r>
  <r>
    <x v="0"/>
    <x v="0"/>
    <n v="2239098454"/>
    <x v="5"/>
    <n v="-1280"/>
    <x v="0"/>
    <x v="0"/>
    <x v="32"/>
    <x v="5"/>
    <x v="0"/>
    <x v="0"/>
    <x v="5"/>
    <x v="0"/>
  </r>
  <r>
    <x v="0"/>
    <x v="0"/>
    <n v="2239098454"/>
    <x v="6"/>
    <n v="5000"/>
    <x v="0"/>
    <x v="0"/>
    <x v="32"/>
    <x v="6"/>
    <x v="0"/>
    <x v="0"/>
    <x v="5"/>
    <x v="0"/>
  </r>
  <r>
    <x v="0"/>
    <x v="0"/>
    <n v="2239098455"/>
    <x v="2"/>
    <n v="6500"/>
    <x v="0"/>
    <x v="0"/>
    <x v="32"/>
    <x v="2"/>
    <x v="0"/>
    <x v="0"/>
    <x v="2"/>
    <x v="0"/>
  </r>
  <r>
    <x v="0"/>
    <x v="0"/>
    <n v="2239098456"/>
    <x v="2"/>
    <n v="8360"/>
    <x v="0"/>
    <x v="0"/>
    <x v="32"/>
    <x v="2"/>
    <x v="0"/>
    <x v="0"/>
    <x v="2"/>
    <x v="0"/>
  </r>
  <r>
    <x v="0"/>
    <x v="0"/>
    <n v="2239098458"/>
    <x v="7"/>
    <n v="7500"/>
    <x v="0"/>
    <x v="0"/>
    <x v="32"/>
    <x v="7"/>
    <x v="0"/>
    <x v="0"/>
    <x v="1"/>
    <x v="0"/>
  </r>
  <r>
    <x v="0"/>
    <x v="0"/>
    <n v="2239098459"/>
    <x v="3"/>
    <n v="15790"/>
    <x v="0"/>
    <x v="0"/>
    <x v="32"/>
    <x v="3"/>
    <x v="0"/>
    <x v="0"/>
    <x v="3"/>
    <x v="0"/>
  </r>
  <r>
    <x v="0"/>
    <x v="0"/>
    <n v="2239098459"/>
    <x v="7"/>
    <n v="3900"/>
    <x v="0"/>
    <x v="0"/>
    <x v="32"/>
    <x v="7"/>
    <x v="0"/>
    <x v="0"/>
    <x v="1"/>
    <x v="0"/>
  </r>
  <r>
    <x v="0"/>
    <x v="0"/>
    <n v="2239098460"/>
    <x v="7"/>
    <n v="1500"/>
    <x v="0"/>
    <x v="0"/>
    <x v="32"/>
    <x v="7"/>
    <x v="0"/>
    <x v="0"/>
    <x v="1"/>
    <x v="0"/>
  </r>
  <r>
    <x v="0"/>
    <x v="0"/>
    <n v="2239098461"/>
    <x v="7"/>
    <n v="1500"/>
    <x v="0"/>
    <x v="0"/>
    <x v="32"/>
    <x v="7"/>
    <x v="0"/>
    <x v="0"/>
    <x v="1"/>
    <x v="0"/>
  </r>
  <r>
    <x v="0"/>
    <x v="0"/>
    <n v="2239098462"/>
    <x v="2"/>
    <n v="8000"/>
    <x v="0"/>
    <x v="0"/>
    <x v="32"/>
    <x v="2"/>
    <x v="0"/>
    <x v="0"/>
    <x v="2"/>
    <x v="0"/>
  </r>
  <r>
    <x v="0"/>
    <x v="0"/>
    <n v="2239098463"/>
    <x v="5"/>
    <n v="-8500"/>
    <x v="0"/>
    <x v="0"/>
    <x v="32"/>
    <x v="5"/>
    <x v="0"/>
    <x v="0"/>
    <x v="5"/>
    <x v="0"/>
  </r>
  <r>
    <x v="0"/>
    <x v="0"/>
    <n v="2239098463"/>
    <x v="6"/>
    <n v="25000"/>
    <x v="0"/>
    <x v="0"/>
    <x v="32"/>
    <x v="6"/>
    <x v="0"/>
    <x v="0"/>
    <x v="5"/>
    <x v="0"/>
  </r>
  <r>
    <x v="0"/>
    <x v="0"/>
    <n v="2239098464"/>
    <x v="2"/>
    <n v="13000"/>
    <x v="0"/>
    <x v="0"/>
    <x v="32"/>
    <x v="2"/>
    <x v="0"/>
    <x v="0"/>
    <x v="2"/>
    <x v="0"/>
  </r>
  <r>
    <x v="0"/>
    <x v="0"/>
    <n v="2239098465"/>
    <x v="7"/>
    <n v="1500"/>
    <x v="0"/>
    <x v="0"/>
    <x v="32"/>
    <x v="7"/>
    <x v="0"/>
    <x v="0"/>
    <x v="1"/>
    <x v="0"/>
  </r>
  <r>
    <x v="0"/>
    <x v="0"/>
    <n v="2239098466"/>
    <x v="5"/>
    <n v="-3000"/>
    <x v="0"/>
    <x v="0"/>
    <x v="32"/>
    <x v="5"/>
    <x v="0"/>
    <x v="0"/>
    <x v="5"/>
    <x v="0"/>
  </r>
  <r>
    <x v="0"/>
    <x v="0"/>
    <n v="2239098466"/>
    <x v="6"/>
    <n v="5000"/>
    <x v="0"/>
    <x v="0"/>
    <x v="32"/>
    <x v="6"/>
    <x v="0"/>
    <x v="0"/>
    <x v="5"/>
    <x v="0"/>
  </r>
  <r>
    <x v="0"/>
    <x v="0"/>
    <n v="2239098467"/>
    <x v="5"/>
    <n v="-600"/>
    <x v="0"/>
    <x v="0"/>
    <x v="32"/>
    <x v="5"/>
    <x v="0"/>
    <x v="0"/>
    <x v="5"/>
    <x v="0"/>
  </r>
  <r>
    <x v="0"/>
    <x v="0"/>
    <n v="2239098467"/>
    <x v="4"/>
    <n v="5000"/>
    <x v="0"/>
    <x v="0"/>
    <x v="32"/>
    <x v="4"/>
    <x v="0"/>
    <x v="0"/>
    <x v="4"/>
    <x v="0"/>
  </r>
  <r>
    <x v="0"/>
    <x v="0"/>
    <n v="2239098468"/>
    <x v="7"/>
    <n v="1500"/>
    <x v="0"/>
    <x v="0"/>
    <x v="32"/>
    <x v="7"/>
    <x v="0"/>
    <x v="0"/>
    <x v="1"/>
    <x v="0"/>
  </r>
  <r>
    <x v="0"/>
    <x v="0"/>
    <n v="2239098469"/>
    <x v="7"/>
    <n v="1500"/>
    <x v="0"/>
    <x v="0"/>
    <x v="32"/>
    <x v="7"/>
    <x v="0"/>
    <x v="0"/>
    <x v="1"/>
    <x v="0"/>
  </r>
  <r>
    <x v="0"/>
    <x v="0"/>
    <n v="2239098470"/>
    <x v="7"/>
    <n v="1500"/>
    <x v="0"/>
    <x v="0"/>
    <x v="32"/>
    <x v="7"/>
    <x v="0"/>
    <x v="0"/>
    <x v="1"/>
    <x v="0"/>
  </r>
  <r>
    <x v="0"/>
    <x v="0"/>
    <n v="2239098471"/>
    <x v="5"/>
    <n v="-600"/>
    <x v="0"/>
    <x v="0"/>
    <x v="32"/>
    <x v="5"/>
    <x v="0"/>
    <x v="0"/>
    <x v="5"/>
    <x v="0"/>
  </r>
  <r>
    <x v="0"/>
    <x v="0"/>
    <n v="2239098471"/>
    <x v="4"/>
    <n v="5000"/>
    <x v="0"/>
    <x v="0"/>
    <x v="32"/>
    <x v="4"/>
    <x v="0"/>
    <x v="0"/>
    <x v="4"/>
    <x v="0"/>
  </r>
  <r>
    <x v="0"/>
    <x v="0"/>
    <n v="2239098474"/>
    <x v="5"/>
    <n v="-4300"/>
    <x v="0"/>
    <x v="0"/>
    <x v="32"/>
    <x v="5"/>
    <x v="0"/>
    <x v="0"/>
    <x v="5"/>
    <x v="0"/>
  </r>
  <r>
    <x v="0"/>
    <x v="0"/>
    <n v="2239098474"/>
    <x v="6"/>
    <n v="10000"/>
    <x v="0"/>
    <x v="0"/>
    <x v="32"/>
    <x v="6"/>
    <x v="0"/>
    <x v="0"/>
    <x v="5"/>
    <x v="0"/>
  </r>
  <r>
    <x v="0"/>
    <x v="0"/>
    <n v="2239098475"/>
    <x v="7"/>
    <n v="1500"/>
    <x v="0"/>
    <x v="0"/>
    <x v="32"/>
    <x v="7"/>
    <x v="0"/>
    <x v="0"/>
    <x v="1"/>
    <x v="0"/>
  </r>
  <r>
    <x v="0"/>
    <x v="0"/>
    <n v="2239098476"/>
    <x v="7"/>
    <n v="4500"/>
    <x v="0"/>
    <x v="0"/>
    <x v="32"/>
    <x v="7"/>
    <x v="0"/>
    <x v="0"/>
    <x v="1"/>
    <x v="0"/>
  </r>
  <r>
    <x v="0"/>
    <x v="0"/>
    <n v="2239098477"/>
    <x v="5"/>
    <n v="-2900"/>
    <x v="0"/>
    <x v="0"/>
    <x v="32"/>
    <x v="5"/>
    <x v="0"/>
    <x v="0"/>
    <x v="5"/>
    <x v="0"/>
  </r>
  <r>
    <x v="0"/>
    <x v="0"/>
    <n v="2239098477"/>
    <x v="6"/>
    <n v="20000"/>
    <x v="0"/>
    <x v="0"/>
    <x v="32"/>
    <x v="6"/>
    <x v="0"/>
    <x v="0"/>
    <x v="5"/>
    <x v="0"/>
  </r>
  <r>
    <x v="0"/>
    <x v="0"/>
    <n v="2239098479"/>
    <x v="2"/>
    <n v="6500"/>
    <x v="0"/>
    <x v="0"/>
    <x v="32"/>
    <x v="2"/>
    <x v="0"/>
    <x v="0"/>
    <x v="2"/>
    <x v="0"/>
  </r>
  <r>
    <x v="0"/>
    <x v="0"/>
    <n v="2239098480"/>
    <x v="5"/>
    <n v="-500"/>
    <x v="0"/>
    <x v="0"/>
    <x v="32"/>
    <x v="5"/>
    <x v="0"/>
    <x v="0"/>
    <x v="5"/>
    <x v="0"/>
  </r>
  <r>
    <x v="0"/>
    <x v="0"/>
    <n v="2239098480"/>
    <x v="6"/>
    <n v="7000"/>
    <x v="0"/>
    <x v="0"/>
    <x v="32"/>
    <x v="6"/>
    <x v="0"/>
    <x v="0"/>
    <x v="5"/>
    <x v="0"/>
  </r>
  <r>
    <x v="0"/>
    <x v="0"/>
    <n v="2239098481"/>
    <x v="2"/>
    <n v="7500"/>
    <x v="0"/>
    <x v="0"/>
    <x v="32"/>
    <x v="2"/>
    <x v="0"/>
    <x v="0"/>
    <x v="2"/>
    <x v="0"/>
  </r>
  <r>
    <x v="0"/>
    <x v="0"/>
    <n v="2239098482"/>
    <x v="5"/>
    <n v="-3500"/>
    <x v="0"/>
    <x v="0"/>
    <x v="32"/>
    <x v="5"/>
    <x v="0"/>
    <x v="0"/>
    <x v="5"/>
    <x v="0"/>
  </r>
  <r>
    <x v="0"/>
    <x v="0"/>
    <n v="2239098482"/>
    <x v="6"/>
    <n v="20000"/>
    <x v="0"/>
    <x v="0"/>
    <x v="32"/>
    <x v="6"/>
    <x v="0"/>
    <x v="0"/>
    <x v="5"/>
    <x v="0"/>
  </r>
  <r>
    <x v="0"/>
    <x v="0"/>
    <n v="2239098483"/>
    <x v="5"/>
    <n v="-9500"/>
    <x v="0"/>
    <x v="0"/>
    <x v="32"/>
    <x v="5"/>
    <x v="0"/>
    <x v="0"/>
    <x v="5"/>
    <x v="0"/>
  </r>
  <r>
    <x v="0"/>
    <x v="0"/>
    <n v="2239098483"/>
    <x v="6"/>
    <n v="20000"/>
    <x v="0"/>
    <x v="0"/>
    <x v="32"/>
    <x v="6"/>
    <x v="0"/>
    <x v="0"/>
    <x v="5"/>
    <x v="0"/>
  </r>
  <r>
    <x v="0"/>
    <x v="0"/>
    <n v="2239098484"/>
    <x v="4"/>
    <n v="5000"/>
    <x v="0"/>
    <x v="0"/>
    <x v="32"/>
    <x v="4"/>
    <x v="0"/>
    <x v="0"/>
    <x v="4"/>
    <x v="0"/>
  </r>
  <r>
    <x v="0"/>
    <x v="0"/>
    <n v="2239098485"/>
    <x v="5"/>
    <n v="-14500"/>
    <x v="0"/>
    <x v="0"/>
    <x v="32"/>
    <x v="5"/>
    <x v="0"/>
    <x v="0"/>
    <x v="5"/>
    <x v="0"/>
  </r>
  <r>
    <x v="0"/>
    <x v="0"/>
    <n v="2239098485"/>
    <x v="4"/>
    <n v="20200"/>
    <x v="0"/>
    <x v="0"/>
    <x v="32"/>
    <x v="4"/>
    <x v="0"/>
    <x v="0"/>
    <x v="4"/>
    <x v="0"/>
  </r>
  <r>
    <x v="0"/>
    <x v="0"/>
    <n v="2239098486"/>
    <x v="7"/>
    <n v="1500"/>
    <x v="0"/>
    <x v="0"/>
    <x v="32"/>
    <x v="7"/>
    <x v="0"/>
    <x v="0"/>
    <x v="1"/>
    <x v="0"/>
  </r>
  <r>
    <x v="0"/>
    <x v="0"/>
    <n v="2239098487"/>
    <x v="7"/>
    <n v="1500"/>
    <x v="0"/>
    <x v="0"/>
    <x v="32"/>
    <x v="7"/>
    <x v="0"/>
    <x v="0"/>
    <x v="1"/>
    <x v="0"/>
  </r>
  <r>
    <x v="0"/>
    <x v="0"/>
    <n v="2239098488"/>
    <x v="7"/>
    <n v="12000"/>
    <x v="0"/>
    <x v="0"/>
    <x v="32"/>
    <x v="7"/>
    <x v="0"/>
    <x v="0"/>
    <x v="1"/>
    <x v="0"/>
  </r>
  <r>
    <x v="0"/>
    <x v="0"/>
    <n v="2239098489"/>
    <x v="1"/>
    <n v="9000"/>
    <x v="0"/>
    <x v="0"/>
    <x v="32"/>
    <x v="1"/>
    <x v="0"/>
    <x v="0"/>
    <x v="1"/>
    <x v="0"/>
  </r>
  <r>
    <x v="0"/>
    <x v="0"/>
    <n v="2239098490"/>
    <x v="1"/>
    <n v="3600"/>
    <x v="0"/>
    <x v="0"/>
    <x v="32"/>
    <x v="1"/>
    <x v="0"/>
    <x v="0"/>
    <x v="1"/>
    <x v="0"/>
  </r>
  <r>
    <x v="0"/>
    <x v="0"/>
    <n v="2239098491"/>
    <x v="1"/>
    <n v="900"/>
    <x v="0"/>
    <x v="0"/>
    <x v="32"/>
    <x v="1"/>
    <x v="0"/>
    <x v="0"/>
    <x v="1"/>
    <x v="0"/>
  </r>
  <r>
    <x v="0"/>
    <x v="0"/>
    <n v="2239098492"/>
    <x v="1"/>
    <n v="16920"/>
    <x v="0"/>
    <x v="0"/>
    <x v="32"/>
    <x v="1"/>
    <x v="0"/>
    <x v="0"/>
    <x v="1"/>
    <x v="0"/>
  </r>
  <r>
    <x v="0"/>
    <x v="0"/>
    <n v="2239098493"/>
    <x v="1"/>
    <n v="1050"/>
    <x v="0"/>
    <x v="0"/>
    <x v="32"/>
    <x v="1"/>
    <x v="0"/>
    <x v="0"/>
    <x v="1"/>
    <x v="0"/>
  </r>
  <r>
    <x v="0"/>
    <x v="0"/>
    <n v="2239098497"/>
    <x v="1"/>
    <n v="8910"/>
    <x v="0"/>
    <x v="0"/>
    <x v="32"/>
    <x v="1"/>
    <x v="0"/>
    <x v="0"/>
    <x v="1"/>
    <x v="0"/>
  </r>
  <r>
    <x v="0"/>
    <x v="0"/>
    <n v="2239098498"/>
    <x v="1"/>
    <n v="2250"/>
    <x v="0"/>
    <x v="0"/>
    <x v="32"/>
    <x v="1"/>
    <x v="0"/>
    <x v="0"/>
    <x v="1"/>
    <x v="0"/>
  </r>
  <r>
    <x v="0"/>
    <x v="0"/>
    <n v="2239098499"/>
    <x v="1"/>
    <n v="6500"/>
    <x v="0"/>
    <x v="0"/>
    <x v="32"/>
    <x v="1"/>
    <x v="0"/>
    <x v="0"/>
    <x v="1"/>
    <x v="0"/>
  </r>
  <r>
    <x v="0"/>
    <x v="0"/>
    <n v="2239098501"/>
    <x v="1"/>
    <n v="1140"/>
    <x v="0"/>
    <x v="0"/>
    <x v="32"/>
    <x v="1"/>
    <x v="0"/>
    <x v="0"/>
    <x v="1"/>
    <x v="0"/>
  </r>
  <r>
    <x v="0"/>
    <x v="0"/>
    <n v="2239102728"/>
    <x v="1"/>
    <n v="4500"/>
    <x v="0"/>
    <x v="0"/>
    <x v="33"/>
    <x v="1"/>
    <x v="0"/>
    <x v="0"/>
    <x v="1"/>
    <x v="0"/>
  </r>
  <r>
    <x v="0"/>
    <x v="0"/>
    <n v="2239102729"/>
    <x v="0"/>
    <n v="4650"/>
    <x v="0"/>
    <x v="0"/>
    <x v="33"/>
    <x v="0"/>
    <x v="0"/>
    <x v="0"/>
    <x v="0"/>
    <x v="0"/>
  </r>
  <r>
    <x v="0"/>
    <x v="0"/>
    <n v="2239102730"/>
    <x v="1"/>
    <n v="18150"/>
    <x v="0"/>
    <x v="0"/>
    <x v="33"/>
    <x v="1"/>
    <x v="0"/>
    <x v="0"/>
    <x v="1"/>
    <x v="0"/>
  </r>
  <r>
    <x v="0"/>
    <x v="0"/>
    <n v="2239102731"/>
    <x v="1"/>
    <n v="17100"/>
    <x v="0"/>
    <x v="0"/>
    <x v="33"/>
    <x v="1"/>
    <x v="0"/>
    <x v="0"/>
    <x v="1"/>
    <x v="0"/>
  </r>
  <r>
    <x v="0"/>
    <x v="0"/>
    <n v="2239102732"/>
    <x v="0"/>
    <n v="3000"/>
    <x v="0"/>
    <x v="0"/>
    <x v="33"/>
    <x v="0"/>
    <x v="0"/>
    <x v="0"/>
    <x v="0"/>
    <x v="0"/>
  </r>
  <r>
    <x v="0"/>
    <x v="0"/>
    <n v="2239102733"/>
    <x v="1"/>
    <n v="14370"/>
    <x v="0"/>
    <x v="0"/>
    <x v="33"/>
    <x v="1"/>
    <x v="0"/>
    <x v="0"/>
    <x v="1"/>
    <x v="0"/>
  </r>
  <r>
    <x v="0"/>
    <x v="0"/>
    <n v="2239102734"/>
    <x v="0"/>
    <n v="1500"/>
    <x v="0"/>
    <x v="0"/>
    <x v="33"/>
    <x v="0"/>
    <x v="0"/>
    <x v="0"/>
    <x v="0"/>
    <x v="0"/>
  </r>
  <r>
    <x v="0"/>
    <x v="0"/>
    <n v="2239102735"/>
    <x v="1"/>
    <n v="2100"/>
    <x v="0"/>
    <x v="0"/>
    <x v="33"/>
    <x v="1"/>
    <x v="0"/>
    <x v="0"/>
    <x v="1"/>
    <x v="0"/>
  </r>
  <r>
    <x v="0"/>
    <x v="0"/>
    <n v="2239102737"/>
    <x v="1"/>
    <n v="900"/>
    <x v="0"/>
    <x v="0"/>
    <x v="33"/>
    <x v="1"/>
    <x v="0"/>
    <x v="0"/>
    <x v="1"/>
    <x v="0"/>
  </r>
  <r>
    <x v="0"/>
    <x v="0"/>
    <n v="2239102739"/>
    <x v="1"/>
    <n v="37500"/>
    <x v="0"/>
    <x v="0"/>
    <x v="33"/>
    <x v="1"/>
    <x v="0"/>
    <x v="0"/>
    <x v="1"/>
    <x v="0"/>
  </r>
  <r>
    <x v="0"/>
    <x v="0"/>
    <n v="2239102740"/>
    <x v="0"/>
    <n v="3300"/>
    <x v="0"/>
    <x v="0"/>
    <x v="33"/>
    <x v="0"/>
    <x v="0"/>
    <x v="0"/>
    <x v="0"/>
    <x v="0"/>
  </r>
  <r>
    <x v="0"/>
    <x v="0"/>
    <n v="2239102741"/>
    <x v="0"/>
    <n v="9870"/>
    <x v="0"/>
    <x v="0"/>
    <x v="33"/>
    <x v="0"/>
    <x v="0"/>
    <x v="0"/>
    <x v="0"/>
    <x v="0"/>
  </r>
  <r>
    <x v="0"/>
    <x v="0"/>
    <n v="2239102742"/>
    <x v="0"/>
    <n v="14050"/>
    <x v="0"/>
    <x v="0"/>
    <x v="33"/>
    <x v="0"/>
    <x v="0"/>
    <x v="0"/>
    <x v="0"/>
    <x v="0"/>
  </r>
  <r>
    <x v="0"/>
    <x v="0"/>
    <n v="2239102743"/>
    <x v="0"/>
    <n v="6300"/>
    <x v="0"/>
    <x v="0"/>
    <x v="33"/>
    <x v="0"/>
    <x v="0"/>
    <x v="0"/>
    <x v="0"/>
    <x v="0"/>
  </r>
  <r>
    <x v="0"/>
    <x v="0"/>
    <n v="2239102744"/>
    <x v="0"/>
    <n v="4950"/>
    <x v="0"/>
    <x v="0"/>
    <x v="33"/>
    <x v="0"/>
    <x v="0"/>
    <x v="0"/>
    <x v="0"/>
    <x v="0"/>
  </r>
  <r>
    <x v="0"/>
    <x v="0"/>
    <n v="2239102745"/>
    <x v="1"/>
    <n v="1350"/>
    <x v="0"/>
    <x v="0"/>
    <x v="33"/>
    <x v="1"/>
    <x v="0"/>
    <x v="0"/>
    <x v="1"/>
    <x v="0"/>
  </r>
  <r>
    <x v="0"/>
    <x v="0"/>
    <n v="2239102746"/>
    <x v="1"/>
    <n v="1350"/>
    <x v="0"/>
    <x v="0"/>
    <x v="33"/>
    <x v="1"/>
    <x v="0"/>
    <x v="0"/>
    <x v="1"/>
    <x v="0"/>
  </r>
  <r>
    <x v="0"/>
    <x v="0"/>
    <n v="2239102747"/>
    <x v="1"/>
    <n v="5070"/>
    <x v="0"/>
    <x v="0"/>
    <x v="33"/>
    <x v="1"/>
    <x v="0"/>
    <x v="0"/>
    <x v="1"/>
    <x v="0"/>
  </r>
  <r>
    <x v="0"/>
    <x v="0"/>
    <n v="2239102748"/>
    <x v="1"/>
    <n v="2250"/>
    <x v="0"/>
    <x v="0"/>
    <x v="33"/>
    <x v="1"/>
    <x v="0"/>
    <x v="0"/>
    <x v="1"/>
    <x v="0"/>
  </r>
  <r>
    <x v="0"/>
    <x v="0"/>
    <n v="2239102749"/>
    <x v="1"/>
    <n v="20850"/>
    <x v="0"/>
    <x v="0"/>
    <x v="33"/>
    <x v="1"/>
    <x v="0"/>
    <x v="0"/>
    <x v="1"/>
    <x v="0"/>
  </r>
  <r>
    <x v="0"/>
    <x v="0"/>
    <n v="2239102750"/>
    <x v="0"/>
    <n v="34850"/>
    <x v="0"/>
    <x v="0"/>
    <x v="33"/>
    <x v="0"/>
    <x v="0"/>
    <x v="0"/>
    <x v="0"/>
    <x v="0"/>
  </r>
  <r>
    <x v="0"/>
    <x v="0"/>
    <n v="2239102751"/>
    <x v="1"/>
    <n v="19500"/>
    <x v="0"/>
    <x v="0"/>
    <x v="33"/>
    <x v="1"/>
    <x v="0"/>
    <x v="0"/>
    <x v="1"/>
    <x v="0"/>
  </r>
  <r>
    <x v="0"/>
    <x v="0"/>
    <n v="2239102752"/>
    <x v="1"/>
    <n v="3000"/>
    <x v="0"/>
    <x v="0"/>
    <x v="33"/>
    <x v="1"/>
    <x v="0"/>
    <x v="0"/>
    <x v="1"/>
    <x v="0"/>
  </r>
  <r>
    <x v="0"/>
    <x v="0"/>
    <n v="2239102753"/>
    <x v="1"/>
    <n v="5550"/>
    <x v="0"/>
    <x v="0"/>
    <x v="33"/>
    <x v="1"/>
    <x v="0"/>
    <x v="0"/>
    <x v="1"/>
    <x v="0"/>
  </r>
  <r>
    <x v="0"/>
    <x v="0"/>
    <n v="2239102754"/>
    <x v="0"/>
    <n v="3150"/>
    <x v="0"/>
    <x v="0"/>
    <x v="33"/>
    <x v="0"/>
    <x v="0"/>
    <x v="0"/>
    <x v="0"/>
    <x v="0"/>
  </r>
  <r>
    <x v="0"/>
    <x v="0"/>
    <n v="2239102755"/>
    <x v="1"/>
    <n v="1140"/>
    <x v="0"/>
    <x v="0"/>
    <x v="33"/>
    <x v="1"/>
    <x v="0"/>
    <x v="0"/>
    <x v="1"/>
    <x v="0"/>
  </r>
  <r>
    <x v="0"/>
    <x v="0"/>
    <n v="2239102756"/>
    <x v="1"/>
    <n v="1350"/>
    <x v="0"/>
    <x v="0"/>
    <x v="33"/>
    <x v="1"/>
    <x v="0"/>
    <x v="0"/>
    <x v="1"/>
    <x v="0"/>
  </r>
  <r>
    <x v="0"/>
    <x v="0"/>
    <n v="2239102757"/>
    <x v="1"/>
    <n v="10090"/>
    <x v="0"/>
    <x v="0"/>
    <x v="33"/>
    <x v="1"/>
    <x v="0"/>
    <x v="0"/>
    <x v="1"/>
    <x v="0"/>
  </r>
  <r>
    <x v="0"/>
    <x v="0"/>
    <n v="2239102758"/>
    <x v="2"/>
    <n v="7084"/>
    <x v="0"/>
    <x v="0"/>
    <x v="33"/>
    <x v="2"/>
    <x v="0"/>
    <x v="0"/>
    <x v="2"/>
    <x v="0"/>
  </r>
  <r>
    <x v="0"/>
    <x v="0"/>
    <n v="2239102759"/>
    <x v="2"/>
    <n v="7406"/>
    <x v="0"/>
    <x v="0"/>
    <x v="33"/>
    <x v="2"/>
    <x v="0"/>
    <x v="0"/>
    <x v="2"/>
    <x v="0"/>
  </r>
  <r>
    <x v="0"/>
    <x v="0"/>
    <n v="2239102760"/>
    <x v="1"/>
    <n v="6440"/>
    <x v="0"/>
    <x v="0"/>
    <x v="33"/>
    <x v="1"/>
    <x v="0"/>
    <x v="0"/>
    <x v="1"/>
    <x v="0"/>
  </r>
  <r>
    <x v="0"/>
    <x v="0"/>
    <n v="2239102761"/>
    <x v="6"/>
    <n v="6500"/>
    <x v="0"/>
    <x v="0"/>
    <x v="33"/>
    <x v="6"/>
    <x v="0"/>
    <x v="0"/>
    <x v="5"/>
    <x v="0"/>
  </r>
  <r>
    <x v="0"/>
    <x v="0"/>
    <n v="2239102762"/>
    <x v="1"/>
    <n v="1050"/>
    <x v="0"/>
    <x v="0"/>
    <x v="33"/>
    <x v="1"/>
    <x v="0"/>
    <x v="0"/>
    <x v="1"/>
    <x v="0"/>
  </r>
  <r>
    <x v="0"/>
    <x v="0"/>
    <n v="2239102763"/>
    <x v="6"/>
    <n v="3000"/>
    <x v="0"/>
    <x v="0"/>
    <x v="33"/>
    <x v="6"/>
    <x v="0"/>
    <x v="0"/>
    <x v="5"/>
    <x v="0"/>
  </r>
  <r>
    <x v="0"/>
    <x v="0"/>
    <n v="2239102764"/>
    <x v="1"/>
    <n v="4500"/>
    <x v="0"/>
    <x v="0"/>
    <x v="33"/>
    <x v="1"/>
    <x v="0"/>
    <x v="0"/>
    <x v="1"/>
    <x v="0"/>
  </r>
  <r>
    <x v="0"/>
    <x v="0"/>
    <n v="2239102766"/>
    <x v="2"/>
    <n v="3000"/>
    <x v="0"/>
    <x v="0"/>
    <x v="33"/>
    <x v="2"/>
    <x v="0"/>
    <x v="0"/>
    <x v="2"/>
    <x v="0"/>
  </r>
  <r>
    <x v="0"/>
    <x v="0"/>
    <n v="2239102768"/>
    <x v="5"/>
    <n v="-750"/>
    <x v="0"/>
    <x v="0"/>
    <x v="33"/>
    <x v="5"/>
    <x v="0"/>
    <x v="0"/>
    <x v="5"/>
    <x v="0"/>
  </r>
  <r>
    <x v="0"/>
    <x v="0"/>
    <n v="2239102768"/>
    <x v="6"/>
    <n v="5000"/>
    <x v="0"/>
    <x v="0"/>
    <x v="33"/>
    <x v="6"/>
    <x v="0"/>
    <x v="0"/>
    <x v="5"/>
    <x v="0"/>
  </r>
  <r>
    <x v="0"/>
    <x v="0"/>
    <n v="2239102768"/>
    <x v="7"/>
    <n v="4250"/>
    <x v="0"/>
    <x v="0"/>
    <x v="33"/>
    <x v="7"/>
    <x v="0"/>
    <x v="0"/>
    <x v="1"/>
    <x v="0"/>
  </r>
  <r>
    <x v="0"/>
    <x v="0"/>
    <n v="2239102769"/>
    <x v="2"/>
    <n v="19140"/>
    <x v="0"/>
    <x v="0"/>
    <x v="33"/>
    <x v="2"/>
    <x v="0"/>
    <x v="0"/>
    <x v="2"/>
    <x v="0"/>
  </r>
  <r>
    <x v="0"/>
    <x v="0"/>
    <n v="2239102771"/>
    <x v="3"/>
    <n v="11660"/>
    <x v="0"/>
    <x v="0"/>
    <x v="33"/>
    <x v="3"/>
    <x v="0"/>
    <x v="0"/>
    <x v="3"/>
    <x v="0"/>
  </r>
  <r>
    <x v="0"/>
    <x v="0"/>
    <n v="2239102771"/>
    <x v="7"/>
    <n v="10600"/>
    <x v="0"/>
    <x v="0"/>
    <x v="33"/>
    <x v="7"/>
    <x v="0"/>
    <x v="0"/>
    <x v="1"/>
    <x v="0"/>
  </r>
  <r>
    <x v="0"/>
    <x v="0"/>
    <n v="2239102772"/>
    <x v="1"/>
    <n v="1050"/>
    <x v="0"/>
    <x v="0"/>
    <x v="33"/>
    <x v="1"/>
    <x v="0"/>
    <x v="0"/>
    <x v="1"/>
    <x v="0"/>
  </r>
  <r>
    <x v="0"/>
    <x v="0"/>
    <n v="2239102773"/>
    <x v="2"/>
    <n v="66605"/>
    <x v="0"/>
    <x v="0"/>
    <x v="33"/>
    <x v="2"/>
    <x v="0"/>
    <x v="0"/>
    <x v="2"/>
    <x v="0"/>
  </r>
  <r>
    <x v="0"/>
    <x v="0"/>
    <n v="2239102775"/>
    <x v="1"/>
    <n v="1140"/>
    <x v="0"/>
    <x v="0"/>
    <x v="33"/>
    <x v="1"/>
    <x v="0"/>
    <x v="0"/>
    <x v="1"/>
    <x v="0"/>
  </r>
  <r>
    <x v="0"/>
    <x v="0"/>
    <n v="2239102776"/>
    <x v="3"/>
    <n v="17160"/>
    <x v="0"/>
    <x v="0"/>
    <x v="33"/>
    <x v="3"/>
    <x v="0"/>
    <x v="0"/>
    <x v="3"/>
    <x v="0"/>
  </r>
  <r>
    <x v="0"/>
    <x v="0"/>
    <n v="2239102776"/>
    <x v="7"/>
    <n v="2900"/>
    <x v="0"/>
    <x v="0"/>
    <x v="33"/>
    <x v="7"/>
    <x v="0"/>
    <x v="0"/>
    <x v="1"/>
    <x v="0"/>
  </r>
  <r>
    <x v="0"/>
    <x v="0"/>
    <n v="2239102777"/>
    <x v="5"/>
    <n v="-750"/>
    <x v="0"/>
    <x v="0"/>
    <x v="33"/>
    <x v="5"/>
    <x v="0"/>
    <x v="0"/>
    <x v="5"/>
    <x v="0"/>
  </r>
  <r>
    <x v="0"/>
    <x v="0"/>
    <n v="2239102777"/>
    <x v="6"/>
    <n v="5000"/>
    <x v="0"/>
    <x v="0"/>
    <x v="33"/>
    <x v="6"/>
    <x v="0"/>
    <x v="0"/>
    <x v="5"/>
    <x v="0"/>
  </r>
  <r>
    <x v="0"/>
    <x v="0"/>
    <n v="2239102777"/>
    <x v="7"/>
    <n v="4250"/>
    <x v="0"/>
    <x v="0"/>
    <x v="33"/>
    <x v="7"/>
    <x v="0"/>
    <x v="0"/>
    <x v="1"/>
    <x v="0"/>
  </r>
  <r>
    <x v="0"/>
    <x v="0"/>
    <n v="2239102778"/>
    <x v="2"/>
    <n v="29865"/>
    <x v="0"/>
    <x v="0"/>
    <x v="33"/>
    <x v="2"/>
    <x v="0"/>
    <x v="0"/>
    <x v="2"/>
    <x v="0"/>
  </r>
  <r>
    <x v="0"/>
    <x v="0"/>
    <n v="2239102778"/>
    <x v="7"/>
    <n v="4250"/>
    <x v="0"/>
    <x v="0"/>
    <x v="33"/>
    <x v="7"/>
    <x v="0"/>
    <x v="0"/>
    <x v="1"/>
    <x v="0"/>
  </r>
  <r>
    <x v="0"/>
    <x v="0"/>
    <n v="2239102779"/>
    <x v="2"/>
    <n v="5830"/>
    <x v="0"/>
    <x v="0"/>
    <x v="33"/>
    <x v="2"/>
    <x v="0"/>
    <x v="0"/>
    <x v="2"/>
    <x v="0"/>
  </r>
  <r>
    <x v="0"/>
    <x v="0"/>
    <n v="2239102780"/>
    <x v="2"/>
    <n v="2000"/>
    <x v="0"/>
    <x v="0"/>
    <x v="33"/>
    <x v="2"/>
    <x v="0"/>
    <x v="0"/>
    <x v="2"/>
    <x v="0"/>
  </r>
  <r>
    <x v="0"/>
    <x v="0"/>
    <n v="2239102782"/>
    <x v="3"/>
    <n v="33660"/>
    <x v="0"/>
    <x v="0"/>
    <x v="33"/>
    <x v="3"/>
    <x v="0"/>
    <x v="0"/>
    <x v="3"/>
    <x v="0"/>
  </r>
  <r>
    <x v="0"/>
    <x v="0"/>
    <n v="2239102783"/>
    <x v="2"/>
    <n v="55660"/>
    <x v="0"/>
    <x v="0"/>
    <x v="33"/>
    <x v="2"/>
    <x v="0"/>
    <x v="0"/>
    <x v="2"/>
    <x v="0"/>
  </r>
  <r>
    <x v="0"/>
    <x v="0"/>
    <n v="2239102783"/>
    <x v="7"/>
    <n v="11500"/>
    <x v="0"/>
    <x v="0"/>
    <x v="33"/>
    <x v="7"/>
    <x v="0"/>
    <x v="0"/>
    <x v="1"/>
    <x v="0"/>
  </r>
  <r>
    <x v="0"/>
    <x v="0"/>
    <n v="2239102787"/>
    <x v="6"/>
    <n v="1000"/>
    <x v="0"/>
    <x v="0"/>
    <x v="33"/>
    <x v="6"/>
    <x v="0"/>
    <x v="0"/>
    <x v="5"/>
    <x v="0"/>
  </r>
  <r>
    <x v="0"/>
    <x v="0"/>
    <n v="2239102788"/>
    <x v="2"/>
    <n v="13168"/>
    <x v="0"/>
    <x v="0"/>
    <x v="33"/>
    <x v="2"/>
    <x v="0"/>
    <x v="0"/>
    <x v="2"/>
    <x v="0"/>
  </r>
  <r>
    <x v="0"/>
    <x v="0"/>
    <n v="2239102789"/>
    <x v="1"/>
    <n v="2850"/>
    <x v="0"/>
    <x v="0"/>
    <x v="33"/>
    <x v="1"/>
    <x v="0"/>
    <x v="0"/>
    <x v="1"/>
    <x v="0"/>
  </r>
  <r>
    <x v="0"/>
    <x v="0"/>
    <n v="2239102790"/>
    <x v="2"/>
    <n v="40040"/>
    <x v="0"/>
    <x v="0"/>
    <x v="33"/>
    <x v="2"/>
    <x v="0"/>
    <x v="0"/>
    <x v="2"/>
    <x v="0"/>
  </r>
  <r>
    <x v="0"/>
    <x v="0"/>
    <n v="2239102791"/>
    <x v="2"/>
    <n v="13695"/>
    <x v="0"/>
    <x v="0"/>
    <x v="33"/>
    <x v="2"/>
    <x v="0"/>
    <x v="0"/>
    <x v="2"/>
    <x v="0"/>
  </r>
  <r>
    <x v="0"/>
    <x v="0"/>
    <n v="2239102792"/>
    <x v="2"/>
    <n v="31845"/>
    <x v="0"/>
    <x v="0"/>
    <x v="33"/>
    <x v="2"/>
    <x v="0"/>
    <x v="0"/>
    <x v="2"/>
    <x v="0"/>
  </r>
  <r>
    <x v="0"/>
    <x v="0"/>
    <n v="2239102793"/>
    <x v="1"/>
    <n v="900"/>
    <x v="0"/>
    <x v="0"/>
    <x v="33"/>
    <x v="1"/>
    <x v="0"/>
    <x v="0"/>
    <x v="1"/>
    <x v="0"/>
  </r>
  <r>
    <x v="0"/>
    <x v="0"/>
    <n v="2239102796"/>
    <x v="6"/>
    <n v="1000"/>
    <x v="0"/>
    <x v="0"/>
    <x v="33"/>
    <x v="6"/>
    <x v="0"/>
    <x v="0"/>
    <x v="5"/>
    <x v="0"/>
  </r>
  <r>
    <x v="0"/>
    <x v="0"/>
    <n v="2239102798"/>
    <x v="1"/>
    <n v="5400"/>
    <x v="0"/>
    <x v="0"/>
    <x v="33"/>
    <x v="1"/>
    <x v="0"/>
    <x v="0"/>
    <x v="1"/>
    <x v="0"/>
  </r>
  <r>
    <x v="0"/>
    <x v="0"/>
    <n v="2239102799"/>
    <x v="1"/>
    <n v="900"/>
    <x v="0"/>
    <x v="0"/>
    <x v="33"/>
    <x v="1"/>
    <x v="0"/>
    <x v="0"/>
    <x v="1"/>
    <x v="0"/>
  </r>
  <r>
    <x v="0"/>
    <x v="0"/>
    <n v="2239102800"/>
    <x v="1"/>
    <n v="2100"/>
    <x v="0"/>
    <x v="0"/>
    <x v="33"/>
    <x v="1"/>
    <x v="0"/>
    <x v="0"/>
    <x v="1"/>
    <x v="0"/>
  </r>
  <r>
    <x v="0"/>
    <x v="0"/>
    <n v="2239102801"/>
    <x v="4"/>
    <n v="9400"/>
    <x v="0"/>
    <x v="0"/>
    <x v="33"/>
    <x v="4"/>
    <x v="0"/>
    <x v="0"/>
    <x v="4"/>
    <x v="0"/>
  </r>
  <r>
    <x v="0"/>
    <x v="0"/>
    <n v="2239102802"/>
    <x v="2"/>
    <n v="36190"/>
    <x v="0"/>
    <x v="0"/>
    <x v="33"/>
    <x v="2"/>
    <x v="0"/>
    <x v="0"/>
    <x v="2"/>
    <x v="0"/>
  </r>
  <r>
    <x v="0"/>
    <x v="0"/>
    <n v="2239102804"/>
    <x v="5"/>
    <n v="-1000"/>
    <x v="0"/>
    <x v="0"/>
    <x v="33"/>
    <x v="5"/>
    <x v="0"/>
    <x v="0"/>
    <x v="5"/>
    <x v="0"/>
  </r>
  <r>
    <x v="0"/>
    <x v="0"/>
    <n v="2239102804"/>
    <x v="4"/>
    <n v="5400"/>
    <x v="0"/>
    <x v="0"/>
    <x v="33"/>
    <x v="4"/>
    <x v="0"/>
    <x v="0"/>
    <x v="4"/>
    <x v="0"/>
  </r>
  <r>
    <x v="0"/>
    <x v="0"/>
    <n v="2239102805"/>
    <x v="6"/>
    <n v="2000"/>
    <x v="0"/>
    <x v="0"/>
    <x v="33"/>
    <x v="6"/>
    <x v="0"/>
    <x v="0"/>
    <x v="5"/>
    <x v="0"/>
  </r>
  <r>
    <x v="0"/>
    <x v="0"/>
    <n v="2239102808"/>
    <x v="2"/>
    <n v="35255"/>
    <x v="0"/>
    <x v="0"/>
    <x v="33"/>
    <x v="2"/>
    <x v="0"/>
    <x v="0"/>
    <x v="2"/>
    <x v="0"/>
  </r>
  <r>
    <x v="0"/>
    <x v="0"/>
    <n v="2239102809"/>
    <x v="1"/>
    <n v="19570"/>
    <x v="0"/>
    <x v="0"/>
    <x v="33"/>
    <x v="1"/>
    <x v="0"/>
    <x v="0"/>
    <x v="1"/>
    <x v="0"/>
  </r>
  <r>
    <x v="0"/>
    <x v="0"/>
    <n v="2239102811"/>
    <x v="2"/>
    <n v="16445"/>
    <x v="0"/>
    <x v="0"/>
    <x v="33"/>
    <x v="2"/>
    <x v="0"/>
    <x v="0"/>
    <x v="2"/>
    <x v="0"/>
  </r>
  <r>
    <x v="0"/>
    <x v="0"/>
    <n v="2239102812"/>
    <x v="2"/>
    <n v="6500"/>
    <x v="0"/>
    <x v="0"/>
    <x v="33"/>
    <x v="2"/>
    <x v="0"/>
    <x v="0"/>
    <x v="2"/>
    <x v="0"/>
  </r>
  <r>
    <x v="0"/>
    <x v="0"/>
    <n v="2239102813"/>
    <x v="6"/>
    <n v="1000"/>
    <x v="0"/>
    <x v="0"/>
    <x v="33"/>
    <x v="6"/>
    <x v="0"/>
    <x v="0"/>
    <x v="5"/>
    <x v="0"/>
  </r>
  <r>
    <x v="0"/>
    <x v="0"/>
    <n v="2239102814"/>
    <x v="7"/>
    <n v="1500"/>
    <x v="0"/>
    <x v="0"/>
    <x v="33"/>
    <x v="7"/>
    <x v="0"/>
    <x v="0"/>
    <x v="1"/>
    <x v="0"/>
  </r>
  <r>
    <x v="0"/>
    <x v="0"/>
    <n v="2239102815"/>
    <x v="2"/>
    <n v="27115"/>
    <x v="0"/>
    <x v="0"/>
    <x v="33"/>
    <x v="2"/>
    <x v="0"/>
    <x v="0"/>
    <x v="2"/>
    <x v="0"/>
  </r>
  <r>
    <x v="0"/>
    <x v="0"/>
    <n v="2239102817"/>
    <x v="2"/>
    <n v="29150"/>
    <x v="0"/>
    <x v="0"/>
    <x v="33"/>
    <x v="2"/>
    <x v="0"/>
    <x v="0"/>
    <x v="2"/>
    <x v="0"/>
  </r>
  <r>
    <x v="0"/>
    <x v="0"/>
    <n v="2239102818"/>
    <x v="3"/>
    <n v="80355"/>
    <x v="0"/>
    <x v="0"/>
    <x v="33"/>
    <x v="3"/>
    <x v="0"/>
    <x v="0"/>
    <x v="3"/>
    <x v="0"/>
  </r>
  <r>
    <x v="0"/>
    <x v="0"/>
    <n v="2239102818"/>
    <x v="7"/>
    <n v="1900"/>
    <x v="0"/>
    <x v="0"/>
    <x v="33"/>
    <x v="7"/>
    <x v="0"/>
    <x v="0"/>
    <x v="1"/>
    <x v="0"/>
  </r>
  <r>
    <x v="0"/>
    <x v="0"/>
    <n v="2239102819"/>
    <x v="2"/>
    <n v="7700"/>
    <x v="0"/>
    <x v="0"/>
    <x v="33"/>
    <x v="2"/>
    <x v="0"/>
    <x v="0"/>
    <x v="2"/>
    <x v="0"/>
  </r>
  <r>
    <x v="0"/>
    <x v="0"/>
    <n v="2239102820"/>
    <x v="2"/>
    <n v="12045"/>
    <x v="0"/>
    <x v="0"/>
    <x v="33"/>
    <x v="2"/>
    <x v="0"/>
    <x v="0"/>
    <x v="2"/>
    <x v="0"/>
  </r>
  <r>
    <x v="0"/>
    <x v="0"/>
    <n v="2239102821"/>
    <x v="6"/>
    <n v="2000"/>
    <x v="0"/>
    <x v="0"/>
    <x v="33"/>
    <x v="6"/>
    <x v="0"/>
    <x v="0"/>
    <x v="5"/>
    <x v="0"/>
  </r>
  <r>
    <x v="0"/>
    <x v="0"/>
    <n v="2239102822"/>
    <x v="6"/>
    <n v="1000"/>
    <x v="0"/>
    <x v="0"/>
    <x v="33"/>
    <x v="6"/>
    <x v="0"/>
    <x v="0"/>
    <x v="5"/>
    <x v="0"/>
  </r>
  <r>
    <x v="0"/>
    <x v="0"/>
    <n v="2239102823"/>
    <x v="1"/>
    <n v="24010"/>
    <x v="0"/>
    <x v="0"/>
    <x v="33"/>
    <x v="1"/>
    <x v="0"/>
    <x v="0"/>
    <x v="1"/>
    <x v="0"/>
  </r>
  <r>
    <x v="0"/>
    <x v="0"/>
    <n v="2239102824"/>
    <x v="7"/>
    <n v="4500"/>
    <x v="0"/>
    <x v="0"/>
    <x v="33"/>
    <x v="7"/>
    <x v="0"/>
    <x v="0"/>
    <x v="1"/>
    <x v="0"/>
  </r>
  <r>
    <x v="0"/>
    <x v="0"/>
    <n v="2239102825"/>
    <x v="6"/>
    <n v="2000"/>
    <x v="0"/>
    <x v="0"/>
    <x v="33"/>
    <x v="6"/>
    <x v="0"/>
    <x v="0"/>
    <x v="5"/>
    <x v="0"/>
  </r>
  <r>
    <x v="0"/>
    <x v="0"/>
    <n v="2239102826"/>
    <x v="1"/>
    <n v="4500"/>
    <x v="0"/>
    <x v="0"/>
    <x v="33"/>
    <x v="1"/>
    <x v="0"/>
    <x v="0"/>
    <x v="1"/>
    <x v="0"/>
  </r>
  <r>
    <x v="0"/>
    <x v="0"/>
    <n v="2239102828"/>
    <x v="2"/>
    <n v="3500"/>
    <x v="0"/>
    <x v="0"/>
    <x v="33"/>
    <x v="2"/>
    <x v="0"/>
    <x v="0"/>
    <x v="2"/>
    <x v="0"/>
  </r>
  <r>
    <x v="0"/>
    <x v="0"/>
    <n v="2239102829"/>
    <x v="2"/>
    <n v="10250"/>
    <x v="0"/>
    <x v="0"/>
    <x v="33"/>
    <x v="2"/>
    <x v="0"/>
    <x v="0"/>
    <x v="2"/>
    <x v="0"/>
  </r>
  <r>
    <x v="0"/>
    <x v="0"/>
    <n v="2239102830"/>
    <x v="2"/>
    <n v="9750"/>
    <x v="0"/>
    <x v="0"/>
    <x v="33"/>
    <x v="2"/>
    <x v="0"/>
    <x v="0"/>
    <x v="2"/>
    <x v="0"/>
  </r>
  <r>
    <x v="0"/>
    <x v="0"/>
    <n v="2239102831"/>
    <x v="2"/>
    <n v="2000"/>
    <x v="0"/>
    <x v="0"/>
    <x v="33"/>
    <x v="2"/>
    <x v="0"/>
    <x v="0"/>
    <x v="2"/>
    <x v="0"/>
  </r>
  <r>
    <x v="0"/>
    <x v="0"/>
    <n v="2239102832"/>
    <x v="1"/>
    <n v="2250"/>
    <x v="0"/>
    <x v="0"/>
    <x v="33"/>
    <x v="1"/>
    <x v="0"/>
    <x v="0"/>
    <x v="1"/>
    <x v="0"/>
  </r>
  <r>
    <x v="0"/>
    <x v="0"/>
    <n v="2239102833"/>
    <x v="5"/>
    <n v="-4700"/>
    <x v="0"/>
    <x v="0"/>
    <x v="33"/>
    <x v="5"/>
    <x v="0"/>
    <x v="0"/>
    <x v="5"/>
    <x v="0"/>
  </r>
  <r>
    <x v="0"/>
    <x v="0"/>
    <n v="2239102833"/>
    <x v="4"/>
    <n v="10000"/>
    <x v="0"/>
    <x v="0"/>
    <x v="33"/>
    <x v="4"/>
    <x v="0"/>
    <x v="0"/>
    <x v="4"/>
    <x v="0"/>
  </r>
  <r>
    <x v="0"/>
    <x v="0"/>
    <n v="2239102835"/>
    <x v="7"/>
    <n v="1500"/>
    <x v="0"/>
    <x v="0"/>
    <x v="33"/>
    <x v="7"/>
    <x v="0"/>
    <x v="0"/>
    <x v="1"/>
    <x v="0"/>
  </r>
  <r>
    <x v="0"/>
    <x v="0"/>
    <n v="2239102836"/>
    <x v="1"/>
    <n v="1350"/>
    <x v="0"/>
    <x v="0"/>
    <x v="33"/>
    <x v="1"/>
    <x v="0"/>
    <x v="0"/>
    <x v="1"/>
    <x v="0"/>
  </r>
  <r>
    <x v="0"/>
    <x v="0"/>
    <n v="2239102837"/>
    <x v="3"/>
    <n v="12595"/>
    <x v="0"/>
    <x v="0"/>
    <x v="33"/>
    <x v="3"/>
    <x v="0"/>
    <x v="0"/>
    <x v="3"/>
    <x v="0"/>
  </r>
  <r>
    <x v="0"/>
    <x v="0"/>
    <n v="2239102838"/>
    <x v="7"/>
    <n v="1500"/>
    <x v="0"/>
    <x v="0"/>
    <x v="33"/>
    <x v="7"/>
    <x v="0"/>
    <x v="0"/>
    <x v="1"/>
    <x v="0"/>
  </r>
  <r>
    <x v="0"/>
    <x v="0"/>
    <n v="2239102840"/>
    <x v="2"/>
    <n v="17600"/>
    <x v="0"/>
    <x v="0"/>
    <x v="33"/>
    <x v="2"/>
    <x v="0"/>
    <x v="0"/>
    <x v="2"/>
    <x v="0"/>
  </r>
  <r>
    <x v="0"/>
    <x v="0"/>
    <n v="2239102842"/>
    <x v="5"/>
    <n v="-2000"/>
    <x v="0"/>
    <x v="0"/>
    <x v="33"/>
    <x v="5"/>
    <x v="0"/>
    <x v="0"/>
    <x v="5"/>
    <x v="0"/>
  </r>
  <r>
    <x v="0"/>
    <x v="0"/>
    <n v="2239102842"/>
    <x v="6"/>
    <n v="10000"/>
    <x v="0"/>
    <x v="0"/>
    <x v="33"/>
    <x v="6"/>
    <x v="0"/>
    <x v="0"/>
    <x v="5"/>
    <x v="0"/>
  </r>
  <r>
    <x v="0"/>
    <x v="0"/>
    <n v="2239102843"/>
    <x v="1"/>
    <n v="7740"/>
    <x v="0"/>
    <x v="0"/>
    <x v="33"/>
    <x v="1"/>
    <x v="0"/>
    <x v="0"/>
    <x v="1"/>
    <x v="0"/>
  </r>
  <r>
    <x v="0"/>
    <x v="0"/>
    <n v="2239102844"/>
    <x v="1"/>
    <n v="1350"/>
    <x v="0"/>
    <x v="0"/>
    <x v="33"/>
    <x v="1"/>
    <x v="0"/>
    <x v="0"/>
    <x v="1"/>
    <x v="0"/>
  </r>
  <r>
    <x v="0"/>
    <x v="0"/>
    <n v="2239102845"/>
    <x v="1"/>
    <n v="1800"/>
    <x v="0"/>
    <x v="0"/>
    <x v="33"/>
    <x v="1"/>
    <x v="0"/>
    <x v="0"/>
    <x v="1"/>
    <x v="0"/>
  </r>
  <r>
    <x v="0"/>
    <x v="0"/>
    <n v="2239102846"/>
    <x v="6"/>
    <n v="2000"/>
    <x v="0"/>
    <x v="0"/>
    <x v="33"/>
    <x v="6"/>
    <x v="0"/>
    <x v="0"/>
    <x v="5"/>
    <x v="0"/>
  </r>
  <r>
    <x v="0"/>
    <x v="0"/>
    <n v="2239102848"/>
    <x v="6"/>
    <n v="1000"/>
    <x v="0"/>
    <x v="0"/>
    <x v="33"/>
    <x v="6"/>
    <x v="0"/>
    <x v="0"/>
    <x v="5"/>
    <x v="0"/>
  </r>
  <r>
    <x v="0"/>
    <x v="0"/>
    <n v="2239102849"/>
    <x v="3"/>
    <n v="29865"/>
    <x v="0"/>
    <x v="0"/>
    <x v="33"/>
    <x v="3"/>
    <x v="0"/>
    <x v="0"/>
    <x v="3"/>
    <x v="0"/>
  </r>
  <r>
    <x v="0"/>
    <x v="0"/>
    <n v="2239102850"/>
    <x v="5"/>
    <n v="-4700"/>
    <x v="0"/>
    <x v="0"/>
    <x v="33"/>
    <x v="5"/>
    <x v="0"/>
    <x v="0"/>
    <x v="5"/>
    <x v="0"/>
  </r>
  <r>
    <x v="0"/>
    <x v="0"/>
    <n v="2239102850"/>
    <x v="4"/>
    <n v="10000"/>
    <x v="0"/>
    <x v="0"/>
    <x v="33"/>
    <x v="4"/>
    <x v="0"/>
    <x v="0"/>
    <x v="4"/>
    <x v="0"/>
  </r>
  <r>
    <x v="0"/>
    <x v="0"/>
    <n v="2239102851"/>
    <x v="1"/>
    <n v="3150"/>
    <x v="0"/>
    <x v="0"/>
    <x v="33"/>
    <x v="1"/>
    <x v="0"/>
    <x v="0"/>
    <x v="1"/>
    <x v="0"/>
  </r>
  <r>
    <x v="0"/>
    <x v="0"/>
    <n v="2239102852"/>
    <x v="2"/>
    <n v="14850"/>
    <x v="0"/>
    <x v="0"/>
    <x v="33"/>
    <x v="2"/>
    <x v="0"/>
    <x v="0"/>
    <x v="2"/>
    <x v="0"/>
  </r>
  <r>
    <x v="0"/>
    <x v="0"/>
    <n v="2239102852"/>
    <x v="7"/>
    <n v="6750"/>
    <x v="0"/>
    <x v="0"/>
    <x v="33"/>
    <x v="7"/>
    <x v="0"/>
    <x v="0"/>
    <x v="1"/>
    <x v="0"/>
  </r>
  <r>
    <x v="0"/>
    <x v="0"/>
    <n v="2239102853"/>
    <x v="7"/>
    <n v="1500"/>
    <x v="0"/>
    <x v="0"/>
    <x v="33"/>
    <x v="7"/>
    <x v="0"/>
    <x v="0"/>
    <x v="1"/>
    <x v="0"/>
  </r>
  <r>
    <x v="0"/>
    <x v="0"/>
    <n v="2239102854"/>
    <x v="1"/>
    <n v="2640"/>
    <x v="0"/>
    <x v="0"/>
    <x v="33"/>
    <x v="1"/>
    <x v="0"/>
    <x v="0"/>
    <x v="1"/>
    <x v="0"/>
  </r>
  <r>
    <x v="0"/>
    <x v="0"/>
    <n v="2239102855"/>
    <x v="2"/>
    <n v="6000"/>
    <x v="0"/>
    <x v="0"/>
    <x v="33"/>
    <x v="2"/>
    <x v="0"/>
    <x v="0"/>
    <x v="2"/>
    <x v="0"/>
  </r>
  <r>
    <x v="0"/>
    <x v="0"/>
    <n v="2239102856"/>
    <x v="5"/>
    <n v="-3500"/>
    <x v="0"/>
    <x v="0"/>
    <x v="33"/>
    <x v="5"/>
    <x v="0"/>
    <x v="0"/>
    <x v="5"/>
    <x v="0"/>
  </r>
  <r>
    <x v="0"/>
    <x v="0"/>
    <n v="2239102856"/>
    <x v="6"/>
    <n v="10000"/>
    <x v="0"/>
    <x v="0"/>
    <x v="33"/>
    <x v="6"/>
    <x v="0"/>
    <x v="0"/>
    <x v="5"/>
    <x v="0"/>
  </r>
  <r>
    <x v="0"/>
    <x v="0"/>
    <n v="2239102857"/>
    <x v="5"/>
    <n v="-5000"/>
    <x v="0"/>
    <x v="0"/>
    <x v="33"/>
    <x v="5"/>
    <x v="0"/>
    <x v="0"/>
    <x v="5"/>
    <x v="0"/>
  </r>
  <r>
    <x v="0"/>
    <x v="0"/>
    <n v="2239102857"/>
    <x v="4"/>
    <n v="10700"/>
    <x v="0"/>
    <x v="0"/>
    <x v="33"/>
    <x v="4"/>
    <x v="0"/>
    <x v="0"/>
    <x v="4"/>
    <x v="0"/>
  </r>
  <r>
    <x v="0"/>
    <x v="0"/>
    <n v="2239102858"/>
    <x v="2"/>
    <n v="22825"/>
    <x v="0"/>
    <x v="0"/>
    <x v="33"/>
    <x v="2"/>
    <x v="0"/>
    <x v="0"/>
    <x v="2"/>
    <x v="0"/>
  </r>
  <r>
    <x v="0"/>
    <x v="0"/>
    <n v="2239102860"/>
    <x v="1"/>
    <n v="3960"/>
    <x v="0"/>
    <x v="0"/>
    <x v="33"/>
    <x v="1"/>
    <x v="0"/>
    <x v="0"/>
    <x v="1"/>
    <x v="0"/>
  </r>
  <r>
    <x v="0"/>
    <x v="0"/>
    <n v="2239102863"/>
    <x v="2"/>
    <n v="83270"/>
    <x v="0"/>
    <x v="0"/>
    <x v="33"/>
    <x v="2"/>
    <x v="0"/>
    <x v="0"/>
    <x v="2"/>
    <x v="0"/>
  </r>
  <r>
    <x v="0"/>
    <x v="0"/>
    <n v="2239102864"/>
    <x v="5"/>
    <n v="-2250"/>
    <x v="0"/>
    <x v="0"/>
    <x v="33"/>
    <x v="5"/>
    <x v="0"/>
    <x v="0"/>
    <x v="5"/>
    <x v="0"/>
  </r>
  <r>
    <x v="0"/>
    <x v="0"/>
    <n v="2239102864"/>
    <x v="6"/>
    <n v="5000"/>
    <x v="0"/>
    <x v="0"/>
    <x v="33"/>
    <x v="6"/>
    <x v="0"/>
    <x v="0"/>
    <x v="5"/>
    <x v="0"/>
  </r>
  <r>
    <x v="0"/>
    <x v="0"/>
    <n v="2239102865"/>
    <x v="2"/>
    <n v="3000"/>
    <x v="0"/>
    <x v="0"/>
    <x v="33"/>
    <x v="2"/>
    <x v="0"/>
    <x v="0"/>
    <x v="2"/>
    <x v="0"/>
  </r>
  <r>
    <x v="0"/>
    <x v="0"/>
    <n v="2239102866"/>
    <x v="1"/>
    <n v="4200"/>
    <x v="0"/>
    <x v="0"/>
    <x v="33"/>
    <x v="1"/>
    <x v="0"/>
    <x v="0"/>
    <x v="1"/>
    <x v="0"/>
  </r>
  <r>
    <x v="0"/>
    <x v="0"/>
    <n v="2239102867"/>
    <x v="2"/>
    <n v="5500"/>
    <x v="0"/>
    <x v="0"/>
    <x v="33"/>
    <x v="2"/>
    <x v="0"/>
    <x v="0"/>
    <x v="2"/>
    <x v="0"/>
  </r>
  <r>
    <x v="0"/>
    <x v="0"/>
    <n v="2239102868"/>
    <x v="2"/>
    <n v="3000"/>
    <x v="0"/>
    <x v="0"/>
    <x v="33"/>
    <x v="2"/>
    <x v="0"/>
    <x v="0"/>
    <x v="2"/>
    <x v="0"/>
  </r>
  <r>
    <x v="0"/>
    <x v="0"/>
    <n v="2239102869"/>
    <x v="2"/>
    <n v="7000"/>
    <x v="0"/>
    <x v="0"/>
    <x v="33"/>
    <x v="2"/>
    <x v="0"/>
    <x v="0"/>
    <x v="2"/>
    <x v="0"/>
  </r>
  <r>
    <x v="0"/>
    <x v="0"/>
    <n v="2239102871"/>
    <x v="5"/>
    <n v="-2000"/>
    <x v="0"/>
    <x v="0"/>
    <x v="33"/>
    <x v="5"/>
    <x v="0"/>
    <x v="0"/>
    <x v="5"/>
    <x v="0"/>
  </r>
  <r>
    <x v="0"/>
    <x v="0"/>
    <n v="2239102871"/>
    <x v="6"/>
    <n v="5000"/>
    <x v="0"/>
    <x v="0"/>
    <x v="33"/>
    <x v="6"/>
    <x v="0"/>
    <x v="0"/>
    <x v="5"/>
    <x v="0"/>
  </r>
  <r>
    <x v="0"/>
    <x v="0"/>
    <n v="2239102873"/>
    <x v="2"/>
    <n v="15200"/>
    <x v="0"/>
    <x v="0"/>
    <x v="33"/>
    <x v="2"/>
    <x v="0"/>
    <x v="0"/>
    <x v="2"/>
    <x v="0"/>
  </r>
  <r>
    <x v="0"/>
    <x v="0"/>
    <n v="2239102874"/>
    <x v="2"/>
    <n v="2000"/>
    <x v="0"/>
    <x v="0"/>
    <x v="33"/>
    <x v="2"/>
    <x v="0"/>
    <x v="0"/>
    <x v="2"/>
    <x v="0"/>
  </r>
  <r>
    <x v="0"/>
    <x v="0"/>
    <n v="2239102877"/>
    <x v="5"/>
    <n v="-200"/>
    <x v="0"/>
    <x v="0"/>
    <x v="33"/>
    <x v="5"/>
    <x v="0"/>
    <x v="0"/>
    <x v="5"/>
    <x v="0"/>
  </r>
  <r>
    <x v="0"/>
    <x v="0"/>
    <n v="2239102877"/>
    <x v="6"/>
    <n v="6500"/>
    <x v="0"/>
    <x v="0"/>
    <x v="33"/>
    <x v="6"/>
    <x v="0"/>
    <x v="0"/>
    <x v="5"/>
    <x v="0"/>
  </r>
  <r>
    <x v="0"/>
    <x v="0"/>
    <n v="2239102878"/>
    <x v="2"/>
    <n v="9500"/>
    <x v="0"/>
    <x v="0"/>
    <x v="33"/>
    <x v="2"/>
    <x v="0"/>
    <x v="0"/>
    <x v="2"/>
    <x v="0"/>
  </r>
  <r>
    <x v="0"/>
    <x v="0"/>
    <n v="2239102879"/>
    <x v="2"/>
    <n v="4774"/>
    <x v="0"/>
    <x v="0"/>
    <x v="33"/>
    <x v="2"/>
    <x v="0"/>
    <x v="0"/>
    <x v="2"/>
    <x v="0"/>
  </r>
  <r>
    <x v="0"/>
    <x v="0"/>
    <n v="2239102880"/>
    <x v="1"/>
    <n v="16650"/>
    <x v="0"/>
    <x v="0"/>
    <x v="33"/>
    <x v="1"/>
    <x v="0"/>
    <x v="0"/>
    <x v="1"/>
    <x v="0"/>
  </r>
  <r>
    <x v="0"/>
    <x v="0"/>
    <n v="2239102881"/>
    <x v="2"/>
    <n v="11550"/>
    <x v="0"/>
    <x v="0"/>
    <x v="33"/>
    <x v="2"/>
    <x v="0"/>
    <x v="0"/>
    <x v="2"/>
    <x v="0"/>
  </r>
  <r>
    <x v="0"/>
    <x v="0"/>
    <n v="2239102882"/>
    <x v="2"/>
    <n v="11000"/>
    <x v="0"/>
    <x v="0"/>
    <x v="33"/>
    <x v="2"/>
    <x v="0"/>
    <x v="0"/>
    <x v="2"/>
    <x v="0"/>
  </r>
  <r>
    <x v="0"/>
    <x v="0"/>
    <n v="2239102883"/>
    <x v="3"/>
    <n v="13000"/>
    <x v="0"/>
    <x v="0"/>
    <x v="33"/>
    <x v="3"/>
    <x v="0"/>
    <x v="0"/>
    <x v="3"/>
    <x v="0"/>
  </r>
  <r>
    <x v="0"/>
    <x v="0"/>
    <n v="2239102884"/>
    <x v="3"/>
    <n v="25740"/>
    <x v="0"/>
    <x v="0"/>
    <x v="33"/>
    <x v="3"/>
    <x v="0"/>
    <x v="0"/>
    <x v="3"/>
    <x v="0"/>
  </r>
  <r>
    <x v="0"/>
    <x v="0"/>
    <n v="2239102885"/>
    <x v="5"/>
    <n v="-1000"/>
    <x v="0"/>
    <x v="0"/>
    <x v="33"/>
    <x v="5"/>
    <x v="0"/>
    <x v="0"/>
    <x v="5"/>
    <x v="0"/>
  </r>
  <r>
    <x v="0"/>
    <x v="0"/>
    <n v="2239102885"/>
    <x v="6"/>
    <n v="7000"/>
    <x v="0"/>
    <x v="0"/>
    <x v="33"/>
    <x v="6"/>
    <x v="0"/>
    <x v="0"/>
    <x v="5"/>
    <x v="0"/>
  </r>
  <r>
    <x v="0"/>
    <x v="0"/>
    <n v="2239102886"/>
    <x v="6"/>
    <n v="3250"/>
    <x v="0"/>
    <x v="0"/>
    <x v="33"/>
    <x v="6"/>
    <x v="0"/>
    <x v="0"/>
    <x v="5"/>
    <x v="0"/>
  </r>
  <r>
    <x v="0"/>
    <x v="0"/>
    <n v="2239102887"/>
    <x v="7"/>
    <n v="1500"/>
    <x v="0"/>
    <x v="0"/>
    <x v="33"/>
    <x v="7"/>
    <x v="0"/>
    <x v="0"/>
    <x v="1"/>
    <x v="0"/>
  </r>
  <r>
    <x v="0"/>
    <x v="0"/>
    <n v="2239102888"/>
    <x v="5"/>
    <n v="-600"/>
    <x v="0"/>
    <x v="0"/>
    <x v="33"/>
    <x v="5"/>
    <x v="0"/>
    <x v="0"/>
    <x v="5"/>
    <x v="0"/>
  </r>
  <r>
    <x v="0"/>
    <x v="0"/>
    <n v="2239102888"/>
    <x v="4"/>
    <n v="5000"/>
    <x v="0"/>
    <x v="0"/>
    <x v="33"/>
    <x v="4"/>
    <x v="0"/>
    <x v="0"/>
    <x v="4"/>
    <x v="0"/>
  </r>
  <r>
    <x v="0"/>
    <x v="0"/>
    <n v="2239102890"/>
    <x v="6"/>
    <n v="1000"/>
    <x v="0"/>
    <x v="0"/>
    <x v="33"/>
    <x v="6"/>
    <x v="0"/>
    <x v="0"/>
    <x v="5"/>
    <x v="0"/>
  </r>
  <r>
    <x v="0"/>
    <x v="0"/>
    <n v="2239102891"/>
    <x v="1"/>
    <n v="5400"/>
    <x v="0"/>
    <x v="0"/>
    <x v="33"/>
    <x v="1"/>
    <x v="0"/>
    <x v="0"/>
    <x v="1"/>
    <x v="0"/>
  </r>
  <r>
    <x v="0"/>
    <x v="0"/>
    <n v="2239102892"/>
    <x v="2"/>
    <n v="4750"/>
    <x v="0"/>
    <x v="0"/>
    <x v="33"/>
    <x v="2"/>
    <x v="0"/>
    <x v="0"/>
    <x v="2"/>
    <x v="0"/>
  </r>
  <r>
    <x v="0"/>
    <x v="0"/>
    <n v="2239102893"/>
    <x v="2"/>
    <n v="2200"/>
    <x v="0"/>
    <x v="0"/>
    <x v="33"/>
    <x v="2"/>
    <x v="0"/>
    <x v="0"/>
    <x v="2"/>
    <x v="0"/>
  </r>
  <r>
    <x v="0"/>
    <x v="0"/>
    <n v="2239102895"/>
    <x v="2"/>
    <n v="10890"/>
    <x v="0"/>
    <x v="0"/>
    <x v="33"/>
    <x v="2"/>
    <x v="0"/>
    <x v="0"/>
    <x v="2"/>
    <x v="0"/>
  </r>
  <r>
    <x v="0"/>
    <x v="0"/>
    <n v="2239102896"/>
    <x v="5"/>
    <n v="-14700"/>
    <x v="0"/>
    <x v="0"/>
    <x v="33"/>
    <x v="5"/>
    <x v="0"/>
    <x v="0"/>
    <x v="5"/>
    <x v="0"/>
  </r>
  <r>
    <x v="0"/>
    <x v="0"/>
    <n v="2239102896"/>
    <x v="4"/>
    <n v="20000"/>
    <x v="0"/>
    <x v="0"/>
    <x v="33"/>
    <x v="4"/>
    <x v="0"/>
    <x v="0"/>
    <x v="4"/>
    <x v="0"/>
  </r>
  <r>
    <x v="0"/>
    <x v="0"/>
    <n v="2239102897"/>
    <x v="7"/>
    <n v="1500"/>
    <x v="0"/>
    <x v="0"/>
    <x v="33"/>
    <x v="7"/>
    <x v="0"/>
    <x v="0"/>
    <x v="1"/>
    <x v="0"/>
  </r>
  <r>
    <x v="0"/>
    <x v="0"/>
    <n v="2239102898"/>
    <x v="2"/>
    <n v="3000"/>
    <x v="0"/>
    <x v="0"/>
    <x v="33"/>
    <x v="2"/>
    <x v="0"/>
    <x v="0"/>
    <x v="2"/>
    <x v="0"/>
  </r>
  <r>
    <x v="0"/>
    <x v="0"/>
    <n v="2239102900"/>
    <x v="7"/>
    <n v="1500"/>
    <x v="0"/>
    <x v="0"/>
    <x v="33"/>
    <x v="7"/>
    <x v="0"/>
    <x v="0"/>
    <x v="1"/>
    <x v="0"/>
  </r>
  <r>
    <x v="0"/>
    <x v="0"/>
    <n v="2239102901"/>
    <x v="2"/>
    <n v="11990"/>
    <x v="0"/>
    <x v="0"/>
    <x v="33"/>
    <x v="2"/>
    <x v="0"/>
    <x v="0"/>
    <x v="2"/>
    <x v="0"/>
  </r>
  <r>
    <x v="0"/>
    <x v="0"/>
    <n v="2239102902"/>
    <x v="5"/>
    <n v="-15000"/>
    <x v="0"/>
    <x v="0"/>
    <x v="33"/>
    <x v="5"/>
    <x v="0"/>
    <x v="0"/>
    <x v="5"/>
    <x v="0"/>
  </r>
  <r>
    <x v="0"/>
    <x v="0"/>
    <n v="2239102902"/>
    <x v="4"/>
    <n v="20000"/>
    <x v="0"/>
    <x v="0"/>
    <x v="33"/>
    <x v="4"/>
    <x v="0"/>
    <x v="0"/>
    <x v="4"/>
    <x v="0"/>
  </r>
  <r>
    <x v="0"/>
    <x v="0"/>
    <n v="2239102903"/>
    <x v="1"/>
    <n v="5250"/>
    <x v="0"/>
    <x v="0"/>
    <x v="33"/>
    <x v="1"/>
    <x v="0"/>
    <x v="0"/>
    <x v="1"/>
    <x v="0"/>
  </r>
  <r>
    <x v="0"/>
    <x v="0"/>
    <n v="2239102904"/>
    <x v="2"/>
    <n v="8250"/>
    <x v="0"/>
    <x v="0"/>
    <x v="33"/>
    <x v="2"/>
    <x v="0"/>
    <x v="0"/>
    <x v="2"/>
    <x v="0"/>
  </r>
  <r>
    <x v="0"/>
    <x v="0"/>
    <n v="2239102905"/>
    <x v="2"/>
    <n v="39864"/>
    <x v="0"/>
    <x v="0"/>
    <x v="33"/>
    <x v="2"/>
    <x v="0"/>
    <x v="0"/>
    <x v="2"/>
    <x v="0"/>
  </r>
  <r>
    <x v="0"/>
    <x v="0"/>
    <n v="2239102906"/>
    <x v="5"/>
    <n v="-3500"/>
    <x v="0"/>
    <x v="0"/>
    <x v="33"/>
    <x v="5"/>
    <x v="0"/>
    <x v="0"/>
    <x v="5"/>
    <x v="0"/>
  </r>
  <r>
    <x v="0"/>
    <x v="0"/>
    <n v="2239102906"/>
    <x v="6"/>
    <n v="10000"/>
    <x v="0"/>
    <x v="0"/>
    <x v="33"/>
    <x v="6"/>
    <x v="0"/>
    <x v="0"/>
    <x v="5"/>
    <x v="0"/>
  </r>
  <r>
    <x v="0"/>
    <x v="0"/>
    <n v="2239102907"/>
    <x v="3"/>
    <n v="35750"/>
    <x v="0"/>
    <x v="0"/>
    <x v="33"/>
    <x v="3"/>
    <x v="0"/>
    <x v="0"/>
    <x v="3"/>
    <x v="0"/>
  </r>
  <r>
    <x v="0"/>
    <x v="0"/>
    <n v="2239102909"/>
    <x v="5"/>
    <n v="-4750"/>
    <x v="0"/>
    <x v="0"/>
    <x v="33"/>
    <x v="5"/>
    <x v="0"/>
    <x v="0"/>
    <x v="5"/>
    <x v="0"/>
  </r>
  <r>
    <x v="0"/>
    <x v="0"/>
    <n v="2239102909"/>
    <x v="6"/>
    <n v="10000"/>
    <x v="0"/>
    <x v="0"/>
    <x v="33"/>
    <x v="6"/>
    <x v="0"/>
    <x v="0"/>
    <x v="5"/>
    <x v="0"/>
  </r>
  <r>
    <x v="0"/>
    <x v="0"/>
    <n v="2239102910"/>
    <x v="5"/>
    <n v="-1750"/>
    <x v="0"/>
    <x v="0"/>
    <x v="33"/>
    <x v="5"/>
    <x v="0"/>
    <x v="0"/>
    <x v="5"/>
    <x v="0"/>
  </r>
  <r>
    <x v="0"/>
    <x v="0"/>
    <n v="2239102910"/>
    <x v="6"/>
    <n v="5000"/>
    <x v="0"/>
    <x v="0"/>
    <x v="33"/>
    <x v="6"/>
    <x v="0"/>
    <x v="0"/>
    <x v="5"/>
    <x v="0"/>
  </r>
  <r>
    <x v="0"/>
    <x v="0"/>
    <n v="2239102911"/>
    <x v="5"/>
    <n v="-3970"/>
    <x v="0"/>
    <x v="0"/>
    <x v="33"/>
    <x v="5"/>
    <x v="0"/>
    <x v="0"/>
    <x v="5"/>
    <x v="0"/>
  </r>
  <r>
    <x v="0"/>
    <x v="0"/>
    <n v="2239102911"/>
    <x v="6"/>
    <n v="20000"/>
    <x v="0"/>
    <x v="0"/>
    <x v="33"/>
    <x v="6"/>
    <x v="0"/>
    <x v="0"/>
    <x v="5"/>
    <x v="0"/>
  </r>
  <r>
    <x v="0"/>
    <x v="0"/>
    <n v="2239102912"/>
    <x v="7"/>
    <n v="7000"/>
    <x v="0"/>
    <x v="0"/>
    <x v="33"/>
    <x v="7"/>
    <x v="0"/>
    <x v="0"/>
    <x v="1"/>
    <x v="0"/>
  </r>
  <r>
    <x v="0"/>
    <x v="0"/>
    <n v="2239102914"/>
    <x v="7"/>
    <n v="1500"/>
    <x v="0"/>
    <x v="0"/>
    <x v="33"/>
    <x v="7"/>
    <x v="0"/>
    <x v="0"/>
    <x v="1"/>
    <x v="0"/>
  </r>
  <r>
    <x v="0"/>
    <x v="0"/>
    <n v="2239102915"/>
    <x v="7"/>
    <n v="1500"/>
    <x v="0"/>
    <x v="0"/>
    <x v="33"/>
    <x v="7"/>
    <x v="0"/>
    <x v="0"/>
    <x v="1"/>
    <x v="0"/>
  </r>
  <r>
    <x v="0"/>
    <x v="0"/>
    <n v="2239102917"/>
    <x v="5"/>
    <n v="-1300"/>
    <x v="0"/>
    <x v="0"/>
    <x v="33"/>
    <x v="5"/>
    <x v="0"/>
    <x v="0"/>
    <x v="5"/>
    <x v="0"/>
  </r>
  <r>
    <x v="0"/>
    <x v="0"/>
    <n v="2239102917"/>
    <x v="6"/>
    <n v="40000"/>
    <x v="0"/>
    <x v="0"/>
    <x v="33"/>
    <x v="6"/>
    <x v="0"/>
    <x v="0"/>
    <x v="5"/>
    <x v="0"/>
  </r>
  <r>
    <x v="0"/>
    <x v="0"/>
    <n v="2239102918"/>
    <x v="2"/>
    <n v="8800"/>
    <x v="0"/>
    <x v="0"/>
    <x v="33"/>
    <x v="2"/>
    <x v="0"/>
    <x v="0"/>
    <x v="2"/>
    <x v="0"/>
  </r>
  <r>
    <x v="0"/>
    <x v="0"/>
    <n v="2239102919"/>
    <x v="2"/>
    <n v="13200"/>
    <x v="0"/>
    <x v="0"/>
    <x v="33"/>
    <x v="2"/>
    <x v="0"/>
    <x v="0"/>
    <x v="2"/>
    <x v="0"/>
  </r>
  <r>
    <x v="0"/>
    <x v="0"/>
    <n v="2239102920"/>
    <x v="5"/>
    <n v="-5000"/>
    <x v="0"/>
    <x v="0"/>
    <x v="33"/>
    <x v="5"/>
    <x v="0"/>
    <x v="0"/>
    <x v="5"/>
    <x v="0"/>
  </r>
  <r>
    <x v="0"/>
    <x v="0"/>
    <n v="2239102920"/>
    <x v="4"/>
    <n v="10000"/>
    <x v="0"/>
    <x v="0"/>
    <x v="33"/>
    <x v="4"/>
    <x v="0"/>
    <x v="0"/>
    <x v="4"/>
    <x v="0"/>
  </r>
  <r>
    <x v="0"/>
    <x v="0"/>
    <n v="2239102921"/>
    <x v="2"/>
    <n v="7500"/>
    <x v="0"/>
    <x v="0"/>
    <x v="33"/>
    <x v="2"/>
    <x v="0"/>
    <x v="0"/>
    <x v="2"/>
    <x v="0"/>
  </r>
  <r>
    <x v="0"/>
    <x v="0"/>
    <n v="2239102922"/>
    <x v="5"/>
    <n v="-800"/>
    <x v="0"/>
    <x v="0"/>
    <x v="33"/>
    <x v="5"/>
    <x v="0"/>
    <x v="0"/>
    <x v="5"/>
    <x v="0"/>
  </r>
  <r>
    <x v="0"/>
    <x v="0"/>
    <n v="2239102922"/>
    <x v="4"/>
    <n v="12000"/>
    <x v="0"/>
    <x v="0"/>
    <x v="33"/>
    <x v="4"/>
    <x v="0"/>
    <x v="0"/>
    <x v="4"/>
    <x v="0"/>
  </r>
  <r>
    <x v="0"/>
    <x v="0"/>
    <n v="2239102923"/>
    <x v="2"/>
    <n v="5300"/>
    <x v="0"/>
    <x v="0"/>
    <x v="33"/>
    <x v="2"/>
    <x v="0"/>
    <x v="0"/>
    <x v="2"/>
    <x v="0"/>
  </r>
  <r>
    <x v="0"/>
    <x v="0"/>
    <n v="2239102924"/>
    <x v="7"/>
    <n v="1500"/>
    <x v="0"/>
    <x v="0"/>
    <x v="33"/>
    <x v="7"/>
    <x v="0"/>
    <x v="0"/>
    <x v="1"/>
    <x v="0"/>
  </r>
  <r>
    <x v="0"/>
    <x v="0"/>
    <n v="2239102925"/>
    <x v="2"/>
    <n v="6500"/>
    <x v="0"/>
    <x v="0"/>
    <x v="33"/>
    <x v="2"/>
    <x v="0"/>
    <x v="0"/>
    <x v="2"/>
    <x v="0"/>
  </r>
  <r>
    <x v="0"/>
    <x v="0"/>
    <n v="2239102926"/>
    <x v="2"/>
    <n v="44440"/>
    <x v="0"/>
    <x v="0"/>
    <x v="33"/>
    <x v="2"/>
    <x v="0"/>
    <x v="0"/>
    <x v="2"/>
    <x v="0"/>
  </r>
  <r>
    <x v="0"/>
    <x v="0"/>
    <n v="2239102927"/>
    <x v="2"/>
    <n v="9500"/>
    <x v="0"/>
    <x v="0"/>
    <x v="33"/>
    <x v="2"/>
    <x v="0"/>
    <x v="0"/>
    <x v="2"/>
    <x v="0"/>
  </r>
  <r>
    <x v="0"/>
    <x v="0"/>
    <n v="2239102928"/>
    <x v="7"/>
    <n v="1500"/>
    <x v="0"/>
    <x v="0"/>
    <x v="33"/>
    <x v="7"/>
    <x v="0"/>
    <x v="0"/>
    <x v="1"/>
    <x v="0"/>
  </r>
  <r>
    <x v="0"/>
    <x v="0"/>
    <n v="2239102929"/>
    <x v="7"/>
    <n v="1500"/>
    <x v="0"/>
    <x v="0"/>
    <x v="33"/>
    <x v="7"/>
    <x v="0"/>
    <x v="0"/>
    <x v="1"/>
    <x v="0"/>
  </r>
  <r>
    <x v="0"/>
    <x v="0"/>
    <n v="2239102930"/>
    <x v="3"/>
    <n v="6500"/>
    <x v="0"/>
    <x v="0"/>
    <x v="33"/>
    <x v="3"/>
    <x v="0"/>
    <x v="0"/>
    <x v="3"/>
    <x v="0"/>
  </r>
  <r>
    <x v="0"/>
    <x v="0"/>
    <n v="2239102931"/>
    <x v="4"/>
    <n v="5600"/>
    <x v="0"/>
    <x v="0"/>
    <x v="33"/>
    <x v="4"/>
    <x v="0"/>
    <x v="0"/>
    <x v="4"/>
    <x v="0"/>
  </r>
  <r>
    <x v="0"/>
    <x v="0"/>
    <n v="2239102932"/>
    <x v="5"/>
    <n v="-600"/>
    <x v="0"/>
    <x v="0"/>
    <x v="33"/>
    <x v="5"/>
    <x v="0"/>
    <x v="0"/>
    <x v="5"/>
    <x v="0"/>
  </r>
  <r>
    <x v="0"/>
    <x v="0"/>
    <n v="2239102932"/>
    <x v="4"/>
    <n v="5000"/>
    <x v="0"/>
    <x v="0"/>
    <x v="33"/>
    <x v="4"/>
    <x v="0"/>
    <x v="0"/>
    <x v="4"/>
    <x v="0"/>
  </r>
  <r>
    <x v="0"/>
    <x v="0"/>
    <n v="2239102933"/>
    <x v="2"/>
    <n v="7500"/>
    <x v="0"/>
    <x v="0"/>
    <x v="33"/>
    <x v="2"/>
    <x v="0"/>
    <x v="0"/>
    <x v="2"/>
    <x v="0"/>
  </r>
  <r>
    <x v="0"/>
    <x v="0"/>
    <n v="2239102934"/>
    <x v="2"/>
    <n v="6500"/>
    <x v="0"/>
    <x v="0"/>
    <x v="33"/>
    <x v="2"/>
    <x v="0"/>
    <x v="0"/>
    <x v="2"/>
    <x v="0"/>
  </r>
  <r>
    <x v="0"/>
    <x v="0"/>
    <n v="2239102935"/>
    <x v="2"/>
    <n v="14300"/>
    <x v="0"/>
    <x v="0"/>
    <x v="33"/>
    <x v="2"/>
    <x v="0"/>
    <x v="0"/>
    <x v="2"/>
    <x v="0"/>
  </r>
  <r>
    <x v="0"/>
    <x v="0"/>
    <n v="2239102936"/>
    <x v="5"/>
    <n v="-5200"/>
    <x v="0"/>
    <x v="0"/>
    <x v="33"/>
    <x v="5"/>
    <x v="0"/>
    <x v="0"/>
    <x v="5"/>
    <x v="0"/>
  </r>
  <r>
    <x v="0"/>
    <x v="0"/>
    <n v="2239102936"/>
    <x v="6"/>
    <n v="25000"/>
    <x v="0"/>
    <x v="0"/>
    <x v="33"/>
    <x v="6"/>
    <x v="0"/>
    <x v="0"/>
    <x v="5"/>
    <x v="0"/>
  </r>
  <r>
    <x v="0"/>
    <x v="0"/>
    <n v="2239102937"/>
    <x v="5"/>
    <n v="-3500"/>
    <x v="0"/>
    <x v="0"/>
    <x v="33"/>
    <x v="5"/>
    <x v="0"/>
    <x v="0"/>
    <x v="5"/>
    <x v="0"/>
  </r>
  <r>
    <x v="0"/>
    <x v="0"/>
    <n v="2239102937"/>
    <x v="6"/>
    <n v="10000"/>
    <x v="0"/>
    <x v="0"/>
    <x v="33"/>
    <x v="6"/>
    <x v="0"/>
    <x v="0"/>
    <x v="5"/>
    <x v="0"/>
  </r>
  <r>
    <x v="0"/>
    <x v="0"/>
    <n v="2239102939"/>
    <x v="7"/>
    <n v="1500"/>
    <x v="0"/>
    <x v="0"/>
    <x v="33"/>
    <x v="7"/>
    <x v="0"/>
    <x v="0"/>
    <x v="1"/>
    <x v="0"/>
  </r>
  <r>
    <x v="0"/>
    <x v="0"/>
    <n v="2239102940"/>
    <x v="2"/>
    <n v="20000"/>
    <x v="0"/>
    <x v="0"/>
    <x v="33"/>
    <x v="2"/>
    <x v="0"/>
    <x v="0"/>
    <x v="2"/>
    <x v="0"/>
  </r>
  <r>
    <x v="0"/>
    <x v="0"/>
    <n v="2239102941"/>
    <x v="2"/>
    <n v="4000"/>
    <x v="0"/>
    <x v="0"/>
    <x v="33"/>
    <x v="2"/>
    <x v="0"/>
    <x v="0"/>
    <x v="2"/>
    <x v="0"/>
  </r>
  <r>
    <x v="0"/>
    <x v="0"/>
    <n v="2239102942"/>
    <x v="2"/>
    <n v="31350"/>
    <x v="0"/>
    <x v="0"/>
    <x v="33"/>
    <x v="2"/>
    <x v="0"/>
    <x v="0"/>
    <x v="2"/>
    <x v="0"/>
  </r>
  <r>
    <x v="0"/>
    <x v="0"/>
    <n v="2239102943"/>
    <x v="5"/>
    <n v="-7000"/>
    <x v="0"/>
    <x v="0"/>
    <x v="33"/>
    <x v="5"/>
    <x v="0"/>
    <x v="0"/>
    <x v="5"/>
    <x v="0"/>
  </r>
  <r>
    <x v="0"/>
    <x v="0"/>
    <n v="2239102943"/>
    <x v="6"/>
    <n v="10000"/>
    <x v="0"/>
    <x v="0"/>
    <x v="33"/>
    <x v="6"/>
    <x v="0"/>
    <x v="0"/>
    <x v="5"/>
    <x v="0"/>
  </r>
  <r>
    <x v="0"/>
    <x v="0"/>
    <n v="2239102944"/>
    <x v="2"/>
    <n v="20900"/>
    <x v="0"/>
    <x v="0"/>
    <x v="33"/>
    <x v="2"/>
    <x v="0"/>
    <x v="0"/>
    <x v="2"/>
    <x v="0"/>
  </r>
  <r>
    <x v="0"/>
    <x v="0"/>
    <n v="2239102945"/>
    <x v="5"/>
    <n v="-3500"/>
    <x v="0"/>
    <x v="0"/>
    <x v="33"/>
    <x v="5"/>
    <x v="0"/>
    <x v="0"/>
    <x v="5"/>
    <x v="0"/>
  </r>
  <r>
    <x v="0"/>
    <x v="0"/>
    <n v="2239102945"/>
    <x v="6"/>
    <n v="10000"/>
    <x v="0"/>
    <x v="0"/>
    <x v="33"/>
    <x v="6"/>
    <x v="0"/>
    <x v="0"/>
    <x v="5"/>
    <x v="0"/>
  </r>
  <r>
    <x v="0"/>
    <x v="0"/>
    <n v="2239102946"/>
    <x v="5"/>
    <n v="-4500"/>
    <x v="0"/>
    <x v="0"/>
    <x v="33"/>
    <x v="5"/>
    <x v="0"/>
    <x v="0"/>
    <x v="5"/>
    <x v="0"/>
  </r>
  <r>
    <x v="0"/>
    <x v="0"/>
    <n v="2239102946"/>
    <x v="6"/>
    <n v="15000"/>
    <x v="0"/>
    <x v="0"/>
    <x v="33"/>
    <x v="6"/>
    <x v="0"/>
    <x v="0"/>
    <x v="5"/>
    <x v="0"/>
  </r>
  <r>
    <x v="0"/>
    <x v="0"/>
    <n v="2239102947"/>
    <x v="1"/>
    <n v="10350"/>
    <x v="0"/>
    <x v="0"/>
    <x v="33"/>
    <x v="1"/>
    <x v="0"/>
    <x v="0"/>
    <x v="1"/>
    <x v="0"/>
  </r>
  <r>
    <x v="0"/>
    <x v="0"/>
    <n v="2239102950"/>
    <x v="3"/>
    <n v="42240"/>
    <x v="0"/>
    <x v="0"/>
    <x v="33"/>
    <x v="3"/>
    <x v="0"/>
    <x v="0"/>
    <x v="3"/>
    <x v="0"/>
  </r>
  <r>
    <x v="0"/>
    <x v="0"/>
    <n v="2239102951"/>
    <x v="2"/>
    <n v="9500"/>
    <x v="0"/>
    <x v="0"/>
    <x v="33"/>
    <x v="2"/>
    <x v="0"/>
    <x v="0"/>
    <x v="2"/>
    <x v="0"/>
  </r>
  <r>
    <x v="0"/>
    <x v="0"/>
    <n v="2239102952"/>
    <x v="5"/>
    <n v="-15000"/>
    <x v="0"/>
    <x v="0"/>
    <x v="33"/>
    <x v="5"/>
    <x v="0"/>
    <x v="0"/>
    <x v="5"/>
    <x v="0"/>
  </r>
  <r>
    <x v="0"/>
    <x v="0"/>
    <n v="2239102952"/>
    <x v="4"/>
    <n v="20000"/>
    <x v="0"/>
    <x v="0"/>
    <x v="33"/>
    <x v="4"/>
    <x v="0"/>
    <x v="0"/>
    <x v="4"/>
    <x v="0"/>
  </r>
  <r>
    <x v="0"/>
    <x v="0"/>
    <n v="2239102953"/>
    <x v="2"/>
    <n v="7500"/>
    <x v="0"/>
    <x v="0"/>
    <x v="33"/>
    <x v="2"/>
    <x v="0"/>
    <x v="0"/>
    <x v="2"/>
    <x v="0"/>
  </r>
  <r>
    <x v="0"/>
    <x v="0"/>
    <n v="2239102954"/>
    <x v="1"/>
    <n v="5100"/>
    <x v="0"/>
    <x v="0"/>
    <x v="33"/>
    <x v="1"/>
    <x v="0"/>
    <x v="0"/>
    <x v="1"/>
    <x v="0"/>
  </r>
  <r>
    <x v="0"/>
    <x v="0"/>
    <n v="2239102955"/>
    <x v="2"/>
    <n v="52580"/>
    <x v="0"/>
    <x v="0"/>
    <x v="33"/>
    <x v="2"/>
    <x v="0"/>
    <x v="0"/>
    <x v="2"/>
    <x v="0"/>
  </r>
  <r>
    <x v="0"/>
    <x v="0"/>
    <n v="2239102957"/>
    <x v="5"/>
    <n v="-1660"/>
    <x v="0"/>
    <x v="0"/>
    <x v="33"/>
    <x v="5"/>
    <x v="0"/>
    <x v="0"/>
    <x v="5"/>
    <x v="0"/>
  </r>
  <r>
    <x v="0"/>
    <x v="0"/>
    <n v="2239102957"/>
    <x v="6"/>
    <n v="30000"/>
    <x v="0"/>
    <x v="0"/>
    <x v="33"/>
    <x v="6"/>
    <x v="0"/>
    <x v="0"/>
    <x v="5"/>
    <x v="0"/>
  </r>
  <r>
    <x v="0"/>
    <x v="0"/>
    <n v="2239102958"/>
    <x v="7"/>
    <n v="1500"/>
    <x v="0"/>
    <x v="0"/>
    <x v="33"/>
    <x v="7"/>
    <x v="0"/>
    <x v="0"/>
    <x v="1"/>
    <x v="0"/>
  </r>
  <r>
    <x v="0"/>
    <x v="0"/>
    <n v="2239102959"/>
    <x v="2"/>
    <n v="15400"/>
    <x v="0"/>
    <x v="0"/>
    <x v="33"/>
    <x v="2"/>
    <x v="0"/>
    <x v="0"/>
    <x v="2"/>
    <x v="0"/>
  </r>
  <r>
    <x v="0"/>
    <x v="0"/>
    <n v="2239102960"/>
    <x v="3"/>
    <n v="6500"/>
    <x v="0"/>
    <x v="0"/>
    <x v="33"/>
    <x v="3"/>
    <x v="0"/>
    <x v="0"/>
    <x v="3"/>
    <x v="0"/>
  </r>
  <r>
    <x v="0"/>
    <x v="0"/>
    <n v="2239102961"/>
    <x v="1"/>
    <n v="4200"/>
    <x v="0"/>
    <x v="0"/>
    <x v="33"/>
    <x v="1"/>
    <x v="0"/>
    <x v="0"/>
    <x v="1"/>
    <x v="0"/>
  </r>
  <r>
    <x v="0"/>
    <x v="0"/>
    <n v="2239102962"/>
    <x v="5"/>
    <n v="-4300"/>
    <x v="0"/>
    <x v="0"/>
    <x v="33"/>
    <x v="5"/>
    <x v="0"/>
    <x v="0"/>
    <x v="5"/>
    <x v="0"/>
  </r>
  <r>
    <x v="0"/>
    <x v="0"/>
    <n v="2239102962"/>
    <x v="4"/>
    <n v="10000"/>
    <x v="0"/>
    <x v="0"/>
    <x v="33"/>
    <x v="4"/>
    <x v="0"/>
    <x v="0"/>
    <x v="4"/>
    <x v="0"/>
  </r>
  <r>
    <x v="0"/>
    <x v="0"/>
    <n v="2239102963"/>
    <x v="7"/>
    <n v="1500"/>
    <x v="0"/>
    <x v="0"/>
    <x v="33"/>
    <x v="7"/>
    <x v="0"/>
    <x v="0"/>
    <x v="1"/>
    <x v="0"/>
  </r>
  <r>
    <x v="0"/>
    <x v="0"/>
    <n v="2239102964"/>
    <x v="7"/>
    <n v="1500"/>
    <x v="0"/>
    <x v="0"/>
    <x v="33"/>
    <x v="7"/>
    <x v="0"/>
    <x v="0"/>
    <x v="1"/>
    <x v="0"/>
  </r>
  <r>
    <x v="0"/>
    <x v="0"/>
    <n v="2239102965"/>
    <x v="6"/>
    <n v="3000"/>
    <x v="0"/>
    <x v="0"/>
    <x v="33"/>
    <x v="6"/>
    <x v="0"/>
    <x v="0"/>
    <x v="5"/>
    <x v="0"/>
  </r>
  <r>
    <x v="0"/>
    <x v="0"/>
    <n v="2239102966"/>
    <x v="7"/>
    <n v="1500"/>
    <x v="0"/>
    <x v="0"/>
    <x v="33"/>
    <x v="7"/>
    <x v="0"/>
    <x v="0"/>
    <x v="1"/>
    <x v="0"/>
  </r>
  <r>
    <x v="0"/>
    <x v="0"/>
    <n v="2239102967"/>
    <x v="2"/>
    <n v="22000"/>
    <x v="0"/>
    <x v="0"/>
    <x v="33"/>
    <x v="2"/>
    <x v="0"/>
    <x v="0"/>
    <x v="2"/>
    <x v="0"/>
  </r>
  <r>
    <x v="0"/>
    <x v="0"/>
    <n v="2239102968"/>
    <x v="5"/>
    <n v="-4300"/>
    <x v="0"/>
    <x v="0"/>
    <x v="33"/>
    <x v="5"/>
    <x v="0"/>
    <x v="0"/>
    <x v="5"/>
    <x v="0"/>
  </r>
  <r>
    <x v="0"/>
    <x v="0"/>
    <n v="2239102968"/>
    <x v="4"/>
    <n v="10000"/>
    <x v="0"/>
    <x v="0"/>
    <x v="33"/>
    <x v="4"/>
    <x v="0"/>
    <x v="0"/>
    <x v="4"/>
    <x v="0"/>
  </r>
  <r>
    <x v="0"/>
    <x v="0"/>
    <n v="2239102969"/>
    <x v="1"/>
    <n v="8750"/>
    <x v="0"/>
    <x v="0"/>
    <x v="33"/>
    <x v="1"/>
    <x v="0"/>
    <x v="0"/>
    <x v="1"/>
    <x v="0"/>
  </r>
  <r>
    <x v="0"/>
    <x v="0"/>
    <n v="2239102970"/>
    <x v="5"/>
    <n v="-400"/>
    <x v="0"/>
    <x v="0"/>
    <x v="33"/>
    <x v="5"/>
    <x v="0"/>
    <x v="0"/>
    <x v="5"/>
    <x v="0"/>
  </r>
  <r>
    <x v="0"/>
    <x v="0"/>
    <n v="2239102970"/>
    <x v="4"/>
    <n v="6000"/>
    <x v="0"/>
    <x v="0"/>
    <x v="33"/>
    <x v="4"/>
    <x v="0"/>
    <x v="0"/>
    <x v="4"/>
    <x v="0"/>
  </r>
  <r>
    <x v="0"/>
    <x v="0"/>
    <n v="2239102971"/>
    <x v="2"/>
    <n v="4400"/>
    <x v="0"/>
    <x v="0"/>
    <x v="33"/>
    <x v="2"/>
    <x v="0"/>
    <x v="0"/>
    <x v="2"/>
    <x v="0"/>
  </r>
  <r>
    <x v="0"/>
    <x v="0"/>
    <n v="2239102972"/>
    <x v="2"/>
    <n v="17490"/>
    <x v="0"/>
    <x v="0"/>
    <x v="33"/>
    <x v="2"/>
    <x v="0"/>
    <x v="0"/>
    <x v="2"/>
    <x v="0"/>
  </r>
  <r>
    <x v="0"/>
    <x v="0"/>
    <n v="2239102973"/>
    <x v="5"/>
    <n v="-5000"/>
    <x v="0"/>
    <x v="0"/>
    <x v="33"/>
    <x v="5"/>
    <x v="0"/>
    <x v="0"/>
    <x v="5"/>
    <x v="0"/>
  </r>
  <r>
    <x v="0"/>
    <x v="0"/>
    <n v="2239102973"/>
    <x v="4"/>
    <n v="10000"/>
    <x v="0"/>
    <x v="0"/>
    <x v="33"/>
    <x v="4"/>
    <x v="0"/>
    <x v="0"/>
    <x v="4"/>
    <x v="0"/>
  </r>
  <r>
    <x v="0"/>
    <x v="0"/>
    <n v="2239102975"/>
    <x v="5"/>
    <n v="-2000"/>
    <x v="0"/>
    <x v="0"/>
    <x v="33"/>
    <x v="5"/>
    <x v="0"/>
    <x v="0"/>
    <x v="5"/>
    <x v="0"/>
  </r>
  <r>
    <x v="0"/>
    <x v="0"/>
    <n v="2239102975"/>
    <x v="6"/>
    <n v="5000"/>
    <x v="0"/>
    <x v="0"/>
    <x v="33"/>
    <x v="6"/>
    <x v="0"/>
    <x v="0"/>
    <x v="5"/>
    <x v="0"/>
  </r>
  <r>
    <x v="0"/>
    <x v="0"/>
    <n v="2239102977"/>
    <x v="7"/>
    <n v="1500"/>
    <x v="0"/>
    <x v="0"/>
    <x v="33"/>
    <x v="7"/>
    <x v="0"/>
    <x v="0"/>
    <x v="1"/>
    <x v="0"/>
  </r>
  <r>
    <x v="0"/>
    <x v="0"/>
    <n v="2239102978"/>
    <x v="7"/>
    <n v="1500"/>
    <x v="0"/>
    <x v="0"/>
    <x v="33"/>
    <x v="7"/>
    <x v="0"/>
    <x v="0"/>
    <x v="1"/>
    <x v="0"/>
  </r>
  <r>
    <x v="0"/>
    <x v="0"/>
    <n v="2239102979"/>
    <x v="2"/>
    <n v="5000"/>
    <x v="0"/>
    <x v="0"/>
    <x v="33"/>
    <x v="2"/>
    <x v="0"/>
    <x v="0"/>
    <x v="2"/>
    <x v="0"/>
  </r>
  <r>
    <x v="0"/>
    <x v="0"/>
    <n v="2239102980"/>
    <x v="6"/>
    <n v="11000"/>
    <x v="0"/>
    <x v="0"/>
    <x v="33"/>
    <x v="6"/>
    <x v="0"/>
    <x v="0"/>
    <x v="5"/>
    <x v="0"/>
  </r>
  <r>
    <x v="0"/>
    <x v="0"/>
    <n v="2239102981"/>
    <x v="2"/>
    <n v="5005"/>
    <x v="0"/>
    <x v="0"/>
    <x v="33"/>
    <x v="2"/>
    <x v="0"/>
    <x v="0"/>
    <x v="2"/>
    <x v="0"/>
  </r>
  <r>
    <x v="0"/>
    <x v="0"/>
    <n v="2239102981"/>
    <x v="7"/>
    <n v="1950"/>
    <x v="0"/>
    <x v="0"/>
    <x v="33"/>
    <x v="7"/>
    <x v="0"/>
    <x v="0"/>
    <x v="1"/>
    <x v="0"/>
  </r>
  <r>
    <x v="0"/>
    <x v="0"/>
    <n v="2239102982"/>
    <x v="1"/>
    <n v="3150"/>
    <x v="0"/>
    <x v="0"/>
    <x v="33"/>
    <x v="1"/>
    <x v="0"/>
    <x v="0"/>
    <x v="1"/>
    <x v="0"/>
  </r>
  <r>
    <x v="0"/>
    <x v="0"/>
    <n v="2239102983"/>
    <x v="2"/>
    <n v="39490"/>
    <x v="0"/>
    <x v="0"/>
    <x v="33"/>
    <x v="2"/>
    <x v="0"/>
    <x v="0"/>
    <x v="2"/>
    <x v="0"/>
  </r>
  <r>
    <x v="0"/>
    <x v="0"/>
    <n v="2239102984"/>
    <x v="5"/>
    <n v="-3500"/>
    <x v="0"/>
    <x v="0"/>
    <x v="33"/>
    <x v="5"/>
    <x v="0"/>
    <x v="0"/>
    <x v="5"/>
    <x v="0"/>
  </r>
  <r>
    <x v="0"/>
    <x v="0"/>
    <n v="2239102984"/>
    <x v="6"/>
    <n v="10000"/>
    <x v="0"/>
    <x v="0"/>
    <x v="33"/>
    <x v="6"/>
    <x v="0"/>
    <x v="0"/>
    <x v="5"/>
    <x v="0"/>
  </r>
  <r>
    <x v="0"/>
    <x v="0"/>
    <n v="2239102985"/>
    <x v="1"/>
    <n v="6300"/>
    <x v="0"/>
    <x v="0"/>
    <x v="33"/>
    <x v="1"/>
    <x v="0"/>
    <x v="0"/>
    <x v="1"/>
    <x v="0"/>
  </r>
  <r>
    <x v="0"/>
    <x v="0"/>
    <n v="2239102986"/>
    <x v="7"/>
    <n v="1500"/>
    <x v="0"/>
    <x v="0"/>
    <x v="33"/>
    <x v="7"/>
    <x v="0"/>
    <x v="0"/>
    <x v="1"/>
    <x v="0"/>
  </r>
  <r>
    <x v="0"/>
    <x v="0"/>
    <n v="2239102987"/>
    <x v="2"/>
    <n v="5850"/>
    <x v="0"/>
    <x v="0"/>
    <x v="33"/>
    <x v="2"/>
    <x v="0"/>
    <x v="0"/>
    <x v="2"/>
    <x v="0"/>
  </r>
  <r>
    <x v="0"/>
    <x v="0"/>
    <n v="2239102988"/>
    <x v="5"/>
    <n v="-5450"/>
    <x v="0"/>
    <x v="0"/>
    <x v="33"/>
    <x v="5"/>
    <x v="0"/>
    <x v="0"/>
    <x v="5"/>
    <x v="0"/>
  </r>
  <r>
    <x v="0"/>
    <x v="0"/>
    <n v="2239102988"/>
    <x v="6"/>
    <n v="10000"/>
    <x v="0"/>
    <x v="0"/>
    <x v="33"/>
    <x v="6"/>
    <x v="0"/>
    <x v="0"/>
    <x v="5"/>
    <x v="0"/>
  </r>
  <r>
    <x v="0"/>
    <x v="0"/>
    <n v="2239102989"/>
    <x v="3"/>
    <n v="10450"/>
    <x v="0"/>
    <x v="0"/>
    <x v="33"/>
    <x v="3"/>
    <x v="0"/>
    <x v="0"/>
    <x v="3"/>
    <x v="0"/>
  </r>
  <r>
    <x v="0"/>
    <x v="0"/>
    <n v="2239102990"/>
    <x v="7"/>
    <n v="1500"/>
    <x v="0"/>
    <x v="0"/>
    <x v="33"/>
    <x v="7"/>
    <x v="0"/>
    <x v="0"/>
    <x v="1"/>
    <x v="0"/>
  </r>
  <r>
    <x v="0"/>
    <x v="0"/>
    <n v="2239102991"/>
    <x v="2"/>
    <n v="11500"/>
    <x v="0"/>
    <x v="0"/>
    <x v="33"/>
    <x v="2"/>
    <x v="0"/>
    <x v="0"/>
    <x v="2"/>
    <x v="0"/>
  </r>
  <r>
    <x v="0"/>
    <x v="0"/>
    <n v="2239102992"/>
    <x v="3"/>
    <n v="44550"/>
    <x v="0"/>
    <x v="0"/>
    <x v="33"/>
    <x v="3"/>
    <x v="0"/>
    <x v="0"/>
    <x v="3"/>
    <x v="0"/>
  </r>
  <r>
    <x v="0"/>
    <x v="0"/>
    <n v="2239102994"/>
    <x v="5"/>
    <n v="-5000"/>
    <x v="0"/>
    <x v="0"/>
    <x v="33"/>
    <x v="5"/>
    <x v="0"/>
    <x v="0"/>
    <x v="5"/>
    <x v="0"/>
  </r>
  <r>
    <x v="0"/>
    <x v="0"/>
    <n v="2239102994"/>
    <x v="6"/>
    <n v="10300"/>
    <x v="0"/>
    <x v="0"/>
    <x v="33"/>
    <x v="6"/>
    <x v="0"/>
    <x v="0"/>
    <x v="5"/>
    <x v="0"/>
  </r>
  <r>
    <x v="0"/>
    <x v="0"/>
    <n v="2239102995"/>
    <x v="2"/>
    <n v="5200"/>
    <x v="0"/>
    <x v="0"/>
    <x v="33"/>
    <x v="2"/>
    <x v="0"/>
    <x v="0"/>
    <x v="2"/>
    <x v="0"/>
  </r>
  <r>
    <x v="0"/>
    <x v="0"/>
    <n v="2239102995"/>
    <x v="7"/>
    <n v="1300"/>
    <x v="0"/>
    <x v="0"/>
    <x v="33"/>
    <x v="7"/>
    <x v="0"/>
    <x v="0"/>
    <x v="1"/>
    <x v="0"/>
  </r>
  <r>
    <x v="0"/>
    <x v="0"/>
    <n v="2239102996"/>
    <x v="5"/>
    <n v="-1000"/>
    <x v="0"/>
    <x v="0"/>
    <x v="33"/>
    <x v="5"/>
    <x v="0"/>
    <x v="0"/>
    <x v="5"/>
    <x v="0"/>
  </r>
  <r>
    <x v="0"/>
    <x v="0"/>
    <n v="2239102996"/>
    <x v="6"/>
    <n v="16000"/>
    <x v="0"/>
    <x v="0"/>
    <x v="33"/>
    <x v="6"/>
    <x v="0"/>
    <x v="0"/>
    <x v="5"/>
    <x v="0"/>
  </r>
  <r>
    <x v="0"/>
    <x v="0"/>
    <n v="2239102997"/>
    <x v="2"/>
    <n v="6300"/>
    <x v="0"/>
    <x v="0"/>
    <x v="33"/>
    <x v="2"/>
    <x v="0"/>
    <x v="0"/>
    <x v="2"/>
    <x v="0"/>
  </r>
  <r>
    <x v="0"/>
    <x v="0"/>
    <n v="2239102998"/>
    <x v="7"/>
    <n v="1500"/>
    <x v="0"/>
    <x v="0"/>
    <x v="33"/>
    <x v="7"/>
    <x v="0"/>
    <x v="0"/>
    <x v="1"/>
    <x v="0"/>
  </r>
  <r>
    <x v="0"/>
    <x v="0"/>
    <n v="2239103000"/>
    <x v="1"/>
    <n v="2100"/>
    <x v="0"/>
    <x v="0"/>
    <x v="33"/>
    <x v="1"/>
    <x v="0"/>
    <x v="0"/>
    <x v="1"/>
    <x v="0"/>
  </r>
  <r>
    <x v="0"/>
    <x v="0"/>
    <n v="2239103001"/>
    <x v="5"/>
    <n v="-8500"/>
    <x v="0"/>
    <x v="0"/>
    <x v="33"/>
    <x v="5"/>
    <x v="0"/>
    <x v="0"/>
    <x v="5"/>
    <x v="0"/>
  </r>
  <r>
    <x v="0"/>
    <x v="0"/>
    <n v="2239103001"/>
    <x v="6"/>
    <n v="20000"/>
    <x v="0"/>
    <x v="0"/>
    <x v="33"/>
    <x v="6"/>
    <x v="0"/>
    <x v="0"/>
    <x v="5"/>
    <x v="0"/>
  </r>
  <r>
    <x v="0"/>
    <x v="0"/>
    <n v="2239103002"/>
    <x v="2"/>
    <n v="9500"/>
    <x v="0"/>
    <x v="0"/>
    <x v="33"/>
    <x v="2"/>
    <x v="0"/>
    <x v="0"/>
    <x v="2"/>
    <x v="0"/>
  </r>
  <r>
    <x v="0"/>
    <x v="0"/>
    <n v="2239103003"/>
    <x v="1"/>
    <n v="2250"/>
    <x v="0"/>
    <x v="0"/>
    <x v="33"/>
    <x v="1"/>
    <x v="0"/>
    <x v="0"/>
    <x v="1"/>
    <x v="0"/>
  </r>
  <r>
    <x v="0"/>
    <x v="0"/>
    <n v="2239103004"/>
    <x v="5"/>
    <n v="-9500"/>
    <x v="0"/>
    <x v="0"/>
    <x v="33"/>
    <x v="5"/>
    <x v="0"/>
    <x v="0"/>
    <x v="5"/>
    <x v="0"/>
  </r>
  <r>
    <x v="0"/>
    <x v="0"/>
    <n v="2239103004"/>
    <x v="6"/>
    <n v="40000"/>
    <x v="0"/>
    <x v="0"/>
    <x v="33"/>
    <x v="6"/>
    <x v="0"/>
    <x v="0"/>
    <x v="5"/>
    <x v="0"/>
  </r>
  <r>
    <x v="0"/>
    <x v="0"/>
    <n v="2239103006"/>
    <x v="2"/>
    <n v="6500"/>
    <x v="0"/>
    <x v="0"/>
    <x v="33"/>
    <x v="2"/>
    <x v="0"/>
    <x v="0"/>
    <x v="2"/>
    <x v="0"/>
  </r>
  <r>
    <x v="0"/>
    <x v="0"/>
    <n v="2239103007"/>
    <x v="2"/>
    <n v="6000"/>
    <x v="0"/>
    <x v="0"/>
    <x v="33"/>
    <x v="2"/>
    <x v="0"/>
    <x v="0"/>
    <x v="2"/>
    <x v="0"/>
  </r>
  <r>
    <x v="0"/>
    <x v="0"/>
    <n v="2239103008"/>
    <x v="3"/>
    <n v="33242"/>
    <x v="0"/>
    <x v="0"/>
    <x v="33"/>
    <x v="3"/>
    <x v="0"/>
    <x v="0"/>
    <x v="3"/>
    <x v="0"/>
  </r>
  <r>
    <x v="0"/>
    <x v="0"/>
    <n v="2239103009"/>
    <x v="2"/>
    <n v="9500"/>
    <x v="0"/>
    <x v="0"/>
    <x v="33"/>
    <x v="2"/>
    <x v="0"/>
    <x v="0"/>
    <x v="2"/>
    <x v="0"/>
  </r>
  <r>
    <x v="0"/>
    <x v="0"/>
    <n v="2239103010"/>
    <x v="1"/>
    <n v="2850"/>
    <x v="0"/>
    <x v="0"/>
    <x v="33"/>
    <x v="1"/>
    <x v="0"/>
    <x v="0"/>
    <x v="1"/>
    <x v="0"/>
  </r>
  <r>
    <x v="0"/>
    <x v="0"/>
    <n v="2239103011"/>
    <x v="5"/>
    <n v="-7000"/>
    <x v="0"/>
    <x v="0"/>
    <x v="33"/>
    <x v="5"/>
    <x v="0"/>
    <x v="0"/>
    <x v="5"/>
    <x v="0"/>
  </r>
  <r>
    <x v="0"/>
    <x v="0"/>
    <n v="2239103011"/>
    <x v="6"/>
    <n v="10000"/>
    <x v="0"/>
    <x v="0"/>
    <x v="33"/>
    <x v="6"/>
    <x v="0"/>
    <x v="0"/>
    <x v="5"/>
    <x v="0"/>
  </r>
  <r>
    <x v="0"/>
    <x v="0"/>
    <n v="2239103012"/>
    <x v="5"/>
    <n v="-850"/>
    <x v="0"/>
    <x v="0"/>
    <x v="33"/>
    <x v="5"/>
    <x v="0"/>
    <x v="0"/>
    <x v="5"/>
    <x v="0"/>
  </r>
  <r>
    <x v="0"/>
    <x v="0"/>
    <n v="2239103012"/>
    <x v="6"/>
    <n v="47500"/>
    <x v="0"/>
    <x v="0"/>
    <x v="33"/>
    <x v="6"/>
    <x v="0"/>
    <x v="0"/>
    <x v="5"/>
    <x v="0"/>
  </r>
  <r>
    <x v="0"/>
    <x v="0"/>
    <n v="2239103013"/>
    <x v="5"/>
    <n v="-12500"/>
    <x v="0"/>
    <x v="0"/>
    <x v="33"/>
    <x v="5"/>
    <x v="0"/>
    <x v="0"/>
    <x v="5"/>
    <x v="0"/>
  </r>
  <r>
    <x v="0"/>
    <x v="0"/>
    <n v="2239103013"/>
    <x v="6"/>
    <n v="20000"/>
    <x v="0"/>
    <x v="0"/>
    <x v="33"/>
    <x v="6"/>
    <x v="0"/>
    <x v="0"/>
    <x v="5"/>
    <x v="0"/>
  </r>
  <r>
    <x v="0"/>
    <x v="0"/>
    <n v="2239103014"/>
    <x v="2"/>
    <n v="14850"/>
    <x v="0"/>
    <x v="0"/>
    <x v="33"/>
    <x v="2"/>
    <x v="0"/>
    <x v="0"/>
    <x v="2"/>
    <x v="0"/>
  </r>
  <r>
    <x v="0"/>
    <x v="0"/>
    <n v="2239103015"/>
    <x v="6"/>
    <n v="5000"/>
    <x v="0"/>
    <x v="0"/>
    <x v="33"/>
    <x v="6"/>
    <x v="0"/>
    <x v="0"/>
    <x v="5"/>
    <x v="0"/>
  </r>
  <r>
    <x v="0"/>
    <x v="0"/>
    <n v="2239103016"/>
    <x v="5"/>
    <n v="-100"/>
    <x v="0"/>
    <x v="0"/>
    <x v="33"/>
    <x v="5"/>
    <x v="0"/>
    <x v="0"/>
    <x v="5"/>
    <x v="0"/>
  </r>
  <r>
    <x v="0"/>
    <x v="0"/>
    <n v="2239103016"/>
    <x v="6"/>
    <n v="21000"/>
    <x v="0"/>
    <x v="0"/>
    <x v="33"/>
    <x v="6"/>
    <x v="0"/>
    <x v="0"/>
    <x v="5"/>
    <x v="0"/>
  </r>
  <r>
    <x v="0"/>
    <x v="0"/>
    <n v="2239103017"/>
    <x v="5"/>
    <n v="-500"/>
    <x v="0"/>
    <x v="0"/>
    <x v="33"/>
    <x v="5"/>
    <x v="0"/>
    <x v="0"/>
    <x v="5"/>
    <x v="0"/>
  </r>
  <r>
    <x v="0"/>
    <x v="0"/>
    <n v="2239103017"/>
    <x v="6"/>
    <n v="15000"/>
    <x v="0"/>
    <x v="0"/>
    <x v="33"/>
    <x v="6"/>
    <x v="0"/>
    <x v="0"/>
    <x v="5"/>
    <x v="0"/>
  </r>
  <r>
    <x v="0"/>
    <x v="0"/>
    <n v="2239103018"/>
    <x v="7"/>
    <n v="1500"/>
    <x v="0"/>
    <x v="0"/>
    <x v="33"/>
    <x v="7"/>
    <x v="0"/>
    <x v="0"/>
    <x v="1"/>
    <x v="0"/>
  </r>
  <r>
    <x v="0"/>
    <x v="0"/>
    <n v="2239103020"/>
    <x v="5"/>
    <n v="-1000"/>
    <x v="0"/>
    <x v="0"/>
    <x v="33"/>
    <x v="5"/>
    <x v="0"/>
    <x v="0"/>
    <x v="5"/>
    <x v="0"/>
  </r>
  <r>
    <x v="0"/>
    <x v="0"/>
    <n v="2239103020"/>
    <x v="6"/>
    <n v="20000"/>
    <x v="0"/>
    <x v="0"/>
    <x v="33"/>
    <x v="6"/>
    <x v="0"/>
    <x v="0"/>
    <x v="5"/>
    <x v="0"/>
  </r>
  <r>
    <x v="0"/>
    <x v="0"/>
    <n v="2239103021"/>
    <x v="5"/>
    <n v="-2000"/>
    <x v="0"/>
    <x v="0"/>
    <x v="33"/>
    <x v="5"/>
    <x v="0"/>
    <x v="0"/>
    <x v="5"/>
    <x v="0"/>
  </r>
  <r>
    <x v="0"/>
    <x v="0"/>
    <n v="2239103021"/>
    <x v="6"/>
    <n v="5000"/>
    <x v="0"/>
    <x v="0"/>
    <x v="33"/>
    <x v="6"/>
    <x v="0"/>
    <x v="0"/>
    <x v="5"/>
    <x v="0"/>
  </r>
  <r>
    <x v="0"/>
    <x v="0"/>
    <n v="2239103022"/>
    <x v="2"/>
    <n v="10450"/>
    <x v="0"/>
    <x v="0"/>
    <x v="33"/>
    <x v="2"/>
    <x v="0"/>
    <x v="0"/>
    <x v="2"/>
    <x v="0"/>
  </r>
  <r>
    <x v="0"/>
    <x v="0"/>
    <n v="2239103023"/>
    <x v="3"/>
    <n v="20900"/>
    <x v="0"/>
    <x v="0"/>
    <x v="33"/>
    <x v="3"/>
    <x v="0"/>
    <x v="0"/>
    <x v="3"/>
    <x v="0"/>
  </r>
  <r>
    <x v="0"/>
    <x v="0"/>
    <n v="2239103024"/>
    <x v="5"/>
    <n v="-12100"/>
    <x v="0"/>
    <x v="0"/>
    <x v="33"/>
    <x v="5"/>
    <x v="0"/>
    <x v="0"/>
    <x v="5"/>
    <x v="0"/>
  </r>
  <r>
    <x v="0"/>
    <x v="0"/>
    <n v="2239103024"/>
    <x v="6"/>
    <n v="50000"/>
    <x v="0"/>
    <x v="0"/>
    <x v="33"/>
    <x v="6"/>
    <x v="0"/>
    <x v="0"/>
    <x v="5"/>
    <x v="0"/>
  </r>
  <r>
    <x v="0"/>
    <x v="0"/>
    <n v="2239103025"/>
    <x v="5"/>
    <n v="-500"/>
    <x v="0"/>
    <x v="0"/>
    <x v="33"/>
    <x v="5"/>
    <x v="0"/>
    <x v="0"/>
    <x v="5"/>
    <x v="0"/>
  </r>
  <r>
    <x v="0"/>
    <x v="0"/>
    <n v="2239103025"/>
    <x v="6"/>
    <n v="11000"/>
    <x v="0"/>
    <x v="0"/>
    <x v="33"/>
    <x v="6"/>
    <x v="0"/>
    <x v="0"/>
    <x v="5"/>
    <x v="0"/>
  </r>
  <r>
    <x v="0"/>
    <x v="0"/>
    <n v="2239103026"/>
    <x v="7"/>
    <n v="1500"/>
    <x v="0"/>
    <x v="0"/>
    <x v="33"/>
    <x v="7"/>
    <x v="0"/>
    <x v="0"/>
    <x v="1"/>
    <x v="0"/>
  </r>
  <r>
    <x v="0"/>
    <x v="0"/>
    <n v="2239103027"/>
    <x v="5"/>
    <n v="-2000"/>
    <x v="0"/>
    <x v="0"/>
    <x v="33"/>
    <x v="5"/>
    <x v="0"/>
    <x v="0"/>
    <x v="5"/>
    <x v="0"/>
  </r>
  <r>
    <x v="0"/>
    <x v="0"/>
    <n v="2239103027"/>
    <x v="6"/>
    <n v="5000"/>
    <x v="0"/>
    <x v="0"/>
    <x v="33"/>
    <x v="6"/>
    <x v="0"/>
    <x v="0"/>
    <x v="5"/>
    <x v="0"/>
  </r>
  <r>
    <x v="0"/>
    <x v="0"/>
    <n v="2239103029"/>
    <x v="5"/>
    <n v="-1000"/>
    <x v="0"/>
    <x v="0"/>
    <x v="33"/>
    <x v="5"/>
    <x v="0"/>
    <x v="0"/>
    <x v="5"/>
    <x v="0"/>
  </r>
  <r>
    <x v="0"/>
    <x v="0"/>
    <n v="2239103029"/>
    <x v="6"/>
    <n v="4000"/>
    <x v="0"/>
    <x v="0"/>
    <x v="33"/>
    <x v="6"/>
    <x v="0"/>
    <x v="0"/>
    <x v="5"/>
    <x v="0"/>
  </r>
  <r>
    <x v="0"/>
    <x v="0"/>
    <n v="2239103030"/>
    <x v="6"/>
    <n v="2000"/>
    <x v="0"/>
    <x v="0"/>
    <x v="33"/>
    <x v="6"/>
    <x v="0"/>
    <x v="0"/>
    <x v="5"/>
    <x v="0"/>
  </r>
  <r>
    <x v="0"/>
    <x v="0"/>
    <n v="2239103030"/>
    <x v="2"/>
    <n v="6000"/>
    <x v="0"/>
    <x v="0"/>
    <x v="33"/>
    <x v="2"/>
    <x v="0"/>
    <x v="0"/>
    <x v="2"/>
    <x v="0"/>
  </r>
  <r>
    <x v="0"/>
    <x v="0"/>
    <n v="2239103031"/>
    <x v="5"/>
    <n v="-700"/>
    <x v="0"/>
    <x v="0"/>
    <x v="33"/>
    <x v="5"/>
    <x v="0"/>
    <x v="0"/>
    <x v="5"/>
    <x v="0"/>
  </r>
  <r>
    <x v="0"/>
    <x v="0"/>
    <n v="2239103031"/>
    <x v="4"/>
    <n v="6000"/>
    <x v="0"/>
    <x v="0"/>
    <x v="33"/>
    <x v="4"/>
    <x v="0"/>
    <x v="0"/>
    <x v="4"/>
    <x v="0"/>
  </r>
  <r>
    <x v="0"/>
    <x v="0"/>
    <n v="2239103032"/>
    <x v="3"/>
    <n v="6500"/>
    <x v="0"/>
    <x v="0"/>
    <x v="33"/>
    <x v="3"/>
    <x v="0"/>
    <x v="0"/>
    <x v="3"/>
    <x v="0"/>
  </r>
  <r>
    <x v="0"/>
    <x v="0"/>
    <n v="2239103033"/>
    <x v="2"/>
    <n v="7500"/>
    <x v="0"/>
    <x v="0"/>
    <x v="33"/>
    <x v="2"/>
    <x v="0"/>
    <x v="0"/>
    <x v="2"/>
    <x v="0"/>
  </r>
  <r>
    <x v="0"/>
    <x v="0"/>
    <n v="2239103034"/>
    <x v="1"/>
    <n v="4200"/>
    <x v="0"/>
    <x v="0"/>
    <x v="33"/>
    <x v="1"/>
    <x v="0"/>
    <x v="0"/>
    <x v="1"/>
    <x v="0"/>
  </r>
  <r>
    <x v="0"/>
    <x v="0"/>
    <n v="2239103036"/>
    <x v="7"/>
    <n v="1500"/>
    <x v="0"/>
    <x v="0"/>
    <x v="33"/>
    <x v="7"/>
    <x v="0"/>
    <x v="0"/>
    <x v="1"/>
    <x v="0"/>
  </r>
  <r>
    <x v="0"/>
    <x v="0"/>
    <n v="2239103037"/>
    <x v="5"/>
    <n v="-3500"/>
    <x v="0"/>
    <x v="0"/>
    <x v="33"/>
    <x v="5"/>
    <x v="0"/>
    <x v="0"/>
    <x v="5"/>
    <x v="0"/>
  </r>
  <r>
    <x v="0"/>
    <x v="0"/>
    <n v="2239103037"/>
    <x v="6"/>
    <n v="10000"/>
    <x v="0"/>
    <x v="0"/>
    <x v="33"/>
    <x v="6"/>
    <x v="0"/>
    <x v="0"/>
    <x v="5"/>
    <x v="0"/>
  </r>
  <r>
    <x v="0"/>
    <x v="0"/>
    <n v="2239103038"/>
    <x v="5"/>
    <n v="-4200"/>
    <x v="0"/>
    <x v="0"/>
    <x v="33"/>
    <x v="5"/>
    <x v="0"/>
    <x v="0"/>
    <x v="5"/>
    <x v="0"/>
  </r>
  <r>
    <x v="0"/>
    <x v="0"/>
    <n v="2239103038"/>
    <x v="6"/>
    <n v="20000"/>
    <x v="0"/>
    <x v="0"/>
    <x v="33"/>
    <x v="6"/>
    <x v="0"/>
    <x v="0"/>
    <x v="5"/>
    <x v="0"/>
  </r>
  <r>
    <x v="0"/>
    <x v="0"/>
    <n v="2239103039"/>
    <x v="2"/>
    <n v="4400"/>
    <x v="0"/>
    <x v="0"/>
    <x v="33"/>
    <x v="2"/>
    <x v="0"/>
    <x v="0"/>
    <x v="2"/>
    <x v="0"/>
  </r>
  <r>
    <x v="0"/>
    <x v="0"/>
    <n v="2239103040"/>
    <x v="6"/>
    <n v="3500"/>
    <x v="0"/>
    <x v="0"/>
    <x v="33"/>
    <x v="6"/>
    <x v="0"/>
    <x v="0"/>
    <x v="5"/>
    <x v="0"/>
  </r>
  <r>
    <x v="0"/>
    <x v="0"/>
    <n v="2239103042"/>
    <x v="7"/>
    <n v="1500"/>
    <x v="0"/>
    <x v="0"/>
    <x v="33"/>
    <x v="7"/>
    <x v="0"/>
    <x v="0"/>
    <x v="1"/>
    <x v="0"/>
  </r>
  <r>
    <x v="0"/>
    <x v="0"/>
    <n v="2239103043"/>
    <x v="5"/>
    <n v="-5600"/>
    <x v="0"/>
    <x v="0"/>
    <x v="33"/>
    <x v="5"/>
    <x v="0"/>
    <x v="0"/>
    <x v="5"/>
    <x v="0"/>
  </r>
  <r>
    <x v="0"/>
    <x v="0"/>
    <n v="2239103043"/>
    <x v="4"/>
    <n v="10000"/>
    <x v="0"/>
    <x v="0"/>
    <x v="33"/>
    <x v="4"/>
    <x v="0"/>
    <x v="0"/>
    <x v="4"/>
    <x v="0"/>
  </r>
  <r>
    <x v="0"/>
    <x v="0"/>
    <n v="2239103044"/>
    <x v="5"/>
    <n v="-4670"/>
    <x v="0"/>
    <x v="0"/>
    <x v="33"/>
    <x v="5"/>
    <x v="0"/>
    <x v="0"/>
    <x v="5"/>
    <x v="0"/>
  </r>
  <r>
    <x v="0"/>
    <x v="0"/>
    <n v="2239103044"/>
    <x v="6"/>
    <n v="20000"/>
    <x v="0"/>
    <x v="0"/>
    <x v="33"/>
    <x v="6"/>
    <x v="0"/>
    <x v="0"/>
    <x v="5"/>
    <x v="0"/>
  </r>
  <r>
    <x v="0"/>
    <x v="0"/>
    <n v="2239103045"/>
    <x v="5"/>
    <n v="-500"/>
    <x v="0"/>
    <x v="0"/>
    <x v="33"/>
    <x v="5"/>
    <x v="0"/>
    <x v="0"/>
    <x v="5"/>
    <x v="0"/>
  </r>
  <r>
    <x v="0"/>
    <x v="0"/>
    <n v="2239103045"/>
    <x v="6"/>
    <n v="20000"/>
    <x v="0"/>
    <x v="0"/>
    <x v="33"/>
    <x v="6"/>
    <x v="0"/>
    <x v="0"/>
    <x v="5"/>
    <x v="0"/>
  </r>
  <r>
    <x v="0"/>
    <x v="0"/>
    <n v="2239103046"/>
    <x v="2"/>
    <n v="31240"/>
    <x v="0"/>
    <x v="0"/>
    <x v="33"/>
    <x v="2"/>
    <x v="0"/>
    <x v="0"/>
    <x v="2"/>
    <x v="0"/>
  </r>
  <r>
    <x v="0"/>
    <x v="0"/>
    <n v="2239103047"/>
    <x v="5"/>
    <n v="-150"/>
    <x v="0"/>
    <x v="0"/>
    <x v="33"/>
    <x v="5"/>
    <x v="0"/>
    <x v="0"/>
    <x v="5"/>
    <x v="0"/>
  </r>
  <r>
    <x v="0"/>
    <x v="0"/>
    <n v="2239103047"/>
    <x v="6"/>
    <n v="10000"/>
    <x v="0"/>
    <x v="0"/>
    <x v="33"/>
    <x v="6"/>
    <x v="0"/>
    <x v="0"/>
    <x v="5"/>
    <x v="0"/>
  </r>
  <r>
    <x v="0"/>
    <x v="0"/>
    <n v="2239103047"/>
    <x v="7"/>
    <n v="1900"/>
    <x v="0"/>
    <x v="0"/>
    <x v="33"/>
    <x v="7"/>
    <x v="0"/>
    <x v="0"/>
    <x v="1"/>
    <x v="0"/>
  </r>
  <r>
    <x v="0"/>
    <x v="0"/>
    <n v="2239103048"/>
    <x v="4"/>
    <n v="5300"/>
    <x v="0"/>
    <x v="0"/>
    <x v="33"/>
    <x v="4"/>
    <x v="0"/>
    <x v="0"/>
    <x v="4"/>
    <x v="0"/>
  </r>
  <r>
    <x v="0"/>
    <x v="0"/>
    <n v="2239103049"/>
    <x v="7"/>
    <n v="1500"/>
    <x v="0"/>
    <x v="0"/>
    <x v="33"/>
    <x v="7"/>
    <x v="0"/>
    <x v="0"/>
    <x v="1"/>
    <x v="0"/>
  </r>
  <r>
    <x v="0"/>
    <x v="0"/>
    <n v="2239103050"/>
    <x v="2"/>
    <n v="10500"/>
    <x v="0"/>
    <x v="0"/>
    <x v="33"/>
    <x v="2"/>
    <x v="0"/>
    <x v="0"/>
    <x v="2"/>
    <x v="0"/>
  </r>
  <r>
    <x v="0"/>
    <x v="0"/>
    <n v="2239103051"/>
    <x v="1"/>
    <n v="1140"/>
    <x v="0"/>
    <x v="0"/>
    <x v="33"/>
    <x v="1"/>
    <x v="0"/>
    <x v="0"/>
    <x v="1"/>
    <x v="0"/>
  </r>
  <r>
    <x v="0"/>
    <x v="0"/>
    <n v="2239103052"/>
    <x v="1"/>
    <n v="4440"/>
    <x v="0"/>
    <x v="0"/>
    <x v="33"/>
    <x v="1"/>
    <x v="0"/>
    <x v="0"/>
    <x v="1"/>
    <x v="0"/>
  </r>
  <r>
    <x v="0"/>
    <x v="0"/>
    <n v="2239103053"/>
    <x v="1"/>
    <n v="8750"/>
    <x v="0"/>
    <x v="0"/>
    <x v="33"/>
    <x v="1"/>
    <x v="0"/>
    <x v="0"/>
    <x v="1"/>
    <x v="0"/>
  </r>
  <r>
    <x v="0"/>
    <x v="0"/>
    <n v="2239103054"/>
    <x v="2"/>
    <n v="6600"/>
    <x v="0"/>
    <x v="0"/>
    <x v="33"/>
    <x v="2"/>
    <x v="0"/>
    <x v="0"/>
    <x v="2"/>
    <x v="0"/>
  </r>
  <r>
    <x v="0"/>
    <x v="0"/>
    <n v="2239103055"/>
    <x v="7"/>
    <n v="7500"/>
    <x v="0"/>
    <x v="0"/>
    <x v="33"/>
    <x v="7"/>
    <x v="0"/>
    <x v="0"/>
    <x v="1"/>
    <x v="0"/>
  </r>
  <r>
    <x v="0"/>
    <x v="0"/>
    <n v="2239103056"/>
    <x v="7"/>
    <n v="6500"/>
    <x v="0"/>
    <x v="0"/>
    <x v="33"/>
    <x v="7"/>
    <x v="0"/>
    <x v="0"/>
    <x v="1"/>
    <x v="0"/>
  </r>
  <r>
    <x v="0"/>
    <x v="0"/>
    <n v="2239103058"/>
    <x v="5"/>
    <n v="-5500"/>
    <x v="0"/>
    <x v="0"/>
    <x v="33"/>
    <x v="5"/>
    <x v="0"/>
    <x v="0"/>
    <x v="5"/>
    <x v="0"/>
  </r>
  <r>
    <x v="0"/>
    <x v="0"/>
    <n v="2239103058"/>
    <x v="6"/>
    <n v="10000"/>
    <x v="0"/>
    <x v="0"/>
    <x v="33"/>
    <x v="6"/>
    <x v="0"/>
    <x v="0"/>
    <x v="5"/>
    <x v="0"/>
  </r>
  <r>
    <x v="0"/>
    <x v="0"/>
    <n v="2239103059"/>
    <x v="1"/>
    <n v="1140"/>
    <x v="0"/>
    <x v="0"/>
    <x v="33"/>
    <x v="1"/>
    <x v="0"/>
    <x v="0"/>
    <x v="1"/>
    <x v="0"/>
  </r>
  <r>
    <x v="0"/>
    <x v="0"/>
    <n v="2239103060"/>
    <x v="1"/>
    <n v="2250"/>
    <x v="0"/>
    <x v="0"/>
    <x v="33"/>
    <x v="1"/>
    <x v="0"/>
    <x v="0"/>
    <x v="1"/>
    <x v="0"/>
  </r>
  <r>
    <x v="0"/>
    <x v="0"/>
    <n v="2239103061"/>
    <x v="2"/>
    <n v="11200"/>
    <x v="0"/>
    <x v="0"/>
    <x v="33"/>
    <x v="2"/>
    <x v="0"/>
    <x v="0"/>
    <x v="2"/>
    <x v="0"/>
  </r>
  <r>
    <x v="0"/>
    <x v="0"/>
    <n v="2239103063"/>
    <x v="5"/>
    <n v="-1000"/>
    <x v="0"/>
    <x v="0"/>
    <x v="33"/>
    <x v="5"/>
    <x v="0"/>
    <x v="0"/>
    <x v="5"/>
    <x v="0"/>
  </r>
  <r>
    <x v="0"/>
    <x v="0"/>
    <n v="2239103063"/>
    <x v="6"/>
    <n v="5000"/>
    <x v="0"/>
    <x v="0"/>
    <x v="33"/>
    <x v="6"/>
    <x v="0"/>
    <x v="0"/>
    <x v="5"/>
    <x v="0"/>
  </r>
  <r>
    <x v="0"/>
    <x v="0"/>
    <n v="2239103064"/>
    <x v="7"/>
    <n v="7500"/>
    <x v="0"/>
    <x v="0"/>
    <x v="33"/>
    <x v="7"/>
    <x v="0"/>
    <x v="0"/>
    <x v="1"/>
    <x v="0"/>
  </r>
  <r>
    <x v="0"/>
    <x v="0"/>
    <n v="2239103065"/>
    <x v="5"/>
    <n v="-1200"/>
    <x v="0"/>
    <x v="0"/>
    <x v="33"/>
    <x v="5"/>
    <x v="0"/>
    <x v="0"/>
    <x v="5"/>
    <x v="0"/>
  </r>
  <r>
    <x v="0"/>
    <x v="0"/>
    <n v="2239103065"/>
    <x v="6"/>
    <n v="5000"/>
    <x v="0"/>
    <x v="0"/>
    <x v="33"/>
    <x v="6"/>
    <x v="0"/>
    <x v="0"/>
    <x v="5"/>
    <x v="0"/>
  </r>
  <r>
    <x v="0"/>
    <x v="0"/>
    <n v="2239103067"/>
    <x v="5"/>
    <n v="-3000"/>
    <x v="0"/>
    <x v="0"/>
    <x v="33"/>
    <x v="5"/>
    <x v="0"/>
    <x v="0"/>
    <x v="5"/>
    <x v="0"/>
  </r>
  <r>
    <x v="0"/>
    <x v="0"/>
    <n v="2239103067"/>
    <x v="6"/>
    <n v="10000"/>
    <x v="0"/>
    <x v="0"/>
    <x v="33"/>
    <x v="6"/>
    <x v="0"/>
    <x v="0"/>
    <x v="5"/>
    <x v="0"/>
  </r>
  <r>
    <x v="0"/>
    <x v="0"/>
    <n v="2239103068"/>
    <x v="5"/>
    <n v="-4000"/>
    <x v="0"/>
    <x v="0"/>
    <x v="33"/>
    <x v="5"/>
    <x v="0"/>
    <x v="0"/>
    <x v="5"/>
    <x v="0"/>
  </r>
  <r>
    <x v="0"/>
    <x v="0"/>
    <n v="2239103068"/>
    <x v="6"/>
    <n v="10000"/>
    <x v="0"/>
    <x v="0"/>
    <x v="33"/>
    <x v="6"/>
    <x v="0"/>
    <x v="0"/>
    <x v="5"/>
    <x v="0"/>
  </r>
  <r>
    <x v="0"/>
    <x v="0"/>
    <n v="2239103069"/>
    <x v="7"/>
    <n v="1500"/>
    <x v="0"/>
    <x v="0"/>
    <x v="33"/>
    <x v="7"/>
    <x v="0"/>
    <x v="0"/>
    <x v="1"/>
    <x v="0"/>
  </r>
  <r>
    <x v="0"/>
    <x v="0"/>
    <n v="2239103070"/>
    <x v="1"/>
    <n v="2250"/>
    <x v="0"/>
    <x v="0"/>
    <x v="33"/>
    <x v="1"/>
    <x v="0"/>
    <x v="0"/>
    <x v="1"/>
    <x v="0"/>
  </r>
  <r>
    <x v="0"/>
    <x v="0"/>
    <n v="2239103071"/>
    <x v="6"/>
    <n v="3000"/>
    <x v="0"/>
    <x v="0"/>
    <x v="33"/>
    <x v="6"/>
    <x v="0"/>
    <x v="0"/>
    <x v="5"/>
    <x v="0"/>
  </r>
  <r>
    <x v="0"/>
    <x v="0"/>
    <n v="2239103072"/>
    <x v="2"/>
    <n v="9800"/>
    <x v="0"/>
    <x v="0"/>
    <x v="33"/>
    <x v="2"/>
    <x v="0"/>
    <x v="0"/>
    <x v="2"/>
    <x v="0"/>
  </r>
  <r>
    <x v="0"/>
    <x v="0"/>
    <n v="2239103072"/>
    <x v="7"/>
    <n v="1950"/>
    <x v="0"/>
    <x v="0"/>
    <x v="33"/>
    <x v="7"/>
    <x v="0"/>
    <x v="0"/>
    <x v="1"/>
    <x v="0"/>
  </r>
  <r>
    <x v="0"/>
    <x v="0"/>
    <n v="2239103073"/>
    <x v="2"/>
    <n v="12540"/>
    <x v="0"/>
    <x v="0"/>
    <x v="33"/>
    <x v="2"/>
    <x v="0"/>
    <x v="0"/>
    <x v="2"/>
    <x v="0"/>
  </r>
  <r>
    <x v="0"/>
    <x v="0"/>
    <n v="2239103074"/>
    <x v="6"/>
    <n v="10500"/>
    <x v="0"/>
    <x v="0"/>
    <x v="33"/>
    <x v="6"/>
    <x v="0"/>
    <x v="0"/>
    <x v="5"/>
    <x v="0"/>
  </r>
  <r>
    <x v="0"/>
    <x v="0"/>
    <n v="2239103075"/>
    <x v="5"/>
    <n v="-19300"/>
    <x v="0"/>
    <x v="0"/>
    <x v="33"/>
    <x v="5"/>
    <x v="0"/>
    <x v="0"/>
    <x v="5"/>
    <x v="0"/>
  </r>
  <r>
    <x v="0"/>
    <x v="0"/>
    <n v="2239103075"/>
    <x v="4"/>
    <n v="25000"/>
    <x v="0"/>
    <x v="0"/>
    <x v="33"/>
    <x v="4"/>
    <x v="0"/>
    <x v="0"/>
    <x v="4"/>
    <x v="0"/>
  </r>
  <r>
    <x v="0"/>
    <x v="0"/>
    <n v="2239103076"/>
    <x v="2"/>
    <n v="9850"/>
    <x v="0"/>
    <x v="0"/>
    <x v="33"/>
    <x v="2"/>
    <x v="0"/>
    <x v="0"/>
    <x v="2"/>
    <x v="0"/>
  </r>
  <r>
    <x v="0"/>
    <x v="0"/>
    <n v="2239103076"/>
    <x v="7"/>
    <n v="1900"/>
    <x v="0"/>
    <x v="0"/>
    <x v="33"/>
    <x v="7"/>
    <x v="0"/>
    <x v="0"/>
    <x v="1"/>
    <x v="0"/>
  </r>
  <r>
    <x v="0"/>
    <x v="0"/>
    <n v="2239103077"/>
    <x v="7"/>
    <n v="1500"/>
    <x v="0"/>
    <x v="0"/>
    <x v="33"/>
    <x v="7"/>
    <x v="0"/>
    <x v="0"/>
    <x v="1"/>
    <x v="0"/>
  </r>
  <r>
    <x v="0"/>
    <x v="0"/>
    <n v="2239103078"/>
    <x v="7"/>
    <n v="1500"/>
    <x v="0"/>
    <x v="0"/>
    <x v="33"/>
    <x v="7"/>
    <x v="0"/>
    <x v="0"/>
    <x v="1"/>
    <x v="0"/>
  </r>
  <r>
    <x v="0"/>
    <x v="0"/>
    <n v="2239103079"/>
    <x v="7"/>
    <n v="1500"/>
    <x v="0"/>
    <x v="0"/>
    <x v="33"/>
    <x v="7"/>
    <x v="0"/>
    <x v="0"/>
    <x v="1"/>
    <x v="0"/>
  </r>
  <r>
    <x v="0"/>
    <x v="0"/>
    <n v="2239103080"/>
    <x v="1"/>
    <n v="2850"/>
    <x v="0"/>
    <x v="0"/>
    <x v="33"/>
    <x v="1"/>
    <x v="0"/>
    <x v="0"/>
    <x v="1"/>
    <x v="0"/>
  </r>
  <r>
    <x v="0"/>
    <x v="0"/>
    <n v="2239103081"/>
    <x v="5"/>
    <n v="-7200"/>
    <x v="0"/>
    <x v="0"/>
    <x v="33"/>
    <x v="5"/>
    <x v="0"/>
    <x v="0"/>
    <x v="5"/>
    <x v="0"/>
  </r>
  <r>
    <x v="0"/>
    <x v="0"/>
    <n v="2239103081"/>
    <x v="6"/>
    <n v="20000"/>
    <x v="0"/>
    <x v="0"/>
    <x v="33"/>
    <x v="6"/>
    <x v="0"/>
    <x v="0"/>
    <x v="5"/>
    <x v="0"/>
  </r>
  <r>
    <x v="0"/>
    <x v="0"/>
    <n v="2239103081"/>
    <x v="7"/>
    <n v="3200"/>
    <x v="0"/>
    <x v="0"/>
    <x v="33"/>
    <x v="7"/>
    <x v="0"/>
    <x v="0"/>
    <x v="1"/>
    <x v="0"/>
  </r>
  <r>
    <x v="0"/>
    <x v="0"/>
    <n v="2239103082"/>
    <x v="2"/>
    <n v="36520"/>
    <x v="0"/>
    <x v="0"/>
    <x v="33"/>
    <x v="2"/>
    <x v="0"/>
    <x v="0"/>
    <x v="2"/>
    <x v="0"/>
  </r>
  <r>
    <x v="0"/>
    <x v="0"/>
    <n v="2239109115"/>
    <x v="2"/>
    <n v="3575"/>
    <x v="0"/>
    <x v="0"/>
    <x v="34"/>
    <x v="2"/>
    <x v="0"/>
    <x v="0"/>
    <x v="2"/>
    <x v="0"/>
  </r>
  <r>
    <x v="0"/>
    <x v="0"/>
    <n v="2239109116"/>
    <x v="2"/>
    <n v="12870"/>
    <x v="0"/>
    <x v="0"/>
    <x v="34"/>
    <x v="2"/>
    <x v="0"/>
    <x v="0"/>
    <x v="2"/>
    <x v="0"/>
  </r>
  <r>
    <x v="0"/>
    <x v="0"/>
    <n v="2239109117"/>
    <x v="1"/>
    <n v="4410"/>
    <x v="0"/>
    <x v="0"/>
    <x v="34"/>
    <x v="1"/>
    <x v="0"/>
    <x v="0"/>
    <x v="1"/>
    <x v="0"/>
  </r>
  <r>
    <x v="0"/>
    <x v="0"/>
    <n v="2239109118"/>
    <x v="2"/>
    <n v="18480"/>
    <x v="0"/>
    <x v="0"/>
    <x v="34"/>
    <x v="2"/>
    <x v="0"/>
    <x v="0"/>
    <x v="2"/>
    <x v="0"/>
  </r>
  <r>
    <x v="0"/>
    <x v="0"/>
    <n v="2239109119"/>
    <x v="1"/>
    <n v="1350"/>
    <x v="0"/>
    <x v="0"/>
    <x v="34"/>
    <x v="1"/>
    <x v="0"/>
    <x v="0"/>
    <x v="1"/>
    <x v="0"/>
  </r>
  <r>
    <x v="0"/>
    <x v="0"/>
    <n v="2239109120"/>
    <x v="1"/>
    <n v="1200"/>
    <x v="0"/>
    <x v="0"/>
    <x v="34"/>
    <x v="1"/>
    <x v="0"/>
    <x v="0"/>
    <x v="1"/>
    <x v="0"/>
  </r>
  <r>
    <x v="0"/>
    <x v="0"/>
    <n v="2239109121"/>
    <x v="2"/>
    <n v="24750"/>
    <x v="0"/>
    <x v="0"/>
    <x v="34"/>
    <x v="2"/>
    <x v="0"/>
    <x v="0"/>
    <x v="2"/>
    <x v="0"/>
  </r>
  <r>
    <x v="0"/>
    <x v="0"/>
    <n v="2239109122"/>
    <x v="1"/>
    <n v="900"/>
    <x v="0"/>
    <x v="0"/>
    <x v="34"/>
    <x v="1"/>
    <x v="0"/>
    <x v="0"/>
    <x v="1"/>
    <x v="0"/>
  </r>
  <r>
    <x v="0"/>
    <x v="0"/>
    <n v="2239109123"/>
    <x v="1"/>
    <n v="1140"/>
    <x v="0"/>
    <x v="0"/>
    <x v="34"/>
    <x v="1"/>
    <x v="0"/>
    <x v="0"/>
    <x v="1"/>
    <x v="0"/>
  </r>
  <r>
    <x v="0"/>
    <x v="0"/>
    <n v="2239109124"/>
    <x v="1"/>
    <n v="1590"/>
    <x v="0"/>
    <x v="0"/>
    <x v="34"/>
    <x v="1"/>
    <x v="0"/>
    <x v="0"/>
    <x v="1"/>
    <x v="0"/>
  </r>
  <r>
    <x v="0"/>
    <x v="0"/>
    <n v="2239109125"/>
    <x v="1"/>
    <n v="900"/>
    <x v="0"/>
    <x v="0"/>
    <x v="34"/>
    <x v="1"/>
    <x v="0"/>
    <x v="0"/>
    <x v="1"/>
    <x v="0"/>
  </r>
  <r>
    <x v="0"/>
    <x v="0"/>
    <n v="2239109126"/>
    <x v="1"/>
    <n v="900"/>
    <x v="0"/>
    <x v="0"/>
    <x v="34"/>
    <x v="1"/>
    <x v="0"/>
    <x v="0"/>
    <x v="1"/>
    <x v="0"/>
  </r>
  <r>
    <x v="0"/>
    <x v="0"/>
    <n v="2239109127"/>
    <x v="1"/>
    <n v="4500"/>
    <x v="0"/>
    <x v="0"/>
    <x v="34"/>
    <x v="1"/>
    <x v="0"/>
    <x v="0"/>
    <x v="1"/>
    <x v="0"/>
  </r>
  <r>
    <x v="0"/>
    <x v="0"/>
    <n v="2239109128"/>
    <x v="1"/>
    <n v="1500"/>
    <x v="0"/>
    <x v="0"/>
    <x v="34"/>
    <x v="1"/>
    <x v="0"/>
    <x v="0"/>
    <x v="1"/>
    <x v="0"/>
  </r>
  <r>
    <x v="0"/>
    <x v="0"/>
    <n v="2239109129"/>
    <x v="1"/>
    <n v="3900"/>
    <x v="0"/>
    <x v="0"/>
    <x v="34"/>
    <x v="1"/>
    <x v="0"/>
    <x v="0"/>
    <x v="1"/>
    <x v="0"/>
  </r>
  <r>
    <x v="0"/>
    <x v="0"/>
    <n v="2239109130"/>
    <x v="1"/>
    <n v="1500"/>
    <x v="0"/>
    <x v="0"/>
    <x v="34"/>
    <x v="1"/>
    <x v="0"/>
    <x v="0"/>
    <x v="1"/>
    <x v="0"/>
  </r>
  <r>
    <x v="0"/>
    <x v="0"/>
    <n v="2239109131"/>
    <x v="1"/>
    <n v="2700"/>
    <x v="0"/>
    <x v="0"/>
    <x v="34"/>
    <x v="1"/>
    <x v="0"/>
    <x v="0"/>
    <x v="1"/>
    <x v="0"/>
  </r>
  <r>
    <x v="0"/>
    <x v="0"/>
    <n v="2239109132"/>
    <x v="1"/>
    <n v="1050"/>
    <x v="0"/>
    <x v="0"/>
    <x v="34"/>
    <x v="1"/>
    <x v="0"/>
    <x v="0"/>
    <x v="1"/>
    <x v="0"/>
  </r>
  <r>
    <x v="0"/>
    <x v="0"/>
    <n v="2239109133"/>
    <x v="1"/>
    <n v="10250"/>
    <x v="0"/>
    <x v="0"/>
    <x v="34"/>
    <x v="1"/>
    <x v="0"/>
    <x v="0"/>
    <x v="1"/>
    <x v="0"/>
  </r>
  <r>
    <x v="0"/>
    <x v="0"/>
    <n v="2239109134"/>
    <x v="1"/>
    <n v="18700"/>
    <x v="0"/>
    <x v="0"/>
    <x v="34"/>
    <x v="1"/>
    <x v="0"/>
    <x v="0"/>
    <x v="1"/>
    <x v="0"/>
  </r>
  <r>
    <x v="0"/>
    <x v="0"/>
    <n v="2239109135"/>
    <x v="1"/>
    <n v="11040"/>
    <x v="0"/>
    <x v="0"/>
    <x v="34"/>
    <x v="1"/>
    <x v="0"/>
    <x v="0"/>
    <x v="1"/>
    <x v="0"/>
  </r>
  <r>
    <x v="0"/>
    <x v="0"/>
    <n v="2239109136"/>
    <x v="1"/>
    <n v="2700"/>
    <x v="0"/>
    <x v="0"/>
    <x v="34"/>
    <x v="1"/>
    <x v="0"/>
    <x v="0"/>
    <x v="1"/>
    <x v="0"/>
  </r>
  <r>
    <x v="0"/>
    <x v="0"/>
    <n v="2239109137"/>
    <x v="1"/>
    <n v="55770"/>
    <x v="0"/>
    <x v="0"/>
    <x v="34"/>
    <x v="1"/>
    <x v="0"/>
    <x v="0"/>
    <x v="1"/>
    <x v="0"/>
  </r>
  <r>
    <x v="0"/>
    <x v="0"/>
    <n v="2239109138"/>
    <x v="1"/>
    <n v="900"/>
    <x v="0"/>
    <x v="0"/>
    <x v="34"/>
    <x v="1"/>
    <x v="0"/>
    <x v="0"/>
    <x v="1"/>
    <x v="0"/>
  </r>
  <r>
    <x v="0"/>
    <x v="0"/>
    <n v="2239109139"/>
    <x v="1"/>
    <n v="16750"/>
    <x v="0"/>
    <x v="0"/>
    <x v="34"/>
    <x v="1"/>
    <x v="0"/>
    <x v="0"/>
    <x v="1"/>
    <x v="0"/>
  </r>
  <r>
    <x v="0"/>
    <x v="0"/>
    <n v="2239109140"/>
    <x v="1"/>
    <n v="43500"/>
    <x v="0"/>
    <x v="0"/>
    <x v="34"/>
    <x v="1"/>
    <x v="0"/>
    <x v="0"/>
    <x v="1"/>
    <x v="0"/>
  </r>
  <r>
    <x v="0"/>
    <x v="0"/>
    <n v="2239109141"/>
    <x v="1"/>
    <n v="67620"/>
    <x v="0"/>
    <x v="0"/>
    <x v="34"/>
    <x v="1"/>
    <x v="0"/>
    <x v="0"/>
    <x v="1"/>
    <x v="0"/>
  </r>
  <r>
    <x v="0"/>
    <x v="0"/>
    <n v="2239109143"/>
    <x v="1"/>
    <n v="42370"/>
    <x v="0"/>
    <x v="0"/>
    <x v="34"/>
    <x v="1"/>
    <x v="0"/>
    <x v="0"/>
    <x v="1"/>
    <x v="0"/>
  </r>
  <r>
    <x v="0"/>
    <x v="0"/>
    <n v="2239109144"/>
    <x v="1"/>
    <n v="14400"/>
    <x v="0"/>
    <x v="0"/>
    <x v="34"/>
    <x v="1"/>
    <x v="0"/>
    <x v="0"/>
    <x v="1"/>
    <x v="0"/>
  </r>
  <r>
    <x v="0"/>
    <x v="0"/>
    <n v="2239109145"/>
    <x v="1"/>
    <n v="3000"/>
    <x v="0"/>
    <x v="0"/>
    <x v="34"/>
    <x v="1"/>
    <x v="0"/>
    <x v="0"/>
    <x v="1"/>
    <x v="0"/>
  </r>
  <r>
    <x v="0"/>
    <x v="0"/>
    <n v="2239109147"/>
    <x v="1"/>
    <n v="6300"/>
    <x v="0"/>
    <x v="0"/>
    <x v="34"/>
    <x v="1"/>
    <x v="0"/>
    <x v="0"/>
    <x v="1"/>
    <x v="0"/>
  </r>
  <r>
    <x v="0"/>
    <x v="0"/>
    <n v="2239109148"/>
    <x v="1"/>
    <n v="4500"/>
    <x v="0"/>
    <x v="0"/>
    <x v="34"/>
    <x v="1"/>
    <x v="0"/>
    <x v="0"/>
    <x v="1"/>
    <x v="0"/>
  </r>
  <r>
    <x v="0"/>
    <x v="0"/>
    <n v="2239109149"/>
    <x v="1"/>
    <n v="15120"/>
    <x v="0"/>
    <x v="0"/>
    <x v="34"/>
    <x v="1"/>
    <x v="0"/>
    <x v="0"/>
    <x v="1"/>
    <x v="0"/>
  </r>
  <r>
    <x v="0"/>
    <x v="0"/>
    <n v="2239109151"/>
    <x v="7"/>
    <n v="7500"/>
    <x v="0"/>
    <x v="0"/>
    <x v="34"/>
    <x v="7"/>
    <x v="0"/>
    <x v="0"/>
    <x v="1"/>
    <x v="0"/>
  </r>
  <r>
    <x v="0"/>
    <x v="0"/>
    <n v="2239109153"/>
    <x v="1"/>
    <n v="8750"/>
    <x v="0"/>
    <x v="0"/>
    <x v="34"/>
    <x v="1"/>
    <x v="0"/>
    <x v="0"/>
    <x v="1"/>
    <x v="0"/>
  </r>
  <r>
    <x v="0"/>
    <x v="0"/>
    <n v="2239109156"/>
    <x v="1"/>
    <n v="900"/>
    <x v="0"/>
    <x v="0"/>
    <x v="34"/>
    <x v="1"/>
    <x v="0"/>
    <x v="0"/>
    <x v="1"/>
    <x v="0"/>
  </r>
  <r>
    <x v="0"/>
    <x v="0"/>
    <n v="2239109158"/>
    <x v="1"/>
    <n v="36600"/>
    <x v="0"/>
    <x v="0"/>
    <x v="34"/>
    <x v="1"/>
    <x v="0"/>
    <x v="0"/>
    <x v="1"/>
    <x v="0"/>
  </r>
  <r>
    <x v="0"/>
    <x v="0"/>
    <n v="2239109160"/>
    <x v="1"/>
    <n v="196380"/>
    <x v="0"/>
    <x v="0"/>
    <x v="34"/>
    <x v="1"/>
    <x v="0"/>
    <x v="0"/>
    <x v="1"/>
    <x v="0"/>
  </r>
  <r>
    <x v="0"/>
    <x v="0"/>
    <n v="2239109161"/>
    <x v="2"/>
    <n v="16368"/>
    <x v="0"/>
    <x v="0"/>
    <x v="34"/>
    <x v="2"/>
    <x v="0"/>
    <x v="0"/>
    <x v="2"/>
    <x v="0"/>
  </r>
  <r>
    <x v="0"/>
    <x v="0"/>
    <n v="2239109162"/>
    <x v="3"/>
    <n v="8184"/>
    <x v="0"/>
    <x v="0"/>
    <x v="34"/>
    <x v="3"/>
    <x v="0"/>
    <x v="0"/>
    <x v="3"/>
    <x v="0"/>
  </r>
  <r>
    <x v="0"/>
    <x v="0"/>
    <n v="2239109163"/>
    <x v="6"/>
    <n v="13880"/>
    <x v="0"/>
    <x v="0"/>
    <x v="34"/>
    <x v="6"/>
    <x v="0"/>
    <x v="0"/>
    <x v="5"/>
    <x v="0"/>
  </r>
  <r>
    <x v="0"/>
    <x v="0"/>
    <n v="2239109164"/>
    <x v="6"/>
    <n v="6440"/>
    <x v="0"/>
    <x v="0"/>
    <x v="34"/>
    <x v="6"/>
    <x v="0"/>
    <x v="0"/>
    <x v="5"/>
    <x v="0"/>
  </r>
  <r>
    <x v="0"/>
    <x v="0"/>
    <n v="2239109165"/>
    <x v="3"/>
    <n v="7406"/>
    <x v="0"/>
    <x v="0"/>
    <x v="34"/>
    <x v="3"/>
    <x v="0"/>
    <x v="0"/>
    <x v="3"/>
    <x v="0"/>
  </r>
  <r>
    <x v="0"/>
    <x v="0"/>
    <n v="2239109166"/>
    <x v="1"/>
    <n v="15810"/>
    <x v="0"/>
    <x v="0"/>
    <x v="34"/>
    <x v="1"/>
    <x v="0"/>
    <x v="0"/>
    <x v="1"/>
    <x v="0"/>
  </r>
  <r>
    <x v="0"/>
    <x v="0"/>
    <n v="2239109167"/>
    <x v="1"/>
    <n v="1350"/>
    <x v="0"/>
    <x v="0"/>
    <x v="34"/>
    <x v="1"/>
    <x v="0"/>
    <x v="0"/>
    <x v="1"/>
    <x v="0"/>
  </r>
  <r>
    <x v="0"/>
    <x v="0"/>
    <n v="2239109168"/>
    <x v="1"/>
    <n v="1800"/>
    <x v="0"/>
    <x v="0"/>
    <x v="34"/>
    <x v="1"/>
    <x v="0"/>
    <x v="0"/>
    <x v="1"/>
    <x v="0"/>
  </r>
  <r>
    <x v="0"/>
    <x v="0"/>
    <n v="2239109169"/>
    <x v="1"/>
    <n v="1140"/>
    <x v="0"/>
    <x v="0"/>
    <x v="34"/>
    <x v="1"/>
    <x v="0"/>
    <x v="0"/>
    <x v="1"/>
    <x v="0"/>
  </r>
  <r>
    <x v="0"/>
    <x v="0"/>
    <n v="2239109170"/>
    <x v="3"/>
    <n v="2880"/>
    <x v="0"/>
    <x v="0"/>
    <x v="34"/>
    <x v="3"/>
    <x v="0"/>
    <x v="0"/>
    <x v="3"/>
    <x v="0"/>
  </r>
  <r>
    <x v="0"/>
    <x v="0"/>
    <n v="2239109170"/>
    <x v="7"/>
    <n v="1920"/>
    <x v="0"/>
    <x v="0"/>
    <x v="34"/>
    <x v="7"/>
    <x v="0"/>
    <x v="0"/>
    <x v="1"/>
    <x v="0"/>
  </r>
  <r>
    <x v="0"/>
    <x v="0"/>
    <n v="2239109171"/>
    <x v="3"/>
    <n v="22990"/>
    <x v="0"/>
    <x v="0"/>
    <x v="34"/>
    <x v="3"/>
    <x v="0"/>
    <x v="0"/>
    <x v="3"/>
    <x v="0"/>
  </r>
  <r>
    <x v="0"/>
    <x v="0"/>
    <n v="2239109172"/>
    <x v="1"/>
    <n v="900"/>
    <x v="0"/>
    <x v="0"/>
    <x v="34"/>
    <x v="1"/>
    <x v="0"/>
    <x v="0"/>
    <x v="1"/>
    <x v="0"/>
  </r>
  <r>
    <x v="0"/>
    <x v="0"/>
    <n v="2239109177"/>
    <x v="1"/>
    <n v="2940"/>
    <x v="0"/>
    <x v="0"/>
    <x v="34"/>
    <x v="1"/>
    <x v="0"/>
    <x v="0"/>
    <x v="1"/>
    <x v="0"/>
  </r>
  <r>
    <x v="0"/>
    <x v="0"/>
    <n v="2239109179"/>
    <x v="3"/>
    <n v="30130"/>
    <x v="0"/>
    <x v="0"/>
    <x v="34"/>
    <x v="3"/>
    <x v="0"/>
    <x v="0"/>
    <x v="3"/>
    <x v="0"/>
  </r>
  <r>
    <x v="0"/>
    <x v="0"/>
    <n v="2239109181"/>
    <x v="2"/>
    <n v="17875"/>
    <x v="0"/>
    <x v="0"/>
    <x v="34"/>
    <x v="2"/>
    <x v="0"/>
    <x v="0"/>
    <x v="2"/>
    <x v="0"/>
  </r>
  <r>
    <x v="0"/>
    <x v="0"/>
    <n v="2239109182"/>
    <x v="2"/>
    <n v="18315"/>
    <x v="0"/>
    <x v="0"/>
    <x v="34"/>
    <x v="2"/>
    <x v="0"/>
    <x v="0"/>
    <x v="2"/>
    <x v="0"/>
  </r>
  <r>
    <x v="0"/>
    <x v="0"/>
    <n v="2239109184"/>
    <x v="5"/>
    <n v="-16750"/>
    <x v="0"/>
    <x v="0"/>
    <x v="34"/>
    <x v="5"/>
    <x v="0"/>
    <x v="0"/>
    <x v="5"/>
    <x v="0"/>
  </r>
  <r>
    <x v="0"/>
    <x v="0"/>
    <n v="2239109184"/>
    <x v="6"/>
    <n v="20000"/>
    <x v="0"/>
    <x v="0"/>
    <x v="34"/>
    <x v="6"/>
    <x v="0"/>
    <x v="0"/>
    <x v="5"/>
    <x v="0"/>
  </r>
  <r>
    <x v="0"/>
    <x v="0"/>
    <n v="2239109185"/>
    <x v="5"/>
    <n v="-5500"/>
    <x v="0"/>
    <x v="0"/>
    <x v="34"/>
    <x v="5"/>
    <x v="0"/>
    <x v="0"/>
    <x v="5"/>
    <x v="0"/>
  </r>
  <r>
    <x v="0"/>
    <x v="0"/>
    <n v="2239109185"/>
    <x v="6"/>
    <n v="10000"/>
    <x v="0"/>
    <x v="0"/>
    <x v="34"/>
    <x v="6"/>
    <x v="0"/>
    <x v="0"/>
    <x v="5"/>
    <x v="0"/>
  </r>
  <r>
    <x v="0"/>
    <x v="0"/>
    <n v="2239109187"/>
    <x v="7"/>
    <n v="1500"/>
    <x v="0"/>
    <x v="0"/>
    <x v="34"/>
    <x v="7"/>
    <x v="0"/>
    <x v="0"/>
    <x v="1"/>
    <x v="0"/>
  </r>
  <r>
    <x v="0"/>
    <x v="0"/>
    <n v="2239109188"/>
    <x v="5"/>
    <n v="-3500"/>
    <x v="0"/>
    <x v="0"/>
    <x v="34"/>
    <x v="5"/>
    <x v="0"/>
    <x v="0"/>
    <x v="5"/>
    <x v="0"/>
  </r>
  <r>
    <x v="0"/>
    <x v="0"/>
    <n v="2239109188"/>
    <x v="6"/>
    <n v="10000"/>
    <x v="0"/>
    <x v="0"/>
    <x v="34"/>
    <x v="6"/>
    <x v="0"/>
    <x v="0"/>
    <x v="5"/>
    <x v="0"/>
  </r>
  <r>
    <x v="0"/>
    <x v="0"/>
    <n v="2239109189"/>
    <x v="6"/>
    <n v="3250"/>
    <x v="0"/>
    <x v="0"/>
    <x v="34"/>
    <x v="6"/>
    <x v="0"/>
    <x v="0"/>
    <x v="5"/>
    <x v="0"/>
  </r>
  <r>
    <x v="0"/>
    <x v="0"/>
    <n v="2239109190"/>
    <x v="7"/>
    <n v="1500"/>
    <x v="0"/>
    <x v="0"/>
    <x v="34"/>
    <x v="7"/>
    <x v="0"/>
    <x v="0"/>
    <x v="1"/>
    <x v="0"/>
  </r>
  <r>
    <x v="0"/>
    <x v="0"/>
    <n v="2239109191"/>
    <x v="6"/>
    <n v="5000"/>
    <x v="0"/>
    <x v="0"/>
    <x v="34"/>
    <x v="6"/>
    <x v="0"/>
    <x v="0"/>
    <x v="5"/>
    <x v="0"/>
  </r>
  <r>
    <x v="0"/>
    <x v="0"/>
    <n v="2239109192"/>
    <x v="7"/>
    <n v="1500"/>
    <x v="0"/>
    <x v="0"/>
    <x v="34"/>
    <x v="7"/>
    <x v="0"/>
    <x v="0"/>
    <x v="1"/>
    <x v="0"/>
  </r>
  <r>
    <x v="0"/>
    <x v="0"/>
    <n v="2239109193"/>
    <x v="7"/>
    <n v="1500"/>
    <x v="0"/>
    <x v="0"/>
    <x v="34"/>
    <x v="7"/>
    <x v="0"/>
    <x v="0"/>
    <x v="1"/>
    <x v="0"/>
  </r>
  <r>
    <x v="0"/>
    <x v="0"/>
    <n v="2239109194"/>
    <x v="7"/>
    <n v="1500"/>
    <x v="0"/>
    <x v="0"/>
    <x v="34"/>
    <x v="7"/>
    <x v="0"/>
    <x v="0"/>
    <x v="1"/>
    <x v="0"/>
  </r>
  <r>
    <x v="0"/>
    <x v="0"/>
    <n v="2239109195"/>
    <x v="4"/>
    <n v="5700"/>
    <x v="0"/>
    <x v="0"/>
    <x v="34"/>
    <x v="4"/>
    <x v="0"/>
    <x v="0"/>
    <x v="4"/>
    <x v="0"/>
  </r>
  <r>
    <x v="0"/>
    <x v="0"/>
    <n v="2239109196"/>
    <x v="7"/>
    <n v="1500"/>
    <x v="0"/>
    <x v="0"/>
    <x v="34"/>
    <x v="7"/>
    <x v="0"/>
    <x v="0"/>
    <x v="1"/>
    <x v="0"/>
  </r>
  <r>
    <x v="0"/>
    <x v="0"/>
    <n v="2239109197"/>
    <x v="2"/>
    <n v="24695"/>
    <x v="0"/>
    <x v="0"/>
    <x v="34"/>
    <x v="2"/>
    <x v="0"/>
    <x v="0"/>
    <x v="2"/>
    <x v="0"/>
  </r>
  <r>
    <x v="0"/>
    <x v="0"/>
    <n v="2239109198"/>
    <x v="5"/>
    <n v="-6750"/>
    <x v="0"/>
    <x v="0"/>
    <x v="34"/>
    <x v="5"/>
    <x v="0"/>
    <x v="0"/>
    <x v="5"/>
    <x v="0"/>
  </r>
  <r>
    <x v="0"/>
    <x v="0"/>
    <n v="2239109198"/>
    <x v="6"/>
    <n v="10000"/>
    <x v="0"/>
    <x v="0"/>
    <x v="34"/>
    <x v="6"/>
    <x v="0"/>
    <x v="0"/>
    <x v="5"/>
    <x v="0"/>
  </r>
  <r>
    <x v="0"/>
    <x v="0"/>
    <n v="2239109199"/>
    <x v="1"/>
    <n v="3150"/>
    <x v="0"/>
    <x v="0"/>
    <x v="34"/>
    <x v="1"/>
    <x v="0"/>
    <x v="0"/>
    <x v="1"/>
    <x v="0"/>
  </r>
  <r>
    <x v="0"/>
    <x v="0"/>
    <n v="2239109200"/>
    <x v="1"/>
    <n v="900"/>
    <x v="0"/>
    <x v="0"/>
    <x v="34"/>
    <x v="1"/>
    <x v="0"/>
    <x v="0"/>
    <x v="1"/>
    <x v="0"/>
  </r>
  <r>
    <x v="0"/>
    <x v="0"/>
    <n v="2239109201"/>
    <x v="1"/>
    <n v="24990"/>
    <x v="0"/>
    <x v="0"/>
    <x v="34"/>
    <x v="1"/>
    <x v="0"/>
    <x v="0"/>
    <x v="1"/>
    <x v="0"/>
  </r>
  <r>
    <x v="0"/>
    <x v="0"/>
    <n v="2239109202"/>
    <x v="1"/>
    <n v="3000"/>
    <x v="0"/>
    <x v="0"/>
    <x v="34"/>
    <x v="1"/>
    <x v="0"/>
    <x v="0"/>
    <x v="1"/>
    <x v="0"/>
  </r>
  <r>
    <x v="0"/>
    <x v="0"/>
    <n v="2239109203"/>
    <x v="5"/>
    <n v="-1600"/>
    <x v="0"/>
    <x v="0"/>
    <x v="34"/>
    <x v="5"/>
    <x v="0"/>
    <x v="0"/>
    <x v="5"/>
    <x v="0"/>
  </r>
  <r>
    <x v="0"/>
    <x v="0"/>
    <n v="2239109203"/>
    <x v="6"/>
    <n v="16000"/>
    <x v="0"/>
    <x v="0"/>
    <x v="34"/>
    <x v="6"/>
    <x v="0"/>
    <x v="0"/>
    <x v="5"/>
    <x v="0"/>
  </r>
  <r>
    <x v="0"/>
    <x v="0"/>
    <n v="2239109204"/>
    <x v="5"/>
    <n v="-13000"/>
    <x v="0"/>
    <x v="0"/>
    <x v="34"/>
    <x v="5"/>
    <x v="0"/>
    <x v="0"/>
    <x v="5"/>
    <x v="0"/>
  </r>
  <r>
    <x v="0"/>
    <x v="0"/>
    <n v="2239109204"/>
    <x v="6"/>
    <n v="20200"/>
    <x v="0"/>
    <x v="0"/>
    <x v="34"/>
    <x v="6"/>
    <x v="0"/>
    <x v="0"/>
    <x v="5"/>
    <x v="0"/>
  </r>
  <r>
    <x v="0"/>
    <x v="0"/>
    <n v="2239109205"/>
    <x v="2"/>
    <n v="11750"/>
    <x v="0"/>
    <x v="0"/>
    <x v="34"/>
    <x v="2"/>
    <x v="0"/>
    <x v="0"/>
    <x v="2"/>
    <x v="0"/>
  </r>
  <r>
    <x v="0"/>
    <x v="0"/>
    <n v="2239109206"/>
    <x v="2"/>
    <n v="3000"/>
    <x v="0"/>
    <x v="0"/>
    <x v="34"/>
    <x v="2"/>
    <x v="0"/>
    <x v="0"/>
    <x v="2"/>
    <x v="0"/>
  </r>
  <r>
    <x v="0"/>
    <x v="0"/>
    <n v="2239109207"/>
    <x v="5"/>
    <n v="-6250"/>
    <x v="0"/>
    <x v="0"/>
    <x v="34"/>
    <x v="5"/>
    <x v="0"/>
    <x v="0"/>
    <x v="5"/>
    <x v="0"/>
  </r>
  <r>
    <x v="0"/>
    <x v="0"/>
    <n v="2239109207"/>
    <x v="6"/>
    <n v="10000"/>
    <x v="0"/>
    <x v="0"/>
    <x v="34"/>
    <x v="6"/>
    <x v="0"/>
    <x v="0"/>
    <x v="5"/>
    <x v="0"/>
  </r>
  <r>
    <x v="0"/>
    <x v="0"/>
    <n v="2239109208"/>
    <x v="1"/>
    <n v="5370"/>
    <x v="0"/>
    <x v="0"/>
    <x v="34"/>
    <x v="1"/>
    <x v="0"/>
    <x v="0"/>
    <x v="1"/>
    <x v="0"/>
  </r>
  <r>
    <x v="0"/>
    <x v="0"/>
    <n v="2239109209"/>
    <x v="5"/>
    <n v="-5000"/>
    <x v="0"/>
    <x v="0"/>
    <x v="34"/>
    <x v="5"/>
    <x v="0"/>
    <x v="0"/>
    <x v="5"/>
    <x v="0"/>
  </r>
  <r>
    <x v="0"/>
    <x v="0"/>
    <n v="2239109209"/>
    <x v="6"/>
    <n v="10600"/>
    <x v="0"/>
    <x v="0"/>
    <x v="34"/>
    <x v="6"/>
    <x v="0"/>
    <x v="0"/>
    <x v="5"/>
    <x v="0"/>
  </r>
  <r>
    <x v="0"/>
    <x v="0"/>
    <n v="2239109211"/>
    <x v="2"/>
    <n v="3250"/>
    <x v="0"/>
    <x v="0"/>
    <x v="34"/>
    <x v="2"/>
    <x v="0"/>
    <x v="0"/>
    <x v="2"/>
    <x v="0"/>
  </r>
  <r>
    <x v="0"/>
    <x v="0"/>
    <n v="2239109212"/>
    <x v="3"/>
    <n v="32670"/>
    <x v="0"/>
    <x v="0"/>
    <x v="34"/>
    <x v="3"/>
    <x v="0"/>
    <x v="0"/>
    <x v="3"/>
    <x v="0"/>
  </r>
  <r>
    <x v="0"/>
    <x v="0"/>
    <n v="2239109213"/>
    <x v="2"/>
    <n v="8525"/>
    <x v="0"/>
    <x v="0"/>
    <x v="34"/>
    <x v="2"/>
    <x v="0"/>
    <x v="0"/>
    <x v="2"/>
    <x v="0"/>
  </r>
  <r>
    <x v="0"/>
    <x v="0"/>
    <n v="2239109214"/>
    <x v="2"/>
    <n v="7000"/>
    <x v="0"/>
    <x v="0"/>
    <x v="34"/>
    <x v="2"/>
    <x v="0"/>
    <x v="0"/>
    <x v="2"/>
    <x v="0"/>
  </r>
  <r>
    <x v="0"/>
    <x v="0"/>
    <n v="2239109214"/>
    <x v="7"/>
    <n v="6500"/>
    <x v="0"/>
    <x v="0"/>
    <x v="34"/>
    <x v="7"/>
    <x v="0"/>
    <x v="0"/>
    <x v="1"/>
    <x v="0"/>
  </r>
  <r>
    <x v="0"/>
    <x v="0"/>
    <n v="2239109215"/>
    <x v="2"/>
    <n v="8701"/>
    <x v="0"/>
    <x v="0"/>
    <x v="34"/>
    <x v="2"/>
    <x v="0"/>
    <x v="0"/>
    <x v="2"/>
    <x v="0"/>
  </r>
  <r>
    <x v="0"/>
    <x v="0"/>
    <n v="2239109217"/>
    <x v="7"/>
    <n v="1500"/>
    <x v="0"/>
    <x v="0"/>
    <x v="34"/>
    <x v="7"/>
    <x v="0"/>
    <x v="0"/>
    <x v="1"/>
    <x v="0"/>
  </r>
  <r>
    <x v="0"/>
    <x v="0"/>
    <n v="2239109218"/>
    <x v="7"/>
    <n v="4500"/>
    <x v="0"/>
    <x v="0"/>
    <x v="34"/>
    <x v="7"/>
    <x v="0"/>
    <x v="0"/>
    <x v="1"/>
    <x v="0"/>
  </r>
  <r>
    <x v="0"/>
    <x v="0"/>
    <n v="2239109219"/>
    <x v="6"/>
    <n v="6000"/>
    <x v="0"/>
    <x v="0"/>
    <x v="34"/>
    <x v="6"/>
    <x v="0"/>
    <x v="0"/>
    <x v="5"/>
    <x v="0"/>
  </r>
  <r>
    <x v="0"/>
    <x v="0"/>
    <n v="2239109221"/>
    <x v="5"/>
    <n v="-100"/>
    <x v="0"/>
    <x v="0"/>
    <x v="34"/>
    <x v="5"/>
    <x v="0"/>
    <x v="0"/>
    <x v="5"/>
    <x v="0"/>
  </r>
  <r>
    <x v="0"/>
    <x v="0"/>
    <n v="2239109221"/>
    <x v="6"/>
    <n v="2000"/>
    <x v="0"/>
    <x v="0"/>
    <x v="34"/>
    <x v="6"/>
    <x v="0"/>
    <x v="0"/>
    <x v="5"/>
    <x v="0"/>
  </r>
  <r>
    <x v="0"/>
    <x v="0"/>
    <n v="2239109222"/>
    <x v="2"/>
    <n v="32725"/>
    <x v="0"/>
    <x v="0"/>
    <x v="34"/>
    <x v="2"/>
    <x v="0"/>
    <x v="0"/>
    <x v="2"/>
    <x v="0"/>
  </r>
  <r>
    <x v="0"/>
    <x v="0"/>
    <n v="2239109223"/>
    <x v="2"/>
    <n v="25000"/>
    <x v="0"/>
    <x v="0"/>
    <x v="34"/>
    <x v="2"/>
    <x v="0"/>
    <x v="0"/>
    <x v="2"/>
    <x v="0"/>
  </r>
  <r>
    <x v="0"/>
    <x v="0"/>
    <n v="2239109224"/>
    <x v="2"/>
    <n v="11825"/>
    <x v="0"/>
    <x v="0"/>
    <x v="34"/>
    <x v="2"/>
    <x v="0"/>
    <x v="0"/>
    <x v="2"/>
    <x v="0"/>
  </r>
  <r>
    <x v="0"/>
    <x v="0"/>
    <n v="2239109225"/>
    <x v="2"/>
    <n v="72140"/>
    <x v="0"/>
    <x v="0"/>
    <x v="34"/>
    <x v="2"/>
    <x v="0"/>
    <x v="0"/>
    <x v="2"/>
    <x v="0"/>
  </r>
  <r>
    <x v="0"/>
    <x v="0"/>
    <n v="2239109226"/>
    <x v="5"/>
    <n v="-1450"/>
    <x v="0"/>
    <x v="0"/>
    <x v="34"/>
    <x v="5"/>
    <x v="0"/>
    <x v="0"/>
    <x v="5"/>
    <x v="0"/>
  </r>
  <r>
    <x v="0"/>
    <x v="0"/>
    <n v="2239109226"/>
    <x v="6"/>
    <n v="5200"/>
    <x v="0"/>
    <x v="0"/>
    <x v="34"/>
    <x v="6"/>
    <x v="0"/>
    <x v="0"/>
    <x v="5"/>
    <x v="0"/>
  </r>
  <r>
    <x v="0"/>
    <x v="0"/>
    <n v="2239109227"/>
    <x v="3"/>
    <n v="7950"/>
    <x v="0"/>
    <x v="0"/>
    <x v="34"/>
    <x v="3"/>
    <x v="0"/>
    <x v="0"/>
    <x v="3"/>
    <x v="0"/>
  </r>
  <r>
    <x v="0"/>
    <x v="0"/>
    <n v="2239109228"/>
    <x v="2"/>
    <n v="37895"/>
    <x v="0"/>
    <x v="0"/>
    <x v="34"/>
    <x v="2"/>
    <x v="0"/>
    <x v="0"/>
    <x v="2"/>
    <x v="0"/>
  </r>
  <r>
    <x v="0"/>
    <x v="0"/>
    <n v="2239109229"/>
    <x v="3"/>
    <n v="48000"/>
    <x v="0"/>
    <x v="0"/>
    <x v="34"/>
    <x v="3"/>
    <x v="0"/>
    <x v="0"/>
    <x v="3"/>
    <x v="0"/>
  </r>
  <r>
    <x v="0"/>
    <x v="0"/>
    <n v="2239109231"/>
    <x v="2"/>
    <n v="13695"/>
    <x v="0"/>
    <x v="0"/>
    <x v="34"/>
    <x v="2"/>
    <x v="0"/>
    <x v="0"/>
    <x v="2"/>
    <x v="0"/>
  </r>
  <r>
    <x v="0"/>
    <x v="0"/>
    <n v="2239109232"/>
    <x v="8"/>
    <n v="27225"/>
    <x v="0"/>
    <x v="0"/>
    <x v="34"/>
    <x v="8"/>
    <x v="0"/>
    <x v="0"/>
    <x v="3"/>
    <x v="0"/>
  </r>
  <r>
    <x v="0"/>
    <x v="0"/>
    <n v="2239109233"/>
    <x v="2"/>
    <n v="8250"/>
    <x v="0"/>
    <x v="0"/>
    <x v="34"/>
    <x v="2"/>
    <x v="0"/>
    <x v="0"/>
    <x v="2"/>
    <x v="0"/>
  </r>
  <r>
    <x v="0"/>
    <x v="0"/>
    <n v="2239109234"/>
    <x v="7"/>
    <n v="1500"/>
    <x v="0"/>
    <x v="0"/>
    <x v="34"/>
    <x v="7"/>
    <x v="0"/>
    <x v="0"/>
    <x v="1"/>
    <x v="0"/>
  </r>
  <r>
    <x v="0"/>
    <x v="0"/>
    <n v="2239109235"/>
    <x v="2"/>
    <n v="38665"/>
    <x v="0"/>
    <x v="0"/>
    <x v="34"/>
    <x v="2"/>
    <x v="0"/>
    <x v="0"/>
    <x v="2"/>
    <x v="0"/>
  </r>
  <r>
    <x v="0"/>
    <x v="0"/>
    <n v="2239109236"/>
    <x v="5"/>
    <n v="-1440"/>
    <x v="0"/>
    <x v="0"/>
    <x v="34"/>
    <x v="5"/>
    <x v="0"/>
    <x v="0"/>
    <x v="5"/>
    <x v="0"/>
  </r>
  <r>
    <x v="0"/>
    <x v="0"/>
    <n v="2239109236"/>
    <x v="6"/>
    <n v="30000"/>
    <x v="0"/>
    <x v="0"/>
    <x v="34"/>
    <x v="6"/>
    <x v="0"/>
    <x v="0"/>
    <x v="5"/>
    <x v="0"/>
  </r>
  <r>
    <x v="0"/>
    <x v="0"/>
    <n v="2239109237"/>
    <x v="5"/>
    <n v="-2000"/>
    <x v="0"/>
    <x v="0"/>
    <x v="34"/>
    <x v="5"/>
    <x v="0"/>
    <x v="0"/>
    <x v="5"/>
    <x v="0"/>
  </r>
  <r>
    <x v="0"/>
    <x v="0"/>
    <n v="2239109237"/>
    <x v="6"/>
    <n v="5000"/>
    <x v="0"/>
    <x v="0"/>
    <x v="34"/>
    <x v="6"/>
    <x v="0"/>
    <x v="0"/>
    <x v="5"/>
    <x v="0"/>
  </r>
  <r>
    <x v="0"/>
    <x v="0"/>
    <n v="2239109238"/>
    <x v="3"/>
    <n v="6000"/>
    <x v="0"/>
    <x v="0"/>
    <x v="34"/>
    <x v="3"/>
    <x v="0"/>
    <x v="0"/>
    <x v="3"/>
    <x v="0"/>
  </r>
  <r>
    <x v="0"/>
    <x v="0"/>
    <n v="2239109239"/>
    <x v="2"/>
    <n v="3250"/>
    <x v="0"/>
    <x v="0"/>
    <x v="34"/>
    <x v="2"/>
    <x v="0"/>
    <x v="0"/>
    <x v="2"/>
    <x v="0"/>
  </r>
  <r>
    <x v="0"/>
    <x v="0"/>
    <n v="2239109240"/>
    <x v="5"/>
    <n v="-8000"/>
    <x v="0"/>
    <x v="0"/>
    <x v="34"/>
    <x v="5"/>
    <x v="0"/>
    <x v="0"/>
    <x v="5"/>
    <x v="0"/>
  </r>
  <r>
    <x v="0"/>
    <x v="0"/>
    <n v="2239109240"/>
    <x v="6"/>
    <n v="20000"/>
    <x v="0"/>
    <x v="0"/>
    <x v="34"/>
    <x v="6"/>
    <x v="0"/>
    <x v="0"/>
    <x v="5"/>
    <x v="0"/>
  </r>
  <r>
    <x v="0"/>
    <x v="0"/>
    <n v="2239109241"/>
    <x v="2"/>
    <n v="11990"/>
    <x v="0"/>
    <x v="0"/>
    <x v="34"/>
    <x v="2"/>
    <x v="0"/>
    <x v="0"/>
    <x v="2"/>
    <x v="0"/>
  </r>
  <r>
    <x v="0"/>
    <x v="0"/>
    <n v="2239109242"/>
    <x v="2"/>
    <n v="18040"/>
    <x v="0"/>
    <x v="0"/>
    <x v="34"/>
    <x v="2"/>
    <x v="0"/>
    <x v="0"/>
    <x v="2"/>
    <x v="0"/>
  </r>
  <r>
    <x v="0"/>
    <x v="0"/>
    <n v="2239109243"/>
    <x v="1"/>
    <n v="3150"/>
    <x v="0"/>
    <x v="0"/>
    <x v="34"/>
    <x v="1"/>
    <x v="0"/>
    <x v="0"/>
    <x v="1"/>
    <x v="0"/>
  </r>
  <r>
    <x v="0"/>
    <x v="0"/>
    <n v="2239109244"/>
    <x v="2"/>
    <n v="2250"/>
    <x v="0"/>
    <x v="0"/>
    <x v="34"/>
    <x v="2"/>
    <x v="0"/>
    <x v="0"/>
    <x v="2"/>
    <x v="0"/>
  </r>
  <r>
    <x v="0"/>
    <x v="0"/>
    <n v="2239109246"/>
    <x v="7"/>
    <n v="1500"/>
    <x v="0"/>
    <x v="0"/>
    <x v="34"/>
    <x v="7"/>
    <x v="0"/>
    <x v="0"/>
    <x v="1"/>
    <x v="0"/>
  </r>
  <r>
    <x v="0"/>
    <x v="0"/>
    <n v="2239109247"/>
    <x v="3"/>
    <n v="52690"/>
    <x v="0"/>
    <x v="0"/>
    <x v="34"/>
    <x v="3"/>
    <x v="0"/>
    <x v="0"/>
    <x v="3"/>
    <x v="0"/>
  </r>
  <r>
    <x v="0"/>
    <x v="0"/>
    <n v="2239109248"/>
    <x v="2"/>
    <n v="64790"/>
    <x v="0"/>
    <x v="0"/>
    <x v="34"/>
    <x v="2"/>
    <x v="0"/>
    <x v="0"/>
    <x v="2"/>
    <x v="0"/>
  </r>
  <r>
    <x v="0"/>
    <x v="0"/>
    <n v="2239109249"/>
    <x v="3"/>
    <n v="40645"/>
    <x v="0"/>
    <x v="0"/>
    <x v="34"/>
    <x v="3"/>
    <x v="0"/>
    <x v="0"/>
    <x v="3"/>
    <x v="0"/>
  </r>
  <r>
    <x v="0"/>
    <x v="0"/>
    <n v="2239109250"/>
    <x v="2"/>
    <n v="66000"/>
    <x v="0"/>
    <x v="0"/>
    <x v="34"/>
    <x v="2"/>
    <x v="0"/>
    <x v="0"/>
    <x v="2"/>
    <x v="0"/>
  </r>
  <r>
    <x v="0"/>
    <x v="0"/>
    <n v="2239109252"/>
    <x v="2"/>
    <n v="11495"/>
    <x v="0"/>
    <x v="0"/>
    <x v="34"/>
    <x v="2"/>
    <x v="0"/>
    <x v="0"/>
    <x v="2"/>
    <x v="0"/>
  </r>
  <r>
    <x v="0"/>
    <x v="0"/>
    <n v="2239109253"/>
    <x v="5"/>
    <n v="-6250"/>
    <x v="0"/>
    <x v="0"/>
    <x v="34"/>
    <x v="5"/>
    <x v="0"/>
    <x v="0"/>
    <x v="5"/>
    <x v="0"/>
  </r>
  <r>
    <x v="0"/>
    <x v="0"/>
    <n v="2239109253"/>
    <x v="6"/>
    <n v="10000"/>
    <x v="0"/>
    <x v="0"/>
    <x v="34"/>
    <x v="6"/>
    <x v="0"/>
    <x v="0"/>
    <x v="5"/>
    <x v="0"/>
  </r>
  <r>
    <x v="0"/>
    <x v="0"/>
    <n v="2239109254"/>
    <x v="2"/>
    <n v="8250"/>
    <x v="0"/>
    <x v="0"/>
    <x v="34"/>
    <x v="2"/>
    <x v="0"/>
    <x v="0"/>
    <x v="2"/>
    <x v="0"/>
  </r>
  <r>
    <x v="0"/>
    <x v="0"/>
    <n v="2239109255"/>
    <x v="2"/>
    <n v="26895"/>
    <x v="0"/>
    <x v="0"/>
    <x v="34"/>
    <x v="2"/>
    <x v="0"/>
    <x v="0"/>
    <x v="2"/>
    <x v="0"/>
  </r>
  <r>
    <x v="0"/>
    <x v="0"/>
    <n v="2239109256"/>
    <x v="2"/>
    <n v="13000"/>
    <x v="0"/>
    <x v="0"/>
    <x v="34"/>
    <x v="2"/>
    <x v="0"/>
    <x v="0"/>
    <x v="2"/>
    <x v="0"/>
  </r>
  <r>
    <x v="0"/>
    <x v="0"/>
    <n v="2239109257"/>
    <x v="2"/>
    <n v="48345"/>
    <x v="0"/>
    <x v="0"/>
    <x v="34"/>
    <x v="2"/>
    <x v="0"/>
    <x v="0"/>
    <x v="2"/>
    <x v="0"/>
  </r>
  <r>
    <x v="0"/>
    <x v="0"/>
    <n v="2239109258"/>
    <x v="2"/>
    <n v="21945"/>
    <x v="0"/>
    <x v="0"/>
    <x v="34"/>
    <x v="2"/>
    <x v="0"/>
    <x v="0"/>
    <x v="2"/>
    <x v="0"/>
  </r>
  <r>
    <x v="0"/>
    <x v="0"/>
    <n v="2239109260"/>
    <x v="2"/>
    <n v="6200"/>
    <x v="0"/>
    <x v="0"/>
    <x v="34"/>
    <x v="2"/>
    <x v="0"/>
    <x v="0"/>
    <x v="2"/>
    <x v="0"/>
  </r>
  <r>
    <x v="0"/>
    <x v="0"/>
    <n v="2239109261"/>
    <x v="3"/>
    <n v="7500"/>
    <x v="0"/>
    <x v="0"/>
    <x v="34"/>
    <x v="3"/>
    <x v="0"/>
    <x v="0"/>
    <x v="3"/>
    <x v="0"/>
  </r>
  <r>
    <x v="0"/>
    <x v="0"/>
    <n v="2239109262"/>
    <x v="5"/>
    <n v="-4600"/>
    <x v="0"/>
    <x v="0"/>
    <x v="34"/>
    <x v="5"/>
    <x v="0"/>
    <x v="0"/>
    <x v="5"/>
    <x v="0"/>
  </r>
  <r>
    <x v="0"/>
    <x v="0"/>
    <n v="2239109262"/>
    <x v="6"/>
    <n v="30000"/>
    <x v="0"/>
    <x v="0"/>
    <x v="34"/>
    <x v="6"/>
    <x v="0"/>
    <x v="0"/>
    <x v="5"/>
    <x v="0"/>
  </r>
  <r>
    <x v="0"/>
    <x v="0"/>
    <n v="2239109264"/>
    <x v="7"/>
    <n v="4900"/>
    <x v="0"/>
    <x v="0"/>
    <x v="34"/>
    <x v="7"/>
    <x v="0"/>
    <x v="0"/>
    <x v="1"/>
    <x v="0"/>
  </r>
  <r>
    <x v="0"/>
    <x v="0"/>
    <n v="2239109267"/>
    <x v="5"/>
    <n v="-5000"/>
    <x v="0"/>
    <x v="0"/>
    <x v="34"/>
    <x v="5"/>
    <x v="0"/>
    <x v="0"/>
    <x v="5"/>
    <x v="0"/>
  </r>
  <r>
    <x v="0"/>
    <x v="0"/>
    <n v="2239109267"/>
    <x v="4"/>
    <n v="10300"/>
    <x v="0"/>
    <x v="0"/>
    <x v="34"/>
    <x v="4"/>
    <x v="0"/>
    <x v="0"/>
    <x v="4"/>
    <x v="0"/>
  </r>
  <r>
    <x v="0"/>
    <x v="0"/>
    <n v="2239109268"/>
    <x v="2"/>
    <n v="31900"/>
    <x v="0"/>
    <x v="0"/>
    <x v="34"/>
    <x v="2"/>
    <x v="0"/>
    <x v="0"/>
    <x v="2"/>
    <x v="0"/>
  </r>
  <r>
    <x v="0"/>
    <x v="0"/>
    <n v="2239109269"/>
    <x v="5"/>
    <n v="-2400"/>
    <x v="0"/>
    <x v="0"/>
    <x v="34"/>
    <x v="5"/>
    <x v="0"/>
    <x v="0"/>
    <x v="5"/>
    <x v="0"/>
  </r>
  <r>
    <x v="0"/>
    <x v="0"/>
    <n v="2239109269"/>
    <x v="6"/>
    <n v="10000"/>
    <x v="0"/>
    <x v="0"/>
    <x v="34"/>
    <x v="6"/>
    <x v="0"/>
    <x v="0"/>
    <x v="5"/>
    <x v="0"/>
  </r>
  <r>
    <x v="0"/>
    <x v="0"/>
    <n v="2239109270"/>
    <x v="2"/>
    <n v="4313"/>
    <x v="0"/>
    <x v="0"/>
    <x v="34"/>
    <x v="2"/>
    <x v="0"/>
    <x v="0"/>
    <x v="2"/>
    <x v="0"/>
  </r>
  <r>
    <x v="0"/>
    <x v="0"/>
    <n v="2239109271"/>
    <x v="2"/>
    <n v="44220"/>
    <x v="0"/>
    <x v="0"/>
    <x v="34"/>
    <x v="2"/>
    <x v="0"/>
    <x v="0"/>
    <x v="2"/>
    <x v="0"/>
  </r>
  <r>
    <x v="0"/>
    <x v="0"/>
    <n v="2239109272"/>
    <x v="5"/>
    <n v="-15000"/>
    <x v="0"/>
    <x v="0"/>
    <x v="34"/>
    <x v="5"/>
    <x v="0"/>
    <x v="0"/>
    <x v="5"/>
    <x v="0"/>
  </r>
  <r>
    <x v="0"/>
    <x v="0"/>
    <n v="2239109272"/>
    <x v="6"/>
    <n v="20000"/>
    <x v="0"/>
    <x v="0"/>
    <x v="34"/>
    <x v="6"/>
    <x v="0"/>
    <x v="0"/>
    <x v="5"/>
    <x v="0"/>
  </r>
  <r>
    <x v="0"/>
    <x v="0"/>
    <n v="2239109273"/>
    <x v="5"/>
    <n v="-750"/>
    <x v="0"/>
    <x v="0"/>
    <x v="34"/>
    <x v="5"/>
    <x v="0"/>
    <x v="0"/>
    <x v="5"/>
    <x v="0"/>
  </r>
  <r>
    <x v="0"/>
    <x v="0"/>
    <n v="2239109273"/>
    <x v="6"/>
    <n v="7000"/>
    <x v="0"/>
    <x v="0"/>
    <x v="34"/>
    <x v="6"/>
    <x v="0"/>
    <x v="0"/>
    <x v="5"/>
    <x v="0"/>
  </r>
  <r>
    <x v="0"/>
    <x v="0"/>
    <n v="2239109274"/>
    <x v="3"/>
    <n v="8800"/>
    <x v="0"/>
    <x v="0"/>
    <x v="34"/>
    <x v="3"/>
    <x v="0"/>
    <x v="0"/>
    <x v="3"/>
    <x v="0"/>
  </r>
  <r>
    <x v="0"/>
    <x v="0"/>
    <n v="2239109275"/>
    <x v="3"/>
    <n v="49050"/>
    <x v="0"/>
    <x v="0"/>
    <x v="34"/>
    <x v="3"/>
    <x v="0"/>
    <x v="0"/>
    <x v="3"/>
    <x v="0"/>
  </r>
  <r>
    <x v="0"/>
    <x v="0"/>
    <n v="2239109276"/>
    <x v="1"/>
    <n v="13550"/>
    <x v="0"/>
    <x v="0"/>
    <x v="34"/>
    <x v="1"/>
    <x v="0"/>
    <x v="0"/>
    <x v="1"/>
    <x v="0"/>
  </r>
  <r>
    <x v="0"/>
    <x v="0"/>
    <n v="2239109277"/>
    <x v="2"/>
    <n v="13200"/>
    <x v="0"/>
    <x v="0"/>
    <x v="34"/>
    <x v="2"/>
    <x v="0"/>
    <x v="0"/>
    <x v="2"/>
    <x v="0"/>
  </r>
  <r>
    <x v="0"/>
    <x v="0"/>
    <n v="2239109278"/>
    <x v="4"/>
    <n v="5700"/>
    <x v="0"/>
    <x v="0"/>
    <x v="34"/>
    <x v="4"/>
    <x v="0"/>
    <x v="0"/>
    <x v="4"/>
    <x v="0"/>
  </r>
  <r>
    <x v="0"/>
    <x v="0"/>
    <n v="2239109280"/>
    <x v="7"/>
    <n v="1500"/>
    <x v="0"/>
    <x v="0"/>
    <x v="34"/>
    <x v="7"/>
    <x v="0"/>
    <x v="0"/>
    <x v="1"/>
    <x v="0"/>
  </r>
  <r>
    <x v="0"/>
    <x v="0"/>
    <n v="2239109281"/>
    <x v="2"/>
    <n v="3500"/>
    <x v="0"/>
    <x v="0"/>
    <x v="34"/>
    <x v="2"/>
    <x v="0"/>
    <x v="0"/>
    <x v="2"/>
    <x v="0"/>
  </r>
  <r>
    <x v="0"/>
    <x v="0"/>
    <n v="2239109282"/>
    <x v="7"/>
    <n v="1500"/>
    <x v="0"/>
    <x v="0"/>
    <x v="34"/>
    <x v="7"/>
    <x v="0"/>
    <x v="0"/>
    <x v="1"/>
    <x v="0"/>
  </r>
  <r>
    <x v="0"/>
    <x v="0"/>
    <n v="2239109283"/>
    <x v="1"/>
    <n v="2850"/>
    <x v="0"/>
    <x v="0"/>
    <x v="34"/>
    <x v="1"/>
    <x v="0"/>
    <x v="0"/>
    <x v="1"/>
    <x v="0"/>
  </r>
  <r>
    <x v="0"/>
    <x v="0"/>
    <n v="2239109284"/>
    <x v="7"/>
    <n v="4800"/>
    <x v="0"/>
    <x v="0"/>
    <x v="34"/>
    <x v="7"/>
    <x v="0"/>
    <x v="0"/>
    <x v="1"/>
    <x v="0"/>
  </r>
  <r>
    <x v="0"/>
    <x v="0"/>
    <n v="2239109285"/>
    <x v="6"/>
    <n v="11000"/>
    <x v="0"/>
    <x v="0"/>
    <x v="34"/>
    <x v="6"/>
    <x v="0"/>
    <x v="0"/>
    <x v="5"/>
    <x v="0"/>
  </r>
  <r>
    <x v="0"/>
    <x v="0"/>
    <n v="2239109286"/>
    <x v="5"/>
    <n v="-4000"/>
    <x v="0"/>
    <x v="0"/>
    <x v="34"/>
    <x v="5"/>
    <x v="0"/>
    <x v="0"/>
    <x v="5"/>
    <x v="0"/>
  </r>
  <r>
    <x v="0"/>
    <x v="0"/>
    <n v="2239109286"/>
    <x v="6"/>
    <n v="10000"/>
    <x v="0"/>
    <x v="0"/>
    <x v="34"/>
    <x v="6"/>
    <x v="0"/>
    <x v="0"/>
    <x v="5"/>
    <x v="0"/>
  </r>
  <r>
    <x v="0"/>
    <x v="0"/>
    <n v="2239109287"/>
    <x v="1"/>
    <n v="4500"/>
    <x v="0"/>
    <x v="0"/>
    <x v="34"/>
    <x v="1"/>
    <x v="0"/>
    <x v="0"/>
    <x v="1"/>
    <x v="0"/>
  </r>
  <r>
    <x v="0"/>
    <x v="0"/>
    <n v="2239109288"/>
    <x v="2"/>
    <n v="37840"/>
    <x v="0"/>
    <x v="0"/>
    <x v="34"/>
    <x v="2"/>
    <x v="0"/>
    <x v="0"/>
    <x v="2"/>
    <x v="0"/>
  </r>
  <r>
    <x v="0"/>
    <x v="0"/>
    <n v="2239109289"/>
    <x v="2"/>
    <n v="14850"/>
    <x v="0"/>
    <x v="0"/>
    <x v="34"/>
    <x v="2"/>
    <x v="0"/>
    <x v="0"/>
    <x v="2"/>
    <x v="0"/>
  </r>
  <r>
    <x v="0"/>
    <x v="0"/>
    <n v="2239109291"/>
    <x v="2"/>
    <n v="22990"/>
    <x v="0"/>
    <x v="0"/>
    <x v="34"/>
    <x v="2"/>
    <x v="0"/>
    <x v="0"/>
    <x v="2"/>
    <x v="0"/>
  </r>
  <r>
    <x v="0"/>
    <x v="0"/>
    <n v="2239109293"/>
    <x v="3"/>
    <n v="4950"/>
    <x v="0"/>
    <x v="0"/>
    <x v="34"/>
    <x v="3"/>
    <x v="0"/>
    <x v="0"/>
    <x v="3"/>
    <x v="0"/>
  </r>
  <r>
    <x v="0"/>
    <x v="0"/>
    <n v="2239109294"/>
    <x v="2"/>
    <n v="14300"/>
    <x v="0"/>
    <x v="0"/>
    <x v="34"/>
    <x v="2"/>
    <x v="0"/>
    <x v="0"/>
    <x v="2"/>
    <x v="0"/>
  </r>
  <r>
    <x v="0"/>
    <x v="0"/>
    <n v="2239109295"/>
    <x v="5"/>
    <n v="-4400"/>
    <x v="0"/>
    <x v="0"/>
    <x v="34"/>
    <x v="5"/>
    <x v="0"/>
    <x v="0"/>
    <x v="5"/>
    <x v="0"/>
  </r>
  <r>
    <x v="0"/>
    <x v="0"/>
    <n v="2239109295"/>
    <x v="4"/>
    <n v="10000"/>
    <x v="0"/>
    <x v="0"/>
    <x v="34"/>
    <x v="4"/>
    <x v="0"/>
    <x v="0"/>
    <x v="4"/>
    <x v="0"/>
  </r>
  <r>
    <x v="0"/>
    <x v="0"/>
    <n v="2239109296"/>
    <x v="2"/>
    <n v="23155"/>
    <x v="0"/>
    <x v="0"/>
    <x v="34"/>
    <x v="2"/>
    <x v="0"/>
    <x v="0"/>
    <x v="2"/>
    <x v="0"/>
  </r>
  <r>
    <x v="0"/>
    <x v="0"/>
    <n v="2239109297"/>
    <x v="5"/>
    <n v="-400"/>
    <x v="0"/>
    <x v="0"/>
    <x v="34"/>
    <x v="5"/>
    <x v="0"/>
    <x v="0"/>
    <x v="5"/>
    <x v="0"/>
  </r>
  <r>
    <x v="0"/>
    <x v="0"/>
    <n v="2239109297"/>
    <x v="6"/>
    <n v="10000"/>
    <x v="0"/>
    <x v="0"/>
    <x v="34"/>
    <x v="6"/>
    <x v="0"/>
    <x v="0"/>
    <x v="5"/>
    <x v="0"/>
  </r>
  <r>
    <x v="0"/>
    <x v="0"/>
    <n v="2239109298"/>
    <x v="3"/>
    <n v="4950"/>
    <x v="0"/>
    <x v="0"/>
    <x v="34"/>
    <x v="3"/>
    <x v="0"/>
    <x v="0"/>
    <x v="3"/>
    <x v="0"/>
  </r>
  <r>
    <x v="0"/>
    <x v="0"/>
    <n v="2239109299"/>
    <x v="2"/>
    <n v="10000"/>
    <x v="0"/>
    <x v="0"/>
    <x v="34"/>
    <x v="2"/>
    <x v="0"/>
    <x v="0"/>
    <x v="2"/>
    <x v="0"/>
  </r>
  <r>
    <x v="0"/>
    <x v="0"/>
    <n v="2239109300"/>
    <x v="2"/>
    <n v="55908"/>
    <x v="0"/>
    <x v="0"/>
    <x v="34"/>
    <x v="2"/>
    <x v="0"/>
    <x v="0"/>
    <x v="2"/>
    <x v="0"/>
  </r>
  <r>
    <x v="0"/>
    <x v="0"/>
    <n v="2239109301"/>
    <x v="7"/>
    <n v="1500"/>
    <x v="0"/>
    <x v="0"/>
    <x v="34"/>
    <x v="7"/>
    <x v="0"/>
    <x v="0"/>
    <x v="1"/>
    <x v="0"/>
  </r>
  <r>
    <x v="0"/>
    <x v="0"/>
    <n v="2239109302"/>
    <x v="2"/>
    <n v="6500"/>
    <x v="0"/>
    <x v="0"/>
    <x v="34"/>
    <x v="2"/>
    <x v="0"/>
    <x v="0"/>
    <x v="2"/>
    <x v="0"/>
  </r>
  <r>
    <x v="0"/>
    <x v="0"/>
    <n v="2239109303"/>
    <x v="1"/>
    <n v="35400"/>
    <x v="0"/>
    <x v="0"/>
    <x v="34"/>
    <x v="1"/>
    <x v="0"/>
    <x v="0"/>
    <x v="1"/>
    <x v="0"/>
  </r>
  <r>
    <x v="0"/>
    <x v="0"/>
    <n v="2239109304"/>
    <x v="2"/>
    <n v="13200"/>
    <x v="0"/>
    <x v="0"/>
    <x v="34"/>
    <x v="2"/>
    <x v="0"/>
    <x v="0"/>
    <x v="2"/>
    <x v="0"/>
  </r>
  <r>
    <x v="0"/>
    <x v="0"/>
    <n v="2239109305"/>
    <x v="2"/>
    <n v="64240"/>
    <x v="0"/>
    <x v="0"/>
    <x v="34"/>
    <x v="2"/>
    <x v="0"/>
    <x v="0"/>
    <x v="2"/>
    <x v="0"/>
  </r>
  <r>
    <x v="0"/>
    <x v="0"/>
    <n v="2239109306"/>
    <x v="2"/>
    <n v="24145"/>
    <x v="0"/>
    <x v="0"/>
    <x v="34"/>
    <x v="2"/>
    <x v="0"/>
    <x v="0"/>
    <x v="2"/>
    <x v="0"/>
  </r>
  <r>
    <x v="0"/>
    <x v="0"/>
    <n v="2239109307"/>
    <x v="2"/>
    <n v="26950"/>
    <x v="0"/>
    <x v="0"/>
    <x v="34"/>
    <x v="2"/>
    <x v="0"/>
    <x v="0"/>
    <x v="2"/>
    <x v="0"/>
  </r>
  <r>
    <x v="0"/>
    <x v="0"/>
    <n v="2239109308"/>
    <x v="5"/>
    <n v="-1040"/>
    <x v="0"/>
    <x v="0"/>
    <x v="34"/>
    <x v="5"/>
    <x v="0"/>
    <x v="0"/>
    <x v="5"/>
    <x v="0"/>
  </r>
  <r>
    <x v="0"/>
    <x v="0"/>
    <n v="2239109308"/>
    <x v="6"/>
    <n v="50000"/>
    <x v="0"/>
    <x v="0"/>
    <x v="34"/>
    <x v="6"/>
    <x v="0"/>
    <x v="0"/>
    <x v="5"/>
    <x v="0"/>
  </r>
  <r>
    <x v="0"/>
    <x v="0"/>
    <n v="2239109308"/>
    <x v="7"/>
    <n v="32640"/>
    <x v="0"/>
    <x v="0"/>
    <x v="34"/>
    <x v="7"/>
    <x v="0"/>
    <x v="0"/>
    <x v="1"/>
    <x v="0"/>
  </r>
  <r>
    <x v="0"/>
    <x v="0"/>
    <n v="2239109309"/>
    <x v="2"/>
    <n v="55275"/>
    <x v="0"/>
    <x v="0"/>
    <x v="34"/>
    <x v="2"/>
    <x v="0"/>
    <x v="0"/>
    <x v="2"/>
    <x v="0"/>
  </r>
  <r>
    <x v="0"/>
    <x v="0"/>
    <n v="2239109310"/>
    <x v="5"/>
    <n v="-1300"/>
    <x v="0"/>
    <x v="0"/>
    <x v="34"/>
    <x v="5"/>
    <x v="0"/>
    <x v="0"/>
    <x v="5"/>
    <x v="0"/>
  </r>
  <r>
    <x v="0"/>
    <x v="0"/>
    <n v="2239109310"/>
    <x v="6"/>
    <n v="10000"/>
    <x v="0"/>
    <x v="0"/>
    <x v="34"/>
    <x v="6"/>
    <x v="0"/>
    <x v="0"/>
    <x v="5"/>
    <x v="0"/>
  </r>
  <r>
    <x v="0"/>
    <x v="0"/>
    <n v="2239109311"/>
    <x v="2"/>
    <n v="21890"/>
    <x v="0"/>
    <x v="0"/>
    <x v="34"/>
    <x v="2"/>
    <x v="0"/>
    <x v="0"/>
    <x v="2"/>
    <x v="0"/>
  </r>
  <r>
    <x v="0"/>
    <x v="0"/>
    <n v="2239109312"/>
    <x v="3"/>
    <n v="13475"/>
    <x v="0"/>
    <x v="0"/>
    <x v="34"/>
    <x v="3"/>
    <x v="0"/>
    <x v="0"/>
    <x v="3"/>
    <x v="0"/>
  </r>
  <r>
    <x v="0"/>
    <x v="0"/>
    <n v="2239109313"/>
    <x v="5"/>
    <n v="-6000"/>
    <x v="0"/>
    <x v="0"/>
    <x v="34"/>
    <x v="5"/>
    <x v="0"/>
    <x v="0"/>
    <x v="5"/>
    <x v="0"/>
  </r>
  <r>
    <x v="0"/>
    <x v="0"/>
    <n v="2239109313"/>
    <x v="6"/>
    <n v="10000"/>
    <x v="0"/>
    <x v="0"/>
    <x v="34"/>
    <x v="6"/>
    <x v="0"/>
    <x v="0"/>
    <x v="5"/>
    <x v="0"/>
  </r>
  <r>
    <x v="0"/>
    <x v="0"/>
    <n v="2239109314"/>
    <x v="2"/>
    <n v="33110"/>
    <x v="0"/>
    <x v="0"/>
    <x v="34"/>
    <x v="2"/>
    <x v="0"/>
    <x v="0"/>
    <x v="2"/>
    <x v="0"/>
  </r>
  <r>
    <x v="0"/>
    <x v="0"/>
    <n v="2239109315"/>
    <x v="2"/>
    <n v="26950"/>
    <x v="0"/>
    <x v="0"/>
    <x v="34"/>
    <x v="2"/>
    <x v="0"/>
    <x v="0"/>
    <x v="2"/>
    <x v="0"/>
  </r>
  <r>
    <x v="0"/>
    <x v="0"/>
    <n v="2239109316"/>
    <x v="3"/>
    <n v="3520"/>
    <x v="0"/>
    <x v="0"/>
    <x v="34"/>
    <x v="3"/>
    <x v="0"/>
    <x v="0"/>
    <x v="3"/>
    <x v="0"/>
  </r>
  <r>
    <x v="0"/>
    <x v="0"/>
    <n v="2239109317"/>
    <x v="2"/>
    <n v="15125"/>
    <x v="0"/>
    <x v="0"/>
    <x v="34"/>
    <x v="2"/>
    <x v="0"/>
    <x v="0"/>
    <x v="2"/>
    <x v="0"/>
  </r>
  <r>
    <x v="0"/>
    <x v="0"/>
    <n v="2239109317"/>
    <x v="7"/>
    <n v="6500"/>
    <x v="0"/>
    <x v="0"/>
    <x v="34"/>
    <x v="7"/>
    <x v="0"/>
    <x v="0"/>
    <x v="1"/>
    <x v="0"/>
  </r>
  <r>
    <x v="0"/>
    <x v="0"/>
    <n v="2239109318"/>
    <x v="7"/>
    <n v="1500"/>
    <x v="0"/>
    <x v="0"/>
    <x v="34"/>
    <x v="7"/>
    <x v="0"/>
    <x v="0"/>
    <x v="1"/>
    <x v="0"/>
  </r>
  <r>
    <x v="0"/>
    <x v="0"/>
    <n v="2239109319"/>
    <x v="1"/>
    <n v="1140"/>
    <x v="0"/>
    <x v="0"/>
    <x v="34"/>
    <x v="1"/>
    <x v="0"/>
    <x v="0"/>
    <x v="1"/>
    <x v="0"/>
  </r>
  <r>
    <x v="0"/>
    <x v="0"/>
    <n v="2239109320"/>
    <x v="2"/>
    <n v="5200"/>
    <x v="0"/>
    <x v="0"/>
    <x v="34"/>
    <x v="2"/>
    <x v="0"/>
    <x v="0"/>
    <x v="2"/>
    <x v="0"/>
  </r>
  <r>
    <x v="0"/>
    <x v="0"/>
    <n v="2239109320"/>
    <x v="7"/>
    <n v="1300"/>
    <x v="0"/>
    <x v="0"/>
    <x v="34"/>
    <x v="7"/>
    <x v="0"/>
    <x v="0"/>
    <x v="1"/>
    <x v="0"/>
  </r>
  <r>
    <x v="0"/>
    <x v="0"/>
    <n v="2239109321"/>
    <x v="5"/>
    <n v="-2500"/>
    <x v="0"/>
    <x v="0"/>
    <x v="34"/>
    <x v="5"/>
    <x v="0"/>
    <x v="0"/>
    <x v="5"/>
    <x v="0"/>
  </r>
  <r>
    <x v="0"/>
    <x v="0"/>
    <n v="2239109321"/>
    <x v="6"/>
    <n v="10000"/>
    <x v="0"/>
    <x v="0"/>
    <x v="34"/>
    <x v="6"/>
    <x v="0"/>
    <x v="0"/>
    <x v="5"/>
    <x v="0"/>
  </r>
  <r>
    <x v="0"/>
    <x v="0"/>
    <n v="2239109322"/>
    <x v="5"/>
    <n v="-1500"/>
    <x v="0"/>
    <x v="0"/>
    <x v="34"/>
    <x v="5"/>
    <x v="0"/>
    <x v="0"/>
    <x v="5"/>
    <x v="0"/>
  </r>
  <r>
    <x v="0"/>
    <x v="0"/>
    <n v="2239109322"/>
    <x v="6"/>
    <n v="12000"/>
    <x v="0"/>
    <x v="0"/>
    <x v="34"/>
    <x v="6"/>
    <x v="0"/>
    <x v="0"/>
    <x v="5"/>
    <x v="0"/>
  </r>
  <r>
    <x v="0"/>
    <x v="0"/>
    <n v="2239109323"/>
    <x v="5"/>
    <n v="-14500"/>
    <x v="0"/>
    <x v="0"/>
    <x v="34"/>
    <x v="5"/>
    <x v="0"/>
    <x v="0"/>
    <x v="5"/>
    <x v="0"/>
  </r>
  <r>
    <x v="0"/>
    <x v="0"/>
    <n v="2239109323"/>
    <x v="4"/>
    <n v="20200"/>
    <x v="0"/>
    <x v="0"/>
    <x v="34"/>
    <x v="4"/>
    <x v="0"/>
    <x v="0"/>
    <x v="4"/>
    <x v="0"/>
  </r>
  <r>
    <x v="0"/>
    <x v="0"/>
    <n v="2239109324"/>
    <x v="2"/>
    <n v="47190"/>
    <x v="0"/>
    <x v="0"/>
    <x v="34"/>
    <x v="2"/>
    <x v="0"/>
    <x v="0"/>
    <x v="2"/>
    <x v="0"/>
  </r>
  <r>
    <x v="0"/>
    <x v="0"/>
    <n v="2239109325"/>
    <x v="2"/>
    <n v="21340"/>
    <x v="0"/>
    <x v="0"/>
    <x v="34"/>
    <x v="2"/>
    <x v="0"/>
    <x v="0"/>
    <x v="2"/>
    <x v="0"/>
  </r>
  <r>
    <x v="0"/>
    <x v="0"/>
    <n v="2239109326"/>
    <x v="2"/>
    <n v="33990"/>
    <x v="0"/>
    <x v="0"/>
    <x v="34"/>
    <x v="2"/>
    <x v="0"/>
    <x v="0"/>
    <x v="2"/>
    <x v="0"/>
  </r>
  <r>
    <x v="0"/>
    <x v="0"/>
    <n v="2239109327"/>
    <x v="1"/>
    <n v="2700"/>
    <x v="0"/>
    <x v="0"/>
    <x v="34"/>
    <x v="1"/>
    <x v="0"/>
    <x v="0"/>
    <x v="1"/>
    <x v="0"/>
  </r>
  <r>
    <x v="0"/>
    <x v="0"/>
    <n v="2239109328"/>
    <x v="7"/>
    <n v="1500"/>
    <x v="0"/>
    <x v="0"/>
    <x v="34"/>
    <x v="7"/>
    <x v="0"/>
    <x v="0"/>
    <x v="1"/>
    <x v="0"/>
  </r>
  <r>
    <x v="0"/>
    <x v="0"/>
    <n v="2239109329"/>
    <x v="2"/>
    <n v="35860"/>
    <x v="0"/>
    <x v="0"/>
    <x v="34"/>
    <x v="2"/>
    <x v="0"/>
    <x v="0"/>
    <x v="2"/>
    <x v="0"/>
  </r>
  <r>
    <x v="0"/>
    <x v="0"/>
    <n v="2239109330"/>
    <x v="7"/>
    <n v="1500"/>
    <x v="0"/>
    <x v="0"/>
    <x v="34"/>
    <x v="7"/>
    <x v="0"/>
    <x v="0"/>
    <x v="1"/>
    <x v="0"/>
  </r>
  <r>
    <x v="0"/>
    <x v="0"/>
    <n v="2239109331"/>
    <x v="2"/>
    <n v="12500"/>
    <x v="0"/>
    <x v="0"/>
    <x v="34"/>
    <x v="2"/>
    <x v="0"/>
    <x v="0"/>
    <x v="2"/>
    <x v="0"/>
  </r>
  <r>
    <x v="0"/>
    <x v="0"/>
    <n v="2239109332"/>
    <x v="2"/>
    <n v="43340"/>
    <x v="0"/>
    <x v="0"/>
    <x v="34"/>
    <x v="2"/>
    <x v="0"/>
    <x v="0"/>
    <x v="2"/>
    <x v="0"/>
  </r>
  <r>
    <x v="0"/>
    <x v="0"/>
    <n v="2239109333"/>
    <x v="5"/>
    <n v="-1500"/>
    <x v="0"/>
    <x v="0"/>
    <x v="34"/>
    <x v="5"/>
    <x v="0"/>
    <x v="0"/>
    <x v="5"/>
    <x v="0"/>
  </r>
  <r>
    <x v="0"/>
    <x v="0"/>
    <n v="2239109333"/>
    <x v="6"/>
    <n v="10000"/>
    <x v="0"/>
    <x v="0"/>
    <x v="34"/>
    <x v="6"/>
    <x v="0"/>
    <x v="0"/>
    <x v="5"/>
    <x v="0"/>
  </r>
  <r>
    <x v="0"/>
    <x v="0"/>
    <n v="2239109334"/>
    <x v="2"/>
    <n v="5500"/>
    <x v="0"/>
    <x v="0"/>
    <x v="34"/>
    <x v="2"/>
    <x v="0"/>
    <x v="0"/>
    <x v="2"/>
    <x v="0"/>
  </r>
  <r>
    <x v="0"/>
    <x v="0"/>
    <n v="2239109335"/>
    <x v="2"/>
    <n v="5000"/>
    <x v="0"/>
    <x v="0"/>
    <x v="34"/>
    <x v="2"/>
    <x v="0"/>
    <x v="0"/>
    <x v="2"/>
    <x v="0"/>
  </r>
  <r>
    <x v="0"/>
    <x v="0"/>
    <n v="2239109336"/>
    <x v="2"/>
    <n v="64200"/>
    <x v="0"/>
    <x v="0"/>
    <x v="34"/>
    <x v="2"/>
    <x v="0"/>
    <x v="0"/>
    <x v="2"/>
    <x v="0"/>
  </r>
  <r>
    <x v="0"/>
    <x v="0"/>
    <n v="2239109337"/>
    <x v="6"/>
    <n v="10000"/>
    <x v="0"/>
    <x v="0"/>
    <x v="34"/>
    <x v="6"/>
    <x v="0"/>
    <x v="0"/>
    <x v="5"/>
    <x v="0"/>
  </r>
  <r>
    <x v="0"/>
    <x v="0"/>
    <n v="2239109338"/>
    <x v="2"/>
    <n v="8800"/>
    <x v="0"/>
    <x v="0"/>
    <x v="34"/>
    <x v="2"/>
    <x v="0"/>
    <x v="0"/>
    <x v="2"/>
    <x v="0"/>
  </r>
  <r>
    <x v="0"/>
    <x v="0"/>
    <n v="2239109339"/>
    <x v="4"/>
    <n v="5700"/>
    <x v="0"/>
    <x v="0"/>
    <x v="34"/>
    <x v="4"/>
    <x v="0"/>
    <x v="0"/>
    <x v="4"/>
    <x v="0"/>
  </r>
  <r>
    <x v="0"/>
    <x v="0"/>
    <n v="2239109340"/>
    <x v="6"/>
    <n v="6000"/>
    <x v="0"/>
    <x v="0"/>
    <x v="34"/>
    <x v="6"/>
    <x v="0"/>
    <x v="0"/>
    <x v="5"/>
    <x v="0"/>
  </r>
  <r>
    <x v="0"/>
    <x v="0"/>
    <n v="2239109341"/>
    <x v="5"/>
    <n v="-600"/>
    <x v="0"/>
    <x v="0"/>
    <x v="34"/>
    <x v="5"/>
    <x v="0"/>
    <x v="0"/>
    <x v="5"/>
    <x v="0"/>
  </r>
  <r>
    <x v="0"/>
    <x v="0"/>
    <n v="2239109341"/>
    <x v="6"/>
    <n v="3000"/>
    <x v="0"/>
    <x v="0"/>
    <x v="34"/>
    <x v="6"/>
    <x v="0"/>
    <x v="0"/>
    <x v="5"/>
    <x v="0"/>
  </r>
  <r>
    <x v="0"/>
    <x v="0"/>
    <n v="2239109342"/>
    <x v="5"/>
    <n v="-300"/>
    <x v="0"/>
    <x v="0"/>
    <x v="34"/>
    <x v="5"/>
    <x v="0"/>
    <x v="0"/>
    <x v="5"/>
    <x v="0"/>
  </r>
  <r>
    <x v="0"/>
    <x v="0"/>
    <n v="2239109342"/>
    <x v="4"/>
    <n v="6000"/>
    <x v="0"/>
    <x v="0"/>
    <x v="34"/>
    <x v="4"/>
    <x v="0"/>
    <x v="0"/>
    <x v="4"/>
    <x v="0"/>
  </r>
  <r>
    <x v="0"/>
    <x v="0"/>
    <n v="2239109343"/>
    <x v="7"/>
    <n v="3800"/>
    <x v="0"/>
    <x v="0"/>
    <x v="34"/>
    <x v="7"/>
    <x v="0"/>
    <x v="0"/>
    <x v="1"/>
    <x v="0"/>
  </r>
  <r>
    <x v="0"/>
    <x v="0"/>
    <n v="2239109344"/>
    <x v="2"/>
    <n v="18590"/>
    <x v="0"/>
    <x v="0"/>
    <x v="34"/>
    <x v="2"/>
    <x v="0"/>
    <x v="0"/>
    <x v="2"/>
    <x v="0"/>
  </r>
  <r>
    <x v="0"/>
    <x v="0"/>
    <n v="2239109346"/>
    <x v="2"/>
    <n v="19800"/>
    <x v="0"/>
    <x v="0"/>
    <x v="34"/>
    <x v="2"/>
    <x v="0"/>
    <x v="0"/>
    <x v="2"/>
    <x v="0"/>
  </r>
  <r>
    <x v="0"/>
    <x v="0"/>
    <n v="2239109348"/>
    <x v="6"/>
    <n v="6000"/>
    <x v="0"/>
    <x v="0"/>
    <x v="34"/>
    <x v="6"/>
    <x v="0"/>
    <x v="0"/>
    <x v="5"/>
    <x v="0"/>
  </r>
  <r>
    <x v="0"/>
    <x v="0"/>
    <n v="2239109349"/>
    <x v="2"/>
    <n v="14000"/>
    <x v="0"/>
    <x v="0"/>
    <x v="34"/>
    <x v="2"/>
    <x v="0"/>
    <x v="0"/>
    <x v="2"/>
    <x v="0"/>
  </r>
  <r>
    <x v="0"/>
    <x v="0"/>
    <n v="2239109350"/>
    <x v="5"/>
    <n v="-4400"/>
    <x v="0"/>
    <x v="0"/>
    <x v="34"/>
    <x v="5"/>
    <x v="0"/>
    <x v="0"/>
    <x v="5"/>
    <x v="0"/>
  </r>
  <r>
    <x v="0"/>
    <x v="0"/>
    <n v="2239109350"/>
    <x v="4"/>
    <n v="10000"/>
    <x v="0"/>
    <x v="0"/>
    <x v="34"/>
    <x v="4"/>
    <x v="0"/>
    <x v="0"/>
    <x v="4"/>
    <x v="0"/>
  </r>
  <r>
    <x v="0"/>
    <x v="0"/>
    <n v="2239109351"/>
    <x v="3"/>
    <n v="8000"/>
    <x v="0"/>
    <x v="0"/>
    <x v="34"/>
    <x v="3"/>
    <x v="0"/>
    <x v="0"/>
    <x v="3"/>
    <x v="0"/>
  </r>
  <r>
    <x v="0"/>
    <x v="0"/>
    <n v="2239109353"/>
    <x v="3"/>
    <n v="7500"/>
    <x v="0"/>
    <x v="0"/>
    <x v="34"/>
    <x v="3"/>
    <x v="0"/>
    <x v="0"/>
    <x v="3"/>
    <x v="0"/>
  </r>
  <r>
    <x v="0"/>
    <x v="0"/>
    <n v="2239109354"/>
    <x v="5"/>
    <n v="-730"/>
    <x v="0"/>
    <x v="0"/>
    <x v="34"/>
    <x v="5"/>
    <x v="0"/>
    <x v="0"/>
    <x v="5"/>
    <x v="0"/>
  </r>
  <r>
    <x v="0"/>
    <x v="0"/>
    <n v="2239109354"/>
    <x v="6"/>
    <n v="40000"/>
    <x v="0"/>
    <x v="0"/>
    <x v="34"/>
    <x v="6"/>
    <x v="0"/>
    <x v="0"/>
    <x v="5"/>
    <x v="0"/>
  </r>
  <r>
    <x v="0"/>
    <x v="0"/>
    <n v="2239109354"/>
    <x v="7"/>
    <n v="16830"/>
    <x v="0"/>
    <x v="0"/>
    <x v="34"/>
    <x v="7"/>
    <x v="0"/>
    <x v="0"/>
    <x v="1"/>
    <x v="0"/>
  </r>
  <r>
    <x v="0"/>
    <x v="0"/>
    <n v="2239109355"/>
    <x v="2"/>
    <n v="15000"/>
    <x v="0"/>
    <x v="0"/>
    <x v="34"/>
    <x v="2"/>
    <x v="0"/>
    <x v="0"/>
    <x v="2"/>
    <x v="0"/>
  </r>
  <r>
    <x v="0"/>
    <x v="0"/>
    <n v="2239109356"/>
    <x v="3"/>
    <n v="9500"/>
    <x v="0"/>
    <x v="0"/>
    <x v="34"/>
    <x v="3"/>
    <x v="0"/>
    <x v="0"/>
    <x v="3"/>
    <x v="0"/>
  </r>
  <r>
    <x v="0"/>
    <x v="0"/>
    <n v="2239109357"/>
    <x v="3"/>
    <n v="21000"/>
    <x v="0"/>
    <x v="0"/>
    <x v="34"/>
    <x v="3"/>
    <x v="0"/>
    <x v="0"/>
    <x v="3"/>
    <x v="0"/>
  </r>
  <r>
    <x v="0"/>
    <x v="0"/>
    <n v="2239109358"/>
    <x v="2"/>
    <n v="8690"/>
    <x v="0"/>
    <x v="0"/>
    <x v="34"/>
    <x v="2"/>
    <x v="0"/>
    <x v="0"/>
    <x v="2"/>
    <x v="0"/>
  </r>
  <r>
    <x v="0"/>
    <x v="0"/>
    <n v="2239109360"/>
    <x v="5"/>
    <n v="-7000"/>
    <x v="0"/>
    <x v="0"/>
    <x v="34"/>
    <x v="5"/>
    <x v="0"/>
    <x v="0"/>
    <x v="5"/>
    <x v="0"/>
  </r>
  <r>
    <x v="0"/>
    <x v="0"/>
    <n v="2239109360"/>
    <x v="6"/>
    <n v="20300"/>
    <x v="0"/>
    <x v="0"/>
    <x v="34"/>
    <x v="6"/>
    <x v="0"/>
    <x v="0"/>
    <x v="5"/>
    <x v="0"/>
  </r>
  <r>
    <x v="0"/>
    <x v="0"/>
    <n v="2239109361"/>
    <x v="5"/>
    <n v="-3600"/>
    <x v="0"/>
    <x v="0"/>
    <x v="34"/>
    <x v="5"/>
    <x v="0"/>
    <x v="0"/>
    <x v="5"/>
    <x v="0"/>
  </r>
  <r>
    <x v="0"/>
    <x v="0"/>
    <n v="2239109361"/>
    <x v="6"/>
    <n v="10000"/>
    <x v="0"/>
    <x v="0"/>
    <x v="34"/>
    <x v="6"/>
    <x v="0"/>
    <x v="0"/>
    <x v="5"/>
    <x v="0"/>
  </r>
  <r>
    <x v="0"/>
    <x v="0"/>
    <n v="2239109362"/>
    <x v="2"/>
    <n v="69872"/>
    <x v="0"/>
    <x v="0"/>
    <x v="34"/>
    <x v="2"/>
    <x v="0"/>
    <x v="0"/>
    <x v="2"/>
    <x v="0"/>
  </r>
  <r>
    <x v="0"/>
    <x v="0"/>
    <n v="2239109363"/>
    <x v="2"/>
    <n v="6500"/>
    <x v="0"/>
    <x v="0"/>
    <x v="34"/>
    <x v="2"/>
    <x v="0"/>
    <x v="0"/>
    <x v="2"/>
    <x v="0"/>
  </r>
  <r>
    <x v="0"/>
    <x v="0"/>
    <n v="2239109364"/>
    <x v="2"/>
    <n v="6500"/>
    <x v="0"/>
    <x v="0"/>
    <x v="34"/>
    <x v="2"/>
    <x v="0"/>
    <x v="0"/>
    <x v="2"/>
    <x v="0"/>
  </r>
  <r>
    <x v="0"/>
    <x v="0"/>
    <n v="2239109365"/>
    <x v="2"/>
    <n v="9680"/>
    <x v="0"/>
    <x v="0"/>
    <x v="34"/>
    <x v="2"/>
    <x v="0"/>
    <x v="0"/>
    <x v="2"/>
    <x v="0"/>
  </r>
  <r>
    <x v="0"/>
    <x v="0"/>
    <n v="2239109366"/>
    <x v="3"/>
    <n v="10500"/>
    <x v="0"/>
    <x v="0"/>
    <x v="34"/>
    <x v="3"/>
    <x v="0"/>
    <x v="0"/>
    <x v="3"/>
    <x v="0"/>
  </r>
  <r>
    <x v="0"/>
    <x v="0"/>
    <n v="2239109367"/>
    <x v="3"/>
    <n v="6000"/>
    <x v="0"/>
    <x v="0"/>
    <x v="34"/>
    <x v="3"/>
    <x v="0"/>
    <x v="0"/>
    <x v="3"/>
    <x v="0"/>
  </r>
  <r>
    <x v="0"/>
    <x v="0"/>
    <n v="2239109368"/>
    <x v="2"/>
    <n v="15000"/>
    <x v="0"/>
    <x v="0"/>
    <x v="34"/>
    <x v="2"/>
    <x v="0"/>
    <x v="0"/>
    <x v="2"/>
    <x v="0"/>
  </r>
  <r>
    <x v="0"/>
    <x v="0"/>
    <n v="2239109369"/>
    <x v="3"/>
    <n v="11550"/>
    <x v="0"/>
    <x v="0"/>
    <x v="34"/>
    <x v="3"/>
    <x v="0"/>
    <x v="0"/>
    <x v="3"/>
    <x v="0"/>
  </r>
  <r>
    <x v="0"/>
    <x v="0"/>
    <n v="2239109370"/>
    <x v="3"/>
    <n v="10500"/>
    <x v="0"/>
    <x v="0"/>
    <x v="34"/>
    <x v="3"/>
    <x v="0"/>
    <x v="0"/>
    <x v="3"/>
    <x v="0"/>
  </r>
  <r>
    <x v="0"/>
    <x v="0"/>
    <n v="2239109371"/>
    <x v="3"/>
    <n v="15000"/>
    <x v="0"/>
    <x v="0"/>
    <x v="34"/>
    <x v="3"/>
    <x v="0"/>
    <x v="0"/>
    <x v="3"/>
    <x v="0"/>
  </r>
  <r>
    <x v="0"/>
    <x v="0"/>
    <n v="2239109372"/>
    <x v="3"/>
    <n v="33550"/>
    <x v="0"/>
    <x v="0"/>
    <x v="34"/>
    <x v="3"/>
    <x v="0"/>
    <x v="0"/>
    <x v="3"/>
    <x v="0"/>
  </r>
  <r>
    <x v="0"/>
    <x v="0"/>
    <n v="2239109373"/>
    <x v="2"/>
    <n v="5000"/>
    <x v="0"/>
    <x v="0"/>
    <x v="34"/>
    <x v="2"/>
    <x v="0"/>
    <x v="0"/>
    <x v="2"/>
    <x v="0"/>
  </r>
  <r>
    <x v="0"/>
    <x v="0"/>
    <n v="2239109375"/>
    <x v="2"/>
    <n v="10010"/>
    <x v="0"/>
    <x v="0"/>
    <x v="34"/>
    <x v="2"/>
    <x v="0"/>
    <x v="0"/>
    <x v="2"/>
    <x v="0"/>
  </r>
  <r>
    <x v="0"/>
    <x v="0"/>
    <n v="2239109375"/>
    <x v="7"/>
    <n v="3900"/>
    <x v="0"/>
    <x v="0"/>
    <x v="34"/>
    <x v="7"/>
    <x v="0"/>
    <x v="0"/>
    <x v="1"/>
    <x v="0"/>
  </r>
  <r>
    <x v="0"/>
    <x v="0"/>
    <n v="2239109377"/>
    <x v="2"/>
    <n v="21500"/>
    <x v="0"/>
    <x v="0"/>
    <x v="34"/>
    <x v="2"/>
    <x v="0"/>
    <x v="0"/>
    <x v="2"/>
    <x v="0"/>
  </r>
  <r>
    <x v="0"/>
    <x v="0"/>
    <n v="2239109378"/>
    <x v="2"/>
    <n v="4400"/>
    <x v="0"/>
    <x v="0"/>
    <x v="34"/>
    <x v="2"/>
    <x v="0"/>
    <x v="0"/>
    <x v="2"/>
    <x v="0"/>
  </r>
  <r>
    <x v="0"/>
    <x v="0"/>
    <n v="2239109379"/>
    <x v="2"/>
    <n v="39160"/>
    <x v="0"/>
    <x v="0"/>
    <x v="34"/>
    <x v="2"/>
    <x v="0"/>
    <x v="0"/>
    <x v="2"/>
    <x v="0"/>
  </r>
  <r>
    <x v="0"/>
    <x v="0"/>
    <n v="2239109380"/>
    <x v="2"/>
    <n v="12000"/>
    <x v="0"/>
    <x v="0"/>
    <x v="34"/>
    <x v="2"/>
    <x v="0"/>
    <x v="0"/>
    <x v="2"/>
    <x v="0"/>
  </r>
  <r>
    <x v="0"/>
    <x v="0"/>
    <n v="2239109381"/>
    <x v="2"/>
    <n v="6500"/>
    <x v="0"/>
    <x v="0"/>
    <x v="34"/>
    <x v="2"/>
    <x v="0"/>
    <x v="0"/>
    <x v="2"/>
    <x v="0"/>
  </r>
  <r>
    <x v="0"/>
    <x v="0"/>
    <n v="2239109382"/>
    <x v="2"/>
    <n v="21500"/>
    <x v="0"/>
    <x v="0"/>
    <x v="34"/>
    <x v="2"/>
    <x v="0"/>
    <x v="0"/>
    <x v="2"/>
    <x v="0"/>
  </r>
  <r>
    <x v="0"/>
    <x v="0"/>
    <n v="2239109383"/>
    <x v="7"/>
    <n v="1500"/>
    <x v="0"/>
    <x v="0"/>
    <x v="34"/>
    <x v="7"/>
    <x v="0"/>
    <x v="0"/>
    <x v="1"/>
    <x v="0"/>
  </r>
  <r>
    <x v="0"/>
    <x v="0"/>
    <n v="2239109384"/>
    <x v="1"/>
    <n v="3990"/>
    <x v="0"/>
    <x v="0"/>
    <x v="34"/>
    <x v="1"/>
    <x v="0"/>
    <x v="0"/>
    <x v="1"/>
    <x v="0"/>
  </r>
  <r>
    <x v="0"/>
    <x v="0"/>
    <n v="2239109385"/>
    <x v="2"/>
    <n v="23500"/>
    <x v="0"/>
    <x v="0"/>
    <x v="34"/>
    <x v="2"/>
    <x v="0"/>
    <x v="0"/>
    <x v="2"/>
    <x v="0"/>
  </r>
  <r>
    <x v="0"/>
    <x v="0"/>
    <n v="2239109386"/>
    <x v="2"/>
    <n v="24090"/>
    <x v="0"/>
    <x v="0"/>
    <x v="34"/>
    <x v="2"/>
    <x v="0"/>
    <x v="0"/>
    <x v="2"/>
    <x v="0"/>
  </r>
  <r>
    <x v="0"/>
    <x v="0"/>
    <n v="2239109387"/>
    <x v="2"/>
    <n v="17000"/>
    <x v="0"/>
    <x v="0"/>
    <x v="34"/>
    <x v="2"/>
    <x v="0"/>
    <x v="0"/>
    <x v="2"/>
    <x v="0"/>
  </r>
  <r>
    <x v="0"/>
    <x v="0"/>
    <n v="2239109388"/>
    <x v="5"/>
    <n v="-3000"/>
    <x v="0"/>
    <x v="0"/>
    <x v="34"/>
    <x v="5"/>
    <x v="0"/>
    <x v="0"/>
    <x v="5"/>
    <x v="0"/>
  </r>
  <r>
    <x v="0"/>
    <x v="0"/>
    <n v="2239109388"/>
    <x v="6"/>
    <n v="15000"/>
    <x v="0"/>
    <x v="0"/>
    <x v="34"/>
    <x v="6"/>
    <x v="0"/>
    <x v="0"/>
    <x v="5"/>
    <x v="0"/>
  </r>
  <r>
    <x v="0"/>
    <x v="0"/>
    <n v="2239109389"/>
    <x v="2"/>
    <n v="25300"/>
    <x v="0"/>
    <x v="0"/>
    <x v="34"/>
    <x v="2"/>
    <x v="0"/>
    <x v="0"/>
    <x v="2"/>
    <x v="0"/>
  </r>
  <r>
    <x v="0"/>
    <x v="0"/>
    <n v="2239109390"/>
    <x v="2"/>
    <n v="6500"/>
    <x v="0"/>
    <x v="0"/>
    <x v="34"/>
    <x v="2"/>
    <x v="0"/>
    <x v="0"/>
    <x v="2"/>
    <x v="0"/>
  </r>
  <r>
    <x v="0"/>
    <x v="0"/>
    <n v="2239109391"/>
    <x v="5"/>
    <n v="-10000"/>
    <x v="0"/>
    <x v="0"/>
    <x v="34"/>
    <x v="5"/>
    <x v="0"/>
    <x v="0"/>
    <x v="5"/>
    <x v="0"/>
  </r>
  <r>
    <x v="0"/>
    <x v="0"/>
    <n v="2239109391"/>
    <x v="6"/>
    <n v="25000"/>
    <x v="0"/>
    <x v="0"/>
    <x v="34"/>
    <x v="6"/>
    <x v="0"/>
    <x v="0"/>
    <x v="5"/>
    <x v="0"/>
  </r>
  <r>
    <x v="0"/>
    <x v="0"/>
    <n v="2239109392"/>
    <x v="1"/>
    <n v="1140"/>
    <x v="0"/>
    <x v="0"/>
    <x v="34"/>
    <x v="1"/>
    <x v="0"/>
    <x v="0"/>
    <x v="1"/>
    <x v="0"/>
  </r>
  <r>
    <x v="0"/>
    <x v="0"/>
    <n v="2239109393"/>
    <x v="2"/>
    <n v="11000"/>
    <x v="0"/>
    <x v="0"/>
    <x v="34"/>
    <x v="2"/>
    <x v="0"/>
    <x v="0"/>
    <x v="2"/>
    <x v="0"/>
  </r>
  <r>
    <x v="0"/>
    <x v="0"/>
    <n v="2239109394"/>
    <x v="2"/>
    <n v="6500"/>
    <x v="0"/>
    <x v="0"/>
    <x v="34"/>
    <x v="2"/>
    <x v="0"/>
    <x v="0"/>
    <x v="2"/>
    <x v="0"/>
  </r>
  <r>
    <x v="0"/>
    <x v="0"/>
    <n v="2239109395"/>
    <x v="7"/>
    <n v="1500"/>
    <x v="0"/>
    <x v="0"/>
    <x v="34"/>
    <x v="7"/>
    <x v="0"/>
    <x v="0"/>
    <x v="1"/>
    <x v="0"/>
  </r>
  <r>
    <x v="0"/>
    <x v="0"/>
    <n v="2239109396"/>
    <x v="5"/>
    <n v="-8500"/>
    <x v="0"/>
    <x v="0"/>
    <x v="34"/>
    <x v="5"/>
    <x v="0"/>
    <x v="0"/>
    <x v="5"/>
    <x v="0"/>
  </r>
  <r>
    <x v="0"/>
    <x v="0"/>
    <n v="2239109396"/>
    <x v="6"/>
    <n v="20000"/>
    <x v="0"/>
    <x v="0"/>
    <x v="34"/>
    <x v="6"/>
    <x v="0"/>
    <x v="0"/>
    <x v="5"/>
    <x v="0"/>
  </r>
  <r>
    <x v="0"/>
    <x v="0"/>
    <n v="2239109397"/>
    <x v="5"/>
    <n v="-9500"/>
    <x v="0"/>
    <x v="0"/>
    <x v="34"/>
    <x v="5"/>
    <x v="0"/>
    <x v="0"/>
    <x v="5"/>
    <x v="0"/>
  </r>
  <r>
    <x v="0"/>
    <x v="0"/>
    <n v="2239109397"/>
    <x v="6"/>
    <n v="20000"/>
    <x v="0"/>
    <x v="0"/>
    <x v="34"/>
    <x v="6"/>
    <x v="0"/>
    <x v="0"/>
    <x v="5"/>
    <x v="0"/>
  </r>
  <r>
    <x v="0"/>
    <x v="0"/>
    <n v="2239109398"/>
    <x v="2"/>
    <n v="22990"/>
    <x v="0"/>
    <x v="0"/>
    <x v="34"/>
    <x v="2"/>
    <x v="0"/>
    <x v="0"/>
    <x v="2"/>
    <x v="0"/>
  </r>
  <r>
    <x v="0"/>
    <x v="0"/>
    <n v="2239109399"/>
    <x v="2"/>
    <n v="14520"/>
    <x v="0"/>
    <x v="0"/>
    <x v="34"/>
    <x v="2"/>
    <x v="0"/>
    <x v="0"/>
    <x v="2"/>
    <x v="0"/>
  </r>
  <r>
    <x v="0"/>
    <x v="0"/>
    <n v="2239109400"/>
    <x v="2"/>
    <n v="15000"/>
    <x v="0"/>
    <x v="0"/>
    <x v="34"/>
    <x v="2"/>
    <x v="0"/>
    <x v="0"/>
    <x v="2"/>
    <x v="0"/>
  </r>
  <r>
    <x v="0"/>
    <x v="0"/>
    <n v="2239109401"/>
    <x v="7"/>
    <n v="1500"/>
    <x v="0"/>
    <x v="0"/>
    <x v="34"/>
    <x v="7"/>
    <x v="0"/>
    <x v="0"/>
    <x v="1"/>
    <x v="0"/>
  </r>
  <r>
    <x v="0"/>
    <x v="0"/>
    <n v="2239109402"/>
    <x v="5"/>
    <n v="-10250"/>
    <x v="0"/>
    <x v="0"/>
    <x v="34"/>
    <x v="5"/>
    <x v="0"/>
    <x v="0"/>
    <x v="5"/>
    <x v="0"/>
  </r>
  <r>
    <x v="0"/>
    <x v="0"/>
    <n v="2239109402"/>
    <x v="6"/>
    <n v="20000"/>
    <x v="0"/>
    <x v="0"/>
    <x v="34"/>
    <x v="6"/>
    <x v="0"/>
    <x v="0"/>
    <x v="5"/>
    <x v="0"/>
  </r>
  <r>
    <x v="0"/>
    <x v="0"/>
    <n v="2239109403"/>
    <x v="7"/>
    <n v="1500"/>
    <x v="0"/>
    <x v="0"/>
    <x v="34"/>
    <x v="7"/>
    <x v="0"/>
    <x v="0"/>
    <x v="1"/>
    <x v="0"/>
  </r>
  <r>
    <x v="0"/>
    <x v="0"/>
    <n v="2239109405"/>
    <x v="5"/>
    <n v="-8370"/>
    <x v="0"/>
    <x v="0"/>
    <x v="34"/>
    <x v="5"/>
    <x v="0"/>
    <x v="0"/>
    <x v="5"/>
    <x v="0"/>
  </r>
  <r>
    <x v="0"/>
    <x v="0"/>
    <n v="2239109405"/>
    <x v="6"/>
    <n v="30000"/>
    <x v="0"/>
    <x v="0"/>
    <x v="34"/>
    <x v="6"/>
    <x v="0"/>
    <x v="0"/>
    <x v="5"/>
    <x v="0"/>
  </r>
  <r>
    <x v="0"/>
    <x v="0"/>
    <n v="2239109407"/>
    <x v="3"/>
    <n v="8250"/>
    <x v="0"/>
    <x v="0"/>
    <x v="34"/>
    <x v="3"/>
    <x v="0"/>
    <x v="0"/>
    <x v="3"/>
    <x v="0"/>
  </r>
  <r>
    <x v="0"/>
    <x v="0"/>
    <n v="2239109408"/>
    <x v="4"/>
    <n v="5000"/>
    <x v="0"/>
    <x v="0"/>
    <x v="34"/>
    <x v="4"/>
    <x v="0"/>
    <x v="0"/>
    <x v="4"/>
    <x v="0"/>
  </r>
  <r>
    <x v="0"/>
    <x v="0"/>
    <n v="2239109409"/>
    <x v="2"/>
    <n v="6000"/>
    <x v="0"/>
    <x v="0"/>
    <x v="34"/>
    <x v="2"/>
    <x v="0"/>
    <x v="0"/>
    <x v="2"/>
    <x v="0"/>
  </r>
  <r>
    <x v="0"/>
    <x v="0"/>
    <n v="2239109411"/>
    <x v="3"/>
    <n v="7500"/>
    <x v="0"/>
    <x v="0"/>
    <x v="34"/>
    <x v="3"/>
    <x v="0"/>
    <x v="0"/>
    <x v="3"/>
    <x v="0"/>
  </r>
  <r>
    <x v="0"/>
    <x v="0"/>
    <n v="2239109412"/>
    <x v="2"/>
    <n v="12000"/>
    <x v="0"/>
    <x v="0"/>
    <x v="34"/>
    <x v="2"/>
    <x v="0"/>
    <x v="0"/>
    <x v="2"/>
    <x v="0"/>
  </r>
  <r>
    <x v="0"/>
    <x v="0"/>
    <n v="2239109413"/>
    <x v="2"/>
    <n v="15000"/>
    <x v="0"/>
    <x v="0"/>
    <x v="34"/>
    <x v="2"/>
    <x v="0"/>
    <x v="0"/>
    <x v="2"/>
    <x v="0"/>
  </r>
  <r>
    <x v="0"/>
    <x v="0"/>
    <n v="2239109414"/>
    <x v="2"/>
    <n v="7000"/>
    <x v="0"/>
    <x v="0"/>
    <x v="34"/>
    <x v="2"/>
    <x v="0"/>
    <x v="0"/>
    <x v="2"/>
    <x v="0"/>
  </r>
  <r>
    <x v="0"/>
    <x v="0"/>
    <n v="2239109415"/>
    <x v="1"/>
    <n v="33200"/>
    <x v="0"/>
    <x v="0"/>
    <x v="34"/>
    <x v="1"/>
    <x v="0"/>
    <x v="0"/>
    <x v="1"/>
    <x v="0"/>
  </r>
  <r>
    <x v="0"/>
    <x v="0"/>
    <n v="2239109416"/>
    <x v="2"/>
    <n v="7150"/>
    <x v="0"/>
    <x v="0"/>
    <x v="34"/>
    <x v="2"/>
    <x v="0"/>
    <x v="0"/>
    <x v="2"/>
    <x v="0"/>
  </r>
  <r>
    <x v="0"/>
    <x v="0"/>
    <n v="2239109417"/>
    <x v="2"/>
    <n v="31350"/>
    <x v="0"/>
    <x v="0"/>
    <x v="34"/>
    <x v="2"/>
    <x v="0"/>
    <x v="0"/>
    <x v="2"/>
    <x v="0"/>
  </r>
  <r>
    <x v="0"/>
    <x v="0"/>
    <n v="2239109418"/>
    <x v="2"/>
    <n v="4950"/>
    <x v="0"/>
    <x v="0"/>
    <x v="34"/>
    <x v="2"/>
    <x v="0"/>
    <x v="0"/>
    <x v="2"/>
    <x v="0"/>
  </r>
  <r>
    <x v="0"/>
    <x v="0"/>
    <n v="2239109419"/>
    <x v="7"/>
    <n v="1500"/>
    <x v="0"/>
    <x v="0"/>
    <x v="34"/>
    <x v="7"/>
    <x v="0"/>
    <x v="0"/>
    <x v="1"/>
    <x v="0"/>
  </r>
  <r>
    <x v="0"/>
    <x v="0"/>
    <n v="2239109420"/>
    <x v="3"/>
    <n v="15000"/>
    <x v="0"/>
    <x v="0"/>
    <x v="34"/>
    <x v="3"/>
    <x v="0"/>
    <x v="0"/>
    <x v="3"/>
    <x v="0"/>
  </r>
  <r>
    <x v="0"/>
    <x v="0"/>
    <n v="2239109422"/>
    <x v="2"/>
    <n v="7500"/>
    <x v="0"/>
    <x v="0"/>
    <x v="34"/>
    <x v="2"/>
    <x v="0"/>
    <x v="0"/>
    <x v="2"/>
    <x v="0"/>
  </r>
  <r>
    <x v="0"/>
    <x v="0"/>
    <n v="2239109423"/>
    <x v="1"/>
    <n v="2700"/>
    <x v="0"/>
    <x v="0"/>
    <x v="34"/>
    <x v="1"/>
    <x v="0"/>
    <x v="0"/>
    <x v="1"/>
    <x v="0"/>
  </r>
  <r>
    <x v="0"/>
    <x v="0"/>
    <n v="2239109424"/>
    <x v="2"/>
    <n v="5200"/>
    <x v="0"/>
    <x v="0"/>
    <x v="34"/>
    <x v="2"/>
    <x v="0"/>
    <x v="0"/>
    <x v="2"/>
    <x v="0"/>
  </r>
  <r>
    <x v="0"/>
    <x v="0"/>
    <n v="2239109424"/>
    <x v="7"/>
    <n v="1300"/>
    <x v="0"/>
    <x v="0"/>
    <x v="34"/>
    <x v="7"/>
    <x v="0"/>
    <x v="0"/>
    <x v="1"/>
    <x v="0"/>
  </r>
  <r>
    <x v="0"/>
    <x v="0"/>
    <n v="2239109425"/>
    <x v="2"/>
    <n v="9500"/>
    <x v="0"/>
    <x v="0"/>
    <x v="34"/>
    <x v="2"/>
    <x v="0"/>
    <x v="0"/>
    <x v="2"/>
    <x v="0"/>
  </r>
  <r>
    <x v="0"/>
    <x v="0"/>
    <n v="2239109426"/>
    <x v="2"/>
    <n v="6200"/>
    <x v="0"/>
    <x v="0"/>
    <x v="34"/>
    <x v="2"/>
    <x v="0"/>
    <x v="0"/>
    <x v="2"/>
    <x v="0"/>
  </r>
  <r>
    <x v="0"/>
    <x v="0"/>
    <n v="2239109427"/>
    <x v="2"/>
    <n v="60885"/>
    <x v="0"/>
    <x v="0"/>
    <x v="34"/>
    <x v="2"/>
    <x v="0"/>
    <x v="0"/>
    <x v="2"/>
    <x v="0"/>
  </r>
  <r>
    <x v="0"/>
    <x v="0"/>
    <n v="2239109428"/>
    <x v="2"/>
    <n v="6500"/>
    <x v="0"/>
    <x v="0"/>
    <x v="34"/>
    <x v="2"/>
    <x v="0"/>
    <x v="0"/>
    <x v="2"/>
    <x v="0"/>
  </r>
  <r>
    <x v="0"/>
    <x v="0"/>
    <n v="2239109429"/>
    <x v="2"/>
    <n v="7500"/>
    <x v="0"/>
    <x v="0"/>
    <x v="34"/>
    <x v="2"/>
    <x v="0"/>
    <x v="0"/>
    <x v="2"/>
    <x v="0"/>
  </r>
  <r>
    <x v="0"/>
    <x v="0"/>
    <n v="2239109431"/>
    <x v="7"/>
    <n v="1500"/>
    <x v="0"/>
    <x v="0"/>
    <x v="34"/>
    <x v="7"/>
    <x v="0"/>
    <x v="0"/>
    <x v="1"/>
    <x v="0"/>
  </r>
  <r>
    <x v="0"/>
    <x v="0"/>
    <n v="2239109432"/>
    <x v="6"/>
    <n v="15000"/>
    <x v="0"/>
    <x v="0"/>
    <x v="34"/>
    <x v="6"/>
    <x v="0"/>
    <x v="0"/>
    <x v="5"/>
    <x v="0"/>
  </r>
  <r>
    <x v="0"/>
    <x v="0"/>
    <n v="2239109433"/>
    <x v="5"/>
    <n v="-2500"/>
    <x v="0"/>
    <x v="0"/>
    <x v="34"/>
    <x v="5"/>
    <x v="0"/>
    <x v="0"/>
    <x v="5"/>
    <x v="0"/>
  </r>
  <r>
    <x v="0"/>
    <x v="0"/>
    <n v="2239109433"/>
    <x v="6"/>
    <n v="10000"/>
    <x v="0"/>
    <x v="0"/>
    <x v="34"/>
    <x v="6"/>
    <x v="0"/>
    <x v="0"/>
    <x v="5"/>
    <x v="0"/>
  </r>
  <r>
    <x v="0"/>
    <x v="0"/>
    <n v="2239109434"/>
    <x v="7"/>
    <n v="3800"/>
    <x v="0"/>
    <x v="0"/>
    <x v="34"/>
    <x v="7"/>
    <x v="0"/>
    <x v="0"/>
    <x v="1"/>
    <x v="0"/>
  </r>
  <r>
    <x v="0"/>
    <x v="0"/>
    <n v="2239109435"/>
    <x v="3"/>
    <n v="53790"/>
    <x v="0"/>
    <x v="0"/>
    <x v="34"/>
    <x v="3"/>
    <x v="0"/>
    <x v="0"/>
    <x v="3"/>
    <x v="0"/>
  </r>
  <r>
    <x v="0"/>
    <x v="0"/>
    <n v="2239109436"/>
    <x v="7"/>
    <n v="1500"/>
    <x v="0"/>
    <x v="0"/>
    <x v="34"/>
    <x v="7"/>
    <x v="0"/>
    <x v="0"/>
    <x v="1"/>
    <x v="0"/>
  </r>
  <r>
    <x v="0"/>
    <x v="0"/>
    <n v="2239109438"/>
    <x v="7"/>
    <n v="1500"/>
    <x v="0"/>
    <x v="0"/>
    <x v="34"/>
    <x v="7"/>
    <x v="0"/>
    <x v="0"/>
    <x v="1"/>
    <x v="0"/>
  </r>
  <r>
    <x v="0"/>
    <x v="0"/>
    <n v="2239109440"/>
    <x v="2"/>
    <n v="12500"/>
    <x v="0"/>
    <x v="0"/>
    <x v="34"/>
    <x v="2"/>
    <x v="0"/>
    <x v="0"/>
    <x v="2"/>
    <x v="0"/>
  </r>
  <r>
    <x v="0"/>
    <x v="0"/>
    <n v="2239109441"/>
    <x v="2"/>
    <n v="7700"/>
    <x v="0"/>
    <x v="0"/>
    <x v="34"/>
    <x v="2"/>
    <x v="0"/>
    <x v="0"/>
    <x v="2"/>
    <x v="0"/>
  </r>
  <r>
    <x v="0"/>
    <x v="0"/>
    <n v="2239109442"/>
    <x v="2"/>
    <n v="3250"/>
    <x v="0"/>
    <x v="0"/>
    <x v="34"/>
    <x v="2"/>
    <x v="0"/>
    <x v="0"/>
    <x v="2"/>
    <x v="0"/>
  </r>
  <r>
    <x v="0"/>
    <x v="0"/>
    <n v="2239109443"/>
    <x v="6"/>
    <n v="10400"/>
    <x v="0"/>
    <x v="0"/>
    <x v="34"/>
    <x v="6"/>
    <x v="0"/>
    <x v="0"/>
    <x v="5"/>
    <x v="0"/>
  </r>
  <r>
    <x v="0"/>
    <x v="0"/>
    <n v="2239109443"/>
    <x v="7"/>
    <n v="2600"/>
    <x v="0"/>
    <x v="0"/>
    <x v="34"/>
    <x v="7"/>
    <x v="0"/>
    <x v="0"/>
    <x v="1"/>
    <x v="0"/>
  </r>
  <r>
    <x v="0"/>
    <x v="0"/>
    <n v="2239109445"/>
    <x v="6"/>
    <n v="6000"/>
    <x v="0"/>
    <x v="0"/>
    <x v="34"/>
    <x v="6"/>
    <x v="0"/>
    <x v="0"/>
    <x v="5"/>
    <x v="0"/>
  </r>
  <r>
    <x v="0"/>
    <x v="0"/>
    <n v="2239109446"/>
    <x v="5"/>
    <n v="-3500"/>
    <x v="0"/>
    <x v="0"/>
    <x v="34"/>
    <x v="5"/>
    <x v="0"/>
    <x v="0"/>
    <x v="5"/>
    <x v="0"/>
  </r>
  <r>
    <x v="0"/>
    <x v="0"/>
    <n v="2239109446"/>
    <x v="6"/>
    <n v="10000"/>
    <x v="0"/>
    <x v="0"/>
    <x v="34"/>
    <x v="6"/>
    <x v="0"/>
    <x v="0"/>
    <x v="5"/>
    <x v="0"/>
  </r>
  <r>
    <x v="0"/>
    <x v="0"/>
    <n v="2239109447"/>
    <x v="6"/>
    <n v="5000"/>
    <x v="0"/>
    <x v="0"/>
    <x v="34"/>
    <x v="6"/>
    <x v="0"/>
    <x v="0"/>
    <x v="5"/>
    <x v="0"/>
  </r>
  <r>
    <x v="0"/>
    <x v="0"/>
    <n v="2239109448"/>
    <x v="7"/>
    <n v="1500"/>
    <x v="0"/>
    <x v="0"/>
    <x v="34"/>
    <x v="7"/>
    <x v="0"/>
    <x v="0"/>
    <x v="1"/>
    <x v="0"/>
  </r>
  <r>
    <x v="0"/>
    <x v="0"/>
    <n v="2239109449"/>
    <x v="2"/>
    <n v="12500"/>
    <x v="0"/>
    <x v="0"/>
    <x v="34"/>
    <x v="2"/>
    <x v="0"/>
    <x v="0"/>
    <x v="2"/>
    <x v="0"/>
  </r>
  <r>
    <x v="0"/>
    <x v="0"/>
    <n v="2239109450"/>
    <x v="2"/>
    <n v="16500"/>
    <x v="0"/>
    <x v="0"/>
    <x v="34"/>
    <x v="2"/>
    <x v="0"/>
    <x v="0"/>
    <x v="2"/>
    <x v="0"/>
  </r>
  <r>
    <x v="0"/>
    <x v="0"/>
    <n v="2239109451"/>
    <x v="2"/>
    <n v="9500"/>
    <x v="0"/>
    <x v="0"/>
    <x v="34"/>
    <x v="2"/>
    <x v="0"/>
    <x v="0"/>
    <x v="2"/>
    <x v="0"/>
  </r>
  <r>
    <x v="0"/>
    <x v="0"/>
    <n v="2239109452"/>
    <x v="2"/>
    <n v="23500"/>
    <x v="0"/>
    <x v="0"/>
    <x v="34"/>
    <x v="2"/>
    <x v="0"/>
    <x v="0"/>
    <x v="2"/>
    <x v="0"/>
  </r>
  <r>
    <x v="0"/>
    <x v="0"/>
    <n v="2239109453"/>
    <x v="1"/>
    <n v="900"/>
    <x v="0"/>
    <x v="0"/>
    <x v="34"/>
    <x v="1"/>
    <x v="0"/>
    <x v="0"/>
    <x v="1"/>
    <x v="0"/>
  </r>
  <r>
    <x v="0"/>
    <x v="0"/>
    <n v="2239109454"/>
    <x v="2"/>
    <n v="16500"/>
    <x v="0"/>
    <x v="0"/>
    <x v="34"/>
    <x v="2"/>
    <x v="0"/>
    <x v="0"/>
    <x v="2"/>
    <x v="0"/>
  </r>
  <r>
    <x v="0"/>
    <x v="0"/>
    <n v="2239109455"/>
    <x v="5"/>
    <n v="-3500"/>
    <x v="0"/>
    <x v="0"/>
    <x v="34"/>
    <x v="5"/>
    <x v="0"/>
    <x v="0"/>
    <x v="5"/>
    <x v="0"/>
  </r>
  <r>
    <x v="0"/>
    <x v="0"/>
    <n v="2239109455"/>
    <x v="6"/>
    <n v="10000"/>
    <x v="0"/>
    <x v="0"/>
    <x v="34"/>
    <x v="6"/>
    <x v="0"/>
    <x v="0"/>
    <x v="5"/>
    <x v="0"/>
  </r>
  <r>
    <x v="0"/>
    <x v="0"/>
    <n v="2239109456"/>
    <x v="5"/>
    <n v="-4000"/>
    <x v="0"/>
    <x v="0"/>
    <x v="34"/>
    <x v="5"/>
    <x v="0"/>
    <x v="0"/>
    <x v="5"/>
    <x v="0"/>
  </r>
  <r>
    <x v="0"/>
    <x v="0"/>
    <n v="2239109456"/>
    <x v="6"/>
    <n v="10000"/>
    <x v="0"/>
    <x v="0"/>
    <x v="34"/>
    <x v="6"/>
    <x v="0"/>
    <x v="0"/>
    <x v="5"/>
    <x v="0"/>
  </r>
  <r>
    <x v="0"/>
    <x v="0"/>
    <n v="2239109457"/>
    <x v="5"/>
    <n v="-4000"/>
    <x v="0"/>
    <x v="0"/>
    <x v="34"/>
    <x v="5"/>
    <x v="0"/>
    <x v="0"/>
    <x v="5"/>
    <x v="0"/>
  </r>
  <r>
    <x v="0"/>
    <x v="0"/>
    <n v="2239109457"/>
    <x v="6"/>
    <n v="10650"/>
    <x v="0"/>
    <x v="0"/>
    <x v="34"/>
    <x v="6"/>
    <x v="0"/>
    <x v="0"/>
    <x v="5"/>
    <x v="0"/>
  </r>
  <r>
    <x v="0"/>
    <x v="0"/>
    <n v="2239109458"/>
    <x v="5"/>
    <n v="-2000"/>
    <x v="0"/>
    <x v="0"/>
    <x v="34"/>
    <x v="5"/>
    <x v="0"/>
    <x v="0"/>
    <x v="5"/>
    <x v="0"/>
  </r>
  <r>
    <x v="0"/>
    <x v="0"/>
    <n v="2239109458"/>
    <x v="6"/>
    <n v="10000"/>
    <x v="0"/>
    <x v="0"/>
    <x v="34"/>
    <x v="6"/>
    <x v="0"/>
    <x v="0"/>
    <x v="5"/>
    <x v="0"/>
  </r>
  <r>
    <x v="0"/>
    <x v="0"/>
    <n v="2239109459"/>
    <x v="7"/>
    <n v="7500"/>
    <x v="0"/>
    <x v="0"/>
    <x v="34"/>
    <x v="7"/>
    <x v="0"/>
    <x v="0"/>
    <x v="1"/>
    <x v="0"/>
  </r>
  <r>
    <x v="0"/>
    <x v="0"/>
    <n v="2239109460"/>
    <x v="2"/>
    <n v="43450"/>
    <x v="0"/>
    <x v="0"/>
    <x v="34"/>
    <x v="2"/>
    <x v="0"/>
    <x v="0"/>
    <x v="2"/>
    <x v="0"/>
  </r>
  <r>
    <x v="0"/>
    <x v="0"/>
    <n v="2239109461"/>
    <x v="5"/>
    <n v="-1000"/>
    <x v="0"/>
    <x v="0"/>
    <x v="34"/>
    <x v="5"/>
    <x v="0"/>
    <x v="0"/>
    <x v="5"/>
    <x v="0"/>
  </r>
  <r>
    <x v="0"/>
    <x v="0"/>
    <n v="2239109461"/>
    <x v="4"/>
    <n v="5400"/>
    <x v="0"/>
    <x v="0"/>
    <x v="34"/>
    <x v="4"/>
    <x v="0"/>
    <x v="0"/>
    <x v="4"/>
    <x v="0"/>
  </r>
  <r>
    <x v="0"/>
    <x v="0"/>
    <n v="2239109463"/>
    <x v="3"/>
    <n v="9500"/>
    <x v="0"/>
    <x v="0"/>
    <x v="34"/>
    <x v="3"/>
    <x v="0"/>
    <x v="0"/>
    <x v="3"/>
    <x v="0"/>
  </r>
  <r>
    <x v="0"/>
    <x v="0"/>
    <n v="2239109464"/>
    <x v="6"/>
    <n v="3000"/>
    <x v="0"/>
    <x v="0"/>
    <x v="34"/>
    <x v="6"/>
    <x v="0"/>
    <x v="0"/>
    <x v="5"/>
    <x v="0"/>
  </r>
  <r>
    <x v="0"/>
    <x v="0"/>
    <n v="2239109465"/>
    <x v="5"/>
    <n v="-12080"/>
    <x v="0"/>
    <x v="0"/>
    <x v="34"/>
    <x v="5"/>
    <x v="0"/>
    <x v="0"/>
    <x v="5"/>
    <x v="0"/>
  </r>
  <r>
    <x v="0"/>
    <x v="0"/>
    <n v="2239109465"/>
    <x v="6"/>
    <n v="20000"/>
    <x v="0"/>
    <x v="0"/>
    <x v="34"/>
    <x v="6"/>
    <x v="0"/>
    <x v="0"/>
    <x v="5"/>
    <x v="0"/>
  </r>
  <r>
    <x v="0"/>
    <x v="0"/>
    <n v="2239109466"/>
    <x v="3"/>
    <n v="4500"/>
    <x v="0"/>
    <x v="0"/>
    <x v="34"/>
    <x v="3"/>
    <x v="0"/>
    <x v="0"/>
    <x v="3"/>
    <x v="0"/>
  </r>
  <r>
    <x v="0"/>
    <x v="0"/>
    <n v="2239109468"/>
    <x v="2"/>
    <n v="22990"/>
    <x v="0"/>
    <x v="0"/>
    <x v="34"/>
    <x v="2"/>
    <x v="0"/>
    <x v="0"/>
    <x v="2"/>
    <x v="0"/>
  </r>
  <r>
    <x v="0"/>
    <x v="0"/>
    <n v="2239109469"/>
    <x v="5"/>
    <n v="-5000"/>
    <x v="0"/>
    <x v="0"/>
    <x v="34"/>
    <x v="5"/>
    <x v="0"/>
    <x v="0"/>
    <x v="5"/>
    <x v="0"/>
  </r>
  <r>
    <x v="0"/>
    <x v="0"/>
    <n v="2239109469"/>
    <x v="6"/>
    <n v="10000"/>
    <x v="0"/>
    <x v="0"/>
    <x v="34"/>
    <x v="6"/>
    <x v="0"/>
    <x v="0"/>
    <x v="5"/>
    <x v="0"/>
  </r>
  <r>
    <x v="0"/>
    <x v="0"/>
    <n v="2239109470"/>
    <x v="5"/>
    <n v="-9500"/>
    <x v="0"/>
    <x v="0"/>
    <x v="34"/>
    <x v="5"/>
    <x v="0"/>
    <x v="0"/>
    <x v="5"/>
    <x v="0"/>
  </r>
  <r>
    <x v="0"/>
    <x v="0"/>
    <n v="2239109470"/>
    <x v="6"/>
    <n v="20000"/>
    <x v="0"/>
    <x v="0"/>
    <x v="34"/>
    <x v="6"/>
    <x v="0"/>
    <x v="0"/>
    <x v="5"/>
    <x v="0"/>
  </r>
  <r>
    <x v="0"/>
    <x v="0"/>
    <n v="2239109471"/>
    <x v="2"/>
    <n v="49390"/>
    <x v="0"/>
    <x v="0"/>
    <x v="34"/>
    <x v="2"/>
    <x v="0"/>
    <x v="0"/>
    <x v="2"/>
    <x v="0"/>
  </r>
  <r>
    <x v="0"/>
    <x v="0"/>
    <n v="2239109472"/>
    <x v="5"/>
    <n v="-14000"/>
    <x v="0"/>
    <x v="0"/>
    <x v="34"/>
    <x v="5"/>
    <x v="0"/>
    <x v="0"/>
    <x v="5"/>
    <x v="0"/>
  </r>
  <r>
    <x v="0"/>
    <x v="0"/>
    <n v="2239109472"/>
    <x v="6"/>
    <n v="20000"/>
    <x v="0"/>
    <x v="0"/>
    <x v="34"/>
    <x v="6"/>
    <x v="0"/>
    <x v="0"/>
    <x v="5"/>
    <x v="0"/>
  </r>
  <r>
    <x v="0"/>
    <x v="0"/>
    <n v="2239109473"/>
    <x v="2"/>
    <n v="7700"/>
    <x v="0"/>
    <x v="0"/>
    <x v="34"/>
    <x v="2"/>
    <x v="0"/>
    <x v="0"/>
    <x v="2"/>
    <x v="0"/>
  </r>
  <r>
    <x v="0"/>
    <x v="0"/>
    <n v="2239109474"/>
    <x v="5"/>
    <n v="-10800"/>
    <x v="0"/>
    <x v="0"/>
    <x v="34"/>
    <x v="5"/>
    <x v="0"/>
    <x v="0"/>
    <x v="5"/>
    <x v="0"/>
  </r>
  <r>
    <x v="0"/>
    <x v="0"/>
    <n v="2239109474"/>
    <x v="6"/>
    <n v="20000"/>
    <x v="0"/>
    <x v="0"/>
    <x v="34"/>
    <x v="6"/>
    <x v="0"/>
    <x v="0"/>
    <x v="5"/>
    <x v="0"/>
  </r>
  <r>
    <x v="0"/>
    <x v="0"/>
    <n v="2239109475"/>
    <x v="2"/>
    <n v="32890"/>
    <x v="0"/>
    <x v="0"/>
    <x v="34"/>
    <x v="2"/>
    <x v="0"/>
    <x v="0"/>
    <x v="2"/>
    <x v="0"/>
  </r>
  <r>
    <x v="0"/>
    <x v="0"/>
    <n v="2239109476"/>
    <x v="3"/>
    <n v="15000"/>
    <x v="0"/>
    <x v="0"/>
    <x v="34"/>
    <x v="3"/>
    <x v="0"/>
    <x v="0"/>
    <x v="3"/>
    <x v="0"/>
  </r>
  <r>
    <x v="0"/>
    <x v="0"/>
    <n v="2239109477"/>
    <x v="2"/>
    <n v="6000"/>
    <x v="0"/>
    <x v="0"/>
    <x v="34"/>
    <x v="2"/>
    <x v="0"/>
    <x v="0"/>
    <x v="2"/>
    <x v="0"/>
  </r>
  <r>
    <x v="0"/>
    <x v="0"/>
    <n v="2239109478"/>
    <x v="2"/>
    <n v="13000"/>
    <x v="0"/>
    <x v="0"/>
    <x v="34"/>
    <x v="2"/>
    <x v="0"/>
    <x v="0"/>
    <x v="2"/>
    <x v="0"/>
  </r>
  <r>
    <x v="0"/>
    <x v="0"/>
    <n v="2239109479"/>
    <x v="5"/>
    <n v="-400"/>
    <x v="0"/>
    <x v="0"/>
    <x v="34"/>
    <x v="5"/>
    <x v="0"/>
    <x v="0"/>
    <x v="5"/>
    <x v="0"/>
  </r>
  <r>
    <x v="0"/>
    <x v="0"/>
    <n v="2239109479"/>
    <x v="4"/>
    <n v="6000"/>
    <x v="0"/>
    <x v="0"/>
    <x v="34"/>
    <x v="4"/>
    <x v="0"/>
    <x v="0"/>
    <x v="4"/>
    <x v="0"/>
  </r>
  <r>
    <x v="0"/>
    <x v="0"/>
    <n v="2239109480"/>
    <x v="5"/>
    <n v="-5000"/>
    <x v="0"/>
    <x v="0"/>
    <x v="34"/>
    <x v="5"/>
    <x v="0"/>
    <x v="0"/>
    <x v="5"/>
    <x v="0"/>
  </r>
  <r>
    <x v="0"/>
    <x v="0"/>
    <n v="2239109480"/>
    <x v="6"/>
    <n v="10000"/>
    <x v="0"/>
    <x v="0"/>
    <x v="34"/>
    <x v="6"/>
    <x v="0"/>
    <x v="0"/>
    <x v="5"/>
    <x v="0"/>
  </r>
  <r>
    <x v="0"/>
    <x v="0"/>
    <n v="2239109481"/>
    <x v="2"/>
    <n v="9500"/>
    <x v="0"/>
    <x v="0"/>
    <x v="34"/>
    <x v="2"/>
    <x v="0"/>
    <x v="0"/>
    <x v="2"/>
    <x v="0"/>
  </r>
  <r>
    <x v="0"/>
    <x v="0"/>
    <n v="2239109482"/>
    <x v="2"/>
    <n v="6500"/>
    <x v="0"/>
    <x v="0"/>
    <x v="34"/>
    <x v="2"/>
    <x v="0"/>
    <x v="0"/>
    <x v="2"/>
    <x v="0"/>
  </r>
  <r>
    <x v="0"/>
    <x v="0"/>
    <n v="2239109483"/>
    <x v="5"/>
    <n v="-15000"/>
    <x v="0"/>
    <x v="0"/>
    <x v="34"/>
    <x v="5"/>
    <x v="0"/>
    <x v="0"/>
    <x v="5"/>
    <x v="0"/>
  </r>
  <r>
    <x v="0"/>
    <x v="0"/>
    <n v="2239109483"/>
    <x v="6"/>
    <n v="20000"/>
    <x v="0"/>
    <x v="0"/>
    <x v="34"/>
    <x v="6"/>
    <x v="0"/>
    <x v="0"/>
    <x v="5"/>
    <x v="0"/>
  </r>
  <r>
    <x v="0"/>
    <x v="0"/>
    <n v="2239109484"/>
    <x v="2"/>
    <n v="15400"/>
    <x v="0"/>
    <x v="0"/>
    <x v="34"/>
    <x v="2"/>
    <x v="0"/>
    <x v="0"/>
    <x v="2"/>
    <x v="0"/>
  </r>
  <r>
    <x v="0"/>
    <x v="0"/>
    <n v="2239109485"/>
    <x v="2"/>
    <n v="12320"/>
    <x v="0"/>
    <x v="0"/>
    <x v="34"/>
    <x v="2"/>
    <x v="0"/>
    <x v="0"/>
    <x v="2"/>
    <x v="0"/>
  </r>
  <r>
    <x v="0"/>
    <x v="0"/>
    <n v="2239109486"/>
    <x v="2"/>
    <n v="46090"/>
    <x v="0"/>
    <x v="0"/>
    <x v="34"/>
    <x v="2"/>
    <x v="0"/>
    <x v="0"/>
    <x v="2"/>
    <x v="0"/>
  </r>
  <r>
    <x v="0"/>
    <x v="0"/>
    <n v="2239109487"/>
    <x v="7"/>
    <n v="1500"/>
    <x v="0"/>
    <x v="0"/>
    <x v="34"/>
    <x v="7"/>
    <x v="0"/>
    <x v="0"/>
    <x v="1"/>
    <x v="0"/>
  </r>
  <r>
    <x v="0"/>
    <x v="0"/>
    <n v="2239109488"/>
    <x v="2"/>
    <n v="10500"/>
    <x v="0"/>
    <x v="0"/>
    <x v="34"/>
    <x v="2"/>
    <x v="0"/>
    <x v="0"/>
    <x v="2"/>
    <x v="0"/>
  </r>
  <r>
    <x v="0"/>
    <x v="0"/>
    <n v="2239109489"/>
    <x v="3"/>
    <n v="4950"/>
    <x v="0"/>
    <x v="0"/>
    <x v="34"/>
    <x v="3"/>
    <x v="0"/>
    <x v="0"/>
    <x v="3"/>
    <x v="0"/>
  </r>
  <r>
    <x v="0"/>
    <x v="0"/>
    <n v="2239109490"/>
    <x v="5"/>
    <n v="-7000"/>
    <x v="0"/>
    <x v="0"/>
    <x v="34"/>
    <x v="5"/>
    <x v="0"/>
    <x v="0"/>
    <x v="5"/>
    <x v="0"/>
  </r>
  <r>
    <x v="0"/>
    <x v="0"/>
    <n v="2239109490"/>
    <x v="6"/>
    <n v="10000"/>
    <x v="0"/>
    <x v="0"/>
    <x v="34"/>
    <x v="6"/>
    <x v="0"/>
    <x v="0"/>
    <x v="5"/>
    <x v="0"/>
  </r>
  <r>
    <x v="0"/>
    <x v="0"/>
    <n v="2239109492"/>
    <x v="2"/>
    <n v="49280"/>
    <x v="0"/>
    <x v="0"/>
    <x v="34"/>
    <x v="2"/>
    <x v="0"/>
    <x v="0"/>
    <x v="2"/>
    <x v="0"/>
  </r>
  <r>
    <x v="0"/>
    <x v="0"/>
    <n v="2239109493"/>
    <x v="2"/>
    <n v="7500"/>
    <x v="0"/>
    <x v="0"/>
    <x v="34"/>
    <x v="2"/>
    <x v="0"/>
    <x v="0"/>
    <x v="2"/>
    <x v="0"/>
  </r>
  <r>
    <x v="0"/>
    <x v="0"/>
    <n v="2239109494"/>
    <x v="2"/>
    <n v="15000"/>
    <x v="0"/>
    <x v="0"/>
    <x v="34"/>
    <x v="2"/>
    <x v="0"/>
    <x v="0"/>
    <x v="2"/>
    <x v="0"/>
  </r>
  <r>
    <x v="0"/>
    <x v="0"/>
    <n v="2239109495"/>
    <x v="2"/>
    <n v="7500"/>
    <x v="0"/>
    <x v="0"/>
    <x v="34"/>
    <x v="2"/>
    <x v="0"/>
    <x v="0"/>
    <x v="2"/>
    <x v="0"/>
  </r>
  <r>
    <x v="0"/>
    <x v="0"/>
    <n v="2239109496"/>
    <x v="5"/>
    <n v="-1500"/>
    <x v="0"/>
    <x v="0"/>
    <x v="34"/>
    <x v="5"/>
    <x v="0"/>
    <x v="0"/>
    <x v="5"/>
    <x v="0"/>
  </r>
  <r>
    <x v="0"/>
    <x v="0"/>
    <n v="2239109496"/>
    <x v="6"/>
    <n v="5000"/>
    <x v="0"/>
    <x v="0"/>
    <x v="34"/>
    <x v="6"/>
    <x v="0"/>
    <x v="0"/>
    <x v="5"/>
    <x v="0"/>
  </r>
  <r>
    <x v="0"/>
    <x v="0"/>
    <n v="2239109497"/>
    <x v="7"/>
    <n v="1500"/>
    <x v="0"/>
    <x v="0"/>
    <x v="34"/>
    <x v="7"/>
    <x v="0"/>
    <x v="0"/>
    <x v="1"/>
    <x v="0"/>
  </r>
  <r>
    <x v="0"/>
    <x v="0"/>
    <n v="2239109498"/>
    <x v="2"/>
    <n v="3300"/>
    <x v="0"/>
    <x v="0"/>
    <x v="34"/>
    <x v="2"/>
    <x v="0"/>
    <x v="0"/>
    <x v="2"/>
    <x v="0"/>
  </r>
  <r>
    <x v="0"/>
    <x v="0"/>
    <n v="2239109499"/>
    <x v="2"/>
    <n v="22000"/>
    <x v="0"/>
    <x v="0"/>
    <x v="34"/>
    <x v="2"/>
    <x v="0"/>
    <x v="0"/>
    <x v="2"/>
    <x v="0"/>
  </r>
  <r>
    <x v="0"/>
    <x v="0"/>
    <n v="2239109501"/>
    <x v="5"/>
    <n v="-300"/>
    <x v="0"/>
    <x v="0"/>
    <x v="34"/>
    <x v="5"/>
    <x v="0"/>
    <x v="0"/>
    <x v="5"/>
    <x v="0"/>
  </r>
  <r>
    <x v="0"/>
    <x v="0"/>
    <n v="2239109501"/>
    <x v="6"/>
    <n v="5500"/>
    <x v="0"/>
    <x v="0"/>
    <x v="34"/>
    <x v="6"/>
    <x v="0"/>
    <x v="0"/>
    <x v="5"/>
    <x v="0"/>
  </r>
  <r>
    <x v="0"/>
    <x v="0"/>
    <n v="2239109501"/>
    <x v="7"/>
    <n v="1300"/>
    <x v="0"/>
    <x v="0"/>
    <x v="34"/>
    <x v="7"/>
    <x v="0"/>
    <x v="0"/>
    <x v="1"/>
    <x v="0"/>
  </r>
  <r>
    <x v="0"/>
    <x v="0"/>
    <n v="2239109502"/>
    <x v="3"/>
    <n v="6500"/>
    <x v="0"/>
    <x v="0"/>
    <x v="34"/>
    <x v="3"/>
    <x v="0"/>
    <x v="0"/>
    <x v="3"/>
    <x v="0"/>
  </r>
  <r>
    <x v="0"/>
    <x v="0"/>
    <n v="2239109504"/>
    <x v="5"/>
    <n v="-14000"/>
    <x v="0"/>
    <x v="0"/>
    <x v="34"/>
    <x v="5"/>
    <x v="0"/>
    <x v="0"/>
    <x v="5"/>
    <x v="0"/>
  </r>
  <r>
    <x v="0"/>
    <x v="0"/>
    <n v="2239109504"/>
    <x v="6"/>
    <n v="20000"/>
    <x v="0"/>
    <x v="0"/>
    <x v="34"/>
    <x v="6"/>
    <x v="0"/>
    <x v="0"/>
    <x v="5"/>
    <x v="0"/>
  </r>
  <r>
    <x v="0"/>
    <x v="0"/>
    <n v="2239109505"/>
    <x v="5"/>
    <n v="-5000"/>
    <x v="0"/>
    <x v="0"/>
    <x v="34"/>
    <x v="5"/>
    <x v="0"/>
    <x v="0"/>
    <x v="5"/>
    <x v="0"/>
  </r>
  <r>
    <x v="0"/>
    <x v="0"/>
    <n v="2239109505"/>
    <x v="4"/>
    <n v="10000"/>
    <x v="0"/>
    <x v="0"/>
    <x v="34"/>
    <x v="4"/>
    <x v="0"/>
    <x v="0"/>
    <x v="4"/>
    <x v="0"/>
  </r>
  <r>
    <x v="0"/>
    <x v="0"/>
    <n v="2239109506"/>
    <x v="2"/>
    <n v="3000"/>
    <x v="0"/>
    <x v="0"/>
    <x v="34"/>
    <x v="2"/>
    <x v="0"/>
    <x v="0"/>
    <x v="2"/>
    <x v="0"/>
  </r>
  <r>
    <x v="0"/>
    <x v="0"/>
    <n v="2239109507"/>
    <x v="7"/>
    <n v="6500"/>
    <x v="0"/>
    <x v="0"/>
    <x v="34"/>
    <x v="7"/>
    <x v="0"/>
    <x v="0"/>
    <x v="1"/>
    <x v="0"/>
  </r>
  <r>
    <x v="0"/>
    <x v="0"/>
    <n v="2239109508"/>
    <x v="2"/>
    <n v="25146"/>
    <x v="0"/>
    <x v="0"/>
    <x v="34"/>
    <x v="2"/>
    <x v="0"/>
    <x v="0"/>
    <x v="2"/>
    <x v="0"/>
  </r>
  <r>
    <x v="0"/>
    <x v="0"/>
    <n v="2239109509"/>
    <x v="7"/>
    <n v="7500"/>
    <x v="0"/>
    <x v="0"/>
    <x v="34"/>
    <x v="7"/>
    <x v="0"/>
    <x v="0"/>
    <x v="1"/>
    <x v="0"/>
  </r>
  <r>
    <x v="0"/>
    <x v="0"/>
    <n v="2239109510"/>
    <x v="5"/>
    <n v="-7000"/>
    <x v="0"/>
    <x v="0"/>
    <x v="34"/>
    <x v="5"/>
    <x v="0"/>
    <x v="0"/>
    <x v="5"/>
    <x v="0"/>
  </r>
  <r>
    <x v="0"/>
    <x v="0"/>
    <n v="2239109510"/>
    <x v="6"/>
    <n v="10000"/>
    <x v="0"/>
    <x v="0"/>
    <x v="34"/>
    <x v="6"/>
    <x v="0"/>
    <x v="0"/>
    <x v="5"/>
    <x v="0"/>
  </r>
  <r>
    <x v="0"/>
    <x v="0"/>
    <n v="2239109511"/>
    <x v="5"/>
    <n v="-3500"/>
    <x v="0"/>
    <x v="0"/>
    <x v="34"/>
    <x v="5"/>
    <x v="0"/>
    <x v="0"/>
    <x v="5"/>
    <x v="0"/>
  </r>
  <r>
    <x v="0"/>
    <x v="0"/>
    <n v="2239109511"/>
    <x v="6"/>
    <n v="10000"/>
    <x v="0"/>
    <x v="0"/>
    <x v="34"/>
    <x v="6"/>
    <x v="0"/>
    <x v="0"/>
    <x v="5"/>
    <x v="0"/>
  </r>
  <r>
    <x v="0"/>
    <x v="0"/>
    <n v="2239109512"/>
    <x v="2"/>
    <n v="7500"/>
    <x v="0"/>
    <x v="0"/>
    <x v="34"/>
    <x v="2"/>
    <x v="0"/>
    <x v="0"/>
    <x v="2"/>
    <x v="0"/>
  </r>
  <r>
    <x v="0"/>
    <x v="0"/>
    <n v="2239109513"/>
    <x v="2"/>
    <n v="11000"/>
    <x v="0"/>
    <x v="0"/>
    <x v="34"/>
    <x v="2"/>
    <x v="0"/>
    <x v="0"/>
    <x v="2"/>
    <x v="0"/>
  </r>
  <r>
    <x v="0"/>
    <x v="0"/>
    <n v="2239109515"/>
    <x v="9"/>
    <n v="26900"/>
    <x v="0"/>
    <x v="0"/>
    <x v="34"/>
    <x v="9"/>
    <x v="0"/>
    <x v="0"/>
    <x v="6"/>
    <x v="0"/>
  </r>
  <r>
    <x v="0"/>
    <x v="0"/>
    <n v="2239109516"/>
    <x v="2"/>
    <n v="12000"/>
    <x v="0"/>
    <x v="0"/>
    <x v="34"/>
    <x v="2"/>
    <x v="0"/>
    <x v="0"/>
    <x v="2"/>
    <x v="0"/>
  </r>
  <r>
    <x v="0"/>
    <x v="0"/>
    <n v="2239109517"/>
    <x v="5"/>
    <n v="-100"/>
    <x v="0"/>
    <x v="0"/>
    <x v="34"/>
    <x v="5"/>
    <x v="0"/>
    <x v="0"/>
    <x v="5"/>
    <x v="0"/>
  </r>
  <r>
    <x v="0"/>
    <x v="0"/>
    <n v="2239109517"/>
    <x v="6"/>
    <n v="60000"/>
    <x v="0"/>
    <x v="0"/>
    <x v="34"/>
    <x v="6"/>
    <x v="0"/>
    <x v="0"/>
    <x v="5"/>
    <x v="0"/>
  </r>
  <r>
    <x v="0"/>
    <x v="0"/>
    <n v="2239109518"/>
    <x v="3"/>
    <n v="10890"/>
    <x v="0"/>
    <x v="0"/>
    <x v="34"/>
    <x v="3"/>
    <x v="0"/>
    <x v="0"/>
    <x v="3"/>
    <x v="0"/>
  </r>
  <r>
    <x v="0"/>
    <x v="0"/>
    <n v="2239109519"/>
    <x v="7"/>
    <n v="7500"/>
    <x v="0"/>
    <x v="0"/>
    <x v="34"/>
    <x v="7"/>
    <x v="0"/>
    <x v="0"/>
    <x v="1"/>
    <x v="0"/>
  </r>
  <r>
    <x v="0"/>
    <x v="0"/>
    <n v="2239109520"/>
    <x v="2"/>
    <n v="12000"/>
    <x v="0"/>
    <x v="0"/>
    <x v="34"/>
    <x v="2"/>
    <x v="0"/>
    <x v="0"/>
    <x v="2"/>
    <x v="0"/>
  </r>
  <r>
    <x v="0"/>
    <x v="0"/>
    <n v="2239109521"/>
    <x v="5"/>
    <n v="-501"/>
    <x v="0"/>
    <x v="0"/>
    <x v="34"/>
    <x v="5"/>
    <x v="0"/>
    <x v="0"/>
    <x v="5"/>
    <x v="0"/>
  </r>
  <r>
    <x v="0"/>
    <x v="0"/>
    <n v="2239109521"/>
    <x v="6"/>
    <n v="10001"/>
    <x v="0"/>
    <x v="0"/>
    <x v="34"/>
    <x v="6"/>
    <x v="0"/>
    <x v="0"/>
    <x v="5"/>
    <x v="0"/>
  </r>
  <r>
    <x v="0"/>
    <x v="0"/>
    <n v="2239109522"/>
    <x v="1"/>
    <n v="3150"/>
    <x v="0"/>
    <x v="0"/>
    <x v="34"/>
    <x v="1"/>
    <x v="0"/>
    <x v="0"/>
    <x v="1"/>
    <x v="0"/>
  </r>
  <r>
    <x v="0"/>
    <x v="0"/>
    <n v="2239109523"/>
    <x v="7"/>
    <n v="1500"/>
    <x v="0"/>
    <x v="0"/>
    <x v="34"/>
    <x v="7"/>
    <x v="0"/>
    <x v="0"/>
    <x v="1"/>
    <x v="0"/>
  </r>
  <r>
    <x v="0"/>
    <x v="0"/>
    <n v="2239109524"/>
    <x v="5"/>
    <n v="-13500"/>
    <x v="0"/>
    <x v="0"/>
    <x v="34"/>
    <x v="5"/>
    <x v="0"/>
    <x v="0"/>
    <x v="5"/>
    <x v="0"/>
  </r>
  <r>
    <x v="0"/>
    <x v="0"/>
    <n v="2239109524"/>
    <x v="6"/>
    <n v="20000"/>
    <x v="0"/>
    <x v="0"/>
    <x v="34"/>
    <x v="6"/>
    <x v="0"/>
    <x v="0"/>
    <x v="5"/>
    <x v="0"/>
  </r>
  <r>
    <x v="0"/>
    <x v="0"/>
    <n v="2239109525"/>
    <x v="2"/>
    <n v="7500"/>
    <x v="0"/>
    <x v="0"/>
    <x v="34"/>
    <x v="2"/>
    <x v="0"/>
    <x v="0"/>
    <x v="2"/>
    <x v="0"/>
  </r>
  <r>
    <x v="0"/>
    <x v="0"/>
    <n v="2239109526"/>
    <x v="7"/>
    <n v="4800"/>
    <x v="0"/>
    <x v="0"/>
    <x v="34"/>
    <x v="7"/>
    <x v="0"/>
    <x v="0"/>
    <x v="1"/>
    <x v="0"/>
  </r>
  <r>
    <x v="0"/>
    <x v="0"/>
    <n v="2239109527"/>
    <x v="5"/>
    <n v="-6100"/>
    <x v="0"/>
    <x v="0"/>
    <x v="34"/>
    <x v="5"/>
    <x v="0"/>
    <x v="0"/>
    <x v="5"/>
    <x v="0"/>
  </r>
  <r>
    <x v="0"/>
    <x v="0"/>
    <n v="2239109527"/>
    <x v="4"/>
    <n v="10500"/>
    <x v="0"/>
    <x v="0"/>
    <x v="34"/>
    <x v="4"/>
    <x v="0"/>
    <x v="0"/>
    <x v="4"/>
    <x v="0"/>
  </r>
  <r>
    <x v="0"/>
    <x v="0"/>
    <n v="2239109528"/>
    <x v="2"/>
    <n v="6500"/>
    <x v="0"/>
    <x v="0"/>
    <x v="34"/>
    <x v="2"/>
    <x v="0"/>
    <x v="0"/>
    <x v="2"/>
    <x v="0"/>
  </r>
  <r>
    <x v="0"/>
    <x v="0"/>
    <n v="2239109529"/>
    <x v="5"/>
    <n v="-500"/>
    <x v="0"/>
    <x v="0"/>
    <x v="34"/>
    <x v="5"/>
    <x v="0"/>
    <x v="0"/>
    <x v="5"/>
    <x v="0"/>
  </r>
  <r>
    <x v="0"/>
    <x v="0"/>
    <n v="2239109529"/>
    <x v="6"/>
    <n v="10000"/>
    <x v="0"/>
    <x v="0"/>
    <x v="34"/>
    <x v="6"/>
    <x v="0"/>
    <x v="0"/>
    <x v="5"/>
    <x v="0"/>
  </r>
  <r>
    <x v="0"/>
    <x v="0"/>
    <n v="2239109530"/>
    <x v="5"/>
    <n v="-300"/>
    <x v="0"/>
    <x v="0"/>
    <x v="34"/>
    <x v="5"/>
    <x v="0"/>
    <x v="0"/>
    <x v="5"/>
    <x v="0"/>
  </r>
  <r>
    <x v="0"/>
    <x v="0"/>
    <n v="2239109530"/>
    <x v="4"/>
    <n v="6000"/>
    <x v="0"/>
    <x v="0"/>
    <x v="34"/>
    <x v="4"/>
    <x v="0"/>
    <x v="0"/>
    <x v="4"/>
    <x v="0"/>
  </r>
  <r>
    <x v="0"/>
    <x v="0"/>
    <n v="2239109531"/>
    <x v="6"/>
    <n v="10000"/>
    <x v="0"/>
    <x v="0"/>
    <x v="34"/>
    <x v="6"/>
    <x v="0"/>
    <x v="0"/>
    <x v="5"/>
    <x v="0"/>
  </r>
  <r>
    <x v="0"/>
    <x v="0"/>
    <n v="2239109532"/>
    <x v="2"/>
    <n v="11500"/>
    <x v="0"/>
    <x v="0"/>
    <x v="34"/>
    <x v="2"/>
    <x v="0"/>
    <x v="0"/>
    <x v="2"/>
    <x v="0"/>
  </r>
  <r>
    <x v="0"/>
    <x v="0"/>
    <n v="2239109533"/>
    <x v="2"/>
    <n v="13000"/>
    <x v="0"/>
    <x v="0"/>
    <x v="34"/>
    <x v="2"/>
    <x v="0"/>
    <x v="0"/>
    <x v="2"/>
    <x v="0"/>
  </r>
  <r>
    <x v="0"/>
    <x v="0"/>
    <n v="2239109534"/>
    <x v="2"/>
    <n v="16500"/>
    <x v="0"/>
    <x v="0"/>
    <x v="34"/>
    <x v="2"/>
    <x v="0"/>
    <x v="0"/>
    <x v="2"/>
    <x v="0"/>
  </r>
  <r>
    <x v="0"/>
    <x v="0"/>
    <n v="2239109535"/>
    <x v="5"/>
    <n v="-15000"/>
    <x v="0"/>
    <x v="0"/>
    <x v="34"/>
    <x v="5"/>
    <x v="0"/>
    <x v="0"/>
    <x v="5"/>
    <x v="0"/>
  </r>
  <r>
    <x v="0"/>
    <x v="0"/>
    <n v="2239109535"/>
    <x v="6"/>
    <n v="20000"/>
    <x v="0"/>
    <x v="0"/>
    <x v="34"/>
    <x v="6"/>
    <x v="0"/>
    <x v="0"/>
    <x v="5"/>
    <x v="0"/>
  </r>
  <r>
    <x v="0"/>
    <x v="0"/>
    <n v="2239109536"/>
    <x v="2"/>
    <n v="29500"/>
    <x v="0"/>
    <x v="0"/>
    <x v="34"/>
    <x v="2"/>
    <x v="0"/>
    <x v="0"/>
    <x v="2"/>
    <x v="0"/>
  </r>
  <r>
    <x v="0"/>
    <x v="0"/>
    <n v="2239109537"/>
    <x v="5"/>
    <n v="-8000"/>
    <x v="0"/>
    <x v="0"/>
    <x v="34"/>
    <x v="5"/>
    <x v="0"/>
    <x v="0"/>
    <x v="5"/>
    <x v="0"/>
  </r>
  <r>
    <x v="0"/>
    <x v="0"/>
    <n v="2239109537"/>
    <x v="6"/>
    <n v="20000"/>
    <x v="0"/>
    <x v="0"/>
    <x v="34"/>
    <x v="6"/>
    <x v="0"/>
    <x v="0"/>
    <x v="5"/>
    <x v="0"/>
  </r>
  <r>
    <x v="0"/>
    <x v="0"/>
    <n v="2239109538"/>
    <x v="6"/>
    <n v="23500"/>
    <x v="0"/>
    <x v="0"/>
    <x v="34"/>
    <x v="6"/>
    <x v="0"/>
    <x v="0"/>
    <x v="5"/>
    <x v="0"/>
  </r>
  <r>
    <x v="0"/>
    <x v="0"/>
    <n v="2239109539"/>
    <x v="2"/>
    <n v="14000"/>
    <x v="0"/>
    <x v="0"/>
    <x v="34"/>
    <x v="2"/>
    <x v="0"/>
    <x v="0"/>
    <x v="2"/>
    <x v="0"/>
  </r>
  <r>
    <x v="0"/>
    <x v="0"/>
    <n v="2239109540"/>
    <x v="3"/>
    <n v="13200"/>
    <x v="0"/>
    <x v="0"/>
    <x v="34"/>
    <x v="3"/>
    <x v="0"/>
    <x v="0"/>
    <x v="3"/>
    <x v="0"/>
  </r>
  <r>
    <x v="0"/>
    <x v="0"/>
    <n v="2239109541"/>
    <x v="7"/>
    <n v="1500"/>
    <x v="0"/>
    <x v="0"/>
    <x v="34"/>
    <x v="7"/>
    <x v="0"/>
    <x v="0"/>
    <x v="1"/>
    <x v="0"/>
  </r>
  <r>
    <x v="0"/>
    <x v="0"/>
    <n v="2239109542"/>
    <x v="7"/>
    <n v="1500"/>
    <x v="0"/>
    <x v="0"/>
    <x v="34"/>
    <x v="7"/>
    <x v="0"/>
    <x v="0"/>
    <x v="1"/>
    <x v="0"/>
  </r>
  <r>
    <x v="0"/>
    <x v="0"/>
    <n v="2239109543"/>
    <x v="5"/>
    <n v="-7600"/>
    <x v="0"/>
    <x v="0"/>
    <x v="34"/>
    <x v="5"/>
    <x v="0"/>
    <x v="0"/>
    <x v="5"/>
    <x v="0"/>
  </r>
  <r>
    <x v="0"/>
    <x v="0"/>
    <n v="2239109543"/>
    <x v="6"/>
    <n v="10000"/>
    <x v="0"/>
    <x v="0"/>
    <x v="34"/>
    <x v="6"/>
    <x v="0"/>
    <x v="0"/>
    <x v="5"/>
    <x v="0"/>
  </r>
  <r>
    <x v="0"/>
    <x v="0"/>
    <n v="2239109544"/>
    <x v="2"/>
    <n v="13500"/>
    <x v="0"/>
    <x v="0"/>
    <x v="34"/>
    <x v="2"/>
    <x v="0"/>
    <x v="0"/>
    <x v="2"/>
    <x v="0"/>
  </r>
  <r>
    <x v="0"/>
    <x v="0"/>
    <n v="2239109545"/>
    <x v="2"/>
    <n v="7500"/>
    <x v="0"/>
    <x v="0"/>
    <x v="34"/>
    <x v="2"/>
    <x v="0"/>
    <x v="0"/>
    <x v="2"/>
    <x v="0"/>
  </r>
  <r>
    <x v="0"/>
    <x v="0"/>
    <n v="2239109546"/>
    <x v="2"/>
    <n v="24420"/>
    <x v="0"/>
    <x v="0"/>
    <x v="34"/>
    <x v="2"/>
    <x v="0"/>
    <x v="0"/>
    <x v="2"/>
    <x v="0"/>
  </r>
  <r>
    <x v="0"/>
    <x v="0"/>
    <n v="2239109547"/>
    <x v="2"/>
    <n v="18590"/>
    <x v="0"/>
    <x v="0"/>
    <x v="34"/>
    <x v="2"/>
    <x v="0"/>
    <x v="0"/>
    <x v="2"/>
    <x v="0"/>
  </r>
  <r>
    <x v="0"/>
    <x v="0"/>
    <n v="2239109548"/>
    <x v="5"/>
    <n v="-15000"/>
    <x v="0"/>
    <x v="0"/>
    <x v="34"/>
    <x v="5"/>
    <x v="0"/>
    <x v="0"/>
    <x v="5"/>
    <x v="0"/>
  </r>
  <r>
    <x v="0"/>
    <x v="0"/>
    <n v="2239109548"/>
    <x v="4"/>
    <n v="20300"/>
    <x v="0"/>
    <x v="0"/>
    <x v="34"/>
    <x v="4"/>
    <x v="0"/>
    <x v="0"/>
    <x v="4"/>
    <x v="0"/>
  </r>
  <r>
    <x v="0"/>
    <x v="0"/>
    <n v="2239109549"/>
    <x v="2"/>
    <n v="16500"/>
    <x v="0"/>
    <x v="0"/>
    <x v="34"/>
    <x v="2"/>
    <x v="0"/>
    <x v="0"/>
    <x v="2"/>
    <x v="0"/>
  </r>
  <r>
    <x v="0"/>
    <x v="0"/>
    <n v="2239109550"/>
    <x v="7"/>
    <n v="1500"/>
    <x v="0"/>
    <x v="0"/>
    <x v="34"/>
    <x v="7"/>
    <x v="0"/>
    <x v="0"/>
    <x v="1"/>
    <x v="0"/>
  </r>
  <r>
    <x v="0"/>
    <x v="0"/>
    <n v="2239109551"/>
    <x v="2"/>
    <n v="13783"/>
    <x v="0"/>
    <x v="0"/>
    <x v="34"/>
    <x v="2"/>
    <x v="0"/>
    <x v="0"/>
    <x v="2"/>
    <x v="0"/>
  </r>
  <r>
    <x v="0"/>
    <x v="0"/>
    <n v="2239109553"/>
    <x v="2"/>
    <n v="3000"/>
    <x v="0"/>
    <x v="0"/>
    <x v="34"/>
    <x v="2"/>
    <x v="0"/>
    <x v="0"/>
    <x v="2"/>
    <x v="0"/>
  </r>
  <r>
    <x v="0"/>
    <x v="0"/>
    <n v="2239109554"/>
    <x v="2"/>
    <n v="13000"/>
    <x v="0"/>
    <x v="0"/>
    <x v="34"/>
    <x v="2"/>
    <x v="0"/>
    <x v="0"/>
    <x v="2"/>
    <x v="0"/>
  </r>
  <r>
    <x v="0"/>
    <x v="0"/>
    <n v="2239109555"/>
    <x v="2"/>
    <n v="7500"/>
    <x v="0"/>
    <x v="0"/>
    <x v="34"/>
    <x v="2"/>
    <x v="0"/>
    <x v="0"/>
    <x v="2"/>
    <x v="0"/>
  </r>
  <r>
    <x v="0"/>
    <x v="0"/>
    <n v="2239109556"/>
    <x v="5"/>
    <n v="-300"/>
    <x v="0"/>
    <x v="0"/>
    <x v="34"/>
    <x v="5"/>
    <x v="0"/>
    <x v="0"/>
    <x v="5"/>
    <x v="0"/>
  </r>
  <r>
    <x v="0"/>
    <x v="0"/>
    <n v="2239109556"/>
    <x v="4"/>
    <n v="6000"/>
    <x v="0"/>
    <x v="0"/>
    <x v="34"/>
    <x v="4"/>
    <x v="0"/>
    <x v="0"/>
    <x v="4"/>
    <x v="0"/>
  </r>
  <r>
    <x v="0"/>
    <x v="0"/>
    <n v="2239109557"/>
    <x v="5"/>
    <n v="-3350"/>
    <x v="0"/>
    <x v="0"/>
    <x v="34"/>
    <x v="5"/>
    <x v="0"/>
    <x v="0"/>
    <x v="5"/>
    <x v="0"/>
  </r>
  <r>
    <x v="0"/>
    <x v="0"/>
    <n v="2239109557"/>
    <x v="6"/>
    <n v="10000"/>
    <x v="0"/>
    <x v="0"/>
    <x v="34"/>
    <x v="6"/>
    <x v="0"/>
    <x v="0"/>
    <x v="5"/>
    <x v="0"/>
  </r>
  <r>
    <x v="0"/>
    <x v="0"/>
    <n v="2239109558"/>
    <x v="5"/>
    <n v="-660"/>
    <x v="0"/>
    <x v="0"/>
    <x v="34"/>
    <x v="5"/>
    <x v="0"/>
    <x v="0"/>
    <x v="5"/>
    <x v="0"/>
  </r>
  <r>
    <x v="0"/>
    <x v="0"/>
    <n v="2239109558"/>
    <x v="6"/>
    <n v="10000"/>
    <x v="0"/>
    <x v="0"/>
    <x v="34"/>
    <x v="6"/>
    <x v="0"/>
    <x v="0"/>
    <x v="5"/>
    <x v="0"/>
  </r>
  <r>
    <x v="0"/>
    <x v="0"/>
    <n v="2239109559"/>
    <x v="7"/>
    <n v="1500"/>
    <x v="0"/>
    <x v="0"/>
    <x v="34"/>
    <x v="7"/>
    <x v="0"/>
    <x v="0"/>
    <x v="1"/>
    <x v="0"/>
  </r>
  <r>
    <x v="0"/>
    <x v="0"/>
    <n v="2239109560"/>
    <x v="6"/>
    <n v="3000"/>
    <x v="0"/>
    <x v="0"/>
    <x v="34"/>
    <x v="6"/>
    <x v="0"/>
    <x v="0"/>
    <x v="5"/>
    <x v="0"/>
  </r>
  <r>
    <x v="0"/>
    <x v="0"/>
    <n v="2239109561"/>
    <x v="2"/>
    <n v="7500"/>
    <x v="0"/>
    <x v="0"/>
    <x v="34"/>
    <x v="2"/>
    <x v="0"/>
    <x v="0"/>
    <x v="2"/>
    <x v="0"/>
  </r>
  <r>
    <x v="0"/>
    <x v="0"/>
    <n v="2239109562"/>
    <x v="2"/>
    <n v="15290"/>
    <x v="0"/>
    <x v="0"/>
    <x v="34"/>
    <x v="2"/>
    <x v="0"/>
    <x v="0"/>
    <x v="2"/>
    <x v="0"/>
  </r>
  <r>
    <x v="0"/>
    <x v="0"/>
    <n v="2239109563"/>
    <x v="5"/>
    <n v="-6100"/>
    <x v="0"/>
    <x v="0"/>
    <x v="34"/>
    <x v="5"/>
    <x v="0"/>
    <x v="0"/>
    <x v="5"/>
    <x v="0"/>
  </r>
  <r>
    <x v="0"/>
    <x v="0"/>
    <n v="2239109563"/>
    <x v="4"/>
    <n v="10500"/>
    <x v="0"/>
    <x v="0"/>
    <x v="34"/>
    <x v="4"/>
    <x v="0"/>
    <x v="0"/>
    <x v="4"/>
    <x v="0"/>
  </r>
  <r>
    <x v="0"/>
    <x v="0"/>
    <n v="2239109564"/>
    <x v="4"/>
    <n v="4400"/>
    <x v="0"/>
    <x v="0"/>
    <x v="34"/>
    <x v="4"/>
    <x v="0"/>
    <x v="0"/>
    <x v="4"/>
    <x v="0"/>
  </r>
  <r>
    <x v="0"/>
    <x v="0"/>
    <n v="2239109565"/>
    <x v="2"/>
    <n v="16500"/>
    <x v="0"/>
    <x v="0"/>
    <x v="34"/>
    <x v="2"/>
    <x v="0"/>
    <x v="0"/>
    <x v="2"/>
    <x v="0"/>
  </r>
  <r>
    <x v="0"/>
    <x v="0"/>
    <n v="2239109566"/>
    <x v="5"/>
    <n v="-4820"/>
    <x v="0"/>
    <x v="0"/>
    <x v="34"/>
    <x v="5"/>
    <x v="0"/>
    <x v="0"/>
    <x v="5"/>
    <x v="0"/>
  </r>
  <r>
    <x v="0"/>
    <x v="0"/>
    <n v="2239109566"/>
    <x v="6"/>
    <n v="20000"/>
    <x v="0"/>
    <x v="0"/>
    <x v="34"/>
    <x v="6"/>
    <x v="0"/>
    <x v="0"/>
    <x v="5"/>
    <x v="0"/>
  </r>
  <r>
    <x v="0"/>
    <x v="0"/>
    <n v="2239109566"/>
    <x v="7"/>
    <n v="10120"/>
    <x v="0"/>
    <x v="0"/>
    <x v="34"/>
    <x v="7"/>
    <x v="0"/>
    <x v="0"/>
    <x v="1"/>
    <x v="0"/>
  </r>
  <r>
    <x v="0"/>
    <x v="0"/>
    <n v="2239109568"/>
    <x v="7"/>
    <n v="1500"/>
    <x v="0"/>
    <x v="0"/>
    <x v="34"/>
    <x v="7"/>
    <x v="0"/>
    <x v="0"/>
    <x v="1"/>
    <x v="0"/>
  </r>
  <r>
    <x v="0"/>
    <x v="0"/>
    <n v="2239109569"/>
    <x v="4"/>
    <n v="1000"/>
    <x v="0"/>
    <x v="0"/>
    <x v="34"/>
    <x v="4"/>
    <x v="0"/>
    <x v="0"/>
    <x v="4"/>
    <x v="0"/>
  </r>
  <r>
    <x v="0"/>
    <x v="0"/>
    <n v="2239109570"/>
    <x v="5"/>
    <n v="-4300"/>
    <x v="0"/>
    <x v="0"/>
    <x v="34"/>
    <x v="5"/>
    <x v="0"/>
    <x v="0"/>
    <x v="5"/>
    <x v="0"/>
  </r>
  <r>
    <x v="0"/>
    <x v="0"/>
    <n v="2239109570"/>
    <x v="4"/>
    <n v="10000"/>
    <x v="0"/>
    <x v="0"/>
    <x v="34"/>
    <x v="4"/>
    <x v="0"/>
    <x v="0"/>
    <x v="4"/>
    <x v="0"/>
  </r>
  <r>
    <x v="0"/>
    <x v="0"/>
    <n v="2239109571"/>
    <x v="2"/>
    <n v="10000"/>
    <x v="0"/>
    <x v="0"/>
    <x v="34"/>
    <x v="2"/>
    <x v="0"/>
    <x v="0"/>
    <x v="2"/>
    <x v="0"/>
  </r>
  <r>
    <x v="0"/>
    <x v="0"/>
    <n v="2239109572"/>
    <x v="1"/>
    <n v="1140"/>
    <x v="0"/>
    <x v="0"/>
    <x v="34"/>
    <x v="1"/>
    <x v="0"/>
    <x v="0"/>
    <x v="1"/>
    <x v="0"/>
  </r>
  <r>
    <x v="0"/>
    <x v="0"/>
    <n v="2239109575"/>
    <x v="7"/>
    <n v="7500"/>
    <x v="0"/>
    <x v="0"/>
    <x v="34"/>
    <x v="7"/>
    <x v="0"/>
    <x v="0"/>
    <x v="1"/>
    <x v="0"/>
  </r>
  <r>
    <x v="0"/>
    <x v="0"/>
    <n v="2239109576"/>
    <x v="7"/>
    <n v="8000"/>
    <x v="0"/>
    <x v="0"/>
    <x v="34"/>
    <x v="7"/>
    <x v="0"/>
    <x v="0"/>
    <x v="1"/>
    <x v="0"/>
  </r>
  <r>
    <x v="0"/>
    <x v="0"/>
    <n v="2239109577"/>
    <x v="7"/>
    <n v="1500"/>
    <x v="0"/>
    <x v="0"/>
    <x v="34"/>
    <x v="7"/>
    <x v="0"/>
    <x v="0"/>
    <x v="1"/>
    <x v="0"/>
  </r>
  <r>
    <x v="0"/>
    <x v="0"/>
    <n v="2239109578"/>
    <x v="5"/>
    <n v="-3500"/>
    <x v="0"/>
    <x v="0"/>
    <x v="34"/>
    <x v="5"/>
    <x v="0"/>
    <x v="0"/>
    <x v="5"/>
    <x v="0"/>
  </r>
  <r>
    <x v="0"/>
    <x v="0"/>
    <n v="2239109578"/>
    <x v="6"/>
    <n v="10000"/>
    <x v="0"/>
    <x v="0"/>
    <x v="34"/>
    <x v="6"/>
    <x v="0"/>
    <x v="0"/>
    <x v="5"/>
    <x v="0"/>
  </r>
  <r>
    <x v="0"/>
    <x v="0"/>
    <n v="2239109580"/>
    <x v="5"/>
    <n v="-5825"/>
    <x v="0"/>
    <x v="0"/>
    <x v="34"/>
    <x v="5"/>
    <x v="0"/>
    <x v="0"/>
    <x v="5"/>
    <x v="0"/>
  </r>
  <r>
    <x v="0"/>
    <x v="0"/>
    <n v="2239109580"/>
    <x v="6"/>
    <n v="20000"/>
    <x v="0"/>
    <x v="0"/>
    <x v="34"/>
    <x v="6"/>
    <x v="0"/>
    <x v="0"/>
    <x v="5"/>
    <x v="0"/>
  </r>
  <r>
    <x v="0"/>
    <x v="0"/>
    <n v="2239109581"/>
    <x v="2"/>
    <n v="6500"/>
    <x v="0"/>
    <x v="0"/>
    <x v="34"/>
    <x v="2"/>
    <x v="0"/>
    <x v="0"/>
    <x v="2"/>
    <x v="0"/>
  </r>
  <r>
    <x v="0"/>
    <x v="0"/>
    <n v="2239109582"/>
    <x v="2"/>
    <n v="13000"/>
    <x v="0"/>
    <x v="0"/>
    <x v="34"/>
    <x v="2"/>
    <x v="0"/>
    <x v="0"/>
    <x v="2"/>
    <x v="0"/>
  </r>
  <r>
    <x v="0"/>
    <x v="0"/>
    <n v="2239109583"/>
    <x v="5"/>
    <n v="-1640"/>
    <x v="0"/>
    <x v="0"/>
    <x v="34"/>
    <x v="5"/>
    <x v="0"/>
    <x v="0"/>
    <x v="5"/>
    <x v="0"/>
  </r>
  <r>
    <x v="0"/>
    <x v="0"/>
    <n v="2239109583"/>
    <x v="6"/>
    <n v="155000"/>
    <x v="0"/>
    <x v="0"/>
    <x v="34"/>
    <x v="6"/>
    <x v="0"/>
    <x v="0"/>
    <x v="5"/>
    <x v="0"/>
  </r>
  <r>
    <x v="0"/>
    <x v="0"/>
    <n v="2239109584"/>
    <x v="5"/>
    <n v="-3500"/>
    <x v="0"/>
    <x v="0"/>
    <x v="34"/>
    <x v="5"/>
    <x v="0"/>
    <x v="0"/>
    <x v="5"/>
    <x v="0"/>
  </r>
  <r>
    <x v="0"/>
    <x v="0"/>
    <n v="2239109584"/>
    <x v="6"/>
    <n v="10000"/>
    <x v="0"/>
    <x v="0"/>
    <x v="34"/>
    <x v="6"/>
    <x v="0"/>
    <x v="0"/>
    <x v="5"/>
    <x v="0"/>
  </r>
  <r>
    <x v="0"/>
    <x v="0"/>
    <n v="2239109585"/>
    <x v="1"/>
    <n v="1950"/>
    <x v="0"/>
    <x v="0"/>
    <x v="34"/>
    <x v="1"/>
    <x v="0"/>
    <x v="0"/>
    <x v="1"/>
    <x v="0"/>
  </r>
  <r>
    <x v="0"/>
    <x v="0"/>
    <n v="2239109586"/>
    <x v="5"/>
    <n v="-5600"/>
    <x v="0"/>
    <x v="0"/>
    <x v="34"/>
    <x v="5"/>
    <x v="0"/>
    <x v="0"/>
    <x v="5"/>
    <x v="0"/>
  </r>
  <r>
    <x v="0"/>
    <x v="0"/>
    <n v="2239109586"/>
    <x v="4"/>
    <n v="10000"/>
    <x v="0"/>
    <x v="0"/>
    <x v="34"/>
    <x v="4"/>
    <x v="0"/>
    <x v="0"/>
    <x v="4"/>
    <x v="0"/>
  </r>
  <r>
    <x v="0"/>
    <x v="0"/>
    <n v="2239109588"/>
    <x v="2"/>
    <n v="13000"/>
    <x v="0"/>
    <x v="0"/>
    <x v="34"/>
    <x v="2"/>
    <x v="0"/>
    <x v="0"/>
    <x v="2"/>
    <x v="0"/>
  </r>
  <r>
    <x v="0"/>
    <x v="0"/>
    <n v="2239109589"/>
    <x v="5"/>
    <n v="-2640"/>
    <x v="0"/>
    <x v="0"/>
    <x v="34"/>
    <x v="5"/>
    <x v="0"/>
    <x v="0"/>
    <x v="5"/>
    <x v="0"/>
  </r>
  <r>
    <x v="0"/>
    <x v="0"/>
    <n v="2239109589"/>
    <x v="6"/>
    <n v="20000"/>
    <x v="0"/>
    <x v="0"/>
    <x v="34"/>
    <x v="6"/>
    <x v="0"/>
    <x v="0"/>
    <x v="5"/>
    <x v="0"/>
  </r>
  <r>
    <x v="0"/>
    <x v="0"/>
    <n v="2239109590"/>
    <x v="6"/>
    <n v="3000"/>
    <x v="0"/>
    <x v="0"/>
    <x v="34"/>
    <x v="6"/>
    <x v="0"/>
    <x v="0"/>
    <x v="5"/>
    <x v="0"/>
  </r>
  <r>
    <x v="0"/>
    <x v="0"/>
    <n v="2239109591"/>
    <x v="2"/>
    <n v="16800"/>
    <x v="0"/>
    <x v="0"/>
    <x v="34"/>
    <x v="2"/>
    <x v="0"/>
    <x v="0"/>
    <x v="2"/>
    <x v="0"/>
  </r>
  <r>
    <x v="0"/>
    <x v="0"/>
    <n v="2239109592"/>
    <x v="5"/>
    <n v="-4300"/>
    <x v="0"/>
    <x v="0"/>
    <x v="34"/>
    <x v="5"/>
    <x v="0"/>
    <x v="0"/>
    <x v="5"/>
    <x v="0"/>
  </r>
  <r>
    <x v="0"/>
    <x v="0"/>
    <n v="2239109592"/>
    <x v="4"/>
    <n v="10000"/>
    <x v="0"/>
    <x v="0"/>
    <x v="34"/>
    <x v="4"/>
    <x v="0"/>
    <x v="0"/>
    <x v="4"/>
    <x v="0"/>
  </r>
  <r>
    <x v="0"/>
    <x v="0"/>
    <n v="2239109593"/>
    <x v="2"/>
    <n v="13000"/>
    <x v="0"/>
    <x v="0"/>
    <x v="34"/>
    <x v="2"/>
    <x v="0"/>
    <x v="0"/>
    <x v="2"/>
    <x v="0"/>
  </r>
  <r>
    <x v="0"/>
    <x v="0"/>
    <n v="2239109594"/>
    <x v="5"/>
    <n v="-14800"/>
    <x v="0"/>
    <x v="0"/>
    <x v="34"/>
    <x v="5"/>
    <x v="0"/>
    <x v="0"/>
    <x v="5"/>
    <x v="0"/>
  </r>
  <r>
    <x v="0"/>
    <x v="0"/>
    <n v="2239109594"/>
    <x v="6"/>
    <n v="20000"/>
    <x v="0"/>
    <x v="0"/>
    <x v="34"/>
    <x v="6"/>
    <x v="0"/>
    <x v="0"/>
    <x v="5"/>
    <x v="0"/>
  </r>
  <r>
    <x v="0"/>
    <x v="0"/>
    <n v="2239109594"/>
    <x v="7"/>
    <n v="1300"/>
    <x v="0"/>
    <x v="0"/>
    <x v="34"/>
    <x v="7"/>
    <x v="0"/>
    <x v="0"/>
    <x v="1"/>
    <x v="0"/>
  </r>
  <r>
    <x v="0"/>
    <x v="0"/>
    <n v="2239109595"/>
    <x v="5"/>
    <n v="-10500"/>
    <x v="0"/>
    <x v="0"/>
    <x v="34"/>
    <x v="5"/>
    <x v="0"/>
    <x v="0"/>
    <x v="5"/>
    <x v="0"/>
  </r>
  <r>
    <x v="0"/>
    <x v="0"/>
    <n v="2239109595"/>
    <x v="6"/>
    <n v="20000"/>
    <x v="0"/>
    <x v="0"/>
    <x v="34"/>
    <x v="6"/>
    <x v="0"/>
    <x v="0"/>
    <x v="5"/>
    <x v="0"/>
  </r>
  <r>
    <x v="0"/>
    <x v="0"/>
    <n v="2239109596"/>
    <x v="5"/>
    <n v="-7100"/>
    <x v="0"/>
    <x v="0"/>
    <x v="34"/>
    <x v="5"/>
    <x v="0"/>
    <x v="0"/>
    <x v="5"/>
    <x v="0"/>
  </r>
  <r>
    <x v="0"/>
    <x v="0"/>
    <n v="2239109596"/>
    <x v="6"/>
    <n v="75000"/>
    <x v="0"/>
    <x v="0"/>
    <x v="34"/>
    <x v="6"/>
    <x v="0"/>
    <x v="0"/>
    <x v="5"/>
    <x v="0"/>
  </r>
  <r>
    <x v="0"/>
    <x v="0"/>
    <n v="2239109597"/>
    <x v="2"/>
    <n v="6500"/>
    <x v="0"/>
    <x v="0"/>
    <x v="34"/>
    <x v="2"/>
    <x v="0"/>
    <x v="0"/>
    <x v="2"/>
    <x v="0"/>
  </r>
  <r>
    <x v="0"/>
    <x v="0"/>
    <n v="2239109598"/>
    <x v="7"/>
    <n v="9000"/>
    <x v="0"/>
    <x v="0"/>
    <x v="34"/>
    <x v="7"/>
    <x v="0"/>
    <x v="0"/>
    <x v="1"/>
    <x v="0"/>
  </r>
  <r>
    <x v="0"/>
    <x v="0"/>
    <n v="2239109599"/>
    <x v="2"/>
    <n v="3500"/>
    <x v="0"/>
    <x v="0"/>
    <x v="34"/>
    <x v="2"/>
    <x v="0"/>
    <x v="0"/>
    <x v="2"/>
    <x v="0"/>
  </r>
  <r>
    <x v="0"/>
    <x v="0"/>
    <n v="2239109600"/>
    <x v="5"/>
    <n v="-1000"/>
    <x v="0"/>
    <x v="0"/>
    <x v="34"/>
    <x v="5"/>
    <x v="0"/>
    <x v="0"/>
    <x v="5"/>
    <x v="0"/>
  </r>
  <r>
    <x v="0"/>
    <x v="0"/>
    <n v="2239109600"/>
    <x v="6"/>
    <n v="5000"/>
    <x v="0"/>
    <x v="0"/>
    <x v="34"/>
    <x v="6"/>
    <x v="0"/>
    <x v="0"/>
    <x v="5"/>
    <x v="0"/>
  </r>
  <r>
    <x v="0"/>
    <x v="0"/>
    <n v="2239109601"/>
    <x v="5"/>
    <n v="-300"/>
    <x v="0"/>
    <x v="0"/>
    <x v="34"/>
    <x v="5"/>
    <x v="0"/>
    <x v="0"/>
    <x v="5"/>
    <x v="0"/>
  </r>
  <r>
    <x v="0"/>
    <x v="0"/>
    <n v="2239109601"/>
    <x v="4"/>
    <n v="6000"/>
    <x v="0"/>
    <x v="0"/>
    <x v="34"/>
    <x v="4"/>
    <x v="0"/>
    <x v="0"/>
    <x v="4"/>
    <x v="0"/>
  </r>
  <r>
    <x v="0"/>
    <x v="0"/>
    <n v="2239109602"/>
    <x v="4"/>
    <n v="1000"/>
    <x v="0"/>
    <x v="0"/>
    <x v="34"/>
    <x v="4"/>
    <x v="0"/>
    <x v="0"/>
    <x v="4"/>
    <x v="0"/>
  </r>
  <r>
    <x v="0"/>
    <x v="0"/>
    <n v="2239109603"/>
    <x v="5"/>
    <n v="-4700"/>
    <x v="0"/>
    <x v="0"/>
    <x v="34"/>
    <x v="5"/>
    <x v="0"/>
    <x v="0"/>
    <x v="5"/>
    <x v="0"/>
  </r>
  <r>
    <x v="0"/>
    <x v="0"/>
    <n v="2239109603"/>
    <x v="4"/>
    <n v="10000"/>
    <x v="0"/>
    <x v="0"/>
    <x v="34"/>
    <x v="4"/>
    <x v="0"/>
    <x v="0"/>
    <x v="4"/>
    <x v="0"/>
  </r>
  <r>
    <x v="0"/>
    <x v="0"/>
    <n v="2239109604"/>
    <x v="2"/>
    <n v="9500"/>
    <x v="0"/>
    <x v="0"/>
    <x v="34"/>
    <x v="2"/>
    <x v="0"/>
    <x v="0"/>
    <x v="2"/>
    <x v="0"/>
  </r>
  <r>
    <x v="0"/>
    <x v="0"/>
    <n v="2239109605"/>
    <x v="5"/>
    <n v="-450"/>
    <x v="0"/>
    <x v="0"/>
    <x v="34"/>
    <x v="5"/>
    <x v="0"/>
    <x v="0"/>
    <x v="5"/>
    <x v="0"/>
  </r>
  <r>
    <x v="0"/>
    <x v="0"/>
    <n v="2239109605"/>
    <x v="6"/>
    <n v="5000"/>
    <x v="0"/>
    <x v="0"/>
    <x v="34"/>
    <x v="6"/>
    <x v="0"/>
    <x v="0"/>
    <x v="5"/>
    <x v="0"/>
  </r>
  <r>
    <x v="0"/>
    <x v="0"/>
    <n v="2239109605"/>
    <x v="7"/>
    <n v="1950"/>
    <x v="0"/>
    <x v="0"/>
    <x v="34"/>
    <x v="7"/>
    <x v="0"/>
    <x v="0"/>
    <x v="1"/>
    <x v="0"/>
  </r>
  <r>
    <x v="0"/>
    <x v="0"/>
    <n v="2239109606"/>
    <x v="7"/>
    <n v="1500"/>
    <x v="0"/>
    <x v="0"/>
    <x v="34"/>
    <x v="7"/>
    <x v="0"/>
    <x v="0"/>
    <x v="1"/>
    <x v="0"/>
  </r>
  <r>
    <x v="0"/>
    <x v="0"/>
    <n v="2239109607"/>
    <x v="1"/>
    <n v="4290"/>
    <x v="0"/>
    <x v="0"/>
    <x v="34"/>
    <x v="1"/>
    <x v="0"/>
    <x v="0"/>
    <x v="1"/>
    <x v="0"/>
  </r>
  <r>
    <x v="0"/>
    <x v="0"/>
    <n v="2239109608"/>
    <x v="7"/>
    <n v="1500"/>
    <x v="0"/>
    <x v="0"/>
    <x v="34"/>
    <x v="7"/>
    <x v="0"/>
    <x v="0"/>
    <x v="1"/>
    <x v="0"/>
  </r>
  <r>
    <x v="0"/>
    <x v="0"/>
    <n v="2239109609"/>
    <x v="5"/>
    <n v="-4700"/>
    <x v="0"/>
    <x v="0"/>
    <x v="34"/>
    <x v="5"/>
    <x v="0"/>
    <x v="0"/>
    <x v="5"/>
    <x v="0"/>
  </r>
  <r>
    <x v="0"/>
    <x v="0"/>
    <n v="2239109609"/>
    <x v="4"/>
    <n v="10000"/>
    <x v="0"/>
    <x v="0"/>
    <x v="34"/>
    <x v="4"/>
    <x v="0"/>
    <x v="0"/>
    <x v="4"/>
    <x v="0"/>
  </r>
  <r>
    <x v="0"/>
    <x v="0"/>
    <n v="2239109611"/>
    <x v="2"/>
    <n v="3800"/>
    <x v="0"/>
    <x v="0"/>
    <x v="34"/>
    <x v="2"/>
    <x v="0"/>
    <x v="0"/>
    <x v="2"/>
    <x v="0"/>
  </r>
  <r>
    <x v="0"/>
    <x v="0"/>
    <n v="2239109612"/>
    <x v="1"/>
    <n v="1350"/>
    <x v="0"/>
    <x v="0"/>
    <x v="34"/>
    <x v="1"/>
    <x v="0"/>
    <x v="0"/>
    <x v="1"/>
    <x v="0"/>
  </r>
  <r>
    <x v="0"/>
    <x v="0"/>
    <n v="2239109613"/>
    <x v="5"/>
    <n v="-770"/>
    <x v="0"/>
    <x v="0"/>
    <x v="34"/>
    <x v="5"/>
    <x v="0"/>
    <x v="0"/>
    <x v="5"/>
    <x v="0"/>
  </r>
  <r>
    <x v="0"/>
    <x v="0"/>
    <n v="2239109613"/>
    <x v="6"/>
    <n v="21000"/>
    <x v="0"/>
    <x v="0"/>
    <x v="34"/>
    <x v="6"/>
    <x v="0"/>
    <x v="0"/>
    <x v="5"/>
    <x v="0"/>
  </r>
  <r>
    <x v="0"/>
    <x v="0"/>
    <n v="2239109615"/>
    <x v="5"/>
    <n v="-4700"/>
    <x v="0"/>
    <x v="0"/>
    <x v="34"/>
    <x v="5"/>
    <x v="0"/>
    <x v="0"/>
    <x v="5"/>
    <x v="0"/>
  </r>
  <r>
    <x v="0"/>
    <x v="0"/>
    <n v="2239109615"/>
    <x v="4"/>
    <n v="10000"/>
    <x v="0"/>
    <x v="0"/>
    <x v="34"/>
    <x v="4"/>
    <x v="0"/>
    <x v="0"/>
    <x v="4"/>
    <x v="0"/>
  </r>
  <r>
    <x v="0"/>
    <x v="0"/>
    <n v="2239109617"/>
    <x v="3"/>
    <n v="6300"/>
    <x v="0"/>
    <x v="0"/>
    <x v="34"/>
    <x v="3"/>
    <x v="0"/>
    <x v="0"/>
    <x v="3"/>
    <x v="0"/>
  </r>
  <r>
    <x v="0"/>
    <x v="0"/>
    <n v="2239109619"/>
    <x v="2"/>
    <n v="24750"/>
    <x v="0"/>
    <x v="0"/>
    <x v="34"/>
    <x v="2"/>
    <x v="0"/>
    <x v="0"/>
    <x v="2"/>
    <x v="0"/>
  </r>
  <r>
    <x v="0"/>
    <x v="0"/>
    <n v="2239114848"/>
    <x v="1"/>
    <n v="8550"/>
    <x v="0"/>
    <x v="0"/>
    <x v="35"/>
    <x v="1"/>
    <x v="0"/>
    <x v="0"/>
    <x v="1"/>
    <x v="0"/>
  </r>
  <r>
    <x v="0"/>
    <x v="0"/>
    <n v="2239114852"/>
    <x v="1"/>
    <n v="4500"/>
    <x v="0"/>
    <x v="0"/>
    <x v="35"/>
    <x v="1"/>
    <x v="0"/>
    <x v="0"/>
    <x v="1"/>
    <x v="0"/>
  </r>
  <r>
    <x v="0"/>
    <x v="0"/>
    <n v="2239114855"/>
    <x v="1"/>
    <n v="12270"/>
    <x v="0"/>
    <x v="0"/>
    <x v="35"/>
    <x v="1"/>
    <x v="0"/>
    <x v="0"/>
    <x v="1"/>
    <x v="0"/>
  </r>
  <r>
    <x v="0"/>
    <x v="0"/>
    <n v="2239114856"/>
    <x v="1"/>
    <n v="4500"/>
    <x v="0"/>
    <x v="0"/>
    <x v="35"/>
    <x v="1"/>
    <x v="0"/>
    <x v="0"/>
    <x v="1"/>
    <x v="0"/>
  </r>
  <r>
    <x v="0"/>
    <x v="0"/>
    <n v="2239114860"/>
    <x v="6"/>
    <n v="0"/>
    <x v="0"/>
    <x v="0"/>
    <x v="35"/>
    <x v="6"/>
    <x v="0"/>
    <x v="0"/>
    <x v="5"/>
    <x v="0"/>
  </r>
  <r>
    <x v="0"/>
    <x v="0"/>
    <n v="2239114860"/>
    <x v="7"/>
    <n v="0"/>
    <x v="0"/>
    <x v="0"/>
    <x v="35"/>
    <x v="7"/>
    <x v="0"/>
    <x v="0"/>
    <x v="1"/>
    <x v="0"/>
  </r>
  <r>
    <x v="0"/>
    <x v="0"/>
    <n v="2239114865"/>
    <x v="2"/>
    <n v="3000"/>
    <x v="0"/>
    <x v="0"/>
    <x v="35"/>
    <x v="2"/>
    <x v="0"/>
    <x v="0"/>
    <x v="2"/>
    <x v="0"/>
  </r>
  <r>
    <x v="0"/>
    <x v="0"/>
    <n v="2239114866"/>
    <x v="1"/>
    <n v="3540"/>
    <x v="0"/>
    <x v="0"/>
    <x v="35"/>
    <x v="1"/>
    <x v="0"/>
    <x v="0"/>
    <x v="1"/>
    <x v="0"/>
  </r>
  <r>
    <x v="0"/>
    <x v="0"/>
    <n v="2239114868"/>
    <x v="6"/>
    <n v="16700"/>
    <x v="0"/>
    <x v="0"/>
    <x v="35"/>
    <x v="6"/>
    <x v="0"/>
    <x v="0"/>
    <x v="5"/>
    <x v="0"/>
  </r>
  <r>
    <x v="0"/>
    <x v="0"/>
    <n v="2239114869"/>
    <x v="6"/>
    <n v="10000"/>
    <x v="0"/>
    <x v="0"/>
    <x v="35"/>
    <x v="6"/>
    <x v="0"/>
    <x v="0"/>
    <x v="5"/>
    <x v="0"/>
  </r>
  <r>
    <x v="0"/>
    <x v="0"/>
    <n v="2239114869"/>
    <x v="7"/>
    <n v="2500"/>
    <x v="0"/>
    <x v="0"/>
    <x v="35"/>
    <x v="7"/>
    <x v="0"/>
    <x v="0"/>
    <x v="1"/>
    <x v="0"/>
  </r>
  <r>
    <x v="0"/>
    <x v="0"/>
    <n v="2239114870"/>
    <x v="1"/>
    <n v="3300"/>
    <x v="0"/>
    <x v="0"/>
    <x v="35"/>
    <x v="1"/>
    <x v="0"/>
    <x v="0"/>
    <x v="1"/>
    <x v="0"/>
  </r>
  <r>
    <x v="0"/>
    <x v="0"/>
    <n v="2239114871"/>
    <x v="1"/>
    <n v="7620"/>
    <x v="0"/>
    <x v="0"/>
    <x v="35"/>
    <x v="1"/>
    <x v="0"/>
    <x v="0"/>
    <x v="1"/>
    <x v="0"/>
  </r>
  <r>
    <x v="0"/>
    <x v="0"/>
    <n v="2239114873"/>
    <x v="7"/>
    <n v="1500"/>
    <x v="0"/>
    <x v="0"/>
    <x v="35"/>
    <x v="7"/>
    <x v="0"/>
    <x v="0"/>
    <x v="1"/>
    <x v="0"/>
  </r>
  <r>
    <x v="0"/>
    <x v="0"/>
    <n v="2239114874"/>
    <x v="7"/>
    <n v="1500"/>
    <x v="0"/>
    <x v="0"/>
    <x v="35"/>
    <x v="7"/>
    <x v="0"/>
    <x v="0"/>
    <x v="1"/>
    <x v="0"/>
  </r>
  <r>
    <x v="0"/>
    <x v="0"/>
    <n v="2239114876"/>
    <x v="5"/>
    <n v="-14700"/>
    <x v="0"/>
    <x v="0"/>
    <x v="35"/>
    <x v="5"/>
    <x v="0"/>
    <x v="0"/>
    <x v="5"/>
    <x v="0"/>
  </r>
  <r>
    <x v="0"/>
    <x v="0"/>
    <n v="2239114876"/>
    <x v="4"/>
    <n v="20000"/>
    <x v="0"/>
    <x v="0"/>
    <x v="35"/>
    <x v="4"/>
    <x v="0"/>
    <x v="0"/>
    <x v="4"/>
    <x v="0"/>
  </r>
  <r>
    <x v="0"/>
    <x v="0"/>
    <n v="2239114877"/>
    <x v="3"/>
    <n v="34540"/>
    <x v="0"/>
    <x v="0"/>
    <x v="35"/>
    <x v="3"/>
    <x v="0"/>
    <x v="0"/>
    <x v="3"/>
    <x v="0"/>
  </r>
  <r>
    <x v="0"/>
    <x v="0"/>
    <n v="2239114878"/>
    <x v="5"/>
    <n v="-1000"/>
    <x v="0"/>
    <x v="0"/>
    <x v="35"/>
    <x v="5"/>
    <x v="0"/>
    <x v="0"/>
    <x v="5"/>
    <x v="0"/>
  </r>
  <r>
    <x v="0"/>
    <x v="0"/>
    <n v="2239114878"/>
    <x v="4"/>
    <n v="5400"/>
    <x v="0"/>
    <x v="0"/>
    <x v="35"/>
    <x v="4"/>
    <x v="0"/>
    <x v="0"/>
    <x v="4"/>
    <x v="0"/>
  </r>
  <r>
    <x v="0"/>
    <x v="0"/>
    <n v="2239114879"/>
    <x v="6"/>
    <n v="3000"/>
    <x v="0"/>
    <x v="0"/>
    <x v="35"/>
    <x v="6"/>
    <x v="0"/>
    <x v="0"/>
    <x v="5"/>
    <x v="0"/>
  </r>
  <r>
    <x v="0"/>
    <x v="0"/>
    <n v="2239114880"/>
    <x v="5"/>
    <n v="-4000"/>
    <x v="0"/>
    <x v="0"/>
    <x v="35"/>
    <x v="5"/>
    <x v="0"/>
    <x v="0"/>
    <x v="5"/>
    <x v="0"/>
  </r>
  <r>
    <x v="0"/>
    <x v="0"/>
    <n v="2239114880"/>
    <x v="6"/>
    <n v="10000"/>
    <x v="0"/>
    <x v="0"/>
    <x v="35"/>
    <x v="6"/>
    <x v="0"/>
    <x v="0"/>
    <x v="5"/>
    <x v="0"/>
  </r>
  <r>
    <x v="0"/>
    <x v="0"/>
    <n v="2239114881"/>
    <x v="2"/>
    <n v="11000"/>
    <x v="0"/>
    <x v="0"/>
    <x v="35"/>
    <x v="2"/>
    <x v="0"/>
    <x v="0"/>
    <x v="2"/>
    <x v="0"/>
  </r>
  <r>
    <x v="0"/>
    <x v="0"/>
    <n v="2239114882"/>
    <x v="2"/>
    <n v="4180"/>
    <x v="0"/>
    <x v="0"/>
    <x v="35"/>
    <x v="2"/>
    <x v="0"/>
    <x v="0"/>
    <x v="2"/>
    <x v="0"/>
  </r>
  <r>
    <x v="0"/>
    <x v="0"/>
    <n v="2239114883"/>
    <x v="7"/>
    <n v="1500"/>
    <x v="0"/>
    <x v="0"/>
    <x v="35"/>
    <x v="7"/>
    <x v="0"/>
    <x v="0"/>
    <x v="1"/>
    <x v="0"/>
  </r>
  <r>
    <x v="0"/>
    <x v="0"/>
    <n v="2239114884"/>
    <x v="8"/>
    <n v="22308"/>
    <x v="0"/>
    <x v="0"/>
    <x v="35"/>
    <x v="8"/>
    <x v="0"/>
    <x v="0"/>
    <x v="3"/>
    <x v="0"/>
  </r>
  <r>
    <x v="0"/>
    <x v="0"/>
    <n v="2239114885"/>
    <x v="5"/>
    <n v="-15640"/>
    <x v="0"/>
    <x v="0"/>
    <x v="35"/>
    <x v="5"/>
    <x v="0"/>
    <x v="0"/>
    <x v="5"/>
    <x v="0"/>
  </r>
  <r>
    <x v="0"/>
    <x v="0"/>
    <n v="2239114885"/>
    <x v="6"/>
    <n v="90000"/>
    <x v="0"/>
    <x v="0"/>
    <x v="35"/>
    <x v="6"/>
    <x v="0"/>
    <x v="0"/>
    <x v="5"/>
    <x v="0"/>
  </r>
  <r>
    <x v="0"/>
    <x v="0"/>
    <n v="2239114886"/>
    <x v="1"/>
    <n v="900"/>
    <x v="0"/>
    <x v="0"/>
    <x v="35"/>
    <x v="1"/>
    <x v="0"/>
    <x v="0"/>
    <x v="1"/>
    <x v="0"/>
  </r>
  <r>
    <x v="0"/>
    <x v="0"/>
    <n v="2239114887"/>
    <x v="5"/>
    <n v="-2600"/>
    <x v="0"/>
    <x v="0"/>
    <x v="35"/>
    <x v="5"/>
    <x v="0"/>
    <x v="0"/>
    <x v="5"/>
    <x v="0"/>
  </r>
  <r>
    <x v="0"/>
    <x v="0"/>
    <n v="2239114887"/>
    <x v="6"/>
    <n v="25000"/>
    <x v="0"/>
    <x v="0"/>
    <x v="35"/>
    <x v="6"/>
    <x v="0"/>
    <x v="0"/>
    <x v="5"/>
    <x v="0"/>
  </r>
  <r>
    <x v="0"/>
    <x v="0"/>
    <n v="2239114889"/>
    <x v="2"/>
    <n v="4180"/>
    <x v="0"/>
    <x v="0"/>
    <x v="35"/>
    <x v="2"/>
    <x v="0"/>
    <x v="0"/>
    <x v="2"/>
    <x v="0"/>
  </r>
  <r>
    <x v="0"/>
    <x v="0"/>
    <n v="2239114890"/>
    <x v="2"/>
    <n v="32890"/>
    <x v="0"/>
    <x v="0"/>
    <x v="35"/>
    <x v="2"/>
    <x v="0"/>
    <x v="0"/>
    <x v="2"/>
    <x v="0"/>
  </r>
  <r>
    <x v="0"/>
    <x v="0"/>
    <n v="2239114891"/>
    <x v="7"/>
    <n v="19500"/>
    <x v="0"/>
    <x v="0"/>
    <x v="35"/>
    <x v="7"/>
    <x v="0"/>
    <x v="0"/>
    <x v="1"/>
    <x v="0"/>
  </r>
  <r>
    <x v="0"/>
    <x v="0"/>
    <n v="2239114892"/>
    <x v="2"/>
    <n v="36190"/>
    <x v="0"/>
    <x v="0"/>
    <x v="35"/>
    <x v="2"/>
    <x v="0"/>
    <x v="0"/>
    <x v="2"/>
    <x v="0"/>
  </r>
  <r>
    <x v="0"/>
    <x v="0"/>
    <n v="2239114893"/>
    <x v="2"/>
    <n v="9900"/>
    <x v="0"/>
    <x v="0"/>
    <x v="35"/>
    <x v="2"/>
    <x v="0"/>
    <x v="0"/>
    <x v="2"/>
    <x v="0"/>
  </r>
  <r>
    <x v="0"/>
    <x v="0"/>
    <n v="2239114894"/>
    <x v="2"/>
    <n v="8690"/>
    <x v="0"/>
    <x v="0"/>
    <x v="35"/>
    <x v="2"/>
    <x v="0"/>
    <x v="0"/>
    <x v="2"/>
    <x v="0"/>
  </r>
  <r>
    <x v="0"/>
    <x v="0"/>
    <n v="2239114895"/>
    <x v="5"/>
    <n v="-14000"/>
    <x v="0"/>
    <x v="0"/>
    <x v="35"/>
    <x v="5"/>
    <x v="0"/>
    <x v="0"/>
    <x v="5"/>
    <x v="0"/>
  </r>
  <r>
    <x v="0"/>
    <x v="0"/>
    <n v="2239114895"/>
    <x v="6"/>
    <n v="20000"/>
    <x v="0"/>
    <x v="0"/>
    <x v="35"/>
    <x v="6"/>
    <x v="0"/>
    <x v="0"/>
    <x v="5"/>
    <x v="0"/>
  </r>
  <r>
    <x v="0"/>
    <x v="0"/>
    <n v="2239114896"/>
    <x v="2"/>
    <n v="48070"/>
    <x v="0"/>
    <x v="0"/>
    <x v="35"/>
    <x v="2"/>
    <x v="0"/>
    <x v="0"/>
    <x v="2"/>
    <x v="0"/>
  </r>
  <r>
    <x v="0"/>
    <x v="0"/>
    <n v="2239114897"/>
    <x v="2"/>
    <n v="74140"/>
    <x v="0"/>
    <x v="0"/>
    <x v="35"/>
    <x v="2"/>
    <x v="0"/>
    <x v="0"/>
    <x v="2"/>
    <x v="0"/>
  </r>
  <r>
    <x v="0"/>
    <x v="0"/>
    <n v="2239114898"/>
    <x v="7"/>
    <n v="1500"/>
    <x v="0"/>
    <x v="0"/>
    <x v="35"/>
    <x v="7"/>
    <x v="0"/>
    <x v="0"/>
    <x v="1"/>
    <x v="0"/>
  </r>
  <r>
    <x v="0"/>
    <x v="0"/>
    <n v="2239114899"/>
    <x v="5"/>
    <n v="-8000"/>
    <x v="0"/>
    <x v="0"/>
    <x v="35"/>
    <x v="5"/>
    <x v="0"/>
    <x v="0"/>
    <x v="5"/>
    <x v="0"/>
  </r>
  <r>
    <x v="0"/>
    <x v="0"/>
    <n v="2239114899"/>
    <x v="6"/>
    <n v="10000"/>
    <x v="0"/>
    <x v="0"/>
    <x v="35"/>
    <x v="6"/>
    <x v="0"/>
    <x v="0"/>
    <x v="5"/>
    <x v="0"/>
  </r>
  <r>
    <x v="0"/>
    <x v="0"/>
    <n v="2239114900"/>
    <x v="3"/>
    <n v="37631"/>
    <x v="0"/>
    <x v="0"/>
    <x v="35"/>
    <x v="3"/>
    <x v="0"/>
    <x v="0"/>
    <x v="3"/>
    <x v="0"/>
  </r>
  <r>
    <x v="0"/>
    <x v="0"/>
    <n v="2239114901"/>
    <x v="2"/>
    <n v="30250"/>
    <x v="0"/>
    <x v="0"/>
    <x v="35"/>
    <x v="2"/>
    <x v="0"/>
    <x v="0"/>
    <x v="2"/>
    <x v="0"/>
  </r>
  <r>
    <x v="0"/>
    <x v="0"/>
    <n v="2239114902"/>
    <x v="2"/>
    <n v="30000"/>
    <x v="0"/>
    <x v="0"/>
    <x v="35"/>
    <x v="2"/>
    <x v="0"/>
    <x v="0"/>
    <x v="2"/>
    <x v="0"/>
  </r>
  <r>
    <x v="0"/>
    <x v="0"/>
    <n v="2239114903"/>
    <x v="5"/>
    <n v="-300"/>
    <x v="0"/>
    <x v="0"/>
    <x v="35"/>
    <x v="5"/>
    <x v="0"/>
    <x v="0"/>
    <x v="5"/>
    <x v="0"/>
  </r>
  <r>
    <x v="0"/>
    <x v="0"/>
    <n v="2239114903"/>
    <x v="4"/>
    <n v="6000"/>
    <x v="0"/>
    <x v="0"/>
    <x v="35"/>
    <x v="4"/>
    <x v="0"/>
    <x v="0"/>
    <x v="4"/>
    <x v="0"/>
  </r>
  <r>
    <x v="0"/>
    <x v="0"/>
    <n v="2239114904"/>
    <x v="3"/>
    <n v="16000"/>
    <x v="0"/>
    <x v="0"/>
    <x v="35"/>
    <x v="3"/>
    <x v="0"/>
    <x v="0"/>
    <x v="3"/>
    <x v="0"/>
  </r>
  <r>
    <x v="0"/>
    <x v="0"/>
    <n v="2239114905"/>
    <x v="2"/>
    <n v="35200"/>
    <x v="0"/>
    <x v="0"/>
    <x v="35"/>
    <x v="2"/>
    <x v="0"/>
    <x v="0"/>
    <x v="2"/>
    <x v="0"/>
  </r>
  <r>
    <x v="0"/>
    <x v="0"/>
    <n v="2239114906"/>
    <x v="5"/>
    <n v="-3000"/>
    <x v="0"/>
    <x v="0"/>
    <x v="35"/>
    <x v="5"/>
    <x v="0"/>
    <x v="0"/>
    <x v="5"/>
    <x v="0"/>
  </r>
  <r>
    <x v="0"/>
    <x v="0"/>
    <n v="2239114906"/>
    <x v="6"/>
    <n v="10000"/>
    <x v="0"/>
    <x v="0"/>
    <x v="35"/>
    <x v="6"/>
    <x v="0"/>
    <x v="0"/>
    <x v="5"/>
    <x v="0"/>
  </r>
  <r>
    <x v="0"/>
    <x v="0"/>
    <n v="2239114907"/>
    <x v="8"/>
    <n v="14000"/>
    <x v="0"/>
    <x v="0"/>
    <x v="35"/>
    <x v="8"/>
    <x v="0"/>
    <x v="0"/>
    <x v="3"/>
    <x v="0"/>
  </r>
  <r>
    <x v="0"/>
    <x v="0"/>
    <n v="2239114908"/>
    <x v="2"/>
    <n v="55800"/>
    <x v="0"/>
    <x v="0"/>
    <x v="35"/>
    <x v="2"/>
    <x v="0"/>
    <x v="0"/>
    <x v="2"/>
    <x v="0"/>
  </r>
  <r>
    <x v="0"/>
    <x v="0"/>
    <n v="2239114909"/>
    <x v="1"/>
    <n v="4050"/>
    <x v="0"/>
    <x v="0"/>
    <x v="35"/>
    <x v="1"/>
    <x v="0"/>
    <x v="0"/>
    <x v="1"/>
    <x v="0"/>
  </r>
  <r>
    <x v="0"/>
    <x v="0"/>
    <n v="2239114910"/>
    <x v="3"/>
    <n v="5000"/>
    <x v="0"/>
    <x v="0"/>
    <x v="35"/>
    <x v="3"/>
    <x v="0"/>
    <x v="0"/>
    <x v="3"/>
    <x v="0"/>
  </r>
  <r>
    <x v="0"/>
    <x v="0"/>
    <n v="2239114911"/>
    <x v="2"/>
    <n v="8250"/>
    <x v="0"/>
    <x v="0"/>
    <x v="35"/>
    <x v="2"/>
    <x v="0"/>
    <x v="0"/>
    <x v="2"/>
    <x v="0"/>
  </r>
  <r>
    <x v="0"/>
    <x v="0"/>
    <n v="2239114912"/>
    <x v="5"/>
    <n v="-1400"/>
    <x v="0"/>
    <x v="0"/>
    <x v="35"/>
    <x v="5"/>
    <x v="0"/>
    <x v="0"/>
    <x v="5"/>
    <x v="0"/>
  </r>
  <r>
    <x v="0"/>
    <x v="0"/>
    <n v="2239114912"/>
    <x v="4"/>
    <n v="7000"/>
    <x v="0"/>
    <x v="0"/>
    <x v="35"/>
    <x v="4"/>
    <x v="0"/>
    <x v="0"/>
    <x v="4"/>
    <x v="0"/>
  </r>
  <r>
    <x v="0"/>
    <x v="0"/>
    <n v="2239114913"/>
    <x v="3"/>
    <n v="196856"/>
    <x v="0"/>
    <x v="0"/>
    <x v="35"/>
    <x v="3"/>
    <x v="0"/>
    <x v="0"/>
    <x v="3"/>
    <x v="0"/>
  </r>
  <r>
    <x v="0"/>
    <x v="0"/>
    <n v="2239114914"/>
    <x v="7"/>
    <n v="1500"/>
    <x v="0"/>
    <x v="0"/>
    <x v="35"/>
    <x v="7"/>
    <x v="0"/>
    <x v="0"/>
    <x v="1"/>
    <x v="0"/>
  </r>
  <r>
    <x v="0"/>
    <x v="0"/>
    <n v="2239114915"/>
    <x v="6"/>
    <n v="3000"/>
    <x v="0"/>
    <x v="0"/>
    <x v="35"/>
    <x v="6"/>
    <x v="0"/>
    <x v="0"/>
    <x v="5"/>
    <x v="0"/>
  </r>
  <r>
    <x v="0"/>
    <x v="0"/>
    <n v="2239114917"/>
    <x v="2"/>
    <n v="31020"/>
    <x v="0"/>
    <x v="0"/>
    <x v="35"/>
    <x v="2"/>
    <x v="0"/>
    <x v="0"/>
    <x v="2"/>
    <x v="0"/>
  </r>
  <r>
    <x v="0"/>
    <x v="0"/>
    <n v="2239114918"/>
    <x v="5"/>
    <n v="-10100"/>
    <x v="0"/>
    <x v="0"/>
    <x v="35"/>
    <x v="5"/>
    <x v="0"/>
    <x v="0"/>
    <x v="5"/>
    <x v="0"/>
  </r>
  <r>
    <x v="0"/>
    <x v="0"/>
    <n v="2239114918"/>
    <x v="6"/>
    <n v="20000"/>
    <x v="0"/>
    <x v="0"/>
    <x v="35"/>
    <x v="6"/>
    <x v="0"/>
    <x v="0"/>
    <x v="5"/>
    <x v="0"/>
  </r>
  <r>
    <x v="0"/>
    <x v="0"/>
    <n v="2239114919"/>
    <x v="7"/>
    <n v="1500"/>
    <x v="0"/>
    <x v="0"/>
    <x v="35"/>
    <x v="7"/>
    <x v="0"/>
    <x v="0"/>
    <x v="1"/>
    <x v="0"/>
  </r>
  <r>
    <x v="0"/>
    <x v="0"/>
    <n v="2239114920"/>
    <x v="2"/>
    <n v="58300"/>
    <x v="0"/>
    <x v="0"/>
    <x v="35"/>
    <x v="2"/>
    <x v="0"/>
    <x v="0"/>
    <x v="2"/>
    <x v="0"/>
  </r>
  <r>
    <x v="0"/>
    <x v="0"/>
    <n v="2239114921"/>
    <x v="5"/>
    <n v="-5000"/>
    <x v="0"/>
    <x v="0"/>
    <x v="35"/>
    <x v="5"/>
    <x v="0"/>
    <x v="0"/>
    <x v="5"/>
    <x v="0"/>
  </r>
  <r>
    <x v="0"/>
    <x v="0"/>
    <n v="2239114921"/>
    <x v="4"/>
    <n v="10300"/>
    <x v="0"/>
    <x v="0"/>
    <x v="35"/>
    <x v="4"/>
    <x v="0"/>
    <x v="0"/>
    <x v="4"/>
    <x v="0"/>
  </r>
  <r>
    <x v="0"/>
    <x v="0"/>
    <n v="2239114922"/>
    <x v="5"/>
    <n v="-1740"/>
    <x v="0"/>
    <x v="0"/>
    <x v="35"/>
    <x v="5"/>
    <x v="0"/>
    <x v="0"/>
    <x v="5"/>
    <x v="0"/>
  </r>
  <r>
    <x v="0"/>
    <x v="0"/>
    <n v="2239114922"/>
    <x v="6"/>
    <n v="30000"/>
    <x v="0"/>
    <x v="0"/>
    <x v="35"/>
    <x v="6"/>
    <x v="0"/>
    <x v="0"/>
    <x v="5"/>
    <x v="0"/>
  </r>
  <r>
    <x v="0"/>
    <x v="0"/>
    <n v="2239114923"/>
    <x v="2"/>
    <n v="45100"/>
    <x v="0"/>
    <x v="0"/>
    <x v="35"/>
    <x v="2"/>
    <x v="0"/>
    <x v="0"/>
    <x v="2"/>
    <x v="0"/>
  </r>
  <r>
    <x v="0"/>
    <x v="0"/>
    <n v="2239114924"/>
    <x v="2"/>
    <n v="14500"/>
    <x v="0"/>
    <x v="0"/>
    <x v="35"/>
    <x v="2"/>
    <x v="0"/>
    <x v="0"/>
    <x v="2"/>
    <x v="0"/>
  </r>
  <r>
    <x v="0"/>
    <x v="0"/>
    <n v="2239114925"/>
    <x v="7"/>
    <n v="1500"/>
    <x v="0"/>
    <x v="0"/>
    <x v="35"/>
    <x v="7"/>
    <x v="0"/>
    <x v="0"/>
    <x v="1"/>
    <x v="0"/>
  </r>
  <r>
    <x v="0"/>
    <x v="0"/>
    <n v="2239114926"/>
    <x v="6"/>
    <n v="6500"/>
    <x v="0"/>
    <x v="0"/>
    <x v="35"/>
    <x v="6"/>
    <x v="0"/>
    <x v="0"/>
    <x v="5"/>
    <x v="0"/>
  </r>
  <r>
    <x v="0"/>
    <x v="0"/>
    <n v="2239114927"/>
    <x v="5"/>
    <n v="-100"/>
    <x v="0"/>
    <x v="0"/>
    <x v="35"/>
    <x v="5"/>
    <x v="0"/>
    <x v="0"/>
    <x v="5"/>
    <x v="0"/>
  </r>
  <r>
    <x v="0"/>
    <x v="0"/>
    <n v="2239114927"/>
    <x v="6"/>
    <n v="30000"/>
    <x v="0"/>
    <x v="0"/>
    <x v="35"/>
    <x v="6"/>
    <x v="0"/>
    <x v="0"/>
    <x v="5"/>
    <x v="0"/>
  </r>
  <r>
    <x v="0"/>
    <x v="0"/>
    <n v="2239114928"/>
    <x v="8"/>
    <n v="41580"/>
    <x v="0"/>
    <x v="0"/>
    <x v="35"/>
    <x v="8"/>
    <x v="0"/>
    <x v="0"/>
    <x v="3"/>
    <x v="0"/>
  </r>
  <r>
    <x v="0"/>
    <x v="0"/>
    <n v="2239114929"/>
    <x v="2"/>
    <n v="30690"/>
    <x v="0"/>
    <x v="0"/>
    <x v="35"/>
    <x v="2"/>
    <x v="0"/>
    <x v="0"/>
    <x v="2"/>
    <x v="0"/>
  </r>
  <r>
    <x v="0"/>
    <x v="0"/>
    <n v="2239114930"/>
    <x v="2"/>
    <n v="34540"/>
    <x v="0"/>
    <x v="0"/>
    <x v="35"/>
    <x v="2"/>
    <x v="0"/>
    <x v="0"/>
    <x v="2"/>
    <x v="0"/>
  </r>
  <r>
    <x v="0"/>
    <x v="0"/>
    <n v="2239114931"/>
    <x v="3"/>
    <n v="53570"/>
    <x v="0"/>
    <x v="0"/>
    <x v="35"/>
    <x v="3"/>
    <x v="0"/>
    <x v="0"/>
    <x v="3"/>
    <x v="0"/>
  </r>
  <r>
    <x v="0"/>
    <x v="0"/>
    <n v="2239114932"/>
    <x v="2"/>
    <n v="7500"/>
    <x v="0"/>
    <x v="0"/>
    <x v="35"/>
    <x v="2"/>
    <x v="0"/>
    <x v="0"/>
    <x v="2"/>
    <x v="0"/>
  </r>
  <r>
    <x v="0"/>
    <x v="0"/>
    <n v="2239114933"/>
    <x v="5"/>
    <n v="-2100"/>
    <x v="0"/>
    <x v="0"/>
    <x v="35"/>
    <x v="5"/>
    <x v="0"/>
    <x v="0"/>
    <x v="5"/>
    <x v="0"/>
  </r>
  <r>
    <x v="0"/>
    <x v="0"/>
    <n v="2239114933"/>
    <x v="6"/>
    <n v="21000"/>
    <x v="0"/>
    <x v="0"/>
    <x v="35"/>
    <x v="6"/>
    <x v="0"/>
    <x v="0"/>
    <x v="5"/>
    <x v="0"/>
  </r>
  <r>
    <x v="0"/>
    <x v="0"/>
    <n v="2239114935"/>
    <x v="2"/>
    <n v="43681"/>
    <x v="0"/>
    <x v="0"/>
    <x v="35"/>
    <x v="2"/>
    <x v="0"/>
    <x v="0"/>
    <x v="2"/>
    <x v="0"/>
  </r>
  <r>
    <x v="0"/>
    <x v="0"/>
    <n v="2239114936"/>
    <x v="5"/>
    <n v="-6000"/>
    <x v="0"/>
    <x v="0"/>
    <x v="35"/>
    <x v="5"/>
    <x v="0"/>
    <x v="0"/>
    <x v="5"/>
    <x v="0"/>
  </r>
  <r>
    <x v="0"/>
    <x v="0"/>
    <n v="2239114936"/>
    <x v="6"/>
    <n v="10000"/>
    <x v="0"/>
    <x v="0"/>
    <x v="35"/>
    <x v="6"/>
    <x v="0"/>
    <x v="0"/>
    <x v="5"/>
    <x v="0"/>
  </r>
  <r>
    <x v="0"/>
    <x v="0"/>
    <n v="2239114937"/>
    <x v="7"/>
    <n v="1500"/>
    <x v="0"/>
    <x v="0"/>
    <x v="35"/>
    <x v="7"/>
    <x v="0"/>
    <x v="0"/>
    <x v="1"/>
    <x v="0"/>
  </r>
  <r>
    <x v="0"/>
    <x v="0"/>
    <n v="2239114939"/>
    <x v="2"/>
    <n v="37312"/>
    <x v="0"/>
    <x v="0"/>
    <x v="35"/>
    <x v="2"/>
    <x v="0"/>
    <x v="0"/>
    <x v="2"/>
    <x v="0"/>
  </r>
  <r>
    <x v="0"/>
    <x v="0"/>
    <n v="2239114940"/>
    <x v="2"/>
    <n v="13950"/>
    <x v="0"/>
    <x v="0"/>
    <x v="35"/>
    <x v="2"/>
    <x v="0"/>
    <x v="0"/>
    <x v="2"/>
    <x v="0"/>
  </r>
  <r>
    <x v="0"/>
    <x v="0"/>
    <n v="2239114940"/>
    <x v="7"/>
    <n v="1550"/>
    <x v="0"/>
    <x v="0"/>
    <x v="35"/>
    <x v="7"/>
    <x v="0"/>
    <x v="0"/>
    <x v="1"/>
    <x v="0"/>
  </r>
  <r>
    <x v="0"/>
    <x v="0"/>
    <n v="2239114941"/>
    <x v="5"/>
    <n v="-17600"/>
    <x v="0"/>
    <x v="0"/>
    <x v="35"/>
    <x v="5"/>
    <x v="0"/>
    <x v="0"/>
    <x v="5"/>
    <x v="0"/>
  </r>
  <r>
    <x v="0"/>
    <x v="0"/>
    <n v="2239114941"/>
    <x v="6"/>
    <n v="60000"/>
    <x v="0"/>
    <x v="0"/>
    <x v="35"/>
    <x v="6"/>
    <x v="0"/>
    <x v="0"/>
    <x v="5"/>
    <x v="0"/>
  </r>
  <r>
    <x v="0"/>
    <x v="0"/>
    <n v="2239114942"/>
    <x v="2"/>
    <n v="35640"/>
    <x v="0"/>
    <x v="0"/>
    <x v="35"/>
    <x v="2"/>
    <x v="0"/>
    <x v="0"/>
    <x v="2"/>
    <x v="0"/>
  </r>
  <r>
    <x v="0"/>
    <x v="0"/>
    <n v="2239114943"/>
    <x v="7"/>
    <n v="1500"/>
    <x v="0"/>
    <x v="0"/>
    <x v="35"/>
    <x v="7"/>
    <x v="0"/>
    <x v="0"/>
    <x v="1"/>
    <x v="0"/>
  </r>
  <r>
    <x v="0"/>
    <x v="0"/>
    <n v="2239114944"/>
    <x v="2"/>
    <n v="19000"/>
    <x v="0"/>
    <x v="0"/>
    <x v="35"/>
    <x v="2"/>
    <x v="0"/>
    <x v="0"/>
    <x v="2"/>
    <x v="0"/>
  </r>
  <r>
    <x v="0"/>
    <x v="0"/>
    <n v="2239114945"/>
    <x v="5"/>
    <n v="-5000"/>
    <x v="0"/>
    <x v="0"/>
    <x v="35"/>
    <x v="5"/>
    <x v="0"/>
    <x v="0"/>
    <x v="5"/>
    <x v="0"/>
  </r>
  <r>
    <x v="0"/>
    <x v="0"/>
    <n v="2239114945"/>
    <x v="6"/>
    <n v="10000"/>
    <x v="0"/>
    <x v="0"/>
    <x v="35"/>
    <x v="6"/>
    <x v="0"/>
    <x v="0"/>
    <x v="5"/>
    <x v="0"/>
  </r>
  <r>
    <x v="0"/>
    <x v="0"/>
    <n v="2239114946"/>
    <x v="2"/>
    <n v="15000"/>
    <x v="0"/>
    <x v="0"/>
    <x v="35"/>
    <x v="2"/>
    <x v="0"/>
    <x v="0"/>
    <x v="2"/>
    <x v="0"/>
  </r>
  <r>
    <x v="0"/>
    <x v="0"/>
    <n v="2239114947"/>
    <x v="2"/>
    <n v="102300"/>
    <x v="0"/>
    <x v="0"/>
    <x v="35"/>
    <x v="2"/>
    <x v="0"/>
    <x v="0"/>
    <x v="2"/>
    <x v="0"/>
  </r>
  <r>
    <x v="0"/>
    <x v="0"/>
    <n v="2239114948"/>
    <x v="2"/>
    <n v="6600"/>
    <x v="0"/>
    <x v="0"/>
    <x v="35"/>
    <x v="2"/>
    <x v="0"/>
    <x v="0"/>
    <x v="2"/>
    <x v="0"/>
  </r>
  <r>
    <x v="0"/>
    <x v="0"/>
    <n v="2239114949"/>
    <x v="5"/>
    <n v="-2980"/>
    <x v="0"/>
    <x v="0"/>
    <x v="35"/>
    <x v="5"/>
    <x v="0"/>
    <x v="0"/>
    <x v="5"/>
    <x v="0"/>
  </r>
  <r>
    <x v="0"/>
    <x v="0"/>
    <n v="2239114949"/>
    <x v="6"/>
    <n v="120000"/>
    <x v="0"/>
    <x v="0"/>
    <x v="35"/>
    <x v="6"/>
    <x v="0"/>
    <x v="0"/>
    <x v="5"/>
    <x v="0"/>
  </r>
  <r>
    <x v="0"/>
    <x v="0"/>
    <n v="2239114949"/>
    <x v="2"/>
    <n v="12780"/>
    <x v="0"/>
    <x v="0"/>
    <x v="35"/>
    <x v="2"/>
    <x v="0"/>
    <x v="0"/>
    <x v="2"/>
    <x v="0"/>
  </r>
  <r>
    <x v="0"/>
    <x v="0"/>
    <n v="2239114950"/>
    <x v="5"/>
    <n v="-3700"/>
    <x v="0"/>
    <x v="0"/>
    <x v="35"/>
    <x v="5"/>
    <x v="0"/>
    <x v="0"/>
    <x v="5"/>
    <x v="0"/>
  </r>
  <r>
    <x v="0"/>
    <x v="0"/>
    <n v="2239114950"/>
    <x v="6"/>
    <n v="10000"/>
    <x v="0"/>
    <x v="0"/>
    <x v="35"/>
    <x v="6"/>
    <x v="0"/>
    <x v="0"/>
    <x v="5"/>
    <x v="0"/>
  </r>
  <r>
    <x v="0"/>
    <x v="0"/>
    <n v="2239114951"/>
    <x v="6"/>
    <n v="6000"/>
    <x v="0"/>
    <x v="0"/>
    <x v="35"/>
    <x v="6"/>
    <x v="0"/>
    <x v="0"/>
    <x v="5"/>
    <x v="0"/>
  </r>
  <r>
    <x v="0"/>
    <x v="0"/>
    <n v="2239114952"/>
    <x v="3"/>
    <n v="25600"/>
    <x v="0"/>
    <x v="0"/>
    <x v="35"/>
    <x v="3"/>
    <x v="0"/>
    <x v="0"/>
    <x v="3"/>
    <x v="0"/>
  </r>
  <r>
    <x v="0"/>
    <x v="0"/>
    <n v="2239114953"/>
    <x v="2"/>
    <n v="121550"/>
    <x v="0"/>
    <x v="0"/>
    <x v="35"/>
    <x v="2"/>
    <x v="0"/>
    <x v="0"/>
    <x v="2"/>
    <x v="0"/>
  </r>
  <r>
    <x v="0"/>
    <x v="0"/>
    <n v="2239114954"/>
    <x v="3"/>
    <n v="6000"/>
    <x v="0"/>
    <x v="0"/>
    <x v="35"/>
    <x v="3"/>
    <x v="0"/>
    <x v="0"/>
    <x v="3"/>
    <x v="0"/>
  </r>
  <r>
    <x v="0"/>
    <x v="0"/>
    <n v="2239114955"/>
    <x v="6"/>
    <n v="12000"/>
    <x v="0"/>
    <x v="0"/>
    <x v="35"/>
    <x v="6"/>
    <x v="0"/>
    <x v="0"/>
    <x v="5"/>
    <x v="0"/>
  </r>
  <r>
    <x v="0"/>
    <x v="0"/>
    <n v="2239114956"/>
    <x v="2"/>
    <n v="13750"/>
    <x v="0"/>
    <x v="0"/>
    <x v="35"/>
    <x v="2"/>
    <x v="0"/>
    <x v="0"/>
    <x v="2"/>
    <x v="0"/>
  </r>
  <r>
    <x v="0"/>
    <x v="0"/>
    <n v="2239114957"/>
    <x v="4"/>
    <n v="5300"/>
    <x v="0"/>
    <x v="0"/>
    <x v="35"/>
    <x v="4"/>
    <x v="0"/>
    <x v="0"/>
    <x v="4"/>
    <x v="0"/>
  </r>
  <r>
    <x v="0"/>
    <x v="0"/>
    <n v="2239114958"/>
    <x v="3"/>
    <n v="3000"/>
    <x v="0"/>
    <x v="0"/>
    <x v="35"/>
    <x v="3"/>
    <x v="0"/>
    <x v="0"/>
    <x v="3"/>
    <x v="0"/>
  </r>
  <r>
    <x v="0"/>
    <x v="0"/>
    <n v="2239114959"/>
    <x v="2"/>
    <n v="3000"/>
    <x v="0"/>
    <x v="0"/>
    <x v="35"/>
    <x v="2"/>
    <x v="0"/>
    <x v="0"/>
    <x v="2"/>
    <x v="0"/>
  </r>
  <r>
    <x v="0"/>
    <x v="0"/>
    <n v="2239114960"/>
    <x v="5"/>
    <n v="-10570"/>
    <x v="0"/>
    <x v="0"/>
    <x v="35"/>
    <x v="5"/>
    <x v="0"/>
    <x v="0"/>
    <x v="5"/>
    <x v="0"/>
  </r>
  <r>
    <x v="0"/>
    <x v="0"/>
    <n v="2239114960"/>
    <x v="6"/>
    <n v="40000"/>
    <x v="0"/>
    <x v="0"/>
    <x v="35"/>
    <x v="6"/>
    <x v="0"/>
    <x v="0"/>
    <x v="5"/>
    <x v="0"/>
  </r>
  <r>
    <x v="0"/>
    <x v="0"/>
    <n v="2239114961"/>
    <x v="2"/>
    <n v="6500"/>
    <x v="0"/>
    <x v="0"/>
    <x v="35"/>
    <x v="2"/>
    <x v="0"/>
    <x v="0"/>
    <x v="2"/>
    <x v="0"/>
  </r>
  <r>
    <x v="0"/>
    <x v="0"/>
    <n v="2239114962"/>
    <x v="2"/>
    <n v="211200"/>
    <x v="0"/>
    <x v="0"/>
    <x v="35"/>
    <x v="2"/>
    <x v="0"/>
    <x v="0"/>
    <x v="2"/>
    <x v="0"/>
  </r>
  <r>
    <x v="0"/>
    <x v="0"/>
    <n v="2239114963"/>
    <x v="1"/>
    <n v="900"/>
    <x v="0"/>
    <x v="0"/>
    <x v="35"/>
    <x v="1"/>
    <x v="0"/>
    <x v="0"/>
    <x v="1"/>
    <x v="0"/>
  </r>
  <r>
    <x v="0"/>
    <x v="0"/>
    <n v="2239114964"/>
    <x v="2"/>
    <n v="18000"/>
    <x v="0"/>
    <x v="0"/>
    <x v="35"/>
    <x v="2"/>
    <x v="0"/>
    <x v="0"/>
    <x v="2"/>
    <x v="0"/>
  </r>
  <r>
    <x v="0"/>
    <x v="0"/>
    <n v="2239114965"/>
    <x v="1"/>
    <n v="6600"/>
    <x v="0"/>
    <x v="0"/>
    <x v="35"/>
    <x v="1"/>
    <x v="0"/>
    <x v="0"/>
    <x v="1"/>
    <x v="0"/>
  </r>
  <r>
    <x v="0"/>
    <x v="0"/>
    <n v="2239114966"/>
    <x v="2"/>
    <n v="14000"/>
    <x v="0"/>
    <x v="0"/>
    <x v="35"/>
    <x v="2"/>
    <x v="0"/>
    <x v="0"/>
    <x v="2"/>
    <x v="0"/>
  </r>
  <r>
    <x v="0"/>
    <x v="0"/>
    <n v="2239114968"/>
    <x v="5"/>
    <n v="-2500"/>
    <x v="0"/>
    <x v="0"/>
    <x v="35"/>
    <x v="5"/>
    <x v="0"/>
    <x v="0"/>
    <x v="5"/>
    <x v="0"/>
  </r>
  <r>
    <x v="0"/>
    <x v="0"/>
    <n v="2239114968"/>
    <x v="6"/>
    <n v="10000"/>
    <x v="0"/>
    <x v="0"/>
    <x v="35"/>
    <x v="6"/>
    <x v="0"/>
    <x v="0"/>
    <x v="5"/>
    <x v="0"/>
  </r>
  <r>
    <x v="0"/>
    <x v="0"/>
    <n v="2239114969"/>
    <x v="2"/>
    <n v="15000"/>
    <x v="0"/>
    <x v="0"/>
    <x v="35"/>
    <x v="2"/>
    <x v="0"/>
    <x v="0"/>
    <x v="2"/>
    <x v="0"/>
  </r>
  <r>
    <x v="0"/>
    <x v="0"/>
    <n v="2239114970"/>
    <x v="3"/>
    <n v="47190"/>
    <x v="0"/>
    <x v="0"/>
    <x v="35"/>
    <x v="3"/>
    <x v="0"/>
    <x v="0"/>
    <x v="3"/>
    <x v="0"/>
  </r>
  <r>
    <x v="0"/>
    <x v="0"/>
    <n v="2239114971"/>
    <x v="1"/>
    <n v="1800"/>
    <x v="0"/>
    <x v="0"/>
    <x v="35"/>
    <x v="1"/>
    <x v="0"/>
    <x v="0"/>
    <x v="1"/>
    <x v="0"/>
  </r>
  <r>
    <x v="0"/>
    <x v="0"/>
    <n v="2239114972"/>
    <x v="5"/>
    <n v="-1000"/>
    <x v="0"/>
    <x v="0"/>
    <x v="35"/>
    <x v="5"/>
    <x v="0"/>
    <x v="0"/>
    <x v="5"/>
    <x v="0"/>
  </r>
  <r>
    <x v="0"/>
    <x v="0"/>
    <n v="2239114972"/>
    <x v="6"/>
    <n v="5000"/>
    <x v="0"/>
    <x v="0"/>
    <x v="35"/>
    <x v="6"/>
    <x v="0"/>
    <x v="0"/>
    <x v="5"/>
    <x v="0"/>
  </r>
  <r>
    <x v="0"/>
    <x v="0"/>
    <n v="2239114973"/>
    <x v="5"/>
    <n v="-14000"/>
    <x v="0"/>
    <x v="0"/>
    <x v="35"/>
    <x v="5"/>
    <x v="0"/>
    <x v="0"/>
    <x v="5"/>
    <x v="0"/>
  </r>
  <r>
    <x v="0"/>
    <x v="0"/>
    <n v="2239114973"/>
    <x v="6"/>
    <n v="20650"/>
    <x v="0"/>
    <x v="0"/>
    <x v="35"/>
    <x v="6"/>
    <x v="0"/>
    <x v="0"/>
    <x v="5"/>
    <x v="0"/>
  </r>
  <r>
    <x v="0"/>
    <x v="0"/>
    <n v="2239114974"/>
    <x v="2"/>
    <n v="27940"/>
    <x v="0"/>
    <x v="0"/>
    <x v="35"/>
    <x v="2"/>
    <x v="0"/>
    <x v="0"/>
    <x v="2"/>
    <x v="0"/>
  </r>
  <r>
    <x v="0"/>
    <x v="0"/>
    <n v="2239114975"/>
    <x v="6"/>
    <n v="6650"/>
    <x v="0"/>
    <x v="0"/>
    <x v="35"/>
    <x v="6"/>
    <x v="0"/>
    <x v="0"/>
    <x v="5"/>
    <x v="0"/>
  </r>
  <r>
    <x v="0"/>
    <x v="0"/>
    <n v="2239114976"/>
    <x v="5"/>
    <n v="-2500"/>
    <x v="0"/>
    <x v="0"/>
    <x v="35"/>
    <x v="5"/>
    <x v="0"/>
    <x v="0"/>
    <x v="5"/>
    <x v="0"/>
  </r>
  <r>
    <x v="0"/>
    <x v="0"/>
    <n v="2239114976"/>
    <x v="6"/>
    <n v="10000"/>
    <x v="0"/>
    <x v="0"/>
    <x v="35"/>
    <x v="6"/>
    <x v="0"/>
    <x v="0"/>
    <x v="5"/>
    <x v="0"/>
  </r>
  <r>
    <x v="0"/>
    <x v="0"/>
    <n v="2239114977"/>
    <x v="2"/>
    <n v="14190"/>
    <x v="0"/>
    <x v="0"/>
    <x v="35"/>
    <x v="2"/>
    <x v="0"/>
    <x v="0"/>
    <x v="2"/>
    <x v="0"/>
  </r>
  <r>
    <x v="0"/>
    <x v="0"/>
    <n v="2239114978"/>
    <x v="2"/>
    <n v="26010"/>
    <x v="0"/>
    <x v="0"/>
    <x v="35"/>
    <x v="2"/>
    <x v="0"/>
    <x v="0"/>
    <x v="2"/>
    <x v="0"/>
  </r>
  <r>
    <x v="0"/>
    <x v="0"/>
    <n v="2239114979"/>
    <x v="5"/>
    <n v="-13500"/>
    <x v="0"/>
    <x v="0"/>
    <x v="35"/>
    <x v="5"/>
    <x v="0"/>
    <x v="0"/>
    <x v="5"/>
    <x v="0"/>
  </r>
  <r>
    <x v="0"/>
    <x v="0"/>
    <n v="2239114979"/>
    <x v="6"/>
    <n v="20000"/>
    <x v="0"/>
    <x v="0"/>
    <x v="35"/>
    <x v="6"/>
    <x v="0"/>
    <x v="0"/>
    <x v="5"/>
    <x v="0"/>
  </r>
  <r>
    <x v="0"/>
    <x v="0"/>
    <n v="2239114980"/>
    <x v="2"/>
    <n v="14740"/>
    <x v="0"/>
    <x v="0"/>
    <x v="35"/>
    <x v="2"/>
    <x v="0"/>
    <x v="0"/>
    <x v="2"/>
    <x v="0"/>
  </r>
  <r>
    <x v="0"/>
    <x v="0"/>
    <n v="2239114981"/>
    <x v="2"/>
    <n v="14300"/>
    <x v="0"/>
    <x v="0"/>
    <x v="35"/>
    <x v="2"/>
    <x v="0"/>
    <x v="0"/>
    <x v="2"/>
    <x v="0"/>
  </r>
  <r>
    <x v="0"/>
    <x v="0"/>
    <n v="2239114982"/>
    <x v="2"/>
    <n v="19800"/>
    <x v="0"/>
    <x v="0"/>
    <x v="35"/>
    <x v="2"/>
    <x v="0"/>
    <x v="0"/>
    <x v="2"/>
    <x v="0"/>
  </r>
  <r>
    <x v="0"/>
    <x v="0"/>
    <n v="2239114983"/>
    <x v="2"/>
    <n v="28050"/>
    <x v="0"/>
    <x v="0"/>
    <x v="35"/>
    <x v="2"/>
    <x v="0"/>
    <x v="0"/>
    <x v="2"/>
    <x v="0"/>
  </r>
  <r>
    <x v="0"/>
    <x v="0"/>
    <n v="2239114984"/>
    <x v="1"/>
    <n v="3750"/>
    <x v="0"/>
    <x v="0"/>
    <x v="35"/>
    <x v="1"/>
    <x v="0"/>
    <x v="0"/>
    <x v="1"/>
    <x v="0"/>
  </r>
  <r>
    <x v="0"/>
    <x v="0"/>
    <n v="2239114986"/>
    <x v="2"/>
    <n v="14000"/>
    <x v="0"/>
    <x v="0"/>
    <x v="35"/>
    <x v="2"/>
    <x v="0"/>
    <x v="0"/>
    <x v="2"/>
    <x v="0"/>
  </r>
  <r>
    <x v="0"/>
    <x v="0"/>
    <n v="2239114987"/>
    <x v="1"/>
    <n v="4500"/>
    <x v="0"/>
    <x v="0"/>
    <x v="35"/>
    <x v="1"/>
    <x v="0"/>
    <x v="0"/>
    <x v="1"/>
    <x v="0"/>
  </r>
  <r>
    <x v="0"/>
    <x v="0"/>
    <n v="2239114988"/>
    <x v="2"/>
    <n v="4950"/>
    <x v="0"/>
    <x v="0"/>
    <x v="35"/>
    <x v="2"/>
    <x v="0"/>
    <x v="0"/>
    <x v="2"/>
    <x v="0"/>
  </r>
  <r>
    <x v="0"/>
    <x v="0"/>
    <n v="2239114989"/>
    <x v="5"/>
    <n v="-1100"/>
    <x v="0"/>
    <x v="0"/>
    <x v="35"/>
    <x v="5"/>
    <x v="0"/>
    <x v="0"/>
    <x v="5"/>
    <x v="0"/>
  </r>
  <r>
    <x v="0"/>
    <x v="0"/>
    <n v="2239114989"/>
    <x v="6"/>
    <n v="20000"/>
    <x v="0"/>
    <x v="0"/>
    <x v="35"/>
    <x v="6"/>
    <x v="0"/>
    <x v="0"/>
    <x v="5"/>
    <x v="0"/>
  </r>
  <r>
    <x v="0"/>
    <x v="0"/>
    <n v="2239114990"/>
    <x v="6"/>
    <n v="5000"/>
    <x v="0"/>
    <x v="0"/>
    <x v="35"/>
    <x v="6"/>
    <x v="0"/>
    <x v="0"/>
    <x v="5"/>
    <x v="0"/>
  </r>
  <r>
    <x v="0"/>
    <x v="0"/>
    <n v="2239114991"/>
    <x v="5"/>
    <n v="-7500"/>
    <x v="0"/>
    <x v="0"/>
    <x v="35"/>
    <x v="5"/>
    <x v="0"/>
    <x v="0"/>
    <x v="5"/>
    <x v="0"/>
  </r>
  <r>
    <x v="0"/>
    <x v="0"/>
    <n v="2239114991"/>
    <x v="6"/>
    <n v="20000"/>
    <x v="0"/>
    <x v="0"/>
    <x v="35"/>
    <x v="6"/>
    <x v="0"/>
    <x v="0"/>
    <x v="5"/>
    <x v="0"/>
  </r>
  <r>
    <x v="0"/>
    <x v="0"/>
    <n v="2239114992"/>
    <x v="6"/>
    <n v="3000"/>
    <x v="0"/>
    <x v="0"/>
    <x v="35"/>
    <x v="6"/>
    <x v="0"/>
    <x v="0"/>
    <x v="5"/>
    <x v="0"/>
  </r>
  <r>
    <x v="0"/>
    <x v="0"/>
    <n v="2239114993"/>
    <x v="3"/>
    <n v="14300"/>
    <x v="0"/>
    <x v="0"/>
    <x v="35"/>
    <x v="3"/>
    <x v="0"/>
    <x v="0"/>
    <x v="3"/>
    <x v="0"/>
  </r>
  <r>
    <x v="0"/>
    <x v="0"/>
    <n v="2239114994"/>
    <x v="5"/>
    <n v="-14700"/>
    <x v="0"/>
    <x v="0"/>
    <x v="35"/>
    <x v="5"/>
    <x v="0"/>
    <x v="0"/>
    <x v="5"/>
    <x v="0"/>
  </r>
  <r>
    <x v="0"/>
    <x v="0"/>
    <n v="2239114994"/>
    <x v="4"/>
    <n v="20000"/>
    <x v="0"/>
    <x v="0"/>
    <x v="35"/>
    <x v="4"/>
    <x v="0"/>
    <x v="0"/>
    <x v="4"/>
    <x v="0"/>
  </r>
  <r>
    <x v="0"/>
    <x v="0"/>
    <n v="2239114995"/>
    <x v="5"/>
    <n v="-1000"/>
    <x v="0"/>
    <x v="0"/>
    <x v="35"/>
    <x v="5"/>
    <x v="0"/>
    <x v="0"/>
    <x v="5"/>
    <x v="0"/>
  </r>
  <r>
    <x v="0"/>
    <x v="0"/>
    <n v="2239114995"/>
    <x v="6"/>
    <n v="10500"/>
    <x v="0"/>
    <x v="0"/>
    <x v="35"/>
    <x v="6"/>
    <x v="0"/>
    <x v="0"/>
    <x v="5"/>
    <x v="0"/>
  </r>
  <r>
    <x v="0"/>
    <x v="0"/>
    <n v="2239114996"/>
    <x v="7"/>
    <n v="1500"/>
    <x v="0"/>
    <x v="0"/>
    <x v="35"/>
    <x v="7"/>
    <x v="0"/>
    <x v="0"/>
    <x v="1"/>
    <x v="0"/>
  </r>
  <r>
    <x v="0"/>
    <x v="0"/>
    <n v="2239114997"/>
    <x v="5"/>
    <n v="-9000"/>
    <x v="0"/>
    <x v="0"/>
    <x v="35"/>
    <x v="5"/>
    <x v="0"/>
    <x v="0"/>
    <x v="5"/>
    <x v="0"/>
  </r>
  <r>
    <x v="0"/>
    <x v="0"/>
    <n v="2239114997"/>
    <x v="6"/>
    <n v="20500"/>
    <x v="0"/>
    <x v="0"/>
    <x v="35"/>
    <x v="6"/>
    <x v="0"/>
    <x v="0"/>
    <x v="5"/>
    <x v="0"/>
  </r>
  <r>
    <x v="0"/>
    <x v="0"/>
    <n v="2239114998"/>
    <x v="2"/>
    <n v="48290"/>
    <x v="0"/>
    <x v="0"/>
    <x v="35"/>
    <x v="2"/>
    <x v="0"/>
    <x v="0"/>
    <x v="2"/>
    <x v="0"/>
  </r>
  <r>
    <x v="0"/>
    <x v="0"/>
    <n v="2239114999"/>
    <x v="6"/>
    <n v="10000"/>
    <x v="0"/>
    <x v="0"/>
    <x v="35"/>
    <x v="6"/>
    <x v="0"/>
    <x v="0"/>
    <x v="5"/>
    <x v="0"/>
  </r>
  <r>
    <x v="0"/>
    <x v="0"/>
    <n v="2239115000"/>
    <x v="2"/>
    <n v="8250"/>
    <x v="0"/>
    <x v="0"/>
    <x v="35"/>
    <x v="2"/>
    <x v="0"/>
    <x v="0"/>
    <x v="2"/>
    <x v="0"/>
  </r>
  <r>
    <x v="0"/>
    <x v="0"/>
    <n v="2239115001"/>
    <x v="2"/>
    <n v="13000"/>
    <x v="0"/>
    <x v="0"/>
    <x v="35"/>
    <x v="2"/>
    <x v="0"/>
    <x v="0"/>
    <x v="2"/>
    <x v="0"/>
  </r>
  <r>
    <x v="0"/>
    <x v="0"/>
    <n v="2239115002"/>
    <x v="3"/>
    <n v="14850"/>
    <x v="0"/>
    <x v="0"/>
    <x v="35"/>
    <x v="3"/>
    <x v="0"/>
    <x v="0"/>
    <x v="3"/>
    <x v="0"/>
  </r>
  <r>
    <x v="0"/>
    <x v="0"/>
    <n v="2239115003"/>
    <x v="2"/>
    <n v="13750"/>
    <x v="0"/>
    <x v="0"/>
    <x v="35"/>
    <x v="2"/>
    <x v="0"/>
    <x v="0"/>
    <x v="2"/>
    <x v="0"/>
  </r>
  <r>
    <x v="0"/>
    <x v="0"/>
    <n v="2239115004"/>
    <x v="2"/>
    <n v="6600"/>
    <x v="0"/>
    <x v="0"/>
    <x v="35"/>
    <x v="2"/>
    <x v="0"/>
    <x v="0"/>
    <x v="2"/>
    <x v="0"/>
  </r>
  <r>
    <x v="0"/>
    <x v="0"/>
    <n v="2239115005"/>
    <x v="5"/>
    <n v="-1000"/>
    <x v="0"/>
    <x v="0"/>
    <x v="35"/>
    <x v="5"/>
    <x v="0"/>
    <x v="0"/>
    <x v="5"/>
    <x v="0"/>
  </r>
  <r>
    <x v="0"/>
    <x v="0"/>
    <n v="2239115005"/>
    <x v="6"/>
    <n v="20000"/>
    <x v="0"/>
    <x v="0"/>
    <x v="35"/>
    <x v="6"/>
    <x v="0"/>
    <x v="0"/>
    <x v="5"/>
    <x v="0"/>
  </r>
  <r>
    <x v="0"/>
    <x v="0"/>
    <n v="2239115006"/>
    <x v="5"/>
    <n v="-1200"/>
    <x v="0"/>
    <x v="0"/>
    <x v="35"/>
    <x v="5"/>
    <x v="0"/>
    <x v="0"/>
    <x v="5"/>
    <x v="0"/>
  </r>
  <r>
    <x v="0"/>
    <x v="0"/>
    <n v="2239115006"/>
    <x v="6"/>
    <n v="5000"/>
    <x v="0"/>
    <x v="0"/>
    <x v="35"/>
    <x v="6"/>
    <x v="0"/>
    <x v="0"/>
    <x v="5"/>
    <x v="0"/>
  </r>
  <r>
    <x v="0"/>
    <x v="0"/>
    <n v="2239115007"/>
    <x v="5"/>
    <n v="-1500"/>
    <x v="0"/>
    <x v="0"/>
    <x v="35"/>
    <x v="5"/>
    <x v="0"/>
    <x v="0"/>
    <x v="5"/>
    <x v="0"/>
  </r>
  <r>
    <x v="0"/>
    <x v="0"/>
    <n v="2239115007"/>
    <x v="6"/>
    <n v="5000"/>
    <x v="0"/>
    <x v="0"/>
    <x v="35"/>
    <x v="6"/>
    <x v="0"/>
    <x v="0"/>
    <x v="5"/>
    <x v="0"/>
  </r>
  <r>
    <x v="0"/>
    <x v="0"/>
    <n v="2239115008"/>
    <x v="2"/>
    <n v="12650"/>
    <x v="0"/>
    <x v="0"/>
    <x v="35"/>
    <x v="2"/>
    <x v="0"/>
    <x v="0"/>
    <x v="2"/>
    <x v="0"/>
  </r>
  <r>
    <x v="0"/>
    <x v="0"/>
    <n v="2239115009"/>
    <x v="5"/>
    <n v="-4000"/>
    <x v="0"/>
    <x v="0"/>
    <x v="35"/>
    <x v="5"/>
    <x v="0"/>
    <x v="0"/>
    <x v="5"/>
    <x v="0"/>
  </r>
  <r>
    <x v="0"/>
    <x v="0"/>
    <n v="2239115009"/>
    <x v="6"/>
    <n v="10500"/>
    <x v="0"/>
    <x v="0"/>
    <x v="35"/>
    <x v="6"/>
    <x v="0"/>
    <x v="0"/>
    <x v="5"/>
    <x v="0"/>
  </r>
  <r>
    <x v="0"/>
    <x v="0"/>
    <n v="2239115010"/>
    <x v="2"/>
    <n v="30250"/>
    <x v="0"/>
    <x v="0"/>
    <x v="35"/>
    <x v="2"/>
    <x v="0"/>
    <x v="0"/>
    <x v="2"/>
    <x v="0"/>
  </r>
  <r>
    <x v="0"/>
    <x v="0"/>
    <n v="2239115011"/>
    <x v="5"/>
    <n v="-7000"/>
    <x v="0"/>
    <x v="0"/>
    <x v="35"/>
    <x v="5"/>
    <x v="0"/>
    <x v="0"/>
    <x v="5"/>
    <x v="0"/>
  </r>
  <r>
    <x v="0"/>
    <x v="0"/>
    <n v="2239115011"/>
    <x v="6"/>
    <n v="20000"/>
    <x v="0"/>
    <x v="0"/>
    <x v="35"/>
    <x v="6"/>
    <x v="0"/>
    <x v="0"/>
    <x v="5"/>
    <x v="0"/>
  </r>
  <r>
    <x v="0"/>
    <x v="0"/>
    <n v="2239115012"/>
    <x v="1"/>
    <n v="25540"/>
    <x v="0"/>
    <x v="0"/>
    <x v="35"/>
    <x v="1"/>
    <x v="0"/>
    <x v="0"/>
    <x v="1"/>
    <x v="0"/>
  </r>
  <r>
    <x v="0"/>
    <x v="0"/>
    <n v="2239115013"/>
    <x v="2"/>
    <n v="11100"/>
    <x v="0"/>
    <x v="0"/>
    <x v="35"/>
    <x v="2"/>
    <x v="0"/>
    <x v="0"/>
    <x v="2"/>
    <x v="0"/>
  </r>
  <r>
    <x v="0"/>
    <x v="0"/>
    <n v="2239115014"/>
    <x v="2"/>
    <n v="16170"/>
    <x v="0"/>
    <x v="0"/>
    <x v="35"/>
    <x v="2"/>
    <x v="0"/>
    <x v="0"/>
    <x v="2"/>
    <x v="0"/>
  </r>
  <r>
    <x v="0"/>
    <x v="0"/>
    <n v="2239115015"/>
    <x v="2"/>
    <n v="6600"/>
    <x v="0"/>
    <x v="0"/>
    <x v="35"/>
    <x v="2"/>
    <x v="0"/>
    <x v="0"/>
    <x v="2"/>
    <x v="0"/>
  </r>
  <r>
    <x v="0"/>
    <x v="0"/>
    <n v="2239115016"/>
    <x v="5"/>
    <n v="-4400"/>
    <x v="0"/>
    <x v="0"/>
    <x v="35"/>
    <x v="5"/>
    <x v="0"/>
    <x v="0"/>
    <x v="5"/>
    <x v="0"/>
  </r>
  <r>
    <x v="0"/>
    <x v="0"/>
    <n v="2239115016"/>
    <x v="4"/>
    <n v="10000"/>
    <x v="0"/>
    <x v="0"/>
    <x v="35"/>
    <x v="4"/>
    <x v="0"/>
    <x v="0"/>
    <x v="4"/>
    <x v="0"/>
  </r>
  <r>
    <x v="0"/>
    <x v="0"/>
    <n v="2239115017"/>
    <x v="2"/>
    <n v="52800"/>
    <x v="0"/>
    <x v="0"/>
    <x v="35"/>
    <x v="2"/>
    <x v="0"/>
    <x v="0"/>
    <x v="2"/>
    <x v="0"/>
  </r>
  <r>
    <x v="0"/>
    <x v="0"/>
    <n v="2239115018"/>
    <x v="2"/>
    <n v="13000"/>
    <x v="0"/>
    <x v="0"/>
    <x v="35"/>
    <x v="2"/>
    <x v="0"/>
    <x v="0"/>
    <x v="2"/>
    <x v="0"/>
  </r>
  <r>
    <x v="0"/>
    <x v="0"/>
    <n v="2239115019"/>
    <x v="1"/>
    <n v="1800"/>
    <x v="0"/>
    <x v="0"/>
    <x v="35"/>
    <x v="1"/>
    <x v="0"/>
    <x v="0"/>
    <x v="1"/>
    <x v="0"/>
  </r>
  <r>
    <x v="0"/>
    <x v="0"/>
    <n v="2239115020"/>
    <x v="2"/>
    <n v="11000"/>
    <x v="0"/>
    <x v="0"/>
    <x v="35"/>
    <x v="2"/>
    <x v="0"/>
    <x v="0"/>
    <x v="2"/>
    <x v="0"/>
  </r>
  <r>
    <x v="0"/>
    <x v="0"/>
    <n v="2239115021"/>
    <x v="1"/>
    <n v="14670"/>
    <x v="0"/>
    <x v="0"/>
    <x v="35"/>
    <x v="1"/>
    <x v="0"/>
    <x v="0"/>
    <x v="1"/>
    <x v="0"/>
  </r>
  <r>
    <x v="0"/>
    <x v="0"/>
    <n v="2239115022"/>
    <x v="2"/>
    <n v="13200"/>
    <x v="0"/>
    <x v="0"/>
    <x v="35"/>
    <x v="2"/>
    <x v="0"/>
    <x v="0"/>
    <x v="2"/>
    <x v="0"/>
  </r>
  <r>
    <x v="0"/>
    <x v="0"/>
    <n v="2239115023"/>
    <x v="5"/>
    <n v="-4200"/>
    <x v="0"/>
    <x v="0"/>
    <x v="35"/>
    <x v="5"/>
    <x v="0"/>
    <x v="0"/>
    <x v="5"/>
    <x v="0"/>
  </r>
  <r>
    <x v="0"/>
    <x v="0"/>
    <n v="2239115023"/>
    <x v="6"/>
    <n v="10000"/>
    <x v="0"/>
    <x v="0"/>
    <x v="35"/>
    <x v="6"/>
    <x v="0"/>
    <x v="0"/>
    <x v="5"/>
    <x v="0"/>
  </r>
  <r>
    <x v="0"/>
    <x v="0"/>
    <n v="2239115023"/>
    <x v="7"/>
    <n v="700"/>
    <x v="0"/>
    <x v="0"/>
    <x v="35"/>
    <x v="7"/>
    <x v="0"/>
    <x v="0"/>
    <x v="1"/>
    <x v="0"/>
  </r>
  <r>
    <x v="0"/>
    <x v="0"/>
    <n v="2239115024"/>
    <x v="2"/>
    <n v="22500"/>
    <x v="0"/>
    <x v="0"/>
    <x v="35"/>
    <x v="2"/>
    <x v="0"/>
    <x v="0"/>
    <x v="2"/>
    <x v="0"/>
  </r>
  <r>
    <x v="0"/>
    <x v="0"/>
    <n v="2239115025"/>
    <x v="2"/>
    <n v="14300"/>
    <x v="0"/>
    <x v="0"/>
    <x v="35"/>
    <x v="2"/>
    <x v="0"/>
    <x v="0"/>
    <x v="2"/>
    <x v="0"/>
  </r>
  <r>
    <x v="0"/>
    <x v="0"/>
    <n v="2239115026"/>
    <x v="2"/>
    <n v="19690"/>
    <x v="0"/>
    <x v="0"/>
    <x v="35"/>
    <x v="2"/>
    <x v="0"/>
    <x v="0"/>
    <x v="2"/>
    <x v="0"/>
  </r>
  <r>
    <x v="0"/>
    <x v="0"/>
    <n v="2239115027"/>
    <x v="2"/>
    <n v="9000"/>
    <x v="0"/>
    <x v="0"/>
    <x v="35"/>
    <x v="2"/>
    <x v="0"/>
    <x v="0"/>
    <x v="2"/>
    <x v="0"/>
  </r>
  <r>
    <x v="0"/>
    <x v="0"/>
    <n v="2239115028"/>
    <x v="5"/>
    <n v="-5300"/>
    <x v="0"/>
    <x v="0"/>
    <x v="35"/>
    <x v="5"/>
    <x v="0"/>
    <x v="0"/>
    <x v="5"/>
    <x v="0"/>
  </r>
  <r>
    <x v="0"/>
    <x v="0"/>
    <n v="2239115028"/>
    <x v="4"/>
    <n v="11000"/>
    <x v="0"/>
    <x v="0"/>
    <x v="35"/>
    <x v="4"/>
    <x v="0"/>
    <x v="0"/>
    <x v="4"/>
    <x v="0"/>
  </r>
  <r>
    <x v="0"/>
    <x v="0"/>
    <n v="2239115029"/>
    <x v="2"/>
    <n v="31790"/>
    <x v="0"/>
    <x v="0"/>
    <x v="35"/>
    <x v="2"/>
    <x v="0"/>
    <x v="0"/>
    <x v="2"/>
    <x v="0"/>
  </r>
  <r>
    <x v="0"/>
    <x v="0"/>
    <n v="2239115030"/>
    <x v="2"/>
    <n v="22000"/>
    <x v="0"/>
    <x v="0"/>
    <x v="35"/>
    <x v="2"/>
    <x v="0"/>
    <x v="0"/>
    <x v="2"/>
    <x v="0"/>
  </r>
  <r>
    <x v="0"/>
    <x v="0"/>
    <n v="2239115031"/>
    <x v="7"/>
    <n v="1500"/>
    <x v="0"/>
    <x v="0"/>
    <x v="35"/>
    <x v="7"/>
    <x v="0"/>
    <x v="0"/>
    <x v="1"/>
    <x v="0"/>
  </r>
  <r>
    <x v="0"/>
    <x v="0"/>
    <n v="2239115032"/>
    <x v="3"/>
    <n v="9900"/>
    <x v="0"/>
    <x v="0"/>
    <x v="35"/>
    <x v="3"/>
    <x v="0"/>
    <x v="0"/>
    <x v="3"/>
    <x v="0"/>
  </r>
  <r>
    <x v="0"/>
    <x v="0"/>
    <n v="2239115033"/>
    <x v="2"/>
    <n v="23100"/>
    <x v="0"/>
    <x v="0"/>
    <x v="35"/>
    <x v="2"/>
    <x v="0"/>
    <x v="0"/>
    <x v="2"/>
    <x v="0"/>
  </r>
  <r>
    <x v="0"/>
    <x v="0"/>
    <n v="2239115034"/>
    <x v="7"/>
    <n v="1500"/>
    <x v="0"/>
    <x v="0"/>
    <x v="35"/>
    <x v="7"/>
    <x v="0"/>
    <x v="0"/>
    <x v="1"/>
    <x v="0"/>
  </r>
  <r>
    <x v="0"/>
    <x v="0"/>
    <n v="2239115035"/>
    <x v="2"/>
    <n v="6600"/>
    <x v="0"/>
    <x v="0"/>
    <x v="35"/>
    <x v="2"/>
    <x v="0"/>
    <x v="0"/>
    <x v="2"/>
    <x v="0"/>
  </r>
  <r>
    <x v="0"/>
    <x v="0"/>
    <n v="2239115036"/>
    <x v="7"/>
    <n v="1500"/>
    <x v="0"/>
    <x v="0"/>
    <x v="35"/>
    <x v="7"/>
    <x v="0"/>
    <x v="0"/>
    <x v="1"/>
    <x v="0"/>
  </r>
  <r>
    <x v="0"/>
    <x v="0"/>
    <n v="2239115037"/>
    <x v="5"/>
    <n v="-14000"/>
    <x v="0"/>
    <x v="0"/>
    <x v="35"/>
    <x v="5"/>
    <x v="0"/>
    <x v="0"/>
    <x v="5"/>
    <x v="0"/>
  </r>
  <r>
    <x v="0"/>
    <x v="0"/>
    <n v="2239115037"/>
    <x v="6"/>
    <n v="20000"/>
    <x v="0"/>
    <x v="0"/>
    <x v="35"/>
    <x v="6"/>
    <x v="0"/>
    <x v="0"/>
    <x v="5"/>
    <x v="0"/>
  </r>
  <r>
    <x v="0"/>
    <x v="0"/>
    <n v="2239115038"/>
    <x v="5"/>
    <n v="-1090"/>
    <x v="0"/>
    <x v="0"/>
    <x v="35"/>
    <x v="5"/>
    <x v="0"/>
    <x v="0"/>
    <x v="5"/>
    <x v="0"/>
  </r>
  <r>
    <x v="0"/>
    <x v="0"/>
    <n v="2239115038"/>
    <x v="6"/>
    <n v="10000"/>
    <x v="0"/>
    <x v="0"/>
    <x v="35"/>
    <x v="6"/>
    <x v="0"/>
    <x v="0"/>
    <x v="5"/>
    <x v="0"/>
  </r>
  <r>
    <x v="0"/>
    <x v="0"/>
    <n v="2239115038"/>
    <x v="7"/>
    <n v="990"/>
    <x v="0"/>
    <x v="0"/>
    <x v="35"/>
    <x v="7"/>
    <x v="0"/>
    <x v="0"/>
    <x v="1"/>
    <x v="0"/>
  </r>
  <r>
    <x v="0"/>
    <x v="0"/>
    <n v="2239115039"/>
    <x v="5"/>
    <n v="-300"/>
    <x v="0"/>
    <x v="0"/>
    <x v="35"/>
    <x v="5"/>
    <x v="0"/>
    <x v="0"/>
    <x v="5"/>
    <x v="0"/>
  </r>
  <r>
    <x v="0"/>
    <x v="0"/>
    <n v="2239115039"/>
    <x v="4"/>
    <n v="6000"/>
    <x v="0"/>
    <x v="0"/>
    <x v="35"/>
    <x v="4"/>
    <x v="0"/>
    <x v="0"/>
    <x v="4"/>
    <x v="0"/>
  </r>
  <r>
    <x v="0"/>
    <x v="0"/>
    <n v="2239115040"/>
    <x v="2"/>
    <n v="12100"/>
    <x v="0"/>
    <x v="0"/>
    <x v="35"/>
    <x v="2"/>
    <x v="0"/>
    <x v="0"/>
    <x v="2"/>
    <x v="0"/>
  </r>
  <r>
    <x v="0"/>
    <x v="0"/>
    <n v="2239115041"/>
    <x v="5"/>
    <n v="-2500"/>
    <x v="0"/>
    <x v="0"/>
    <x v="35"/>
    <x v="5"/>
    <x v="0"/>
    <x v="0"/>
    <x v="5"/>
    <x v="0"/>
  </r>
  <r>
    <x v="0"/>
    <x v="0"/>
    <n v="2239115041"/>
    <x v="6"/>
    <n v="10000"/>
    <x v="0"/>
    <x v="0"/>
    <x v="35"/>
    <x v="6"/>
    <x v="0"/>
    <x v="0"/>
    <x v="5"/>
    <x v="0"/>
  </r>
  <r>
    <x v="0"/>
    <x v="0"/>
    <n v="2239115042"/>
    <x v="2"/>
    <n v="6500"/>
    <x v="0"/>
    <x v="0"/>
    <x v="35"/>
    <x v="2"/>
    <x v="0"/>
    <x v="0"/>
    <x v="2"/>
    <x v="0"/>
  </r>
  <r>
    <x v="0"/>
    <x v="0"/>
    <n v="2239115043"/>
    <x v="2"/>
    <n v="11000"/>
    <x v="0"/>
    <x v="0"/>
    <x v="35"/>
    <x v="2"/>
    <x v="0"/>
    <x v="0"/>
    <x v="2"/>
    <x v="0"/>
  </r>
  <r>
    <x v="0"/>
    <x v="0"/>
    <n v="2239115044"/>
    <x v="2"/>
    <n v="7150"/>
    <x v="0"/>
    <x v="0"/>
    <x v="35"/>
    <x v="2"/>
    <x v="0"/>
    <x v="0"/>
    <x v="2"/>
    <x v="0"/>
  </r>
  <r>
    <x v="0"/>
    <x v="0"/>
    <n v="2239115045"/>
    <x v="1"/>
    <n v="1800"/>
    <x v="0"/>
    <x v="0"/>
    <x v="35"/>
    <x v="1"/>
    <x v="0"/>
    <x v="0"/>
    <x v="1"/>
    <x v="0"/>
  </r>
  <r>
    <x v="0"/>
    <x v="0"/>
    <n v="2239115046"/>
    <x v="2"/>
    <n v="13500"/>
    <x v="0"/>
    <x v="0"/>
    <x v="35"/>
    <x v="2"/>
    <x v="0"/>
    <x v="0"/>
    <x v="2"/>
    <x v="0"/>
  </r>
  <r>
    <x v="0"/>
    <x v="0"/>
    <n v="2239115048"/>
    <x v="3"/>
    <n v="6500"/>
    <x v="0"/>
    <x v="0"/>
    <x v="35"/>
    <x v="3"/>
    <x v="0"/>
    <x v="0"/>
    <x v="3"/>
    <x v="0"/>
  </r>
  <r>
    <x v="0"/>
    <x v="0"/>
    <n v="2239115050"/>
    <x v="2"/>
    <n v="16000"/>
    <x v="0"/>
    <x v="0"/>
    <x v="35"/>
    <x v="2"/>
    <x v="0"/>
    <x v="0"/>
    <x v="2"/>
    <x v="0"/>
  </r>
  <r>
    <x v="0"/>
    <x v="0"/>
    <n v="2239115051"/>
    <x v="3"/>
    <n v="8625"/>
    <x v="0"/>
    <x v="0"/>
    <x v="35"/>
    <x v="3"/>
    <x v="0"/>
    <x v="0"/>
    <x v="3"/>
    <x v="0"/>
  </r>
  <r>
    <x v="0"/>
    <x v="0"/>
    <n v="2239115052"/>
    <x v="3"/>
    <n v="13200"/>
    <x v="0"/>
    <x v="0"/>
    <x v="35"/>
    <x v="3"/>
    <x v="0"/>
    <x v="0"/>
    <x v="3"/>
    <x v="0"/>
  </r>
  <r>
    <x v="0"/>
    <x v="0"/>
    <n v="2239115053"/>
    <x v="3"/>
    <n v="19800"/>
    <x v="0"/>
    <x v="0"/>
    <x v="35"/>
    <x v="3"/>
    <x v="0"/>
    <x v="0"/>
    <x v="3"/>
    <x v="0"/>
  </r>
  <r>
    <x v="0"/>
    <x v="0"/>
    <n v="2239115054"/>
    <x v="7"/>
    <n v="6500"/>
    <x v="0"/>
    <x v="0"/>
    <x v="35"/>
    <x v="7"/>
    <x v="0"/>
    <x v="0"/>
    <x v="1"/>
    <x v="0"/>
  </r>
  <r>
    <x v="0"/>
    <x v="0"/>
    <n v="2239115055"/>
    <x v="2"/>
    <n v="27940"/>
    <x v="0"/>
    <x v="0"/>
    <x v="35"/>
    <x v="2"/>
    <x v="0"/>
    <x v="0"/>
    <x v="2"/>
    <x v="0"/>
  </r>
  <r>
    <x v="0"/>
    <x v="0"/>
    <n v="2239115056"/>
    <x v="2"/>
    <n v="47630"/>
    <x v="0"/>
    <x v="0"/>
    <x v="35"/>
    <x v="2"/>
    <x v="0"/>
    <x v="0"/>
    <x v="2"/>
    <x v="0"/>
  </r>
  <r>
    <x v="0"/>
    <x v="0"/>
    <n v="2239115057"/>
    <x v="2"/>
    <n v="15400"/>
    <x v="0"/>
    <x v="0"/>
    <x v="35"/>
    <x v="2"/>
    <x v="0"/>
    <x v="0"/>
    <x v="2"/>
    <x v="0"/>
  </r>
  <r>
    <x v="0"/>
    <x v="0"/>
    <n v="2239115058"/>
    <x v="2"/>
    <n v="2100"/>
    <x v="0"/>
    <x v="0"/>
    <x v="35"/>
    <x v="2"/>
    <x v="0"/>
    <x v="0"/>
    <x v="2"/>
    <x v="0"/>
  </r>
  <r>
    <x v="0"/>
    <x v="0"/>
    <n v="2239115059"/>
    <x v="2"/>
    <n v="28050"/>
    <x v="0"/>
    <x v="0"/>
    <x v="35"/>
    <x v="2"/>
    <x v="0"/>
    <x v="0"/>
    <x v="2"/>
    <x v="0"/>
  </r>
  <r>
    <x v="0"/>
    <x v="0"/>
    <n v="2239115060"/>
    <x v="2"/>
    <n v="14300"/>
    <x v="0"/>
    <x v="0"/>
    <x v="35"/>
    <x v="2"/>
    <x v="0"/>
    <x v="0"/>
    <x v="2"/>
    <x v="0"/>
  </r>
  <r>
    <x v="0"/>
    <x v="0"/>
    <n v="2239115061"/>
    <x v="2"/>
    <n v="60280"/>
    <x v="0"/>
    <x v="0"/>
    <x v="35"/>
    <x v="2"/>
    <x v="0"/>
    <x v="0"/>
    <x v="2"/>
    <x v="0"/>
  </r>
  <r>
    <x v="0"/>
    <x v="0"/>
    <n v="2239115062"/>
    <x v="2"/>
    <n v="7500"/>
    <x v="0"/>
    <x v="0"/>
    <x v="35"/>
    <x v="2"/>
    <x v="0"/>
    <x v="0"/>
    <x v="2"/>
    <x v="0"/>
  </r>
  <r>
    <x v="0"/>
    <x v="0"/>
    <n v="2239115064"/>
    <x v="6"/>
    <n v="6000"/>
    <x v="0"/>
    <x v="0"/>
    <x v="35"/>
    <x v="6"/>
    <x v="0"/>
    <x v="0"/>
    <x v="5"/>
    <x v="0"/>
  </r>
  <r>
    <x v="0"/>
    <x v="0"/>
    <n v="2239115065"/>
    <x v="2"/>
    <n v="13000"/>
    <x v="0"/>
    <x v="0"/>
    <x v="35"/>
    <x v="2"/>
    <x v="0"/>
    <x v="0"/>
    <x v="2"/>
    <x v="0"/>
  </r>
  <r>
    <x v="0"/>
    <x v="0"/>
    <n v="2239115068"/>
    <x v="2"/>
    <n v="27800"/>
    <x v="0"/>
    <x v="0"/>
    <x v="35"/>
    <x v="2"/>
    <x v="0"/>
    <x v="0"/>
    <x v="2"/>
    <x v="0"/>
  </r>
  <r>
    <x v="0"/>
    <x v="0"/>
    <n v="2239115069"/>
    <x v="7"/>
    <n v="1500"/>
    <x v="0"/>
    <x v="0"/>
    <x v="35"/>
    <x v="7"/>
    <x v="0"/>
    <x v="0"/>
    <x v="1"/>
    <x v="0"/>
  </r>
  <r>
    <x v="0"/>
    <x v="0"/>
    <n v="2239115071"/>
    <x v="2"/>
    <n v="2100"/>
    <x v="0"/>
    <x v="0"/>
    <x v="35"/>
    <x v="2"/>
    <x v="0"/>
    <x v="0"/>
    <x v="2"/>
    <x v="0"/>
  </r>
  <r>
    <x v="0"/>
    <x v="0"/>
    <n v="2239115073"/>
    <x v="2"/>
    <n v="7700"/>
    <x v="0"/>
    <x v="0"/>
    <x v="35"/>
    <x v="2"/>
    <x v="0"/>
    <x v="0"/>
    <x v="2"/>
    <x v="0"/>
  </r>
  <r>
    <x v="0"/>
    <x v="0"/>
    <n v="2239115074"/>
    <x v="6"/>
    <n v="6500"/>
    <x v="0"/>
    <x v="0"/>
    <x v="35"/>
    <x v="6"/>
    <x v="0"/>
    <x v="0"/>
    <x v="5"/>
    <x v="0"/>
  </r>
  <r>
    <x v="0"/>
    <x v="0"/>
    <n v="2239115075"/>
    <x v="2"/>
    <n v="7000"/>
    <x v="0"/>
    <x v="0"/>
    <x v="35"/>
    <x v="2"/>
    <x v="0"/>
    <x v="0"/>
    <x v="2"/>
    <x v="0"/>
  </r>
  <r>
    <x v="0"/>
    <x v="0"/>
    <n v="2239115076"/>
    <x v="2"/>
    <n v="11550"/>
    <x v="0"/>
    <x v="0"/>
    <x v="35"/>
    <x v="2"/>
    <x v="0"/>
    <x v="0"/>
    <x v="2"/>
    <x v="0"/>
  </r>
  <r>
    <x v="0"/>
    <x v="0"/>
    <n v="2239115077"/>
    <x v="2"/>
    <n v="11700"/>
    <x v="0"/>
    <x v="0"/>
    <x v="35"/>
    <x v="2"/>
    <x v="0"/>
    <x v="0"/>
    <x v="2"/>
    <x v="0"/>
  </r>
  <r>
    <x v="0"/>
    <x v="0"/>
    <n v="2239115077"/>
    <x v="7"/>
    <n v="1300"/>
    <x v="0"/>
    <x v="0"/>
    <x v="35"/>
    <x v="7"/>
    <x v="0"/>
    <x v="0"/>
    <x v="1"/>
    <x v="0"/>
  </r>
  <r>
    <x v="0"/>
    <x v="0"/>
    <n v="2239115078"/>
    <x v="5"/>
    <n v="-2000"/>
    <x v="0"/>
    <x v="0"/>
    <x v="35"/>
    <x v="5"/>
    <x v="0"/>
    <x v="0"/>
    <x v="5"/>
    <x v="0"/>
  </r>
  <r>
    <x v="0"/>
    <x v="0"/>
    <n v="2239115078"/>
    <x v="6"/>
    <n v="5000"/>
    <x v="0"/>
    <x v="0"/>
    <x v="35"/>
    <x v="6"/>
    <x v="0"/>
    <x v="0"/>
    <x v="5"/>
    <x v="0"/>
  </r>
  <r>
    <x v="0"/>
    <x v="0"/>
    <n v="2239115079"/>
    <x v="5"/>
    <n v="-2500"/>
    <x v="0"/>
    <x v="0"/>
    <x v="35"/>
    <x v="5"/>
    <x v="0"/>
    <x v="0"/>
    <x v="5"/>
    <x v="0"/>
  </r>
  <r>
    <x v="0"/>
    <x v="0"/>
    <n v="2239115079"/>
    <x v="6"/>
    <n v="10000"/>
    <x v="0"/>
    <x v="0"/>
    <x v="35"/>
    <x v="6"/>
    <x v="0"/>
    <x v="0"/>
    <x v="5"/>
    <x v="0"/>
  </r>
  <r>
    <x v="0"/>
    <x v="0"/>
    <n v="2239115080"/>
    <x v="7"/>
    <n v="7500"/>
    <x v="0"/>
    <x v="0"/>
    <x v="35"/>
    <x v="7"/>
    <x v="0"/>
    <x v="0"/>
    <x v="1"/>
    <x v="0"/>
  </r>
  <r>
    <x v="0"/>
    <x v="0"/>
    <n v="2239115081"/>
    <x v="6"/>
    <n v="4000"/>
    <x v="0"/>
    <x v="0"/>
    <x v="35"/>
    <x v="6"/>
    <x v="0"/>
    <x v="0"/>
    <x v="5"/>
    <x v="0"/>
  </r>
  <r>
    <x v="0"/>
    <x v="0"/>
    <n v="2239115082"/>
    <x v="7"/>
    <n v="7000"/>
    <x v="0"/>
    <x v="0"/>
    <x v="35"/>
    <x v="7"/>
    <x v="0"/>
    <x v="0"/>
    <x v="1"/>
    <x v="0"/>
  </r>
  <r>
    <x v="0"/>
    <x v="0"/>
    <n v="2239115085"/>
    <x v="5"/>
    <n v="-5000"/>
    <x v="0"/>
    <x v="0"/>
    <x v="35"/>
    <x v="5"/>
    <x v="0"/>
    <x v="0"/>
    <x v="5"/>
    <x v="0"/>
  </r>
  <r>
    <x v="0"/>
    <x v="0"/>
    <n v="2239115085"/>
    <x v="6"/>
    <n v="10000"/>
    <x v="0"/>
    <x v="0"/>
    <x v="35"/>
    <x v="6"/>
    <x v="0"/>
    <x v="0"/>
    <x v="5"/>
    <x v="0"/>
  </r>
  <r>
    <x v="0"/>
    <x v="0"/>
    <n v="2239115086"/>
    <x v="2"/>
    <n v="3000"/>
    <x v="0"/>
    <x v="0"/>
    <x v="35"/>
    <x v="2"/>
    <x v="0"/>
    <x v="0"/>
    <x v="2"/>
    <x v="0"/>
  </r>
  <r>
    <x v="0"/>
    <x v="0"/>
    <n v="2239115087"/>
    <x v="2"/>
    <n v="11550"/>
    <x v="0"/>
    <x v="0"/>
    <x v="35"/>
    <x v="2"/>
    <x v="0"/>
    <x v="0"/>
    <x v="2"/>
    <x v="0"/>
  </r>
  <r>
    <x v="0"/>
    <x v="0"/>
    <n v="2239115088"/>
    <x v="2"/>
    <n v="14300"/>
    <x v="0"/>
    <x v="0"/>
    <x v="35"/>
    <x v="2"/>
    <x v="0"/>
    <x v="0"/>
    <x v="2"/>
    <x v="0"/>
  </r>
  <r>
    <x v="0"/>
    <x v="0"/>
    <n v="2239115089"/>
    <x v="6"/>
    <n v="19500"/>
    <x v="0"/>
    <x v="0"/>
    <x v="35"/>
    <x v="6"/>
    <x v="0"/>
    <x v="0"/>
    <x v="5"/>
    <x v="0"/>
  </r>
  <r>
    <x v="0"/>
    <x v="0"/>
    <n v="2239115090"/>
    <x v="5"/>
    <n v="-500"/>
    <x v="0"/>
    <x v="0"/>
    <x v="35"/>
    <x v="5"/>
    <x v="0"/>
    <x v="0"/>
    <x v="5"/>
    <x v="0"/>
  </r>
  <r>
    <x v="0"/>
    <x v="0"/>
    <n v="2239115090"/>
    <x v="6"/>
    <n v="7000"/>
    <x v="0"/>
    <x v="0"/>
    <x v="35"/>
    <x v="6"/>
    <x v="0"/>
    <x v="0"/>
    <x v="5"/>
    <x v="0"/>
  </r>
  <r>
    <x v="0"/>
    <x v="0"/>
    <n v="2239115091"/>
    <x v="7"/>
    <n v="1500"/>
    <x v="0"/>
    <x v="0"/>
    <x v="35"/>
    <x v="7"/>
    <x v="0"/>
    <x v="0"/>
    <x v="1"/>
    <x v="0"/>
  </r>
  <r>
    <x v="0"/>
    <x v="0"/>
    <n v="2239115092"/>
    <x v="2"/>
    <n v="1500"/>
    <x v="0"/>
    <x v="0"/>
    <x v="35"/>
    <x v="2"/>
    <x v="0"/>
    <x v="0"/>
    <x v="2"/>
    <x v="0"/>
  </r>
  <r>
    <x v="0"/>
    <x v="0"/>
    <n v="2239115093"/>
    <x v="2"/>
    <n v="11700"/>
    <x v="0"/>
    <x v="0"/>
    <x v="35"/>
    <x v="2"/>
    <x v="0"/>
    <x v="0"/>
    <x v="2"/>
    <x v="0"/>
  </r>
  <r>
    <x v="0"/>
    <x v="0"/>
    <n v="2239115093"/>
    <x v="7"/>
    <n v="1300"/>
    <x v="0"/>
    <x v="0"/>
    <x v="35"/>
    <x v="7"/>
    <x v="0"/>
    <x v="0"/>
    <x v="1"/>
    <x v="0"/>
  </r>
  <r>
    <x v="0"/>
    <x v="0"/>
    <n v="2239115094"/>
    <x v="2"/>
    <n v="3000"/>
    <x v="0"/>
    <x v="0"/>
    <x v="35"/>
    <x v="2"/>
    <x v="0"/>
    <x v="0"/>
    <x v="2"/>
    <x v="0"/>
  </r>
  <r>
    <x v="0"/>
    <x v="0"/>
    <n v="2239115095"/>
    <x v="3"/>
    <n v="3000"/>
    <x v="0"/>
    <x v="0"/>
    <x v="35"/>
    <x v="3"/>
    <x v="0"/>
    <x v="0"/>
    <x v="3"/>
    <x v="0"/>
  </r>
  <r>
    <x v="0"/>
    <x v="0"/>
    <n v="2239115096"/>
    <x v="2"/>
    <n v="6200"/>
    <x v="0"/>
    <x v="0"/>
    <x v="35"/>
    <x v="2"/>
    <x v="0"/>
    <x v="0"/>
    <x v="2"/>
    <x v="0"/>
  </r>
  <r>
    <x v="0"/>
    <x v="0"/>
    <n v="2239115097"/>
    <x v="5"/>
    <n v="-4000"/>
    <x v="0"/>
    <x v="0"/>
    <x v="35"/>
    <x v="5"/>
    <x v="0"/>
    <x v="0"/>
    <x v="5"/>
    <x v="0"/>
  </r>
  <r>
    <x v="0"/>
    <x v="0"/>
    <n v="2239115097"/>
    <x v="6"/>
    <n v="10000"/>
    <x v="0"/>
    <x v="0"/>
    <x v="35"/>
    <x v="6"/>
    <x v="0"/>
    <x v="0"/>
    <x v="5"/>
    <x v="0"/>
  </r>
  <r>
    <x v="0"/>
    <x v="0"/>
    <n v="2239115098"/>
    <x v="6"/>
    <n v="14000"/>
    <x v="0"/>
    <x v="0"/>
    <x v="35"/>
    <x v="6"/>
    <x v="0"/>
    <x v="0"/>
    <x v="5"/>
    <x v="0"/>
  </r>
  <r>
    <x v="0"/>
    <x v="0"/>
    <n v="2239115099"/>
    <x v="2"/>
    <n v="6000"/>
    <x v="0"/>
    <x v="0"/>
    <x v="35"/>
    <x v="2"/>
    <x v="0"/>
    <x v="0"/>
    <x v="2"/>
    <x v="0"/>
  </r>
  <r>
    <x v="0"/>
    <x v="0"/>
    <n v="2239115100"/>
    <x v="2"/>
    <n v="3000"/>
    <x v="0"/>
    <x v="0"/>
    <x v="35"/>
    <x v="2"/>
    <x v="0"/>
    <x v="0"/>
    <x v="2"/>
    <x v="0"/>
  </r>
  <r>
    <x v="0"/>
    <x v="0"/>
    <n v="2239115101"/>
    <x v="5"/>
    <n v="-4200"/>
    <x v="0"/>
    <x v="0"/>
    <x v="35"/>
    <x v="5"/>
    <x v="0"/>
    <x v="0"/>
    <x v="5"/>
    <x v="0"/>
  </r>
  <r>
    <x v="0"/>
    <x v="0"/>
    <n v="2239115101"/>
    <x v="6"/>
    <n v="10000"/>
    <x v="0"/>
    <x v="0"/>
    <x v="35"/>
    <x v="6"/>
    <x v="0"/>
    <x v="0"/>
    <x v="5"/>
    <x v="0"/>
  </r>
  <r>
    <x v="0"/>
    <x v="0"/>
    <n v="2239115101"/>
    <x v="7"/>
    <n v="700"/>
    <x v="0"/>
    <x v="0"/>
    <x v="35"/>
    <x v="7"/>
    <x v="0"/>
    <x v="0"/>
    <x v="1"/>
    <x v="0"/>
  </r>
  <r>
    <x v="0"/>
    <x v="0"/>
    <n v="2239115102"/>
    <x v="2"/>
    <n v="8000"/>
    <x v="0"/>
    <x v="0"/>
    <x v="35"/>
    <x v="2"/>
    <x v="0"/>
    <x v="0"/>
    <x v="2"/>
    <x v="0"/>
  </r>
  <r>
    <x v="0"/>
    <x v="0"/>
    <n v="2239115103"/>
    <x v="2"/>
    <n v="4500"/>
    <x v="0"/>
    <x v="0"/>
    <x v="35"/>
    <x v="2"/>
    <x v="0"/>
    <x v="0"/>
    <x v="2"/>
    <x v="0"/>
  </r>
  <r>
    <x v="0"/>
    <x v="0"/>
    <n v="2239115103"/>
    <x v="7"/>
    <n v="3000"/>
    <x v="0"/>
    <x v="0"/>
    <x v="35"/>
    <x v="7"/>
    <x v="0"/>
    <x v="0"/>
    <x v="1"/>
    <x v="0"/>
  </r>
  <r>
    <x v="0"/>
    <x v="0"/>
    <n v="2239115104"/>
    <x v="5"/>
    <n v="-7000"/>
    <x v="0"/>
    <x v="0"/>
    <x v="35"/>
    <x v="5"/>
    <x v="0"/>
    <x v="0"/>
    <x v="5"/>
    <x v="0"/>
  </r>
  <r>
    <x v="0"/>
    <x v="0"/>
    <n v="2239115104"/>
    <x v="6"/>
    <n v="20000"/>
    <x v="0"/>
    <x v="0"/>
    <x v="35"/>
    <x v="6"/>
    <x v="0"/>
    <x v="0"/>
    <x v="5"/>
    <x v="0"/>
  </r>
  <r>
    <x v="0"/>
    <x v="0"/>
    <n v="2239115105"/>
    <x v="2"/>
    <n v="10500"/>
    <x v="0"/>
    <x v="0"/>
    <x v="35"/>
    <x v="2"/>
    <x v="0"/>
    <x v="0"/>
    <x v="2"/>
    <x v="0"/>
  </r>
  <r>
    <x v="0"/>
    <x v="0"/>
    <n v="2239115107"/>
    <x v="2"/>
    <n v="7000"/>
    <x v="0"/>
    <x v="0"/>
    <x v="35"/>
    <x v="2"/>
    <x v="0"/>
    <x v="0"/>
    <x v="2"/>
    <x v="0"/>
  </r>
  <r>
    <x v="0"/>
    <x v="0"/>
    <n v="2239115108"/>
    <x v="2"/>
    <n v="8250"/>
    <x v="0"/>
    <x v="0"/>
    <x v="35"/>
    <x v="2"/>
    <x v="0"/>
    <x v="0"/>
    <x v="2"/>
    <x v="0"/>
  </r>
  <r>
    <x v="0"/>
    <x v="0"/>
    <n v="2239115109"/>
    <x v="2"/>
    <n v="4000"/>
    <x v="0"/>
    <x v="0"/>
    <x v="35"/>
    <x v="2"/>
    <x v="0"/>
    <x v="0"/>
    <x v="2"/>
    <x v="0"/>
  </r>
  <r>
    <x v="0"/>
    <x v="0"/>
    <n v="2239115110"/>
    <x v="5"/>
    <n v="-5850"/>
    <x v="0"/>
    <x v="0"/>
    <x v="35"/>
    <x v="5"/>
    <x v="0"/>
    <x v="0"/>
    <x v="5"/>
    <x v="0"/>
  </r>
  <r>
    <x v="0"/>
    <x v="0"/>
    <n v="2239115110"/>
    <x v="6"/>
    <n v="60000"/>
    <x v="0"/>
    <x v="0"/>
    <x v="35"/>
    <x v="6"/>
    <x v="0"/>
    <x v="0"/>
    <x v="5"/>
    <x v="0"/>
  </r>
  <r>
    <x v="0"/>
    <x v="0"/>
    <n v="2239115111"/>
    <x v="5"/>
    <n v="-5000"/>
    <x v="0"/>
    <x v="0"/>
    <x v="35"/>
    <x v="5"/>
    <x v="0"/>
    <x v="0"/>
    <x v="5"/>
    <x v="0"/>
  </r>
  <r>
    <x v="0"/>
    <x v="0"/>
    <n v="2239115111"/>
    <x v="4"/>
    <n v="10000"/>
    <x v="0"/>
    <x v="0"/>
    <x v="35"/>
    <x v="4"/>
    <x v="0"/>
    <x v="0"/>
    <x v="4"/>
    <x v="0"/>
  </r>
  <r>
    <x v="0"/>
    <x v="0"/>
    <n v="2239115112"/>
    <x v="2"/>
    <n v="3000"/>
    <x v="0"/>
    <x v="0"/>
    <x v="35"/>
    <x v="2"/>
    <x v="0"/>
    <x v="0"/>
    <x v="2"/>
    <x v="0"/>
  </r>
  <r>
    <x v="0"/>
    <x v="0"/>
    <n v="2239115113"/>
    <x v="2"/>
    <n v="4000"/>
    <x v="0"/>
    <x v="0"/>
    <x v="35"/>
    <x v="2"/>
    <x v="0"/>
    <x v="0"/>
    <x v="2"/>
    <x v="0"/>
  </r>
  <r>
    <x v="0"/>
    <x v="0"/>
    <n v="2239115114"/>
    <x v="2"/>
    <n v="6050"/>
    <x v="0"/>
    <x v="0"/>
    <x v="35"/>
    <x v="2"/>
    <x v="0"/>
    <x v="0"/>
    <x v="2"/>
    <x v="0"/>
  </r>
  <r>
    <x v="0"/>
    <x v="0"/>
    <n v="2239115115"/>
    <x v="2"/>
    <n v="18580"/>
    <x v="0"/>
    <x v="0"/>
    <x v="35"/>
    <x v="2"/>
    <x v="0"/>
    <x v="0"/>
    <x v="2"/>
    <x v="0"/>
  </r>
  <r>
    <x v="0"/>
    <x v="0"/>
    <n v="2239115117"/>
    <x v="1"/>
    <n v="1050"/>
    <x v="0"/>
    <x v="0"/>
    <x v="35"/>
    <x v="1"/>
    <x v="0"/>
    <x v="0"/>
    <x v="1"/>
    <x v="0"/>
  </r>
  <r>
    <x v="0"/>
    <x v="0"/>
    <n v="2239115118"/>
    <x v="2"/>
    <n v="6600"/>
    <x v="0"/>
    <x v="0"/>
    <x v="35"/>
    <x v="2"/>
    <x v="0"/>
    <x v="0"/>
    <x v="2"/>
    <x v="0"/>
  </r>
  <r>
    <x v="0"/>
    <x v="0"/>
    <n v="2239115119"/>
    <x v="5"/>
    <n v="-1100"/>
    <x v="0"/>
    <x v="0"/>
    <x v="35"/>
    <x v="5"/>
    <x v="0"/>
    <x v="0"/>
    <x v="5"/>
    <x v="0"/>
  </r>
  <r>
    <x v="0"/>
    <x v="0"/>
    <n v="2239115119"/>
    <x v="6"/>
    <n v="30000"/>
    <x v="0"/>
    <x v="0"/>
    <x v="35"/>
    <x v="6"/>
    <x v="0"/>
    <x v="0"/>
    <x v="5"/>
    <x v="0"/>
  </r>
  <r>
    <x v="0"/>
    <x v="0"/>
    <n v="2239115120"/>
    <x v="3"/>
    <n v="16500"/>
    <x v="0"/>
    <x v="0"/>
    <x v="35"/>
    <x v="3"/>
    <x v="0"/>
    <x v="0"/>
    <x v="3"/>
    <x v="0"/>
  </r>
  <r>
    <x v="0"/>
    <x v="0"/>
    <n v="2239115121"/>
    <x v="2"/>
    <n v="7150"/>
    <x v="0"/>
    <x v="0"/>
    <x v="35"/>
    <x v="2"/>
    <x v="0"/>
    <x v="0"/>
    <x v="2"/>
    <x v="0"/>
  </r>
  <r>
    <x v="0"/>
    <x v="0"/>
    <n v="2239115122"/>
    <x v="2"/>
    <n v="15500"/>
    <x v="0"/>
    <x v="0"/>
    <x v="35"/>
    <x v="2"/>
    <x v="0"/>
    <x v="0"/>
    <x v="2"/>
    <x v="0"/>
  </r>
  <r>
    <x v="0"/>
    <x v="0"/>
    <n v="2239115123"/>
    <x v="5"/>
    <n v="-7980"/>
    <x v="0"/>
    <x v="0"/>
    <x v="35"/>
    <x v="5"/>
    <x v="0"/>
    <x v="0"/>
    <x v="5"/>
    <x v="0"/>
  </r>
  <r>
    <x v="0"/>
    <x v="0"/>
    <n v="2239115123"/>
    <x v="6"/>
    <n v="30000"/>
    <x v="0"/>
    <x v="0"/>
    <x v="35"/>
    <x v="6"/>
    <x v="0"/>
    <x v="0"/>
    <x v="5"/>
    <x v="0"/>
  </r>
  <r>
    <x v="0"/>
    <x v="0"/>
    <n v="2239115124"/>
    <x v="5"/>
    <n v="-4000"/>
    <x v="0"/>
    <x v="0"/>
    <x v="35"/>
    <x v="5"/>
    <x v="0"/>
    <x v="0"/>
    <x v="5"/>
    <x v="0"/>
  </r>
  <r>
    <x v="0"/>
    <x v="0"/>
    <n v="2239115124"/>
    <x v="6"/>
    <n v="10650"/>
    <x v="0"/>
    <x v="0"/>
    <x v="35"/>
    <x v="6"/>
    <x v="0"/>
    <x v="0"/>
    <x v="5"/>
    <x v="0"/>
  </r>
  <r>
    <x v="0"/>
    <x v="0"/>
    <n v="2239115125"/>
    <x v="7"/>
    <n v="1500"/>
    <x v="0"/>
    <x v="0"/>
    <x v="35"/>
    <x v="7"/>
    <x v="0"/>
    <x v="0"/>
    <x v="1"/>
    <x v="0"/>
  </r>
  <r>
    <x v="0"/>
    <x v="0"/>
    <n v="2239115126"/>
    <x v="5"/>
    <n v="-300"/>
    <x v="0"/>
    <x v="0"/>
    <x v="35"/>
    <x v="5"/>
    <x v="0"/>
    <x v="0"/>
    <x v="5"/>
    <x v="0"/>
  </r>
  <r>
    <x v="0"/>
    <x v="0"/>
    <n v="2239115126"/>
    <x v="6"/>
    <n v="10000"/>
    <x v="0"/>
    <x v="0"/>
    <x v="35"/>
    <x v="6"/>
    <x v="0"/>
    <x v="0"/>
    <x v="5"/>
    <x v="0"/>
  </r>
  <r>
    <x v="0"/>
    <x v="0"/>
    <n v="2239115127"/>
    <x v="5"/>
    <n v="-4000"/>
    <x v="0"/>
    <x v="0"/>
    <x v="35"/>
    <x v="5"/>
    <x v="0"/>
    <x v="0"/>
    <x v="5"/>
    <x v="0"/>
  </r>
  <r>
    <x v="0"/>
    <x v="0"/>
    <n v="2239115127"/>
    <x v="6"/>
    <n v="10000"/>
    <x v="0"/>
    <x v="0"/>
    <x v="35"/>
    <x v="6"/>
    <x v="0"/>
    <x v="0"/>
    <x v="5"/>
    <x v="0"/>
  </r>
  <r>
    <x v="0"/>
    <x v="0"/>
    <n v="2239115128"/>
    <x v="2"/>
    <n v="21450"/>
    <x v="0"/>
    <x v="0"/>
    <x v="35"/>
    <x v="2"/>
    <x v="0"/>
    <x v="0"/>
    <x v="2"/>
    <x v="0"/>
  </r>
  <r>
    <x v="0"/>
    <x v="0"/>
    <n v="2239115129"/>
    <x v="2"/>
    <n v="4500"/>
    <x v="0"/>
    <x v="0"/>
    <x v="35"/>
    <x v="2"/>
    <x v="0"/>
    <x v="0"/>
    <x v="2"/>
    <x v="0"/>
  </r>
  <r>
    <x v="0"/>
    <x v="0"/>
    <n v="2239115131"/>
    <x v="2"/>
    <n v="25800"/>
    <x v="0"/>
    <x v="0"/>
    <x v="35"/>
    <x v="2"/>
    <x v="0"/>
    <x v="0"/>
    <x v="2"/>
    <x v="0"/>
  </r>
  <r>
    <x v="0"/>
    <x v="0"/>
    <n v="2239115132"/>
    <x v="2"/>
    <n v="13200"/>
    <x v="0"/>
    <x v="0"/>
    <x v="35"/>
    <x v="2"/>
    <x v="0"/>
    <x v="0"/>
    <x v="2"/>
    <x v="0"/>
  </r>
  <r>
    <x v="0"/>
    <x v="0"/>
    <n v="2239115133"/>
    <x v="2"/>
    <n v="13200"/>
    <x v="0"/>
    <x v="0"/>
    <x v="35"/>
    <x v="2"/>
    <x v="0"/>
    <x v="0"/>
    <x v="2"/>
    <x v="0"/>
  </r>
  <r>
    <x v="0"/>
    <x v="0"/>
    <n v="2239115134"/>
    <x v="6"/>
    <n v="7500"/>
    <x v="0"/>
    <x v="0"/>
    <x v="35"/>
    <x v="6"/>
    <x v="0"/>
    <x v="0"/>
    <x v="5"/>
    <x v="0"/>
  </r>
  <r>
    <x v="0"/>
    <x v="0"/>
    <n v="2239115135"/>
    <x v="2"/>
    <n v="25500"/>
    <x v="0"/>
    <x v="0"/>
    <x v="35"/>
    <x v="2"/>
    <x v="0"/>
    <x v="0"/>
    <x v="2"/>
    <x v="0"/>
  </r>
  <r>
    <x v="0"/>
    <x v="0"/>
    <n v="2239115136"/>
    <x v="2"/>
    <n v="17600"/>
    <x v="0"/>
    <x v="0"/>
    <x v="35"/>
    <x v="2"/>
    <x v="0"/>
    <x v="0"/>
    <x v="2"/>
    <x v="0"/>
  </r>
  <r>
    <x v="0"/>
    <x v="0"/>
    <n v="2239115137"/>
    <x v="4"/>
    <n v="5600"/>
    <x v="0"/>
    <x v="0"/>
    <x v="35"/>
    <x v="4"/>
    <x v="0"/>
    <x v="0"/>
    <x v="4"/>
    <x v="0"/>
  </r>
  <r>
    <x v="0"/>
    <x v="0"/>
    <n v="2239115138"/>
    <x v="5"/>
    <n v="-14000"/>
    <x v="0"/>
    <x v="0"/>
    <x v="35"/>
    <x v="5"/>
    <x v="0"/>
    <x v="0"/>
    <x v="5"/>
    <x v="0"/>
  </r>
  <r>
    <x v="0"/>
    <x v="0"/>
    <n v="2239115138"/>
    <x v="6"/>
    <n v="20000"/>
    <x v="0"/>
    <x v="0"/>
    <x v="35"/>
    <x v="6"/>
    <x v="0"/>
    <x v="0"/>
    <x v="5"/>
    <x v="0"/>
  </r>
  <r>
    <x v="0"/>
    <x v="0"/>
    <n v="2239115139"/>
    <x v="4"/>
    <n v="5000"/>
    <x v="0"/>
    <x v="0"/>
    <x v="35"/>
    <x v="4"/>
    <x v="0"/>
    <x v="0"/>
    <x v="4"/>
    <x v="0"/>
  </r>
  <r>
    <x v="0"/>
    <x v="0"/>
    <n v="2239115140"/>
    <x v="5"/>
    <n v="-3500"/>
    <x v="0"/>
    <x v="0"/>
    <x v="35"/>
    <x v="5"/>
    <x v="0"/>
    <x v="0"/>
    <x v="5"/>
    <x v="0"/>
  </r>
  <r>
    <x v="0"/>
    <x v="0"/>
    <n v="2239115140"/>
    <x v="6"/>
    <n v="10000"/>
    <x v="0"/>
    <x v="0"/>
    <x v="35"/>
    <x v="6"/>
    <x v="0"/>
    <x v="0"/>
    <x v="5"/>
    <x v="0"/>
  </r>
  <r>
    <x v="0"/>
    <x v="0"/>
    <n v="2239115141"/>
    <x v="2"/>
    <n v="8250"/>
    <x v="0"/>
    <x v="0"/>
    <x v="35"/>
    <x v="2"/>
    <x v="0"/>
    <x v="0"/>
    <x v="2"/>
    <x v="0"/>
  </r>
  <r>
    <x v="0"/>
    <x v="0"/>
    <n v="2239115142"/>
    <x v="2"/>
    <n v="52690"/>
    <x v="0"/>
    <x v="0"/>
    <x v="35"/>
    <x v="2"/>
    <x v="0"/>
    <x v="0"/>
    <x v="2"/>
    <x v="0"/>
  </r>
  <r>
    <x v="0"/>
    <x v="0"/>
    <n v="2239115143"/>
    <x v="2"/>
    <n v="11500"/>
    <x v="0"/>
    <x v="0"/>
    <x v="35"/>
    <x v="2"/>
    <x v="0"/>
    <x v="0"/>
    <x v="2"/>
    <x v="0"/>
  </r>
  <r>
    <x v="0"/>
    <x v="0"/>
    <n v="2239115144"/>
    <x v="2"/>
    <n v="14000"/>
    <x v="0"/>
    <x v="0"/>
    <x v="35"/>
    <x v="2"/>
    <x v="0"/>
    <x v="0"/>
    <x v="2"/>
    <x v="0"/>
  </r>
  <r>
    <x v="0"/>
    <x v="0"/>
    <n v="2239115145"/>
    <x v="2"/>
    <n v="7500"/>
    <x v="0"/>
    <x v="0"/>
    <x v="35"/>
    <x v="2"/>
    <x v="0"/>
    <x v="0"/>
    <x v="2"/>
    <x v="0"/>
  </r>
  <r>
    <x v="0"/>
    <x v="0"/>
    <n v="2239115146"/>
    <x v="1"/>
    <n v="1800"/>
    <x v="0"/>
    <x v="0"/>
    <x v="35"/>
    <x v="1"/>
    <x v="0"/>
    <x v="0"/>
    <x v="1"/>
    <x v="0"/>
  </r>
  <r>
    <x v="0"/>
    <x v="0"/>
    <n v="2239115147"/>
    <x v="6"/>
    <n v="10800"/>
    <x v="0"/>
    <x v="0"/>
    <x v="35"/>
    <x v="6"/>
    <x v="0"/>
    <x v="0"/>
    <x v="5"/>
    <x v="0"/>
  </r>
  <r>
    <x v="0"/>
    <x v="0"/>
    <n v="2239115148"/>
    <x v="5"/>
    <n v="-4000"/>
    <x v="0"/>
    <x v="0"/>
    <x v="35"/>
    <x v="5"/>
    <x v="0"/>
    <x v="0"/>
    <x v="5"/>
    <x v="0"/>
  </r>
  <r>
    <x v="0"/>
    <x v="0"/>
    <n v="2239115148"/>
    <x v="6"/>
    <n v="10000"/>
    <x v="0"/>
    <x v="0"/>
    <x v="35"/>
    <x v="6"/>
    <x v="0"/>
    <x v="0"/>
    <x v="5"/>
    <x v="0"/>
  </r>
  <r>
    <x v="0"/>
    <x v="0"/>
    <n v="2239115149"/>
    <x v="5"/>
    <n v="-1300"/>
    <x v="0"/>
    <x v="0"/>
    <x v="35"/>
    <x v="5"/>
    <x v="0"/>
    <x v="0"/>
    <x v="5"/>
    <x v="0"/>
  </r>
  <r>
    <x v="0"/>
    <x v="0"/>
    <n v="2239115149"/>
    <x v="4"/>
    <n v="7000"/>
    <x v="0"/>
    <x v="0"/>
    <x v="35"/>
    <x v="4"/>
    <x v="0"/>
    <x v="0"/>
    <x v="4"/>
    <x v="0"/>
  </r>
  <r>
    <x v="0"/>
    <x v="0"/>
    <n v="2239115150"/>
    <x v="7"/>
    <n v="4000"/>
    <x v="0"/>
    <x v="0"/>
    <x v="35"/>
    <x v="7"/>
    <x v="0"/>
    <x v="0"/>
    <x v="1"/>
    <x v="0"/>
  </r>
  <r>
    <x v="0"/>
    <x v="0"/>
    <n v="2239115151"/>
    <x v="3"/>
    <n v="8250"/>
    <x v="0"/>
    <x v="0"/>
    <x v="35"/>
    <x v="3"/>
    <x v="0"/>
    <x v="0"/>
    <x v="3"/>
    <x v="0"/>
  </r>
  <r>
    <x v="0"/>
    <x v="0"/>
    <n v="2239115152"/>
    <x v="5"/>
    <n v="-400"/>
    <x v="0"/>
    <x v="0"/>
    <x v="35"/>
    <x v="5"/>
    <x v="0"/>
    <x v="0"/>
    <x v="5"/>
    <x v="0"/>
  </r>
  <r>
    <x v="0"/>
    <x v="0"/>
    <n v="2239115152"/>
    <x v="4"/>
    <n v="6000"/>
    <x v="0"/>
    <x v="0"/>
    <x v="35"/>
    <x v="4"/>
    <x v="0"/>
    <x v="0"/>
    <x v="4"/>
    <x v="0"/>
  </r>
  <r>
    <x v="0"/>
    <x v="0"/>
    <n v="2239115153"/>
    <x v="5"/>
    <n v="-1300"/>
    <x v="0"/>
    <x v="0"/>
    <x v="35"/>
    <x v="5"/>
    <x v="0"/>
    <x v="0"/>
    <x v="5"/>
    <x v="0"/>
  </r>
  <r>
    <x v="0"/>
    <x v="0"/>
    <n v="2239115153"/>
    <x v="6"/>
    <n v="20000"/>
    <x v="0"/>
    <x v="0"/>
    <x v="35"/>
    <x v="6"/>
    <x v="0"/>
    <x v="0"/>
    <x v="5"/>
    <x v="0"/>
  </r>
  <r>
    <x v="0"/>
    <x v="0"/>
    <n v="2239115154"/>
    <x v="5"/>
    <n v="-4000"/>
    <x v="0"/>
    <x v="0"/>
    <x v="35"/>
    <x v="5"/>
    <x v="0"/>
    <x v="0"/>
    <x v="5"/>
    <x v="0"/>
  </r>
  <r>
    <x v="0"/>
    <x v="0"/>
    <n v="2239115154"/>
    <x v="6"/>
    <n v="15500"/>
    <x v="0"/>
    <x v="0"/>
    <x v="35"/>
    <x v="6"/>
    <x v="0"/>
    <x v="0"/>
    <x v="5"/>
    <x v="0"/>
  </r>
  <r>
    <x v="0"/>
    <x v="0"/>
    <n v="2239115155"/>
    <x v="5"/>
    <n v="-4000"/>
    <x v="0"/>
    <x v="0"/>
    <x v="35"/>
    <x v="5"/>
    <x v="0"/>
    <x v="0"/>
    <x v="5"/>
    <x v="0"/>
  </r>
  <r>
    <x v="0"/>
    <x v="0"/>
    <n v="2239115155"/>
    <x v="6"/>
    <n v="20000"/>
    <x v="0"/>
    <x v="0"/>
    <x v="35"/>
    <x v="6"/>
    <x v="0"/>
    <x v="0"/>
    <x v="5"/>
    <x v="0"/>
  </r>
  <r>
    <x v="0"/>
    <x v="0"/>
    <n v="2239115156"/>
    <x v="5"/>
    <n v="-500"/>
    <x v="0"/>
    <x v="0"/>
    <x v="35"/>
    <x v="5"/>
    <x v="0"/>
    <x v="0"/>
    <x v="5"/>
    <x v="0"/>
  </r>
  <r>
    <x v="0"/>
    <x v="0"/>
    <n v="2239115156"/>
    <x v="6"/>
    <n v="11000"/>
    <x v="0"/>
    <x v="0"/>
    <x v="35"/>
    <x v="6"/>
    <x v="0"/>
    <x v="0"/>
    <x v="5"/>
    <x v="0"/>
  </r>
  <r>
    <x v="0"/>
    <x v="0"/>
    <n v="2239115157"/>
    <x v="6"/>
    <n v="21000"/>
    <x v="0"/>
    <x v="0"/>
    <x v="35"/>
    <x v="6"/>
    <x v="0"/>
    <x v="0"/>
    <x v="5"/>
    <x v="0"/>
  </r>
  <r>
    <x v="0"/>
    <x v="0"/>
    <n v="2239115158"/>
    <x v="2"/>
    <n v="6500"/>
    <x v="0"/>
    <x v="0"/>
    <x v="35"/>
    <x v="2"/>
    <x v="0"/>
    <x v="0"/>
    <x v="2"/>
    <x v="0"/>
  </r>
  <r>
    <x v="0"/>
    <x v="0"/>
    <n v="2239115159"/>
    <x v="5"/>
    <n v="-3500"/>
    <x v="0"/>
    <x v="0"/>
    <x v="35"/>
    <x v="5"/>
    <x v="0"/>
    <x v="0"/>
    <x v="5"/>
    <x v="0"/>
  </r>
  <r>
    <x v="0"/>
    <x v="0"/>
    <n v="2239115159"/>
    <x v="6"/>
    <n v="10000"/>
    <x v="0"/>
    <x v="0"/>
    <x v="35"/>
    <x v="6"/>
    <x v="0"/>
    <x v="0"/>
    <x v="5"/>
    <x v="0"/>
  </r>
  <r>
    <x v="0"/>
    <x v="0"/>
    <n v="2239115160"/>
    <x v="1"/>
    <n v="2550"/>
    <x v="0"/>
    <x v="0"/>
    <x v="35"/>
    <x v="1"/>
    <x v="0"/>
    <x v="0"/>
    <x v="1"/>
    <x v="0"/>
  </r>
  <r>
    <x v="0"/>
    <x v="0"/>
    <n v="2239115161"/>
    <x v="7"/>
    <n v="1500"/>
    <x v="0"/>
    <x v="0"/>
    <x v="35"/>
    <x v="7"/>
    <x v="0"/>
    <x v="0"/>
    <x v="1"/>
    <x v="0"/>
  </r>
  <r>
    <x v="0"/>
    <x v="0"/>
    <n v="2239115163"/>
    <x v="2"/>
    <n v="13750"/>
    <x v="0"/>
    <x v="0"/>
    <x v="35"/>
    <x v="2"/>
    <x v="0"/>
    <x v="0"/>
    <x v="2"/>
    <x v="0"/>
  </r>
  <r>
    <x v="0"/>
    <x v="0"/>
    <n v="2239115164"/>
    <x v="2"/>
    <n v="5280"/>
    <x v="0"/>
    <x v="0"/>
    <x v="35"/>
    <x v="2"/>
    <x v="0"/>
    <x v="0"/>
    <x v="2"/>
    <x v="0"/>
  </r>
  <r>
    <x v="0"/>
    <x v="0"/>
    <n v="2239115165"/>
    <x v="2"/>
    <n v="9500"/>
    <x v="0"/>
    <x v="0"/>
    <x v="35"/>
    <x v="2"/>
    <x v="0"/>
    <x v="0"/>
    <x v="2"/>
    <x v="0"/>
  </r>
  <r>
    <x v="0"/>
    <x v="0"/>
    <n v="2239115166"/>
    <x v="5"/>
    <n v="-2000"/>
    <x v="0"/>
    <x v="0"/>
    <x v="35"/>
    <x v="5"/>
    <x v="0"/>
    <x v="0"/>
    <x v="5"/>
    <x v="0"/>
  </r>
  <r>
    <x v="0"/>
    <x v="0"/>
    <n v="2239115166"/>
    <x v="6"/>
    <n v="15000"/>
    <x v="0"/>
    <x v="0"/>
    <x v="35"/>
    <x v="6"/>
    <x v="0"/>
    <x v="0"/>
    <x v="5"/>
    <x v="0"/>
  </r>
  <r>
    <x v="0"/>
    <x v="0"/>
    <n v="2239115167"/>
    <x v="2"/>
    <n v="9500"/>
    <x v="0"/>
    <x v="0"/>
    <x v="35"/>
    <x v="2"/>
    <x v="0"/>
    <x v="0"/>
    <x v="2"/>
    <x v="0"/>
  </r>
  <r>
    <x v="0"/>
    <x v="0"/>
    <n v="2239115168"/>
    <x v="7"/>
    <n v="1500"/>
    <x v="0"/>
    <x v="0"/>
    <x v="35"/>
    <x v="7"/>
    <x v="0"/>
    <x v="0"/>
    <x v="1"/>
    <x v="0"/>
  </r>
  <r>
    <x v="0"/>
    <x v="0"/>
    <n v="2239115169"/>
    <x v="2"/>
    <n v="13000"/>
    <x v="0"/>
    <x v="0"/>
    <x v="35"/>
    <x v="2"/>
    <x v="0"/>
    <x v="0"/>
    <x v="2"/>
    <x v="0"/>
  </r>
  <r>
    <x v="0"/>
    <x v="0"/>
    <n v="2239115170"/>
    <x v="2"/>
    <n v="7500"/>
    <x v="0"/>
    <x v="0"/>
    <x v="35"/>
    <x v="2"/>
    <x v="0"/>
    <x v="0"/>
    <x v="2"/>
    <x v="0"/>
  </r>
  <r>
    <x v="0"/>
    <x v="0"/>
    <n v="2239115171"/>
    <x v="5"/>
    <n v="-5200"/>
    <x v="0"/>
    <x v="0"/>
    <x v="35"/>
    <x v="5"/>
    <x v="0"/>
    <x v="0"/>
    <x v="5"/>
    <x v="0"/>
  </r>
  <r>
    <x v="0"/>
    <x v="0"/>
    <n v="2239115171"/>
    <x v="4"/>
    <n v="10500"/>
    <x v="0"/>
    <x v="0"/>
    <x v="35"/>
    <x v="4"/>
    <x v="0"/>
    <x v="0"/>
    <x v="4"/>
    <x v="0"/>
  </r>
  <r>
    <x v="0"/>
    <x v="0"/>
    <n v="2239115172"/>
    <x v="2"/>
    <n v="13500"/>
    <x v="0"/>
    <x v="0"/>
    <x v="35"/>
    <x v="2"/>
    <x v="0"/>
    <x v="0"/>
    <x v="2"/>
    <x v="0"/>
  </r>
  <r>
    <x v="0"/>
    <x v="0"/>
    <n v="2239115173"/>
    <x v="2"/>
    <n v="18370"/>
    <x v="0"/>
    <x v="0"/>
    <x v="35"/>
    <x v="2"/>
    <x v="0"/>
    <x v="0"/>
    <x v="2"/>
    <x v="0"/>
  </r>
  <r>
    <x v="0"/>
    <x v="0"/>
    <n v="2239115174"/>
    <x v="7"/>
    <n v="1500"/>
    <x v="0"/>
    <x v="0"/>
    <x v="35"/>
    <x v="7"/>
    <x v="0"/>
    <x v="0"/>
    <x v="1"/>
    <x v="0"/>
  </r>
  <r>
    <x v="0"/>
    <x v="0"/>
    <n v="2239115175"/>
    <x v="5"/>
    <n v="-5000"/>
    <x v="0"/>
    <x v="0"/>
    <x v="35"/>
    <x v="5"/>
    <x v="0"/>
    <x v="0"/>
    <x v="5"/>
    <x v="0"/>
  </r>
  <r>
    <x v="0"/>
    <x v="0"/>
    <n v="2239115175"/>
    <x v="4"/>
    <n v="10600"/>
    <x v="0"/>
    <x v="0"/>
    <x v="35"/>
    <x v="4"/>
    <x v="0"/>
    <x v="0"/>
    <x v="4"/>
    <x v="0"/>
  </r>
  <r>
    <x v="0"/>
    <x v="0"/>
    <n v="2239115177"/>
    <x v="7"/>
    <n v="1500"/>
    <x v="0"/>
    <x v="0"/>
    <x v="35"/>
    <x v="7"/>
    <x v="0"/>
    <x v="0"/>
    <x v="1"/>
    <x v="0"/>
  </r>
  <r>
    <x v="0"/>
    <x v="0"/>
    <n v="2239115178"/>
    <x v="7"/>
    <n v="6500"/>
    <x v="0"/>
    <x v="0"/>
    <x v="35"/>
    <x v="7"/>
    <x v="0"/>
    <x v="0"/>
    <x v="1"/>
    <x v="0"/>
  </r>
  <r>
    <x v="0"/>
    <x v="0"/>
    <n v="2239115179"/>
    <x v="2"/>
    <n v="8000"/>
    <x v="0"/>
    <x v="0"/>
    <x v="35"/>
    <x v="2"/>
    <x v="0"/>
    <x v="0"/>
    <x v="2"/>
    <x v="0"/>
  </r>
  <r>
    <x v="0"/>
    <x v="0"/>
    <n v="2239115180"/>
    <x v="5"/>
    <n v="-4300"/>
    <x v="0"/>
    <x v="0"/>
    <x v="35"/>
    <x v="5"/>
    <x v="0"/>
    <x v="0"/>
    <x v="5"/>
    <x v="0"/>
  </r>
  <r>
    <x v="0"/>
    <x v="0"/>
    <n v="2239115180"/>
    <x v="4"/>
    <n v="10000"/>
    <x v="0"/>
    <x v="0"/>
    <x v="35"/>
    <x v="4"/>
    <x v="0"/>
    <x v="0"/>
    <x v="4"/>
    <x v="0"/>
  </r>
  <r>
    <x v="0"/>
    <x v="0"/>
    <n v="2239115181"/>
    <x v="7"/>
    <n v="1500"/>
    <x v="0"/>
    <x v="0"/>
    <x v="35"/>
    <x v="7"/>
    <x v="0"/>
    <x v="0"/>
    <x v="1"/>
    <x v="0"/>
  </r>
  <r>
    <x v="0"/>
    <x v="0"/>
    <n v="2239115182"/>
    <x v="2"/>
    <n v="6500"/>
    <x v="0"/>
    <x v="0"/>
    <x v="35"/>
    <x v="2"/>
    <x v="0"/>
    <x v="0"/>
    <x v="2"/>
    <x v="0"/>
  </r>
  <r>
    <x v="0"/>
    <x v="0"/>
    <n v="2239115183"/>
    <x v="5"/>
    <n v="-1500"/>
    <x v="0"/>
    <x v="0"/>
    <x v="35"/>
    <x v="5"/>
    <x v="0"/>
    <x v="0"/>
    <x v="5"/>
    <x v="0"/>
  </r>
  <r>
    <x v="0"/>
    <x v="0"/>
    <n v="2239115183"/>
    <x v="6"/>
    <n v="5000"/>
    <x v="0"/>
    <x v="0"/>
    <x v="35"/>
    <x v="6"/>
    <x v="0"/>
    <x v="0"/>
    <x v="5"/>
    <x v="0"/>
  </r>
  <r>
    <x v="0"/>
    <x v="0"/>
    <n v="2239115184"/>
    <x v="2"/>
    <n v="8250"/>
    <x v="0"/>
    <x v="0"/>
    <x v="35"/>
    <x v="2"/>
    <x v="0"/>
    <x v="0"/>
    <x v="2"/>
    <x v="0"/>
  </r>
  <r>
    <x v="0"/>
    <x v="0"/>
    <n v="2239115185"/>
    <x v="2"/>
    <n v="20790"/>
    <x v="0"/>
    <x v="0"/>
    <x v="35"/>
    <x v="2"/>
    <x v="0"/>
    <x v="0"/>
    <x v="2"/>
    <x v="0"/>
  </r>
  <r>
    <x v="0"/>
    <x v="0"/>
    <n v="2239115186"/>
    <x v="2"/>
    <n v="6000"/>
    <x v="0"/>
    <x v="0"/>
    <x v="35"/>
    <x v="2"/>
    <x v="0"/>
    <x v="0"/>
    <x v="2"/>
    <x v="0"/>
  </r>
  <r>
    <x v="0"/>
    <x v="0"/>
    <n v="2239115187"/>
    <x v="5"/>
    <n v="-5000"/>
    <x v="0"/>
    <x v="0"/>
    <x v="35"/>
    <x v="5"/>
    <x v="0"/>
    <x v="0"/>
    <x v="5"/>
    <x v="0"/>
  </r>
  <r>
    <x v="0"/>
    <x v="0"/>
    <n v="2239115187"/>
    <x v="4"/>
    <n v="10000"/>
    <x v="0"/>
    <x v="0"/>
    <x v="35"/>
    <x v="4"/>
    <x v="0"/>
    <x v="0"/>
    <x v="4"/>
    <x v="0"/>
  </r>
  <r>
    <x v="0"/>
    <x v="0"/>
    <n v="2239115188"/>
    <x v="2"/>
    <n v="5850"/>
    <x v="0"/>
    <x v="0"/>
    <x v="35"/>
    <x v="2"/>
    <x v="0"/>
    <x v="0"/>
    <x v="2"/>
    <x v="0"/>
  </r>
  <r>
    <x v="0"/>
    <x v="0"/>
    <n v="2239115190"/>
    <x v="5"/>
    <n v="-2000"/>
    <x v="0"/>
    <x v="0"/>
    <x v="35"/>
    <x v="5"/>
    <x v="0"/>
    <x v="0"/>
    <x v="5"/>
    <x v="0"/>
  </r>
  <r>
    <x v="0"/>
    <x v="0"/>
    <n v="2239115190"/>
    <x v="6"/>
    <n v="5000"/>
    <x v="0"/>
    <x v="0"/>
    <x v="35"/>
    <x v="6"/>
    <x v="0"/>
    <x v="0"/>
    <x v="5"/>
    <x v="0"/>
  </r>
  <r>
    <x v="0"/>
    <x v="0"/>
    <n v="2239115192"/>
    <x v="2"/>
    <n v="15000"/>
    <x v="0"/>
    <x v="0"/>
    <x v="35"/>
    <x v="2"/>
    <x v="0"/>
    <x v="0"/>
    <x v="2"/>
    <x v="0"/>
  </r>
  <r>
    <x v="0"/>
    <x v="0"/>
    <n v="2239115193"/>
    <x v="7"/>
    <n v="1500"/>
    <x v="0"/>
    <x v="0"/>
    <x v="35"/>
    <x v="7"/>
    <x v="0"/>
    <x v="0"/>
    <x v="1"/>
    <x v="0"/>
  </r>
  <r>
    <x v="0"/>
    <x v="0"/>
    <n v="2239115195"/>
    <x v="5"/>
    <n v="-4100"/>
    <x v="0"/>
    <x v="0"/>
    <x v="35"/>
    <x v="5"/>
    <x v="0"/>
    <x v="0"/>
    <x v="5"/>
    <x v="0"/>
  </r>
  <r>
    <x v="0"/>
    <x v="0"/>
    <n v="2239115195"/>
    <x v="6"/>
    <n v="20000"/>
    <x v="0"/>
    <x v="0"/>
    <x v="35"/>
    <x v="6"/>
    <x v="0"/>
    <x v="0"/>
    <x v="5"/>
    <x v="0"/>
  </r>
  <r>
    <x v="0"/>
    <x v="0"/>
    <n v="2239115196"/>
    <x v="2"/>
    <n v="24090"/>
    <x v="0"/>
    <x v="0"/>
    <x v="35"/>
    <x v="2"/>
    <x v="0"/>
    <x v="0"/>
    <x v="2"/>
    <x v="0"/>
  </r>
  <r>
    <x v="0"/>
    <x v="0"/>
    <n v="2239115197"/>
    <x v="7"/>
    <n v="1500"/>
    <x v="0"/>
    <x v="0"/>
    <x v="35"/>
    <x v="7"/>
    <x v="0"/>
    <x v="0"/>
    <x v="1"/>
    <x v="0"/>
  </r>
  <r>
    <x v="0"/>
    <x v="0"/>
    <n v="2239115198"/>
    <x v="7"/>
    <n v="1500"/>
    <x v="0"/>
    <x v="0"/>
    <x v="35"/>
    <x v="7"/>
    <x v="0"/>
    <x v="0"/>
    <x v="1"/>
    <x v="0"/>
  </r>
  <r>
    <x v="0"/>
    <x v="0"/>
    <n v="2239115200"/>
    <x v="6"/>
    <n v="15000"/>
    <x v="0"/>
    <x v="0"/>
    <x v="35"/>
    <x v="6"/>
    <x v="0"/>
    <x v="0"/>
    <x v="5"/>
    <x v="0"/>
  </r>
  <r>
    <x v="0"/>
    <x v="0"/>
    <n v="2239115201"/>
    <x v="7"/>
    <n v="1500"/>
    <x v="0"/>
    <x v="0"/>
    <x v="35"/>
    <x v="7"/>
    <x v="0"/>
    <x v="0"/>
    <x v="1"/>
    <x v="0"/>
  </r>
  <r>
    <x v="0"/>
    <x v="0"/>
    <n v="2239115202"/>
    <x v="6"/>
    <n v="3000"/>
    <x v="0"/>
    <x v="0"/>
    <x v="35"/>
    <x v="6"/>
    <x v="0"/>
    <x v="0"/>
    <x v="5"/>
    <x v="0"/>
  </r>
  <r>
    <x v="0"/>
    <x v="0"/>
    <n v="2239115203"/>
    <x v="3"/>
    <n v="9500"/>
    <x v="0"/>
    <x v="0"/>
    <x v="35"/>
    <x v="3"/>
    <x v="0"/>
    <x v="0"/>
    <x v="3"/>
    <x v="0"/>
  </r>
  <r>
    <x v="0"/>
    <x v="0"/>
    <n v="2239115205"/>
    <x v="2"/>
    <n v="7500"/>
    <x v="0"/>
    <x v="0"/>
    <x v="35"/>
    <x v="2"/>
    <x v="0"/>
    <x v="0"/>
    <x v="2"/>
    <x v="0"/>
  </r>
  <r>
    <x v="0"/>
    <x v="0"/>
    <n v="2239115207"/>
    <x v="4"/>
    <n v="5000"/>
    <x v="0"/>
    <x v="0"/>
    <x v="35"/>
    <x v="4"/>
    <x v="0"/>
    <x v="0"/>
    <x v="4"/>
    <x v="0"/>
  </r>
  <r>
    <x v="0"/>
    <x v="0"/>
    <n v="2239115208"/>
    <x v="2"/>
    <n v="5500"/>
    <x v="0"/>
    <x v="0"/>
    <x v="35"/>
    <x v="2"/>
    <x v="0"/>
    <x v="0"/>
    <x v="2"/>
    <x v="0"/>
  </r>
  <r>
    <x v="0"/>
    <x v="0"/>
    <n v="2239115209"/>
    <x v="5"/>
    <n v="-2500"/>
    <x v="0"/>
    <x v="0"/>
    <x v="35"/>
    <x v="5"/>
    <x v="0"/>
    <x v="0"/>
    <x v="5"/>
    <x v="0"/>
  </r>
  <r>
    <x v="0"/>
    <x v="0"/>
    <n v="2239115209"/>
    <x v="6"/>
    <n v="10000"/>
    <x v="0"/>
    <x v="0"/>
    <x v="35"/>
    <x v="6"/>
    <x v="0"/>
    <x v="0"/>
    <x v="5"/>
    <x v="0"/>
  </r>
  <r>
    <x v="0"/>
    <x v="0"/>
    <n v="2239115210"/>
    <x v="3"/>
    <n v="8250"/>
    <x v="0"/>
    <x v="0"/>
    <x v="35"/>
    <x v="3"/>
    <x v="0"/>
    <x v="0"/>
    <x v="3"/>
    <x v="0"/>
  </r>
  <r>
    <x v="0"/>
    <x v="0"/>
    <n v="2239115211"/>
    <x v="2"/>
    <n v="4950"/>
    <x v="0"/>
    <x v="0"/>
    <x v="35"/>
    <x v="2"/>
    <x v="0"/>
    <x v="0"/>
    <x v="2"/>
    <x v="0"/>
  </r>
  <r>
    <x v="0"/>
    <x v="0"/>
    <n v="2239115212"/>
    <x v="5"/>
    <n v="-4400"/>
    <x v="0"/>
    <x v="0"/>
    <x v="35"/>
    <x v="5"/>
    <x v="0"/>
    <x v="0"/>
    <x v="5"/>
    <x v="0"/>
  </r>
  <r>
    <x v="0"/>
    <x v="0"/>
    <n v="2239115212"/>
    <x v="4"/>
    <n v="10000"/>
    <x v="0"/>
    <x v="0"/>
    <x v="35"/>
    <x v="4"/>
    <x v="0"/>
    <x v="0"/>
    <x v="4"/>
    <x v="0"/>
  </r>
  <r>
    <x v="0"/>
    <x v="0"/>
    <n v="2239115213"/>
    <x v="2"/>
    <n v="3300"/>
    <x v="0"/>
    <x v="0"/>
    <x v="35"/>
    <x v="2"/>
    <x v="0"/>
    <x v="0"/>
    <x v="2"/>
    <x v="0"/>
  </r>
  <r>
    <x v="0"/>
    <x v="0"/>
    <n v="2239115214"/>
    <x v="1"/>
    <n v="1800"/>
    <x v="0"/>
    <x v="0"/>
    <x v="35"/>
    <x v="1"/>
    <x v="0"/>
    <x v="0"/>
    <x v="1"/>
    <x v="0"/>
  </r>
  <r>
    <x v="0"/>
    <x v="0"/>
    <n v="2239115215"/>
    <x v="2"/>
    <n v="19000"/>
    <x v="0"/>
    <x v="0"/>
    <x v="35"/>
    <x v="2"/>
    <x v="0"/>
    <x v="0"/>
    <x v="2"/>
    <x v="0"/>
  </r>
  <r>
    <x v="0"/>
    <x v="0"/>
    <n v="2239115216"/>
    <x v="5"/>
    <n v="-500"/>
    <x v="0"/>
    <x v="0"/>
    <x v="35"/>
    <x v="5"/>
    <x v="0"/>
    <x v="0"/>
    <x v="5"/>
    <x v="0"/>
  </r>
  <r>
    <x v="0"/>
    <x v="0"/>
    <n v="2239115216"/>
    <x v="6"/>
    <n v="10000"/>
    <x v="0"/>
    <x v="0"/>
    <x v="35"/>
    <x v="6"/>
    <x v="0"/>
    <x v="0"/>
    <x v="5"/>
    <x v="0"/>
  </r>
  <r>
    <x v="0"/>
    <x v="0"/>
    <n v="2239115217"/>
    <x v="5"/>
    <n v="-5000"/>
    <x v="0"/>
    <x v="0"/>
    <x v="35"/>
    <x v="5"/>
    <x v="0"/>
    <x v="0"/>
    <x v="5"/>
    <x v="0"/>
  </r>
  <r>
    <x v="0"/>
    <x v="0"/>
    <n v="2239115217"/>
    <x v="4"/>
    <n v="10700"/>
    <x v="0"/>
    <x v="0"/>
    <x v="35"/>
    <x v="4"/>
    <x v="0"/>
    <x v="0"/>
    <x v="4"/>
    <x v="0"/>
  </r>
  <r>
    <x v="0"/>
    <x v="0"/>
    <n v="2239115219"/>
    <x v="7"/>
    <n v="1500"/>
    <x v="0"/>
    <x v="0"/>
    <x v="35"/>
    <x v="7"/>
    <x v="0"/>
    <x v="0"/>
    <x v="1"/>
    <x v="0"/>
  </r>
  <r>
    <x v="0"/>
    <x v="0"/>
    <n v="2239115220"/>
    <x v="7"/>
    <n v="1500"/>
    <x v="0"/>
    <x v="0"/>
    <x v="35"/>
    <x v="7"/>
    <x v="0"/>
    <x v="0"/>
    <x v="1"/>
    <x v="0"/>
  </r>
  <r>
    <x v="0"/>
    <x v="0"/>
    <n v="2239115221"/>
    <x v="2"/>
    <n v="16500"/>
    <x v="0"/>
    <x v="0"/>
    <x v="35"/>
    <x v="2"/>
    <x v="0"/>
    <x v="0"/>
    <x v="2"/>
    <x v="0"/>
  </r>
  <r>
    <x v="0"/>
    <x v="0"/>
    <n v="2239115222"/>
    <x v="7"/>
    <n v="1500"/>
    <x v="0"/>
    <x v="0"/>
    <x v="35"/>
    <x v="7"/>
    <x v="0"/>
    <x v="0"/>
    <x v="1"/>
    <x v="0"/>
  </r>
  <r>
    <x v="0"/>
    <x v="0"/>
    <n v="2239115224"/>
    <x v="1"/>
    <n v="1800"/>
    <x v="0"/>
    <x v="0"/>
    <x v="35"/>
    <x v="1"/>
    <x v="0"/>
    <x v="0"/>
    <x v="1"/>
    <x v="0"/>
  </r>
  <r>
    <x v="0"/>
    <x v="0"/>
    <n v="2239115225"/>
    <x v="1"/>
    <n v="5190"/>
    <x v="0"/>
    <x v="0"/>
    <x v="35"/>
    <x v="1"/>
    <x v="0"/>
    <x v="0"/>
    <x v="1"/>
    <x v="0"/>
  </r>
  <r>
    <x v="0"/>
    <x v="0"/>
    <n v="2239115226"/>
    <x v="2"/>
    <n v="61050"/>
    <x v="0"/>
    <x v="0"/>
    <x v="35"/>
    <x v="2"/>
    <x v="0"/>
    <x v="0"/>
    <x v="2"/>
    <x v="0"/>
  </r>
  <r>
    <x v="0"/>
    <x v="0"/>
    <n v="2239115227"/>
    <x v="5"/>
    <n v="-4000"/>
    <x v="0"/>
    <x v="0"/>
    <x v="35"/>
    <x v="5"/>
    <x v="0"/>
    <x v="0"/>
    <x v="5"/>
    <x v="0"/>
  </r>
  <r>
    <x v="0"/>
    <x v="0"/>
    <n v="2239115227"/>
    <x v="6"/>
    <n v="10650"/>
    <x v="0"/>
    <x v="0"/>
    <x v="35"/>
    <x v="6"/>
    <x v="0"/>
    <x v="0"/>
    <x v="5"/>
    <x v="0"/>
  </r>
  <r>
    <x v="0"/>
    <x v="0"/>
    <n v="2239115228"/>
    <x v="2"/>
    <n v="13750"/>
    <x v="0"/>
    <x v="0"/>
    <x v="35"/>
    <x v="2"/>
    <x v="0"/>
    <x v="0"/>
    <x v="2"/>
    <x v="0"/>
  </r>
  <r>
    <x v="0"/>
    <x v="0"/>
    <n v="2239115229"/>
    <x v="2"/>
    <n v="11500"/>
    <x v="0"/>
    <x v="0"/>
    <x v="35"/>
    <x v="2"/>
    <x v="0"/>
    <x v="0"/>
    <x v="2"/>
    <x v="0"/>
  </r>
  <r>
    <x v="0"/>
    <x v="0"/>
    <n v="2239115230"/>
    <x v="2"/>
    <n v="7500"/>
    <x v="0"/>
    <x v="0"/>
    <x v="35"/>
    <x v="2"/>
    <x v="0"/>
    <x v="0"/>
    <x v="2"/>
    <x v="0"/>
  </r>
  <r>
    <x v="0"/>
    <x v="0"/>
    <n v="2239115231"/>
    <x v="3"/>
    <n v="14960"/>
    <x v="0"/>
    <x v="0"/>
    <x v="35"/>
    <x v="3"/>
    <x v="0"/>
    <x v="0"/>
    <x v="3"/>
    <x v="0"/>
  </r>
  <r>
    <x v="0"/>
    <x v="0"/>
    <n v="2239115232"/>
    <x v="7"/>
    <n v="1500"/>
    <x v="0"/>
    <x v="0"/>
    <x v="35"/>
    <x v="7"/>
    <x v="0"/>
    <x v="0"/>
    <x v="1"/>
    <x v="0"/>
  </r>
  <r>
    <x v="0"/>
    <x v="0"/>
    <n v="2239115233"/>
    <x v="2"/>
    <n v="10450"/>
    <x v="0"/>
    <x v="0"/>
    <x v="35"/>
    <x v="2"/>
    <x v="0"/>
    <x v="0"/>
    <x v="2"/>
    <x v="0"/>
  </r>
  <r>
    <x v="0"/>
    <x v="0"/>
    <n v="2239115235"/>
    <x v="2"/>
    <n v="29040"/>
    <x v="0"/>
    <x v="0"/>
    <x v="35"/>
    <x v="2"/>
    <x v="0"/>
    <x v="0"/>
    <x v="2"/>
    <x v="0"/>
  </r>
  <r>
    <x v="0"/>
    <x v="0"/>
    <n v="2239115236"/>
    <x v="2"/>
    <n v="6000"/>
    <x v="0"/>
    <x v="0"/>
    <x v="35"/>
    <x v="2"/>
    <x v="0"/>
    <x v="0"/>
    <x v="2"/>
    <x v="0"/>
  </r>
  <r>
    <x v="0"/>
    <x v="0"/>
    <n v="2239115237"/>
    <x v="5"/>
    <n v="-4400"/>
    <x v="0"/>
    <x v="0"/>
    <x v="35"/>
    <x v="5"/>
    <x v="0"/>
    <x v="0"/>
    <x v="5"/>
    <x v="0"/>
  </r>
  <r>
    <x v="0"/>
    <x v="0"/>
    <n v="2239115237"/>
    <x v="4"/>
    <n v="10000"/>
    <x v="0"/>
    <x v="0"/>
    <x v="35"/>
    <x v="4"/>
    <x v="0"/>
    <x v="0"/>
    <x v="4"/>
    <x v="0"/>
  </r>
  <r>
    <x v="0"/>
    <x v="0"/>
    <n v="2239115238"/>
    <x v="5"/>
    <n v="-2000"/>
    <x v="0"/>
    <x v="0"/>
    <x v="35"/>
    <x v="5"/>
    <x v="0"/>
    <x v="0"/>
    <x v="5"/>
    <x v="0"/>
  </r>
  <r>
    <x v="0"/>
    <x v="0"/>
    <n v="2239115238"/>
    <x v="6"/>
    <n v="5000"/>
    <x v="0"/>
    <x v="0"/>
    <x v="35"/>
    <x v="6"/>
    <x v="0"/>
    <x v="0"/>
    <x v="5"/>
    <x v="0"/>
  </r>
  <r>
    <x v="0"/>
    <x v="0"/>
    <n v="2239115239"/>
    <x v="2"/>
    <n v="3500"/>
    <x v="0"/>
    <x v="0"/>
    <x v="35"/>
    <x v="2"/>
    <x v="0"/>
    <x v="0"/>
    <x v="2"/>
    <x v="0"/>
  </r>
  <r>
    <x v="0"/>
    <x v="0"/>
    <n v="2239115241"/>
    <x v="2"/>
    <n v="24500"/>
    <x v="0"/>
    <x v="0"/>
    <x v="35"/>
    <x v="2"/>
    <x v="0"/>
    <x v="0"/>
    <x v="2"/>
    <x v="0"/>
  </r>
  <r>
    <x v="0"/>
    <x v="0"/>
    <n v="2239115242"/>
    <x v="2"/>
    <n v="4180"/>
    <x v="0"/>
    <x v="0"/>
    <x v="35"/>
    <x v="2"/>
    <x v="0"/>
    <x v="0"/>
    <x v="2"/>
    <x v="0"/>
  </r>
  <r>
    <x v="0"/>
    <x v="0"/>
    <n v="2239115243"/>
    <x v="2"/>
    <n v="47190"/>
    <x v="0"/>
    <x v="0"/>
    <x v="35"/>
    <x v="2"/>
    <x v="0"/>
    <x v="0"/>
    <x v="2"/>
    <x v="0"/>
  </r>
  <r>
    <x v="0"/>
    <x v="0"/>
    <n v="2239115244"/>
    <x v="5"/>
    <n v="-6500"/>
    <x v="0"/>
    <x v="0"/>
    <x v="35"/>
    <x v="5"/>
    <x v="0"/>
    <x v="0"/>
    <x v="5"/>
    <x v="0"/>
  </r>
  <r>
    <x v="0"/>
    <x v="0"/>
    <n v="2239115244"/>
    <x v="6"/>
    <n v="10000"/>
    <x v="0"/>
    <x v="0"/>
    <x v="35"/>
    <x v="6"/>
    <x v="0"/>
    <x v="0"/>
    <x v="5"/>
    <x v="0"/>
  </r>
  <r>
    <x v="0"/>
    <x v="0"/>
    <n v="2239115245"/>
    <x v="2"/>
    <n v="6500"/>
    <x v="0"/>
    <x v="0"/>
    <x v="35"/>
    <x v="2"/>
    <x v="0"/>
    <x v="0"/>
    <x v="2"/>
    <x v="0"/>
  </r>
  <r>
    <x v="0"/>
    <x v="0"/>
    <n v="2239115246"/>
    <x v="7"/>
    <n v="8000"/>
    <x v="0"/>
    <x v="0"/>
    <x v="35"/>
    <x v="7"/>
    <x v="0"/>
    <x v="0"/>
    <x v="1"/>
    <x v="0"/>
  </r>
  <r>
    <x v="0"/>
    <x v="0"/>
    <n v="2239115247"/>
    <x v="2"/>
    <n v="7500"/>
    <x v="0"/>
    <x v="0"/>
    <x v="35"/>
    <x v="2"/>
    <x v="0"/>
    <x v="0"/>
    <x v="2"/>
    <x v="0"/>
  </r>
  <r>
    <x v="0"/>
    <x v="0"/>
    <n v="2239115248"/>
    <x v="2"/>
    <n v="12100"/>
    <x v="0"/>
    <x v="0"/>
    <x v="35"/>
    <x v="2"/>
    <x v="0"/>
    <x v="0"/>
    <x v="2"/>
    <x v="0"/>
  </r>
  <r>
    <x v="0"/>
    <x v="0"/>
    <n v="2239115249"/>
    <x v="2"/>
    <n v="5720"/>
    <x v="0"/>
    <x v="0"/>
    <x v="35"/>
    <x v="2"/>
    <x v="0"/>
    <x v="0"/>
    <x v="2"/>
    <x v="0"/>
  </r>
  <r>
    <x v="0"/>
    <x v="0"/>
    <n v="2239115250"/>
    <x v="2"/>
    <n v="3000"/>
    <x v="0"/>
    <x v="0"/>
    <x v="35"/>
    <x v="2"/>
    <x v="0"/>
    <x v="0"/>
    <x v="2"/>
    <x v="0"/>
  </r>
  <r>
    <x v="0"/>
    <x v="0"/>
    <n v="2239115251"/>
    <x v="2"/>
    <n v="7150"/>
    <x v="0"/>
    <x v="0"/>
    <x v="35"/>
    <x v="2"/>
    <x v="0"/>
    <x v="0"/>
    <x v="2"/>
    <x v="0"/>
  </r>
  <r>
    <x v="0"/>
    <x v="0"/>
    <n v="2239115252"/>
    <x v="5"/>
    <n v="-8000"/>
    <x v="0"/>
    <x v="0"/>
    <x v="35"/>
    <x v="5"/>
    <x v="0"/>
    <x v="0"/>
    <x v="5"/>
    <x v="0"/>
  </r>
  <r>
    <x v="0"/>
    <x v="0"/>
    <n v="2239115252"/>
    <x v="6"/>
    <n v="20000"/>
    <x v="0"/>
    <x v="0"/>
    <x v="35"/>
    <x v="6"/>
    <x v="0"/>
    <x v="0"/>
    <x v="5"/>
    <x v="0"/>
  </r>
  <r>
    <x v="0"/>
    <x v="0"/>
    <n v="2239115253"/>
    <x v="2"/>
    <n v="11990"/>
    <x v="0"/>
    <x v="0"/>
    <x v="35"/>
    <x v="2"/>
    <x v="0"/>
    <x v="0"/>
    <x v="2"/>
    <x v="0"/>
  </r>
  <r>
    <x v="0"/>
    <x v="0"/>
    <n v="2239115254"/>
    <x v="1"/>
    <n v="1200"/>
    <x v="0"/>
    <x v="0"/>
    <x v="35"/>
    <x v="1"/>
    <x v="0"/>
    <x v="0"/>
    <x v="1"/>
    <x v="0"/>
  </r>
  <r>
    <x v="0"/>
    <x v="0"/>
    <n v="2239115255"/>
    <x v="7"/>
    <n v="1500"/>
    <x v="0"/>
    <x v="0"/>
    <x v="35"/>
    <x v="7"/>
    <x v="0"/>
    <x v="0"/>
    <x v="1"/>
    <x v="0"/>
  </r>
  <r>
    <x v="0"/>
    <x v="0"/>
    <n v="2239115256"/>
    <x v="5"/>
    <n v="-7000"/>
    <x v="0"/>
    <x v="0"/>
    <x v="35"/>
    <x v="5"/>
    <x v="0"/>
    <x v="0"/>
    <x v="5"/>
    <x v="0"/>
  </r>
  <r>
    <x v="0"/>
    <x v="0"/>
    <n v="2239115256"/>
    <x v="6"/>
    <n v="10150"/>
    <x v="0"/>
    <x v="0"/>
    <x v="35"/>
    <x v="6"/>
    <x v="0"/>
    <x v="0"/>
    <x v="5"/>
    <x v="0"/>
  </r>
  <r>
    <x v="0"/>
    <x v="0"/>
    <n v="2239115257"/>
    <x v="5"/>
    <n v="-5500"/>
    <x v="0"/>
    <x v="0"/>
    <x v="35"/>
    <x v="5"/>
    <x v="0"/>
    <x v="0"/>
    <x v="5"/>
    <x v="0"/>
  </r>
  <r>
    <x v="0"/>
    <x v="0"/>
    <n v="2239115257"/>
    <x v="6"/>
    <n v="20000"/>
    <x v="0"/>
    <x v="0"/>
    <x v="35"/>
    <x v="6"/>
    <x v="0"/>
    <x v="0"/>
    <x v="5"/>
    <x v="0"/>
  </r>
  <r>
    <x v="0"/>
    <x v="0"/>
    <n v="2239115258"/>
    <x v="7"/>
    <n v="1500"/>
    <x v="0"/>
    <x v="0"/>
    <x v="35"/>
    <x v="7"/>
    <x v="0"/>
    <x v="0"/>
    <x v="1"/>
    <x v="0"/>
  </r>
  <r>
    <x v="0"/>
    <x v="0"/>
    <n v="2239115259"/>
    <x v="5"/>
    <n v="-4400"/>
    <x v="0"/>
    <x v="0"/>
    <x v="35"/>
    <x v="5"/>
    <x v="0"/>
    <x v="0"/>
    <x v="5"/>
    <x v="0"/>
  </r>
  <r>
    <x v="0"/>
    <x v="0"/>
    <n v="2239115259"/>
    <x v="4"/>
    <n v="10000"/>
    <x v="0"/>
    <x v="0"/>
    <x v="35"/>
    <x v="4"/>
    <x v="0"/>
    <x v="0"/>
    <x v="4"/>
    <x v="0"/>
  </r>
  <r>
    <x v="0"/>
    <x v="0"/>
    <n v="2239115260"/>
    <x v="2"/>
    <n v="15400"/>
    <x v="0"/>
    <x v="0"/>
    <x v="35"/>
    <x v="2"/>
    <x v="0"/>
    <x v="0"/>
    <x v="2"/>
    <x v="0"/>
  </r>
  <r>
    <x v="0"/>
    <x v="0"/>
    <n v="2239115261"/>
    <x v="2"/>
    <n v="9500"/>
    <x v="0"/>
    <x v="0"/>
    <x v="35"/>
    <x v="2"/>
    <x v="0"/>
    <x v="0"/>
    <x v="2"/>
    <x v="0"/>
  </r>
  <r>
    <x v="0"/>
    <x v="0"/>
    <n v="2239115262"/>
    <x v="5"/>
    <n v="-4700"/>
    <x v="0"/>
    <x v="0"/>
    <x v="35"/>
    <x v="5"/>
    <x v="0"/>
    <x v="0"/>
    <x v="5"/>
    <x v="0"/>
  </r>
  <r>
    <x v="0"/>
    <x v="0"/>
    <n v="2239115262"/>
    <x v="4"/>
    <n v="10000"/>
    <x v="0"/>
    <x v="0"/>
    <x v="35"/>
    <x v="4"/>
    <x v="0"/>
    <x v="0"/>
    <x v="4"/>
    <x v="0"/>
  </r>
  <r>
    <x v="0"/>
    <x v="0"/>
    <n v="2239115263"/>
    <x v="3"/>
    <n v="7480"/>
    <x v="0"/>
    <x v="0"/>
    <x v="35"/>
    <x v="3"/>
    <x v="0"/>
    <x v="0"/>
    <x v="3"/>
    <x v="0"/>
  </r>
  <r>
    <x v="0"/>
    <x v="0"/>
    <n v="2239115263"/>
    <x v="7"/>
    <n v="1700"/>
    <x v="0"/>
    <x v="0"/>
    <x v="35"/>
    <x v="7"/>
    <x v="0"/>
    <x v="0"/>
    <x v="1"/>
    <x v="0"/>
  </r>
  <r>
    <x v="0"/>
    <x v="0"/>
    <n v="2239115264"/>
    <x v="2"/>
    <n v="16500"/>
    <x v="0"/>
    <x v="0"/>
    <x v="35"/>
    <x v="2"/>
    <x v="0"/>
    <x v="0"/>
    <x v="2"/>
    <x v="0"/>
  </r>
  <r>
    <x v="0"/>
    <x v="0"/>
    <n v="2239115265"/>
    <x v="2"/>
    <n v="33440"/>
    <x v="0"/>
    <x v="0"/>
    <x v="35"/>
    <x v="2"/>
    <x v="0"/>
    <x v="0"/>
    <x v="2"/>
    <x v="0"/>
  </r>
  <r>
    <x v="0"/>
    <x v="0"/>
    <n v="2239115266"/>
    <x v="2"/>
    <n v="8250"/>
    <x v="0"/>
    <x v="0"/>
    <x v="35"/>
    <x v="2"/>
    <x v="0"/>
    <x v="0"/>
    <x v="2"/>
    <x v="0"/>
  </r>
  <r>
    <x v="0"/>
    <x v="0"/>
    <n v="2239115267"/>
    <x v="7"/>
    <n v="1500"/>
    <x v="0"/>
    <x v="0"/>
    <x v="35"/>
    <x v="7"/>
    <x v="0"/>
    <x v="0"/>
    <x v="1"/>
    <x v="0"/>
  </r>
  <r>
    <x v="0"/>
    <x v="0"/>
    <n v="2239115268"/>
    <x v="5"/>
    <n v="-500"/>
    <x v="0"/>
    <x v="0"/>
    <x v="35"/>
    <x v="5"/>
    <x v="0"/>
    <x v="0"/>
    <x v="5"/>
    <x v="0"/>
  </r>
  <r>
    <x v="0"/>
    <x v="0"/>
    <n v="2239115268"/>
    <x v="6"/>
    <n v="5000"/>
    <x v="0"/>
    <x v="0"/>
    <x v="35"/>
    <x v="6"/>
    <x v="0"/>
    <x v="0"/>
    <x v="5"/>
    <x v="0"/>
  </r>
  <r>
    <x v="0"/>
    <x v="0"/>
    <n v="2239115269"/>
    <x v="2"/>
    <n v="9500"/>
    <x v="0"/>
    <x v="0"/>
    <x v="35"/>
    <x v="2"/>
    <x v="0"/>
    <x v="0"/>
    <x v="2"/>
    <x v="0"/>
  </r>
  <r>
    <x v="0"/>
    <x v="0"/>
    <n v="2239115270"/>
    <x v="5"/>
    <n v="-400"/>
    <x v="0"/>
    <x v="0"/>
    <x v="35"/>
    <x v="5"/>
    <x v="0"/>
    <x v="0"/>
    <x v="5"/>
    <x v="0"/>
  </r>
  <r>
    <x v="0"/>
    <x v="0"/>
    <n v="2239115270"/>
    <x v="4"/>
    <n v="6000"/>
    <x v="0"/>
    <x v="0"/>
    <x v="35"/>
    <x v="4"/>
    <x v="0"/>
    <x v="0"/>
    <x v="4"/>
    <x v="0"/>
  </r>
  <r>
    <x v="0"/>
    <x v="0"/>
    <n v="2239115271"/>
    <x v="2"/>
    <n v="11700"/>
    <x v="0"/>
    <x v="0"/>
    <x v="35"/>
    <x v="2"/>
    <x v="0"/>
    <x v="0"/>
    <x v="2"/>
    <x v="0"/>
  </r>
  <r>
    <x v="0"/>
    <x v="0"/>
    <n v="2239115272"/>
    <x v="5"/>
    <n v="-9500"/>
    <x v="0"/>
    <x v="0"/>
    <x v="35"/>
    <x v="5"/>
    <x v="0"/>
    <x v="0"/>
    <x v="5"/>
    <x v="0"/>
  </r>
  <r>
    <x v="0"/>
    <x v="0"/>
    <n v="2239115272"/>
    <x v="6"/>
    <n v="20000"/>
    <x v="0"/>
    <x v="0"/>
    <x v="35"/>
    <x v="6"/>
    <x v="0"/>
    <x v="0"/>
    <x v="5"/>
    <x v="0"/>
  </r>
  <r>
    <x v="0"/>
    <x v="0"/>
    <n v="2239115273"/>
    <x v="2"/>
    <n v="7000"/>
    <x v="0"/>
    <x v="0"/>
    <x v="35"/>
    <x v="2"/>
    <x v="0"/>
    <x v="0"/>
    <x v="2"/>
    <x v="0"/>
  </r>
  <r>
    <x v="0"/>
    <x v="0"/>
    <n v="2239115274"/>
    <x v="7"/>
    <n v="1500"/>
    <x v="0"/>
    <x v="0"/>
    <x v="35"/>
    <x v="7"/>
    <x v="0"/>
    <x v="0"/>
    <x v="1"/>
    <x v="0"/>
  </r>
  <r>
    <x v="0"/>
    <x v="0"/>
    <n v="2239115275"/>
    <x v="2"/>
    <n v="13200"/>
    <x v="0"/>
    <x v="0"/>
    <x v="35"/>
    <x v="2"/>
    <x v="0"/>
    <x v="0"/>
    <x v="2"/>
    <x v="0"/>
  </r>
  <r>
    <x v="0"/>
    <x v="0"/>
    <n v="2239115277"/>
    <x v="2"/>
    <n v="36960"/>
    <x v="0"/>
    <x v="0"/>
    <x v="35"/>
    <x v="2"/>
    <x v="0"/>
    <x v="0"/>
    <x v="2"/>
    <x v="0"/>
  </r>
  <r>
    <x v="0"/>
    <x v="0"/>
    <n v="2239115278"/>
    <x v="5"/>
    <n v="-5000"/>
    <x v="0"/>
    <x v="0"/>
    <x v="35"/>
    <x v="5"/>
    <x v="0"/>
    <x v="0"/>
    <x v="5"/>
    <x v="0"/>
  </r>
  <r>
    <x v="0"/>
    <x v="0"/>
    <n v="2239115278"/>
    <x v="4"/>
    <n v="10600"/>
    <x v="0"/>
    <x v="0"/>
    <x v="35"/>
    <x v="4"/>
    <x v="0"/>
    <x v="0"/>
    <x v="4"/>
    <x v="0"/>
  </r>
  <r>
    <x v="0"/>
    <x v="0"/>
    <n v="2239115279"/>
    <x v="2"/>
    <n v="19000"/>
    <x v="0"/>
    <x v="0"/>
    <x v="35"/>
    <x v="2"/>
    <x v="0"/>
    <x v="0"/>
    <x v="2"/>
    <x v="0"/>
  </r>
  <r>
    <x v="0"/>
    <x v="0"/>
    <n v="2239115280"/>
    <x v="7"/>
    <n v="1500"/>
    <x v="0"/>
    <x v="0"/>
    <x v="35"/>
    <x v="7"/>
    <x v="0"/>
    <x v="0"/>
    <x v="1"/>
    <x v="0"/>
  </r>
  <r>
    <x v="0"/>
    <x v="0"/>
    <n v="2239115281"/>
    <x v="5"/>
    <n v="-400"/>
    <x v="0"/>
    <x v="0"/>
    <x v="35"/>
    <x v="5"/>
    <x v="0"/>
    <x v="0"/>
    <x v="5"/>
    <x v="0"/>
  </r>
  <r>
    <x v="0"/>
    <x v="0"/>
    <n v="2239115281"/>
    <x v="4"/>
    <n v="6000"/>
    <x v="0"/>
    <x v="0"/>
    <x v="35"/>
    <x v="4"/>
    <x v="0"/>
    <x v="0"/>
    <x v="4"/>
    <x v="0"/>
  </r>
  <r>
    <x v="0"/>
    <x v="0"/>
    <n v="2239115282"/>
    <x v="2"/>
    <n v="10450"/>
    <x v="0"/>
    <x v="0"/>
    <x v="35"/>
    <x v="2"/>
    <x v="0"/>
    <x v="0"/>
    <x v="2"/>
    <x v="0"/>
  </r>
  <r>
    <x v="0"/>
    <x v="0"/>
    <n v="2239115283"/>
    <x v="5"/>
    <n v="-3500"/>
    <x v="0"/>
    <x v="0"/>
    <x v="35"/>
    <x v="5"/>
    <x v="0"/>
    <x v="0"/>
    <x v="5"/>
    <x v="0"/>
  </r>
  <r>
    <x v="0"/>
    <x v="0"/>
    <n v="2239115283"/>
    <x v="6"/>
    <n v="10000"/>
    <x v="0"/>
    <x v="0"/>
    <x v="35"/>
    <x v="6"/>
    <x v="0"/>
    <x v="0"/>
    <x v="5"/>
    <x v="0"/>
  </r>
  <r>
    <x v="0"/>
    <x v="0"/>
    <n v="2239115284"/>
    <x v="5"/>
    <n v="-2000"/>
    <x v="0"/>
    <x v="0"/>
    <x v="35"/>
    <x v="5"/>
    <x v="0"/>
    <x v="0"/>
    <x v="5"/>
    <x v="0"/>
  </r>
  <r>
    <x v="0"/>
    <x v="0"/>
    <n v="2239115284"/>
    <x v="6"/>
    <n v="5000"/>
    <x v="0"/>
    <x v="0"/>
    <x v="35"/>
    <x v="6"/>
    <x v="0"/>
    <x v="0"/>
    <x v="5"/>
    <x v="0"/>
  </r>
  <r>
    <x v="0"/>
    <x v="0"/>
    <n v="2239115285"/>
    <x v="7"/>
    <n v="6500"/>
    <x v="0"/>
    <x v="0"/>
    <x v="35"/>
    <x v="7"/>
    <x v="0"/>
    <x v="0"/>
    <x v="1"/>
    <x v="0"/>
  </r>
  <r>
    <x v="0"/>
    <x v="0"/>
    <n v="2239115286"/>
    <x v="2"/>
    <n v="3000"/>
    <x v="0"/>
    <x v="0"/>
    <x v="35"/>
    <x v="2"/>
    <x v="0"/>
    <x v="0"/>
    <x v="2"/>
    <x v="0"/>
  </r>
  <r>
    <x v="0"/>
    <x v="0"/>
    <n v="2239115288"/>
    <x v="5"/>
    <n v="-8300"/>
    <x v="0"/>
    <x v="0"/>
    <x v="35"/>
    <x v="5"/>
    <x v="0"/>
    <x v="0"/>
    <x v="5"/>
    <x v="0"/>
  </r>
  <r>
    <x v="0"/>
    <x v="0"/>
    <n v="2239115288"/>
    <x v="6"/>
    <n v="20000"/>
    <x v="0"/>
    <x v="0"/>
    <x v="35"/>
    <x v="6"/>
    <x v="0"/>
    <x v="0"/>
    <x v="5"/>
    <x v="0"/>
  </r>
  <r>
    <x v="0"/>
    <x v="0"/>
    <n v="2239115288"/>
    <x v="7"/>
    <n v="1300"/>
    <x v="0"/>
    <x v="0"/>
    <x v="35"/>
    <x v="7"/>
    <x v="0"/>
    <x v="0"/>
    <x v="1"/>
    <x v="0"/>
  </r>
  <r>
    <x v="0"/>
    <x v="0"/>
    <n v="2239115289"/>
    <x v="5"/>
    <n v="-14400"/>
    <x v="0"/>
    <x v="0"/>
    <x v="35"/>
    <x v="5"/>
    <x v="0"/>
    <x v="0"/>
    <x v="5"/>
    <x v="0"/>
  </r>
  <r>
    <x v="0"/>
    <x v="0"/>
    <n v="2239115289"/>
    <x v="4"/>
    <n v="20000"/>
    <x v="0"/>
    <x v="0"/>
    <x v="35"/>
    <x v="4"/>
    <x v="0"/>
    <x v="0"/>
    <x v="4"/>
    <x v="0"/>
  </r>
  <r>
    <x v="0"/>
    <x v="0"/>
    <n v="2239115290"/>
    <x v="5"/>
    <n v="-500"/>
    <x v="0"/>
    <x v="0"/>
    <x v="35"/>
    <x v="5"/>
    <x v="0"/>
    <x v="0"/>
    <x v="5"/>
    <x v="0"/>
  </r>
  <r>
    <x v="0"/>
    <x v="0"/>
    <n v="2239115290"/>
    <x v="6"/>
    <n v="10000"/>
    <x v="0"/>
    <x v="0"/>
    <x v="35"/>
    <x v="6"/>
    <x v="0"/>
    <x v="0"/>
    <x v="5"/>
    <x v="0"/>
  </r>
  <r>
    <x v="0"/>
    <x v="0"/>
    <n v="2239115291"/>
    <x v="2"/>
    <n v="12650"/>
    <x v="0"/>
    <x v="0"/>
    <x v="35"/>
    <x v="2"/>
    <x v="0"/>
    <x v="0"/>
    <x v="2"/>
    <x v="0"/>
  </r>
  <r>
    <x v="0"/>
    <x v="0"/>
    <n v="2239115292"/>
    <x v="5"/>
    <n v="-4700"/>
    <x v="0"/>
    <x v="0"/>
    <x v="35"/>
    <x v="5"/>
    <x v="0"/>
    <x v="0"/>
    <x v="5"/>
    <x v="0"/>
  </r>
  <r>
    <x v="0"/>
    <x v="0"/>
    <n v="2239115292"/>
    <x v="4"/>
    <n v="10000"/>
    <x v="0"/>
    <x v="0"/>
    <x v="35"/>
    <x v="4"/>
    <x v="0"/>
    <x v="0"/>
    <x v="4"/>
    <x v="0"/>
  </r>
  <r>
    <x v="0"/>
    <x v="0"/>
    <n v="2239115293"/>
    <x v="5"/>
    <n v="-100"/>
    <x v="0"/>
    <x v="0"/>
    <x v="35"/>
    <x v="5"/>
    <x v="0"/>
    <x v="0"/>
    <x v="5"/>
    <x v="0"/>
  </r>
  <r>
    <x v="0"/>
    <x v="0"/>
    <n v="2239115293"/>
    <x v="6"/>
    <n v="16000"/>
    <x v="0"/>
    <x v="0"/>
    <x v="35"/>
    <x v="6"/>
    <x v="0"/>
    <x v="0"/>
    <x v="5"/>
    <x v="0"/>
  </r>
  <r>
    <x v="0"/>
    <x v="0"/>
    <n v="2239115294"/>
    <x v="2"/>
    <n v="3200"/>
    <x v="0"/>
    <x v="0"/>
    <x v="35"/>
    <x v="2"/>
    <x v="0"/>
    <x v="0"/>
    <x v="2"/>
    <x v="0"/>
  </r>
  <r>
    <x v="0"/>
    <x v="0"/>
    <n v="2239115294"/>
    <x v="7"/>
    <n v="800"/>
    <x v="0"/>
    <x v="0"/>
    <x v="35"/>
    <x v="7"/>
    <x v="0"/>
    <x v="0"/>
    <x v="1"/>
    <x v="0"/>
  </r>
  <r>
    <x v="0"/>
    <x v="0"/>
    <n v="2239115295"/>
    <x v="2"/>
    <n v="5850"/>
    <x v="0"/>
    <x v="0"/>
    <x v="35"/>
    <x v="2"/>
    <x v="0"/>
    <x v="0"/>
    <x v="2"/>
    <x v="0"/>
  </r>
  <r>
    <x v="0"/>
    <x v="0"/>
    <n v="2239115295"/>
    <x v="7"/>
    <n v="650"/>
    <x v="0"/>
    <x v="0"/>
    <x v="35"/>
    <x v="7"/>
    <x v="0"/>
    <x v="0"/>
    <x v="1"/>
    <x v="0"/>
  </r>
  <r>
    <x v="0"/>
    <x v="0"/>
    <n v="2239115296"/>
    <x v="5"/>
    <n v="-2400"/>
    <x v="0"/>
    <x v="0"/>
    <x v="35"/>
    <x v="5"/>
    <x v="0"/>
    <x v="0"/>
    <x v="5"/>
    <x v="0"/>
  </r>
  <r>
    <x v="0"/>
    <x v="0"/>
    <n v="2239115296"/>
    <x v="6"/>
    <n v="10000"/>
    <x v="0"/>
    <x v="0"/>
    <x v="35"/>
    <x v="6"/>
    <x v="0"/>
    <x v="0"/>
    <x v="5"/>
    <x v="0"/>
  </r>
  <r>
    <x v="0"/>
    <x v="0"/>
    <n v="2239115297"/>
    <x v="6"/>
    <n v="3000"/>
    <x v="0"/>
    <x v="0"/>
    <x v="35"/>
    <x v="6"/>
    <x v="0"/>
    <x v="0"/>
    <x v="5"/>
    <x v="0"/>
  </r>
  <r>
    <x v="0"/>
    <x v="0"/>
    <n v="2239115299"/>
    <x v="5"/>
    <n v="-100"/>
    <x v="0"/>
    <x v="0"/>
    <x v="35"/>
    <x v="5"/>
    <x v="0"/>
    <x v="0"/>
    <x v="5"/>
    <x v="0"/>
  </r>
  <r>
    <x v="0"/>
    <x v="0"/>
    <n v="2239115299"/>
    <x v="6"/>
    <n v="1000"/>
    <x v="0"/>
    <x v="0"/>
    <x v="35"/>
    <x v="6"/>
    <x v="0"/>
    <x v="0"/>
    <x v="5"/>
    <x v="0"/>
  </r>
  <r>
    <x v="0"/>
    <x v="0"/>
    <n v="2239115299"/>
    <x v="7"/>
    <n v="20000"/>
    <x v="0"/>
    <x v="0"/>
    <x v="35"/>
    <x v="7"/>
    <x v="0"/>
    <x v="0"/>
    <x v="1"/>
    <x v="0"/>
  </r>
  <r>
    <x v="0"/>
    <x v="0"/>
    <n v="2239115300"/>
    <x v="2"/>
    <n v="3200"/>
    <x v="0"/>
    <x v="0"/>
    <x v="35"/>
    <x v="2"/>
    <x v="0"/>
    <x v="0"/>
    <x v="2"/>
    <x v="0"/>
  </r>
  <r>
    <x v="0"/>
    <x v="0"/>
    <n v="2239115300"/>
    <x v="7"/>
    <n v="800"/>
    <x v="0"/>
    <x v="0"/>
    <x v="35"/>
    <x v="7"/>
    <x v="0"/>
    <x v="0"/>
    <x v="1"/>
    <x v="0"/>
  </r>
  <r>
    <x v="0"/>
    <x v="0"/>
    <n v="2239115302"/>
    <x v="7"/>
    <n v="1500"/>
    <x v="0"/>
    <x v="0"/>
    <x v="35"/>
    <x v="7"/>
    <x v="0"/>
    <x v="0"/>
    <x v="1"/>
    <x v="0"/>
  </r>
  <r>
    <x v="0"/>
    <x v="0"/>
    <n v="2239115303"/>
    <x v="7"/>
    <n v="7500"/>
    <x v="0"/>
    <x v="0"/>
    <x v="35"/>
    <x v="7"/>
    <x v="0"/>
    <x v="0"/>
    <x v="1"/>
    <x v="0"/>
  </r>
  <r>
    <x v="0"/>
    <x v="0"/>
    <n v="2239115304"/>
    <x v="7"/>
    <n v="1500"/>
    <x v="0"/>
    <x v="0"/>
    <x v="35"/>
    <x v="7"/>
    <x v="0"/>
    <x v="0"/>
    <x v="1"/>
    <x v="0"/>
  </r>
  <r>
    <x v="0"/>
    <x v="0"/>
    <n v="2239115305"/>
    <x v="7"/>
    <n v="1500"/>
    <x v="0"/>
    <x v="0"/>
    <x v="35"/>
    <x v="7"/>
    <x v="0"/>
    <x v="0"/>
    <x v="1"/>
    <x v="0"/>
  </r>
  <r>
    <x v="0"/>
    <x v="0"/>
    <n v="2239115306"/>
    <x v="5"/>
    <n v="-500"/>
    <x v="0"/>
    <x v="0"/>
    <x v="35"/>
    <x v="5"/>
    <x v="0"/>
    <x v="0"/>
    <x v="5"/>
    <x v="0"/>
  </r>
  <r>
    <x v="0"/>
    <x v="0"/>
    <n v="2239115306"/>
    <x v="6"/>
    <n v="7000"/>
    <x v="0"/>
    <x v="0"/>
    <x v="35"/>
    <x v="6"/>
    <x v="0"/>
    <x v="0"/>
    <x v="5"/>
    <x v="0"/>
  </r>
  <r>
    <x v="0"/>
    <x v="0"/>
    <n v="2239115307"/>
    <x v="5"/>
    <n v="-200"/>
    <x v="0"/>
    <x v="0"/>
    <x v="35"/>
    <x v="5"/>
    <x v="0"/>
    <x v="0"/>
    <x v="5"/>
    <x v="0"/>
  </r>
  <r>
    <x v="0"/>
    <x v="0"/>
    <n v="2239115307"/>
    <x v="6"/>
    <n v="10000"/>
    <x v="0"/>
    <x v="0"/>
    <x v="35"/>
    <x v="6"/>
    <x v="0"/>
    <x v="0"/>
    <x v="5"/>
    <x v="0"/>
  </r>
  <r>
    <x v="0"/>
    <x v="0"/>
    <n v="2239115308"/>
    <x v="7"/>
    <n v="1500"/>
    <x v="0"/>
    <x v="0"/>
    <x v="35"/>
    <x v="7"/>
    <x v="0"/>
    <x v="0"/>
    <x v="1"/>
    <x v="0"/>
  </r>
  <r>
    <x v="0"/>
    <x v="0"/>
    <n v="2239115309"/>
    <x v="1"/>
    <n v="300"/>
    <x v="0"/>
    <x v="0"/>
    <x v="35"/>
    <x v="1"/>
    <x v="0"/>
    <x v="0"/>
    <x v="1"/>
    <x v="0"/>
  </r>
  <r>
    <x v="0"/>
    <x v="0"/>
    <n v="2239115310"/>
    <x v="7"/>
    <n v="3000"/>
    <x v="0"/>
    <x v="0"/>
    <x v="35"/>
    <x v="7"/>
    <x v="0"/>
    <x v="0"/>
    <x v="1"/>
    <x v="0"/>
  </r>
  <r>
    <x v="0"/>
    <x v="0"/>
    <n v="2239115311"/>
    <x v="7"/>
    <n v="3000"/>
    <x v="0"/>
    <x v="0"/>
    <x v="35"/>
    <x v="7"/>
    <x v="0"/>
    <x v="0"/>
    <x v="1"/>
    <x v="0"/>
  </r>
  <r>
    <x v="0"/>
    <x v="0"/>
    <n v="2239115312"/>
    <x v="7"/>
    <n v="1500"/>
    <x v="0"/>
    <x v="0"/>
    <x v="35"/>
    <x v="7"/>
    <x v="0"/>
    <x v="0"/>
    <x v="1"/>
    <x v="0"/>
  </r>
  <r>
    <x v="0"/>
    <x v="0"/>
    <n v="2239115313"/>
    <x v="7"/>
    <n v="20000"/>
    <x v="0"/>
    <x v="0"/>
    <x v="35"/>
    <x v="7"/>
    <x v="0"/>
    <x v="0"/>
    <x v="1"/>
    <x v="0"/>
  </r>
  <r>
    <x v="0"/>
    <x v="0"/>
    <n v="2239163157"/>
    <x v="1"/>
    <n v="6300"/>
    <x v="1"/>
    <x v="0"/>
    <x v="8"/>
    <x v="1"/>
    <x v="0"/>
    <x v="0"/>
    <x v="1"/>
    <x v="0"/>
  </r>
  <r>
    <x v="0"/>
    <x v="0"/>
    <n v="2239163158"/>
    <x v="1"/>
    <n v="32780"/>
    <x v="1"/>
    <x v="0"/>
    <x v="8"/>
    <x v="1"/>
    <x v="0"/>
    <x v="0"/>
    <x v="1"/>
    <x v="0"/>
  </r>
  <r>
    <x v="0"/>
    <x v="0"/>
    <n v="2239163159"/>
    <x v="1"/>
    <n v="900"/>
    <x v="1"/>
    <x v="0"/>
    <x v="8"/>
    <x v="1"/>
    <x v="0"/>
    <x v="0"/>
    <x v="1"/>
    <x v="0"/>
  </r>
  <r>
    <x v="0"/>
    <x v="0"/>
    <n v="2239163160"/>
    <x v="0"/>
    <n v="6600"/>
    <x v="1"/>
    <x v="0"/>
    <x v="8"/>
    <x v="0"/>
    <x v="0"/>
    <x v="0"/>
    <x v="0"/>
    <x v="0"/>
  </r>
  <r>
    <x v="0"/>
    <x v="0"/>
    <n v="2239163161"/>
    <x v="1"/>
    <n v="4500"/>
    <x v="1"/>
    <x v="0"/>
    <x v="8"/>
    <x v="1"/>
    <x v="0"/>
    <x v="0"/>
    <x v="1"/>
    <x v="0"/>
  </r>
  <r>
    <x v="0"/>
    <x v="0"/>
    <n v="2239163162"/>
    <x v="1"/>
    <n v="1200"/>
    <x v="1"/>
    <x v="0"/>
    <x v="8"/>
    <x v="1"/>
    <x v="0"/>
    <x v="0"/>
    <x v="1"/>
    <x v="0"/>
  </r>
  <r>
    <x v="0"/>
    <x v="0"/>
    <n v="2239163163"/>
    <x v="1"/>
    <n v="6150"/>
    <x v="1"/>
    <x v="0"/>
    <x v="8"/>
    <x v="1"/>
    <x v="0"/>
    <x v="0"/>
    <x v="1"/>
    <x v="0"/>
  </r>
  <r>
    <x v="0"/>
    <x v="0"/>
    <n v="2239163164"/>
    <x v="0"/>
    <n v="2250"/>
    <x v="1"/>
    <x v="0"/>
    <x v="8"/>
    <x v="0"/>
    <x v="0"/>
    <x v="0"/>
    <x v="0"/>
    <x v="0"/>
  </r>
  <r>
    <x v="0"/>
    <x v="0"/>
    <n v="2239163165"/>
    <x v="0"/>
    <n v="21450"/>
    <x v="1"/>
    <x v="0"/>
    <x v="8"/>
    <x v="0"/>
    <x v="0"/>
    <x v="0"/>
    <x v="0"/>
    <x v="0"/>
  </r>
  <r>
    <x v="0"/>
    <x v="0"/>
    <n v="2239163166"/>
    <x v="0"/>
    <n v="900"/>
    <x v="1"/>
    <x v="0"/>
    <x v="8"/>
    <x v="0"/>
    <x v="0"/>
    <x v="0"/>
    <x v="0"/>
    <x v="0"/>
  </r>
  <r>
    <x v="0"/>
    <x v="0"/>
    <n v="2239163167"/>
    <x v="0"/>
    <n v="1500"/>
    <x v="1"/>
    <x v="0"/>
    <x v="8"/>
    <x v="0"/>
    <x v="0"/>
    <x v="0"/>
    <x v="0"/>
    <x v="0"/>
  </r>
  <r>
    <x v="0"/>
    <x v="0"/>
    <n v="2239163168"/>
    <x v="0"/>
    <n v="6500"/>
    <x v="1"/>
    <x v="0"/>
    <x v="8"/>
    <x v="0"/>
    <x v="0"/>
    <x v="0"/>
    <x v="0"/>
    <x v="0"/>
  </r>
  <r>
    <x v="0"/>
    <x v="0"/>
    <n v="2239163169"/>
    <x v="0"/>
    <n v="26450"/>
    <x v="1"/>
    <x v="0"/>
    <x v="8"/>
    <x v="0"/>
    <x v="0"/>
    <x v="0"/>
    <x v="0"/>
    <x v="0"/>
  </r>
  <r>
    <x v="0"/>
    <x v="0"/>
    <n v="2239163170"/>
    <x v="1"/>
    <n v="900"/>
    <x v="1"/>
    <x v="0"/>
    <x v="8"/>
    <x v="1"/>
    <x v="0"/>
    <x v="0"/>
    <x v="1"/>
    <x v="0"/>
  </r>
  <r>
    <x v="0"/>
    <x v="0"/>
    <n v="2239163171"/>
    <x v="0"/>
    <n v="18670"/>
    <x v="1"/>
    <x v="0"/>
    <x v="8"/>
    <x v="0"/>
    <x v="0"/>
    <x v="0"/>
    <x v="0"/>
    <x v="0"/>
  </r>
  <r>
    <x v="0"/>
    <x v="0"/>
    <n v="2239163172"/>
    <x v="1"/>
    <n v="9630"/>
    <x v="1"/>
    <x v="0"/>
    <x v="8"/>
    <x v="1"/>
    <x v="0"/>
    <x v="0"/>
    <x v="1"/>
    <x v="0"/>
  </r>
  <r>
    <x v="0"/>
    <x v="0"/>
    <n v="2239163173"/>
    <x v="1"/>
    <n v="36740"/>
    <x v="1"/>
    <x v="0"/>
    <x v="8"/>
    <x v="1"/>
    <x v="0"/>
    <x v="0"/>
    <x v="1"/>
    <x v="0"/>
  </r>
  <r>
    <x v="0"/>
    <x v="0"/>
    <n v="2239163174"/>
    <x v="1"/>
    <n v="12040"/>
    <x v="1"/>
    <x v="0"/>
    <x v="8"/>
    <x v="1"/>
    <x v="0"/>
    <x v="0"/>
    <x v="1"/>
    <x v="0"/>
  </r>
  <r>
    <x v="0"/>
    <x v="0"/>
    <n v="2239163175"/>
    <x v="1"/>
    <n v="2400"/>
    <x v="1"/>
    <x v="0"/>
    <x v="8"/>
    <x v="1"/>
    <x v="0"/>
    <x v="0"/>
    <x v="1"/>
    <x v="0"/>
  </r>
  <r>
    <x v="0"/>
    <x v="0"/>
    <n v="2239163176"/>
    <x v="0"/>
    <n v="8820"/>
    <x v="1"/>
    <x v="0"/>
    <x v="8"/>
    <x v="0"/>
    <x v="0"/>
    <x v="0"/>
    <x v="0"/>
    <x v="0"/>
  </r>
  <r>
    <x v="0"/>
    <x v="0"/>
    <n v="2239163177"/>
    <x v="1"/>
    <n v="9000"/>
    <x v="1"/>
    <x v="0"/>
    <x v="8"/>
    <x v="1"/>
    <x v="0"/>
    <x v="0"/>
    <x v="1"/>
    <x v="0"/>
  </r>
  <r>
    <x v="0"/>
    <x v="0"/>
    <n v="2239163178"/>
    <x v="1"/>
    <n v="2280"/>
    <x v="1"/>
    <x v="0"/>
    <x v="8"/>
    <x v="1"/>
    <x v="0"/>
    <x v="0"/>
    <x v="1"/>
    <x v="0"/>
  </r>
  <r>
    <x v="0"/>
    <x v="0"/>
    <n v="2239163179"/>
    <x v="0"/>
    <n v="7950"/>
    <x v="1"/>
    <x v="0"/>
    <x v="8"/>
    <x v="0"/>
    <x v="0"/>
    <x v="0"/>
    <x v="0"/>
    <x v="0"/>
  </r>
  <r>
    <x v="0"/>
    <x v="0"/>
    <n v="2239163180"/>
    <x v="0"/>
    <n v="1800"/>
    <x v="1"/>
    <x v="0"/>
    <x v="8"/>
    <x v="0"/>
    <x v="0"/>
    <x v="0"/>
    <x v="0"/>
    <x v="0"/>
  </r>
  <r>
    <x v="0"/>
    <x v="0"/>
    <n v="2239163181"/>
    <x v="0"/>
    <n v="2250"/>
    <x v="1"/>
    <x v="0"/>
    <x v="8"/>
    <x v="0"/>
    <x v="0"/>
    <x v="0"/>
    <x v="0"/>
    <x v="0"/>
  </r>
  <r>
    <x v="0"/>
    <x v="0"/>
    <n v="2239163182"/>
    <x v="1"/>
    <n v="24220"/>
    <x v="1"/>
    <x v="0"/>
    <x v="8"/>
    <x v="1"/>
    <x v="0"/>
    <x v="0"/>
    <x v="1"/>
    <x v="0"/>
  </r>
  <r>
    <x v="0"/>
    <x v="0"/>
    <n v="2239163183"/>
    <x v="0"/>
    <n v="9150"/>
    <x v="1"/>
    <x v="0"/>
    <x v="8"/>
    <x v="0"/>
    <x v="0"/>
    <x v="0"/>
    <x v="0"/>
    <x v="0"/>
  </r>
  <r>
    <x v="0"/>
    <x v="0"/>
    <n v="2239163185"/>
    <x v="0"/>
    <n v="1800"/>
    <x v="1"/>
    <x v="0"/>
    <x v="8"/>
    <x v="0"/>
    <x v="0"/>
    <x v="0"/>
    <x v="0"/>
    <x v="0"/>
  </r>
  <r>
    <x v="0"/>
    <x v="0"/>
    <n v="2239163186"/>
    <x v="0"/>
    <n v="2250"/>
    <x v="1"/>
    <x v="0"/>
    <x v="8"/>
    <x v="0"/>
    <x v="0"/>
    <x v="0"/>
    <x v="0"/>
    <x v="0"/>
  </r>
  <r>
    <x v="0"/>
    <x v="0"/>
    <n v="2239163187"/>
    <x v="0"/>
    <n v="1350"/>
    <x v="1"/>
    <x v="0"/>
    <x v="8"/>
    <x v="0"/>
    <x v="0"/>
    <x v="0"/>
    <x v="0"/>
    <x v="0"/>
  </r>
  <r>
    <x v="0"/>
    <x v="0"/>
    <n v="2239163188"/>
    <x v="0"/>
    <n v="900"/>
    <x v="1"/>
    <x v="0"/>
    <x v="8"/>
    <x v="0"/>
    <x v="0"/>
    <x v="0"/>
    <x v="0"/>
    <x v="0"/>
  </r>
  <r>
    <x v="0"/>
    <x v="0"/>
    <n v="2239163190"/>
    <x v="1"/>
    <n v="12000"/>
    <x v="1"/>
    <x v="0"/>
    <x v="8"/>
    <x v="1"/>
    <x v="0"/>
    <x v="0"/>
    <x v="1"/>
    <x v="0"/>
  </r>
  <r>
    <x v="0"/>
    <x v="0"/>
    <n v="2239163191"/>
    <x v="1"/>
    <n v="900"/>
    <x v="1"/>
    <x v="0"/>
    <x v="8"/>
    <x v="1"/>
    <x v="0"/>
    <x v="0"/>
    <x v="1"/>
    <x v="0"/>
  </r>
  <r>
    <x v="0"/>
    <x v="0"/>
    <n v="2239163192"/>
    <x v="1"/>
    <n v="1050"/>
    <x v="1"/>
    <x v="0"/>
    <x v="8"/>
    <x v="1"/>
    <x v="0"/>
    <x v="0"/>
    <x v="1"/>
    <x v="0"/>
  </r>
  <r>
    <x v="0"/>
    <x v="0"/>
    <n v="2239163193"/>
    <x v="1"/>
    <n v="20060"/>
    <x v="1"/>
    <x v="0"/>
    <x v="8"/>
    <x v="1"/>
    <x v="0"/>
    <x v="0"/>
    <x v="1"/>
    <x v="0"/>
  </r>
  <r>
    <x v="0"/>
    <x v="0"/>
    <n v="2239163194"/>
    <x v="1"/>
    <n v="1140"/>
    <x v="1"/>
    <x v="0"/>
    <x v="8"/>
    <x v="1"/>
    <x v="0"/>
    <x v="0"/>
    <x v="1"/>
    <x v="0"/>
  </r>
  <r>
    <x v="0"/>
    <x v="0"/>
    <n v="2239163195"/>
    <x v="1"/>
    <n v="10800"/>
    <x v="1"/>
    <x v="0"/>
    <x v="8"/>
    <x v="1"/>
    <x v="0"/>
    <x v="0"/>
    <x v="1"/>
    <x v="0"/>
  </r>
  <r>
    <x v="0"/>
    <x v="0"/>
    <n v="2239163197"/>
    <x v="7"/>
    <n v="1500"/>
    <x v="1"/>
    <x v="0"/>
    <x v="8"/>
    <x v="7"/>
    <x v="0"/>
    <x v="0"/>
    <x v="1"/>
    <x v="0"/>
  </r>
  <r>
    <x v="0"/>
    <x v="0"/>
    <n v="2239163198"/>
    <x v="2"/>
    <n v="6440"/>
    <x v="1"/>
    <x v="0"/>
    <x v="8"/>
    <x v="2"/>
    <x v="0"/>
    <x v="0"/>
    <x v="2"/>
    <x v="0"/>
  </r>
  <r>
    <x v="0"/>
    <x v="0"/>
    <n v="2239163199"/>
    <x v="1"/>
    <n v="50350"/>
    <x v="1"/>
    <x v="0"/>
    <x v="8"/>
    <x v="1"/>
    <x v="0"/>
    <x v="0"/>
    <x v="1"/>
    <x v="0"/>
  </r>
  <r>
    <x v="0"/>
    <x v="0"/>
    <n v="2239163200"/>
    <x v="6"/>
    <n v="6440"/>
    <x v="1"/>
    <x v="0"/>
    <x v="8"/>
    <x v="6"/>
    <x v="0"/>
    <x v="0"/>
    <x v="5"/>
    <x v="0"/>
  </r>
  <r>
    <x v="0"/>
    <x v="0"/>
    <n v="2239163201"/>
    <x v="1"/>
    <n v="38640"/>
    <x v="1"/>
    <x v="0"/>
    <x v="8"/>
    <x v="1"/>
    <x v="0"/>
    <x v="0"/>
    <x v="1"/>
    <x v="0"/>
  </r>
  <r>
    <x v="0"/>
    <x v="0"/>
    <n v="2239163202"/>
    <x v="2"/>
    <n v="7090"/>
    <x v="1"/>
    <x v="0"/>
    <x v="8"/>
    <x v="2"/>
    <x v="0"/>
    <x v="0"/>
    <x v="2"/>
    <x v="0"/>
  </r>
  <r>
    <x v="0"/>
    <x v="0"/>
    <n v="2239163203"/>
    <x v="5"/>
    <n v="-200"/>
    <x v="1"/>
    <x v="0"/>
    <x v="8"/>
    <x v="5"/>
    <x v="0"/>
    <x v="0"/>
    <x v="5"/>
    <x v="0"/>
  </r>
  <r>
    <x v="0"/>
    <x v="0"/>
    <n v="2239163203"/>
    <x v="6"/>
    <n v="2000"/>
    <x v="1"/>
    <x v="0"/>
    <x v="8"/>
    <x v="6"/>
    <x v="0"/>
    <x v="0"/>
    <x v="5"/>
    <x v="0"/>
  </r>
  <r>
    <x v="0"/>
    <x v="0"/>
    <n v="2239163204"/>
    <x v="5"/>
    <n v="-200"/>
    <x v="1"/>
    <x v="0"/>
    <x v="8"/>
    <x v="5"/>
    <x v="0"/>
    <x v="0"/>
    <x v="5"/>
    <x v="0"/>
  </r>
  <r>
    <x v="0"/>
    <x v="0"/>
    <n v="2239163204"/>
    <x v="6"/>
    <n v="2000"/>
    <x v="1"/>
    <x v="0"/>
    <x v="8"/>
    <x v="6"/>
    <x v="0"/>
    <x v="0"/>
    <x v="5"/>
    <x v="0"/>
  </r>
  <r>
    <x v="0"/>
    <x v="0"/>
    <n v="2239163205"/>
    <x v="5"/>
    <n v="-920"/>
    <x v="1"/>
    <x v="0"/>
    <x v="8"/>
    <x v="5"/>
    <x v="0"/>
    <x v="0"/>
    <x v="5"/>
    <x v="0"/>
  </r>
  <r>
    <x v="0"/>
    <x v="0"/>
    <n v="2239163205"/>
    <x v="6"/>
    <n v="5000"/>
    <x v="1"/>
    <x v="0"/>
    <x v="8"/>
    <x v="6"/>
    <x v="0"/>
    <x v="0"/>
    <x v="5"/>
    <x v="0"/>
  </r>
  <r>
    <x v="0"/>
    <x v="0"/>
    <n v="2239163206"/>
    <x v="7"/>
    <n v="4800"/>
    <x v="1"/>
    <x v="0"/>
    <x v="8"/>
    <x v="7"/>
    <x v="0"/>
    <x v="0"/>
    <x v="1"/>
    <x v="0"/>
  </r>
  <r>
    <x v="0"/>
    <x v="0"/>
    <n v="2239163208"/>
    <x v="7"/>
    <n v="1500"/>
    <x v="1"/>
    <x v="0"/>
    <x v="8"/>
    <x v="7"/>
    <x v="0"/>
    <x v="0"/>
    <x v="1"/>
    <x v="0"/>
  </r>
  <r>
    <x v="0"/>
    <x v="0"/>
    <n v="2239163209"/>
    <x v="7"/>
    <n v="1500"/>
    <x v="1"/>
    <x v="0"/>
    <x v="8"/>
    <x v="7"/>
    <x v="0"/>
    <x v="0"/>
    <x v="1"/>
    <x v="0"/>
  </r>
  <r>
    <x v="0"/>
    <x v="0"/>
    <n v="2239163210"/>
    <x v="7"/>
    <n v="1500"/>
    <x v="1"/>
    <x v="0"/>
    <x v="8"/>
    <x v="7"/>
    <x v="0"/>
    <x v="0"/>
    <x v="1"/>
    <x v="0"/>
  </r>
  <r>
    <x v="0"/>
    <x v="0"/>
    <n v="2239163211"/>
    <x v="1"/>
    <n v="2850"/>
    <x v="1"/>
    <x v="0"/>
    <x v="8"/>
    <x v="1"/>
    <x v="0"/>
    <x v="0"/>
    <x v="1"/>
    <x v="0"/>
  </r>
  <r>
    <x v="0"/>
    <x v="0"/>
    <n v="2239163212"/>
    <x v="1"/>
    <n v="900"/>
    <x v="1"/>
    <x v="0"/>
    <x v="8"/>
    <x v="1"/>
    <x v="0"/>
    <x v="0"/>
    <x v="1"/>
    <x v="0"/>
  </r>
  <r>
    <x v="0"/>
    <x v="0"/>
    <n v="2239163213"/>
    <x v="4"/>
    <n v="11200"/>
    <x v="1"/>
    <x v="0"/>
    <x v="8"/>
    <x v="4"/>
    <x v="0"/>
    <x v="0"/>
    <x v="4"/>
    <x v="0"/>
  </r>
  <r>
    <x v="0"/>
    <x v="0"/>
    <n v="2239163214"/>
    <x v="1"/>
    <n v="8100"/>
    <x v="1"/>
    <x v="0"/>
    <x v="8"/>
    <x v="1"/>
    <x v="0"/>
    <x v="0"/>
    <x v="1"/>
    <x v="0"/>
  </r>
  <r>
    <x v="0"/>
    <x v="0"/>
    <n v="2239163215"/>
    <x v="2"/>
    <n v="18865"/>
    <x v="1"/>
    <x v="0"/>
    <x v="8"/>
    <x v="2"/>
    <x v="0"/>
    <x v="0"/>
    <x v="2"/>
    <x v="0"/>
  </r>
  <r>
    <x v="0"/>
    <x v="0"/>
    <n v="2239163216"/>
    <x v="6"/>
    <n v="10500"/>
    <x v="1"/>
    <x v="0"/>
    <x v="8"/>
    <x v="6"/>
    <x v="0"/>
    <x v="0"/>
    <x v="5"/>
    <x v="0"/>
  </r>
  <r>
    <x v="0"/>
    <x v="0"/>
    <n v="2239163217"/>
    <x v="2"/>
    <n v="3250"/>
    <x v="1"/>
    <x v="0"/>
    <x v="8"/>
    <x v="2"/>
    <x v="0"/>
    <x v="0"/>
    <x v="2"/>
    <x v="0"/>
  </r>
  <r>
    <x v="0"/>
    <x v="0"/>
    <n v="2239163218"/>
    <x v="3"/>
    <n v="30800"/>
    <x v="1"/>
    <x v="0"/>
    <x v="8"/>
    <x v="3"/>
    <x v="0"/>
    <x v="0"/>
    <x v="3"/>
    <x v="0"/>
  </r>
  <r>
    <x v="0"/>
    <x v="0"/>
    <n v="2239163221"/>
    <x v="6"/>
    <n v="10000"/>
    <x v="1"/>
    <x v="0"/>
    <x v="8"/>
    <x v="6"/>
    <x v="0"/>
    <x v="0"/>
    <x v="5"/>
    <x v="0"/>
  </r>
  <r>
    <x v="0"/>
    <x v="0"/>
    <n v="2239163222"/>
    <x v="5"/>
    <n v="-550"/>
    <x v="1"/>
    <x v="0"/>
    <x v="8"/>
    <x v="5"/>
    <x v="0"/>
    <x v="0"/>
    <x v="5"/>
    <x v="0"/>
  </r>
  <r>
    <x v="0"/>
    <x v="0"/>
    <n v="2239163222"/>
    <x v="6"/>
    <n v="10000"/>
    <x v="1"/>
    <x v="0"/>
    <x v="8"/>
    <x v="6"/>
    <x v="0"/>
    <x v="0"/>
    <x v="5"/>
    <x v="0"/>
  </r>
  <r>
    <x v="0"/>
    <x v="0"/>
    <n v="2239163223"/>
    <x v="2"/>
    <n v="2200"/>
    <x v="1"/>
    <x v="0"/>
    <x v="8"/>
    <x v="2"/>
    <x v="0"/>
    <x v="0"/>
    <x v="2"/>
    <x v="0"/>
  </r>
  <r>
    <x v="0"/>
    <x v="0"/>
    <n v="2239163225"/>
    <x v="2"/>
    <n v="2200"/>
    <x v="1"/>
    <x v="0"/>
    <x v="8"/>
    <x v="2"/>
    <x v="0"/>
    <x v="0"/>
    <x v="2"/>
    <x v="0"/>
  </r>
  <r>
    <x v="0"/>
    <x v="0"/>
    <n v="2239163226"/>
    <x v="1"/>
    <n v="20340"/>
    <x v="1"/>
    <x v="0"/>
    <x v="8"/>
    <x v="1"/>
    <x v="0"/>
    <x v="0"/>
    <x v="1"/>
    <x v="0"/>
  </r>
  <r>
    <x v="0"/>
    <x v="0"/>
    <n v="2239163227"/>
    <x v="5"/>
    <n v="-14700"/>
    <x v="1"/>
    <x v="0"/>
    <x v="8"/>
    <x v="5"/>
    <x v="0"/>
    <x v="0"/>
    <x v="5"/>
    <x v="0"/>
  </r>
  <r>
    <x v="0"/>
    <x v="0"/>
    <n v="2239163227"/>
    <x v="4"/>
    <n v="20000"/>
    <x v="1"/>
    <x v="0"/>
    <x v="8"/>
    <x v="4"/>
    <x v="0"/>
    <x v="0"/>
    <x v="4"/>
    <x v="0"/>
  </r>
  <r>
    <x v="0"/>
    <x v="0"/>
    <n v="2239163228"/>
    <x v="5"/>
    <n v="-1750"/>
    <x v="1"/>
    <x v="0"/>
    <x v="8"/>
    <x v="5"/>
    <x v="0"/>
    <x v="0"/>
    <x v="5"/>
    <x v="0"/>
  </r>
  <r>
    <x v="0"/>
    <x v="0"/>
    <n v="2239163228"/>
    <x v="6"/>
    <n v="5000"/>
    <x v="1"/>
    <x v="0"/>
    <x v="8"/>
    <x v="6"/>
    <x v="0"/>
    <x v="0"/>
    <x v="5"/>
    <x v="0"/>
  </r>
  <r>
    <x v="0"/>
    <x v="0"/>
    <n v="2239163229"/>
    <x v="5"/>
    <n v="-1100"/>
    <x v="1"/>
    <x v="0"/>
    <x v="8"/>
    <x v="5"/>
    <x v="0"/>
    <x v="0"/>
    <x v="5"/>
    <x v="0"/>
  </r>
  <r>
    <x v="0"/>
    <x v="0"/>
    <n v="2239163229"/>
    <x v="6"/>
    <n v="12000"/>
    <x v="1"/>
    <x v="0"/>
    <x v="8"/>
    <x v="6"/>
    <x v="0"/>
    <x v="0"/>
    <x v="5"/>
    <x v="0"/>
  </r>
  <r>
    <x v="0"/>
    <x v="0"/>
    <n v="2239163230"/>
    <x v="2"/>
    <n v="24640"/>
    <x v="1"/>
    <x v="0"/>
    <x v="8"/>
    <x v="2"/>
    <x v="0"/>
    <x v="0"/>
    <x v="2"/>
    <x v="0"/>
  </r>
  <r>
    <x v="0"/>
    <x v="0"/>
    <n v="2239163231"/>
    <x v="2"/>
    <n v="4000"/>
    <x v="1"/>
    <x v="0"/>
    <x v="8"/>
    <x v="2"/>
    <x v="0"/>
    <x v="0"/>
    <x v="2"/>
    <x v="0"/>
  </r>
  <r>
    <x v="0"/>
    <x v="0"/>
    <n v="2239163232"/>
    <x v="5"/>
    <n v="-9600"/>
    <x v="1"/>
    <x v="0"/>
    <x v="8"/>
    <x v="5"/>
    <x v="0"/>
    <x v="0"/>
    <x v="5"/>
    <x v="0"/>
  </r>
  <r>
    <x v="0"/>
    <x v="0"/>
    <n v="2239163232"/>
    <x v="6"/>
    <n v="30000"/>
    <x v="1"/>
    <x v="0"/>
    <x v="8"/>
    <x v="6"/>
    <x v="0"/>
    <x v="0"/>
    <x v="5"/>
    <x v="0"/>
  </r>
  <r>
    <x v="0"/>
    <x v="0"/>
    <n v="2239163233"/>
    <x v="2"/>
    <n v="2000"/>
    <x v="1"/>
    <x v="0"/>
    <x v="8"/>
    <x v="2"/>
    <x v="0"/>
    <x v="0"/>
    <x v="2"/>
    <x v="0"/>
  </r>
  <r>
    <x v="0"/>
    <x v="0"/>
    <n v="2239163235"/>
    <x v="5"/>
    <n v="-1250"/>
    <x v="1"/>
    <x v="0"/>
    <x v="8"/>
    <x v="5"/>
    <x v="0"/>
    <x v="0"/>
    <x v="5"/>
    <x v="0"/>
  </r>
  <r>
    <x v="0"/>
    <x v="0"/>
    <n v="2239163235"/>
    <x v="6"/>
    <n v="5000"/>
    <x v="1"/>
    <x v="0"/>
    <x v="8"/>
    <x v="6"/>
    <x v="0"/>
    <x v="0"/>
    <x v="5"/>
    <x v="0"/>
  </r>
  <r>
    <x v="0"/>
    <x v="0"/>
    <n v="2239163236"/>
    <x v="2"/>
    <n v="30690"/>
    <x v="1"/>
    <x v="0"/>
    <x v="8"/>
    <x v="2"/>
    <x v="0"/>
    <x v="0"/>
    <x v="2"/>
    <x v="0"/>
  </r>
  <r>
    <x v="0"/>
    <x v="0"/>
    <n v="2239163236"/>
    <x v="7"/>
    <n v="17900"/>
    <x v="1"/>
    <x v="0"/>
    <x v="8"/>
    <x v="7"/>
    <x v="0"/>
    <x v="0"/>
    <x v="1"/>
    <x v="0"/>
  </r>
  <r>
    <x v="0"/>
    <x v="0"/>
    <n v="2239163237"/>
    <x v="2"/>
    <n v="5000"/>
    <x v="1"/>
    <x v="0"/>
    <x v="8"/>
    <x v="2"/>
    <x v="0"/>
    <x v="0"/>
    <x v="2"/>
    <x v="0"/>
  </r>
  <r>
    <x v="0"/>
    <x v="0"/>
    <n v="2239163238"/>
    <x v="2"/>
    <n v="44715"/>
    <x v="1"/>
    <x v="0"/>
    <x v="8"/>
    <x v="2"/>
    <x v="0"/>
    <x v="0"/>
    <x v="2"/>
    <x v="0"/>
  </r>
  <r>
    <x v="0"/>
    <x v="0"/>
    <n v="2239163239"/>
    <x v="5"/>
    <n v="-5300"/>
    <x v="1"/>
    <x v="0"/>
    <x v="8"/>
    <x v="5"/>
    <x v="0"/>
    <x v="0"/>
    <x v="5"/>
    <x v="0"/>
  </r>
  <r>
    <x v="0"/>
    <x v="0"/>
    <n v="2239163239"/>
    <x v="6"/>
    <n v="20000"/>
    <x v="1"/>
    <x v="0"/>
    <x v="8"/>
    <x v="6"/>
    <x v="0"/>
    <x v="0"/>
    <x v="5"/>
    <x v="0"/>
  </r>
  <r>
    <x v="0"/>
    <x v="0"/>
    <n v="2239163240"/>
    <x v="2"/>
    <n v="12595"/>
    <x v="1"/>
    <x v="0"/>
    <x v="8"/>
    <x v="2"/>
    <x v="0"/>
    <x v="0"/>
    <x v="2"/>
    <x v="0"/>
  </r>
  <r>
    <x v="0"/>
    <x v="0"/>
    <n v="2239163241"/>
    <x v="1"/>
    <n v="2940"/>
    <x v="1"/>
    <x v="0"/>
    <x v="8"/>
    <x v="1"/>
    <x v="0"/>
    <x v="0"/>
    <x v="1"/>
    <x v="0"/>
  </r>
  <r>
    <x v="0"/>
    <x v="0"/>
    <n v="2239163242"/>
    <x v="1"/>
    <n v="4050"/>
    <x v="1"/>
    <x v="0"/>
    <x v="8"/>
    <x v="1"/>
    <x v="0"/>
    <x v="0"/>
    <x v="1"/>
    <x v="0"/>
  </r>
  <r>
    <x v="0"/>
    <x v="0"/>
    <n v="2239163243"/>
    <x v="2"/>
    <n v="3800"/>
    <x v="1"/>
    <x v="0"/>
    <x v="8"/>
    <x v="2"/>
    <x v="0"/>
    <x v="0"/>
    <x v="2"/>
    <x v="0"/>
  </r>
  <r>
    <x v="0"/>
    <x v="0"/>
    <n v="2239163244"/>
    <x v="5"/>
    <n v="-400"/>
    <x v="1"/>
    <x v="0"/>
    <x v="8"/>
    <x v="5"/>
    <x v="0"/>
    <x v="0"/>
    <x v="5"/>
    <x v="0"/>
  </r>
  <r>
    <x v="0"/>
    <x v="0"/>
    <n v="2239163244"/>
    <x v="4"/>
    <n v="6000"/>
    <x v="1"/>
    <x v="0"/>
    <x v="8"/>
    <x v="4"/>
    <x v="0"/>
    <x v="0"/>
    <x v="4"/>
    <x v="0"/>
  </r>
  <r>
    <x v="0"/>
    <x v="0"/>
    <n v="2239163245"/>
    <x v="2"/>
    <n v="103565"/>
    <x v="1"/>
    <x v="0"/>
    <x v="8"/>
    <x v="2"/>
    <x v="0"/>
    <x v="0"/>
    <x v="2"/>
    <x v="0"/>
  </r>
  <r>
    <x v="0"/>
    <x v="0"/>
    <n v="2239163246"/>
    <x v="1"/>
    <n v="11400"/>
    <x v="1"/>
    <x v="0"/>
    <x v="8"/>
    <x v="1"/>
    <x v="0"/>
    <x v="0"/>
    <x v="1"/>
    <x v="0"/>
  </r>
  <r>
    <x v="0"/>
    <x v="0"/>
    <n v="2239163247"/>
    <x v="2"/>
    <n v="5445"/>
    <x v="1"/>
    <x v="0"/>
    <x v="8"/>
    <x v="2"/>
    <x v="0"/>
    <x v="0"/>
    <x v="2"/>
    <x v="0"/>
  </r>
  <r>
    <x v="0"/>
    <x v="0"/>
    <n v="2239163248"/>
    <x v="1"/>
    <n v="2100"/>
    <x v="1"/>
    <x v="0"/>
    <x v="8"/>
    <x v="1"/>
    <x v="0"/>
    <x v="0"/>
    <x v="1"/>
    <x v="0"/>
  </r>
  <r>
    <x v="0"/>
    <x v="0"/>
    <n v="2239163250"/>
    <x v="1"/>
    <n v="4050"/>
    <x v="1"/>
    <x v="0"/>
    <x v="8"/>
    <x v="1"/>
    <x v="0"/>
    <x v="0"/>
    <x v="1"/>
    <x v="0"/>
  </r>
  <r>
    <x v="0"/>
    <x v="0"/>
    <n v="2239163251"/>
    <x v="5"/>
    <n v="-400"/>
    <x v="1"/>
    <x v="0"/>
    <x v="8"/>
    <x v="5"/>
    <x v="0"/>
    <x v="0"/>
    <x v="5"/>
    <x v="0"/>
  </r>
  <r>
    <x v="0"/>
    <x v="0"/>
    <n v="2239163251"/>
    <x v="4"/>
    <n v="6000"/>
    <x v="1"/>
    <x v="0"/>
    <x v="8"/>
    <x v="4"/>
    <x v="0"/>
    <x v="0"/>
    <x v="4"/>
    <x v="0"/>
  </r>
  <r>
    <x v="0"/>
    <x v="0"/>
    <n v="2239163252"/>
    <x v="5"/>
    <n v="-3500"/>
    <x v="1"/>
    <x v="0"/>
    <x v="8"/>
    <x v="5"/>
    <x v="0"/>
    <x v="0"/>
    <x v="5"/>
    <x v="0"/>
  </r>
  <r>
    <x v="0"/>
    <x v="0"/>
    <n v="2239163252"/>
    <x v="6"/>
    <n v="5000"/>
    <x v="1"/>
    <x v="0"/>
    <x v="8"/>
    <x v="6"/>
    <x v="0"/>
    <x v="0"/>
    <x v="5"/>
    <x v="0"/>
  </r>
  <r>
    <x v="0"/>
    <x v="0"/>
    <n v="2239163253"/>
    <x v="5"/>
    <n v="-4400"/>
    <x v="1"/>
    <x v="0"/>
    <x v="8"/>
    <x v="5"/>
    <x v="0"/>
    <x v="0"/>
    <x v="5"/>
    <x v="0"/>
  </r>
  <r>
    <x v="0"/>
    <x v="0"/>
    <n v="2239163253"/>
    <x v="4"/>
    <n v="10000"/>
    <x v="1"/>
    <x v="0"/>
    <x v="8"/>
    <x v="4"/>
    <x v="0"/>
    <x v="0"/>
    <x v="4"/>
    <x v="0"/>
  </r>
  <r>
    <x v="0"/>
    <x v="0"/>
    <n v="2239163255"/>
    <x v="1"/>
    <n v="24610"/>
    <x v="1"/>
    <x v="0"/>
    <x v="8"/>
    <x v="1"/>
    <x v="0"/>
    <x v="0"/>
    <x v="1"/>
    <x v="0"/>
  </r>
  <r>
    <x v="0"/>
    <x v="0"/>
    <n v="2239163256"/>
    <x v="5"/>
    <n v="-4000"/>
    <x v="1"/>
    <x v="0"/>
    <x v="8"/>
    <x v="5"/>
    <x v="0"/>
    <x v="0"/>
    <x v="5"/>
    <x v="0"/>
  </r>
  <r>
    <x v="0"/>
    <x v="0"/>
    <n v="2239163256"/>
    <x v="6"/>
    <n v="10000"/>
    <x v="1"/>
    <x v="0"/>
    <x v="8"/>
    <x v="6"/>
    <x v="0"/>
    <x v="0"/>
    <x v="5"/>
    <x v="0"/>
  </r>
  <r>
    <x v="0"/>
    <x v="0"/>
    <n v="2239163257"/>
    <x v="3"/>
    <n v="10750"/>
    <x v="1"/>
    <x v="0"/>
    <x v="8"/>
    <x v="3"/>
    <x v="0"/>
    <x v="0"/>
    <x v="3"/>
    <x v="0"/>
  </r>
  <r>
    <x v="0"/>
    <x v="0"/>
    <n v="2239163258"/>
    <x v="7"/>
    <n v="1500"/>
    <x v="1"/>
    <x v="0"/>
    <x v="8"/>
    <x v="7"/>
    <x v="0"/>
    <x v="0"/>
    <x v="1"/>
    <x v="0"/>
  </r>
  <r>
    <x v="0"/>
    <x v="0"/>
    <n v="2239163259"/>
    <x v="1"/>
    <n v="1950"/>
    <x v="1"/>
    <x v="0"/>
    <x v="8"/>
    <x v="1"/>
    <x v="0"/>
    <x v="0"/>
    <x v="1"/>
    <x v="0"/>
  </r>
  <r>
    <x v="0"/>
    <x v="0"/>
    <n v="2239163260"/>
    <x v="1"/>
    <n v="900"/>
    <x v="1"/>
    <x v="0"/>
    <x v="8"/>
    <x v="1"/>
    <x v="0"/>
    <x v="0"/>
    <x v="1"/>
    <x v="0"/>
  </r>
  <r>
    <x v="0"/>
    <x v="0"/>
    <n v="2239163261"/>
    <x v="5"/>
    <n v="-14400"/>
    <x v="1"/>
    <x v="0"/>
    <x v="8"/>
    <x v="5"/>
    <x v="0"/>
    <x v="0"/>
    <x v="5"/>
    <x v="0"/>
  </r>
  <r>
    <x v="0"/>
    <x v="0"/>
    <n v="2239163261"/>
    <x v="4"/>
    <n v="20000"/>
    <x v="1"/>
    <x v="0"/>
    <x v="8"/>
    <x v="4"/>
    <x v="0"/>
    <x v="0"/>
    <x v="4"/>
    <x v="0"/>
  </r>
  <r>
    <x v="0"/>
    <x v="0"/>
    <n v="2239163262"/>
    <x v="5"/>
    <n v="-1000"/>
    <x v="1"/>
    <x v="0"/>
    <x v="8"/>
    <x v="5"/>
    <x v="0"/>
    <x v="0"/>
    <x v="5"/>
    <x v="0"/>
  </r>
  <r>
    <x v="0"/>
    <x v="0"/>
    <n v="2239163262"/>
    <x v="6"/>
    <n v="2000"/>
    <x v="1"/>
    <x v="0"/>
    <x v="8"/>
    <x v="6"/>
    <x v="0"/>
    <x v="0"/>
    <x v="5"/>
    <x v="0"/>
  </r>
  <r>
    <x v="0"/>
    <x v="0"/>
    <n v="2239163263"/>
    <x v="2"/>
    <n v="2000"/>
    <x v="1"/>
    <x v="0"/>
    <x v="8"/>
    <x v="2"/>
    <x v="0"/>
    <x v="0"/>
    <x v="2"/>
    <x v="0"/>
  </r>
  <r>
    <x v="0"/>
    <x v="0"/>
    <n v="2239163263"/>
    <x v="7"/>
    <n v="2000"/>
    <x v="1"/>
    <x v="0"/>
    <x v="8"/>
    <x v="7"/>
    <x v="0"/>
    <x v="0"/>
    <x v="1"/>
    <x v="0"/>
  </r>
  <r>
    <x v="0"/>
    <x v="0"/>
    <n v="2239163264"/>
    <x v="2"/>
    <n v="20790"/>
    <x v="1"/>
    <x v="0"/>
    <x v="8"/>
    <x v="2"/>
    <x v="0"/>
    <x v="0"/>
    <x v="2"/>
    <x v="0"/>
  </r>
  <r>
    <x v="0"/>
    <x v="0"/>
    <n v="2239163264"/>
    <x v="7"/>
    <n v="17900"/>
    <x v="1"/>
    <x v="0"/>
    <x v="8"/>
    <x v="7"/>
    <x v="0"/>
    <x v="0"/>
    <x v="1"/>
    <x v="0"/>
  </r>
  <r>
    <x v="0"/>
    <x v="0"/>
    <n v="2239163266"/>
    <x v="2"/>
    <n v="22220"/>
    <x v="1"/>
    <x v="0"/>
    <x v="8"/>
    <x v="2"/>
    <x v="0"/>
    <x v="0"/>
    <x v="2"/>
    <x v="0"/>
  </r>
  <r>
    <x v="0"/>
    <x v="0"/>
    <n v="2239163266"/>
    <x v="7"/>
    <n v="6000"/>
    <x v="1"/>
    <x v="0"/>
    <x v="8"/>
    <x v="7"/>
    <x v="0"/>
    <x v="0"/>
    <x v="1"/>
    <x v="0"/>
  </r>
  <r>
    <x v="0"/>
    <x v="0"/>
    <n v="2239163267"/>
    <x v="2"/>
    <n v="11000"/>
    <x v="1"/>
    <x v="0"/>
    <x v="8"/>
    <x v="2"/>
    <x v="0"/>
    <x v="0"/>
    <x v="2"/>
    <x v="0"/>
  </r>
  <r>
    <x v="0"/>
    <x v="0"/>
    <n v="2239163269"/>
    <x v="2"/>
    <n v="3300"/>
    <x v="1"/>
    <x v="0"/>
    <x v="8"/>
    <x v="2"/>
    <x v="0"/>
    <x v="0"/>
    <x v="2"/>
    <x v="0"/>
  </r>
  <r>
    <x v="0"/>
    <x v="0"/>
    <n v="2239163270"/>
    <x v="2"/>
    <n v="5000"/>
    <x v="1"/>
    <x v="0"/>
    <x v="8"/>
    <x v="2"/>
    <x v="0"/>
    <x v="0"/>
    <x v="2"/>
    <x v="0"/>
  </r>
  <r>
    <x v="0"/>
    <x v="0"/>
    <n v="2239163271"/>
    <x v="2"/>
    <n v="2200"/>
    <x v="1"/>
    <x v="0"/>
    <x v="8"/>
    <x v="2"/>
    <x v="0"/>
    <x v="0"/>
    <x v="2"/>
    <x v="0"/>
  </r>
  <r>
    <x v="0"/>
    <x v="0"/>
    <n v="2239163272"/>
    <x v="2"/>
    <n v="6500"/>
    <x v="1"/>
    <x v="0"/>
    <x v="8"/>
    <x v="2"/>
    <x v="0"/>
    <x v="0"/>
    <x v="2"/>
    <x v="0"/>
  </r>
  <r>
    <x v="0"/>
    <x v="0"/>
    <n v="2239163273"/>
    <x v="1"/>
    <n v="1200"/>
    <x v="1"/>
    <x v="0"/>
    <x v="8"/>
    <x v="1"/>
    <x v="0"/>
    <x v="0"/>
    <x v="1"/>
    <x v="0"/>
  </r>
  <r>
    <x v="0"/>
    <x v="0"/>
    <n v="2239163274"/>
    <x v="5"/>
    <n v="-4000"/>
    <x v="1"/>
    <x v="0"/>
    <x v="8"/>
    <x v="5"/>
    <x v="0"/>
    <x v="0"/>
    <x v="5"/>
    <x v="0"/>
  </r>
  <r>
    <x v="0"/>
    <x v="0"/>
    <n v="2239163274"/>
    <x v="6"/>
    <n v="10000"/>
    <x v="1"/>
    <x v="0"/>
    <x v="8"/>
    <x v="6"/>
    <x v="0"/>
    <x v="0"/>
    <x v="5"/>
    <x v="0"/>
  </r>
  <r>
    <x v="0"/>
    <x v="0"/>
    <n v="2239163275"/>
    <x v="2"/>
    <n v="1000"/>
    <x v="1"/>
    <x v="0"/>
    <x v="8"/>
    <x v="2"/>
    <x v="0"/>
    <x v="0"/>
    <x v="2"/>
    <x v="0"/>
  </r>
  <r>
    <x v="0"/>
    <x v="0"/>
    <n v="2239163277"/>
    <x v="2"/>
    <n v="20000"/>
    <x v="1"/>
    <x v="0"/>
    <x v="8"/>
    <x v="2"/>
    <x v="0"/>
    <x v="0"/>
    <x v="2"/>
    <x v="0"/>
  </r>
  <r>
    <x v="0"/>
    <x v="0"/>
    <n v="2239163278"/>
    <x v="1"/>
    <n v="10800"/>
    <x v="1"/>
    <x v="0"/>
    <x v="8"/>
    <x v="1"/>
    <x v="0"/>
    <x v="0"/>
    <x v="1"/>
    <x v="0"/>
  </r>
  <r>
    <x v="0"/>
    <x v="0"/>
    <n v="2239163279"/>
    <x v="5"/>
    <n v="-6000"/>
    <x v="1"/>
    <x v="0"/>
    <x v="8"/>
    <x v="5"/>
    <x v="0"/>
    <x v="0"/>
    <x v="5"/>
    <x v="0"/>
  </r>
  <r>
    <x v="0"/>
    <x v="0"/>
    <n v="2239163279"/>
    <x v="6"/>
    <n v="10000"/>
    <x v="1"/>
    <x v="0"/>
    <x v="8"/>
    <x v="6"/>
    <x v="0"/>
    <x v="0"/>
    <x v="5"/>
    <x v="0"/>
  </r>
  <r>
    <x v="0"/>
    <x v="0"/>
    <n v="2239163281"/>
    <x v="5"/>
    <n v="-16250"/>
    <x v="1"/>
    <x v="0"/>
    <x v="8"/>
    <x v="5"/>
    <x v="0"/>
    <x v="0"/>
    <x v="5"/>
    <x v="0"/>
  </r>
  <r>
    <x v="0"/>
    <x v="0"/>
    <n v="2239163281"/>
    <x v="6"/>
    <n v="20000"/>
    <x v="1"/>
    <x v="0"/>
    <x v="8"/>
    <x v="6"/>
    <x v="0"/>
    <x v="0"/>
    <x v="5"/>
    <x v="0"/>
  </r>
  <r>
    <x v="0"/>
    <x v="0"/>
    <n v="2239163283"/>
    <x v="2"/>
    <n v="4000"/>
    <x v="1"/>
    <x v="0"/>
    <x v="8"/>
    <x v="2"/>
    <x v="0"/>
    <x v="0"/>
    <x v="2"/>
    <x v="0"/>
  </r>
  <r>
    <x v="0"/>
    <x v="0"/>
    <n v="2239163284"/>
    <x v="5"/>
    <n v="-1300"/>
    <x v="1"/>
    <x v="0"/>
    <x v="8"/>
    <x v="5"/>
    <x v="0"/>
    <x v="0"/>
    <x v="5"/>
    <x v="0"/>
  </r>
  <r>
    <x v="0"/>
    <x v="0"/>
    <n v="2239163284"/>
    <x v="6"/>
    <n v="20000"/>
    <x v="1"/>
    <x v="0"/>
    <x v="8"/>
    <x v="6"/>
    <x v="0"/>
    <x v="0"/>
    <x v="5"/>
    <x v="0"/>
  </r>
  <r>
    <x v="0"/>
    <x v="0"/>
    <n v="2239163284"/>
    <x v="7"/>
    <n v="1000"/>
    <x v="1"/>
    <x v="0"/>
    <x v="8"/>
    <x v="7"/>
    <x v="0"/>
    <x v="0"/>
    <x v="1"/>
    <x v="0"/>
  </r>
  <r>
    <x v="0"/>
    <x v="0"/>
    <n v="2239163285"/>
    <x v="5"/>
    <n v="-50"/>
    <x v="1"/>
    <x v="0"/>
    <x v="8"/>
    <x v="5"/>
    <x v="0"/>
    <x v="0"/>
    <x v="5"/>
    <x v="0"/>
  </r>
  <r>
    <x v="0"/>
    <x v="0"/>
    <n v="2239163285"/>
    <x v="6"/>
    <n v="5000"/>
    <x v="1"/>
    <x v="0"/>
    <x v="8"/>
    <x v="6"/>
    <x v="0"/>
    <x v="0"/>
    <x v="5"/>
    <x v="0"/>
  </r>
  <r>
    <x v="0"/>
    <x v="0"/>
    <n v="2239163287"/>
    <x v="7"/>
    <n v="1500"/>
    <x v="1"/>
    <x v="0"/>
    <x v="8"/>
    <x v="7"/>
    <x v="0"/>
    <x v="0"/>
    <x v="1"/>
    <x v="0"/>
  </r>
  <r>
    <x v="0"/>
    <x v="0"/>
    <n v="2239163289"/>
    <x v="5"/>
    <n v="-500"/>
    <x v="1"/>
    <x v="0"/>
    <x v="8"/>
    <x v="5"/>
    <x v="0"/>
    <x v="0"/>
    <x v="5"/>
    <x v="0"/>
  </r>
  <r>
    <x v="0"/>
    <x v="0"/>
    <n v="2239163289"/>
    <x v="6"/>
    <n v="4000"/>
    <x v="1"/>
    <x v="0"/>
    <x v="8"/>
    <x v="6"/>
    <x v="0"/>
    <x v="0"/>
    <x v="5"/>
    <x v="0"/>
  </r>
  <r>
    <x v="0"/>
    <x v="0"/>
    <n v="2239163290"/>
    <x v="5"/>
    <n v="-5000"/>
    <x v="1"/>
    <x v="0"/>
    <x v="8"/>
    <x v="5"/>
    <x v="0"/>
    <x v="0"/>
    <x v="5"/>
    <x v="0"/>
  </r>
  <r>
    <x v="0"/>
    <x v="0"/>
    <n v="2239163290"/>
    <x v="6"/>
    <n v="30150"/>
    <x v="1"/>
    <x v="0"/>
    <x v="8"/>
    <x v="6"/>
    <x v="0"/>
    <x v="0"/>
    <x v="5"/>
    <x v="0"/>
  </r>
  <r>
    <x v="0"/>
    <x v="0"/>
    <n v="2239163291"/>
    <x v="5"/>
    <n v="-2000"/>
    <x v="1"/>
    <x v="0"/>
    <x v="8"/>
    <x v="5"/>
    <x v="0"/>
    <x v="0"/>
    <x v="5"/>
    <x v="0"/>
  </r>
  <r>
    <x v="0"/>
    <x v="0"/>
    <n v="2239163291"/>
    <x v="6"/>
    <n v="5000"/>
    <x v="1"/>
    <x v="0"/>
    <x v="8"/>
    <x v="6"/>
    <x v="0"/>
    <x v="0"/>
    <x v="5"/>
    <x v="0"/>
  </r>
  <r>
    <x v="0"/>
    <x v="0"/>
    <n v="2239163292"/>
    <x v="7"/>
    <n v="1500"/>
    <x v="1"/>
    <x v="0"/>
    <x v="8"/>
    <x v="7"/>
    <x v="0"/>
    <x v="0"/>
    <x v="1"/>
    <x v="0"/>
  </r>
  <r>
    <x v="0"/>
    <x v="0"/>
    <n v="2239163293"/>
    <x v="5"/>
    <n v="-4400"/>
    <x v="1"/>
    <x v="0"/>
    <x v="8"/>
    <x v="5"/>
    <x v="0"/>
    <x v="0"/>
    <x v="5"/>
    <x v="0"/>
  </r>
  <r>
    <x v="0"/>
    <x v="0"/>
    <n v="2239163293"/>
    <x v="4"/>
    <n v="10000"/>
    <x v="1"/>
    <x v="0"/>
    <x v="8"/>
    <x v="4"/>
    <x v="0"/>
    <x v="0"/>
    <x v="4"/>
    <x v="0"/>
  </r>
  <r>
    <x v="0"/>
    <x v="0"/>
    <n v="2239163294"/>
    <x v="2"/>
    <n v="32120"/>
    <x v="1"/>
    <x v="0"/>
    <x v="8"/>
    <x v="2"/>
    <x v="0"/>
    <x v="0"/>
    <x v="2"/>
    <x v="0"/>
  </r>
  <r>
    <x v="0"/>
    <x v="0"/>
    <n v="2239163295"/>
    <x v="5"/>
    <n v="-7500"/>
    <x v="1"/>
    <x v="0"/>
    <x v="8"/>
    <x v="5"/>
    <x v="0"/>
    <x v="0"/>
    <x v="5"/>
    <x v="0"/>
  </r>
  <r>
    <x v="0"/>
    <x v="0"/>
    <n v="2239163295"/>
    <x v="6"/>
    <n v="30000"/>
    <x v="1"/>
    <x v="0"/>
    <x v="8"/>
    <x v="6"/>
    <x v="0"/>
    <x v="0"/>
    <x v="5"/>
    <x v="0"/>
  </r>
  <r>
    <x v="0"/>
    <x v="0"/>
    <n v="2239163297"/>
    <x v="2"/>
    <n v="33440"/>
    <x v="1"/>
    <x v="0"/>
    <x v="8"/>
    <x v="2"/>
    <x v="0"/>
    <x v="0"/>
    <x v="2"/>
    <x v="0"/>
  </r>
  <r>
    <x v="0"/>
    <x v="0"/>
    <n v="2239163298"/>
    <x v="3"/>
    <n v="18700"/>
    <x v="1"/>
    <x v="0"/>
    <x v="8"/>
    <x v="3"/>
    <x v="0"/>
    <x v="0"/>
    <x v="3"/>
    <x v="0"/>
  </r>
  <r>
    <x v="0"/>
    <x v="0"/>
    <n v="2239163299"/>
    <x v="5"/>
    <n v="-14400"/>
    <x v="1"/>
    <x v="0"/>
    <x v="8"/>
    <x v="5"/>
    <x v="0"/>
    <x v="0"/>
    <x v="5"/>
    <x v="0"/>
  </r>
  <r>
    <x v="0"/>
    <x v="0"/>
    <n v="2239163299"/>
    <x v="4"/>
    <n v="20000"/>
    <x v="1"/>
    <x v="0"/>
    <x v="8"/>
    <x v="4"/>
    <x v="0"/>
    <x v="0"/>
    <x v="4"/>
    <x v="0"/>
  </r>
  <r>
    <x v="0"/>
    <x v="0"/>
    <n v="2239163300"/>
    <x v="2"/>
    <n v="11700"/>
    <x v="1"/>
    <x v="0"/>
    <x v="8"/>
    <x v="2"/>
    <x v="0"/>
    <x v="0"/>
    <x v="2"/>
    <x v="0"/>
  </r>
  <r>
    <x v="0"/>
    <x v="0"/>
    <n v="2239163300"/>
    <x v="7"/>
    <n v="1300"/>
    <x v="1"/>
    <x v="0"/>
    <x v="8"/>
    <x v="7"/>
    <x v="0"/>
    <x v="0"/>
    <x v="1"/>
    <x v="0"/>
  </r>
  <r>
    <x v="0"/>
    <x v="0"/>
    <n v="2239163301"/>
    <x v="0"/>
    <n v="6750"/>
    <x v="1"/>
    <x v="0"/>
    <x v="8"/>
    <x v="0"/>
    <x v="0"/>
    <x v="0"/>
    <x v="0"/>
    <x v="0"/>
  </r>
  <r>
    <x v="0"/>
    <x v="0"/>
    <n v="2239163302"/>
    <x v="7"/>
    <n v="7500"/>
    <x v="1"/>
    <x v="0"/>
    <x v="8"/>
    <x v="7"/>
    <x v="0"/>
    <x v="0"/>
    <x v="1"/>
    <x v="0"/>
  </r>
  <r>
    <x v="0"/>
    <x v="0"/>
    <n v="2239163303"/>
    <x v="2"/>
    <n v="19690"/>
    <x v="1"/>
    <x v="0"/>
    <x v="8"/>
    <x v="2"/>
    <x v="0"/>
    <x v="0"/>
    <x v="2"/>
    <x v="0"/>
  </r>
  <r>
    <x v="0"/>
    <x v="0"/>
    <n v="2239163304"/>
    <x v="2"/>
    <n v="2400"/>
    <x v="1"/>
    <x v="0"/>
    <x v="8"/>
    <x v="2"/>
    <x v="0"/>
    <x v="0"/>
    <x v="2"/>
    <x v="0"/>
  </r>
  <r>
    <x v="0"/>
    <x v="0"/>
    <n v="2239163305"/>
    <x v="1"/>
    <n v="3600"/>
    <x v="1"/>
    <x v="0"/>
    <x v="8"/>
    <x v="1"/>
    <x v="0"/>
    <x v="0"/>
    <x v="1"/>
    <x v="0"/>
  </r>
  <r>
    <x v="0"/>
    <x v="0"/>
    <n v="2239163306"/>
    <x v="1"/>
    <n v="900"/>
    <x v="1"/>
    <x v="0"/>
    <x v="8"/>
    <x v="1"/>
    <x v="0"/>
    <x v="0"/>
    <x v="1"/>
    <x v="0"/>
  </r>
  <r>
    <x v="0"/>
    <x v="0"/>
    <n v="2239163307"/>
    <x v="2"/>
    <n v="7700"/>
    <x v="1"/>
    <x v="0"/>
    <x v="8"/>
    <x v="2"/>
    <x v="0"/>
    <x v="0"/>
    <x v="2"/>
    <x v="0"/>
  </r>
  <r>
    <x v="0"/>
    <x v="0"/>
    <n v="2239163308"/>
    <x v="0"/>
    <n v="6450"/>
    <x v="1"/>
    <x v="0"/>
    <x v="8"/>
    <x v="0"/>
    <x v="0"/>
    <x v="0"/>
    <x v="0"/>
    <x v="0"/>
  </r>
  <r>
    <x v="0"/>
    <x v="0"/>
    <n v="2239163309"/>
    <x v="2"/>
    <n v="18700"/>
    <x v="1"/>
    <x v="0"/>
    <x v="8"/>
    <x v="2"/>
    <x v="0"/>
    <x v="0"/>
    <x v="2"/>
    <x v="0"/>
  </r>
  <r>
    <x v="0"/>
    <x v="0"/>
    <n v="2239163310"/>
    <x v="5"/>
    <n v="-2000"/>
    <x v="1"/>
    <x v="0"/>
    <x v="8"/>
    <x v="5"/>
    <x v="0"/>
    <x v="0"/>
    <x v="5"/>
    <x v="0"/>
  </r>
  <r>
    <x v="0"/>
    <x v="0"/>
    <n v="2239163310"/>
    <x v="6"/>
    <n v="35110"/>
    <x v="1"/>
    <x v="0"/>
    <x v="8"/>
    <x v="6"/>
    <x v="0"/>
    <x v="0"/>
    <x v="5"/>
    <x v="0"/>
  </r>
  <r>
    <x v="0"/>
    <x v="0"/>
    <n v="2239163311"/>
    <x v="2"/>
    <n v="4000"/>
    <x v="1"/>
    <x v="0"/>
    <x v="8"/>
    <x v="2"/>
    <x v="0"/>
    <x v="0"/>
    <x v="2"/>
    <x v="0"/>
  </r>
  <r>
    <x v="0"/>
    <x v="0"/>
    <n v="2239163312"/>
    <x v="3"/>
    <n v="30800"/>
    <x v="1"/>
    <x v="0"/>
    <x v="8"/>
    <x v="3"/>
    <x v="0"/>
    <x v="0"/>
    <x v="3"/>
    <x v="0"/>
  </r>
  <r>
    <x v="0"/>
    <x v="0"/>
    <n v="2239163312"/>
    <x v="2"/>
    <n v="22550"/>
    <x v="1"/>
    <x v="0"/>
    <x v="8"/>
    <x v="2"/>
    <x v="0"/>
    <x v="0"/>
    <x v="2"/>
    <x v="0"/>
  </r>
  <r>
    <x v="0"/>
    <x v="0"/>
    <n v="2239163313"/>
    <x v="3"/>
    <n v="18040"/>
    <x v="1"/>
    <x v="0"/>
    <x v="8"/>
    <x v="3"/>
    <x v="0"/>
    <x v="0"/>
    <x v="3"/>
    <x v="0"/>
  </r>
  <r>
    <x v="0"/>
    <x v="0"/>
    <n v="2239163314"/>
    <x v="7"/>
    <n v="1500"/>
    <x v="1"/>
    <x v="0"/>
    <x v="8"/>
    <x v="7"/>
    <x v="0"/>
    <x v="0"/>
    <x v="1"/>
    <x v="0"/>
  </r>
  <r>
    <x v="0"/>
    <x v="0"/>
    <n v="2239163315"/>
    <x v="5"/>
    <n v="-2500"/>
    <x v="1"/>
    <x v="0"/>
    <x v="8"/>
    <x v="5"/>
    <x v="0"/>
    <x v="0"/>
    <x v="5"/>
    <x v="0"/>
  </r>
  <r>
    <x v="0"/>
    <x v="0"/>
    <n v="2239163315"/>
    <x v="6"/>
    <n v="10000"/>
    <x v="1"/>
    <x v="0"/>
    <x v="8"/>
    <x v="6"/>
    <x v="0"/>
    <x v="0"/>
    <x v="5"/>
    <x v="0"/>
  </r>
  <r>
    <x v="0"/>
    <x v="0"/>
    <n v="2239163316"/>
    <x v="2"/>
    <n v="6000"/>
    <x v="1"/>
    <x v="0"/>
    <x v="8"/>
    <x v="2"/>
    <x v="0"/>
    <x v="0"/>
    <x v="2"/>
    <x v="0"/>
  </r>
  <r>
    <x v="0"/>
    <x v="0"/>
    <n v="2239163317"/>
    <x v="3"/>
    <n v="11550"/>
    <x v="1"/>
    <x v="0"/>
    <x v="8"/>
    <x v="3"/>
    <x v="0"/>
    <x v="0"/>
    <x v="3"/>
    <x v="0"/>
  </r>
  <r>
    <x v="0"/>
    <x v="0"/>
    <n v="2239163318"/>
    <x v="1"/>
    <n v="1140"/>
    <x v="1"/>
    <x v="0"/>
    <x v="8"/>
    <x v="1"/>
    <x v="0"/>
    <x v="0"/>
    <x v="1"/>
    <x v="0"/>
  </r>
  <r>
    <x v="0"/>
    <x v="0"/>
    <n v="2239163319"/>
    <x v="5"/>
    <n v="-2050"/>
    <x v="1"/>
    <x v="0"/>
    <x v="8"/>
    <x v="5"/>
    <x v="0"/>
    <x v="0"/>
    <x v="5"/>
    <x v="0"/>
  </r>
  <r>
    <x v="0"/>
    <x v="0"/>
    <n v="2239163319"/>
    <x v="6"/>
    <n v="5200"/>
    <x v="1"/>
    <x v="0"/>
    <x v="8"/>
    <x v="6"/>
    <x v="0"/>
    <x v="0"/>
    <x v="5"/>
    <x v="0"/>
  </r>
  <r>
    <x v="0"/>
    <x v="0"/>
    <n v="2239163321"/>
    <x v="0"/>
    <n v="16550"/>
    <x v="1"/>
    <x v="0"/>
    <x v="8"/>
    <x v="0"/>
    <x v="0"/>
    <x v="0"/>
    <x v="0"/>
    <x v="0"/>
  </r>
  <r>
    <x v="0"/>
    <x v="0"/>
    <n v="2239163322"/>
    <x v="5"/>
    <n v="-1000"/>
    <x v="1"/>
    <x v="0"/>
    <x v="8"/>
    <x v="5"/>
    <x v="0"/>
    <x v="0"/>
    <x v="5"/>
    <x v="0"/>
  </r>
  <r>
    <x v="0"/>
    <x v="0"/>
    <n v="2239163322"/>
    <x v="6"/>
    <n v="7000"/>
    <x v="1"/>
    <x v="0"/>
    <x v="8"/>
    <x v="6"/>
    <x v="0"/>
    <x v="0"/>
    <x v="5"/>
    <x v="0"/>
  </r>
  <r>
    <x v="0"/>
    <x v="0"/>
    <n v="2239163323"/>
    <x v="2"/>
    <n v="11550"/>
    <x v="1"/>
    <x v="0"/>
    <x v="8"/>
    <x v="2"/>
    <x v="0"/>
    <x v="0"/>
    <x v="2"/>
    <x v="0"/>
  </r>
  <r>
    <x v="0"/>
    <x v="0"/>
    <n v="2239163324"/>
    <x v="2"/>
    <n v="10400"/>
    <x v="1"/>
    <x v="0"/>
    <x v="8"/>
    <x v="2"/>
    <x v="0"/>
    <x v="0"/>
    <x v="2"/>
    <x v="0"/>
  </r>
  <r>
    <x v="0"/>
    <x v="0"/>
    <n v="2239163324"/>
    <x v="7"/>
    <n v="2600"/>
    <x v="1"/>
    <x v="0"/>
    <x v="8"/>
    <x v="7"/>
    <x v="0"/>
    <x v="0"/>
    <x v="1"/>
    <x v="0"/>
  </r>
  <r>
    <x v="0"/>
    <x v="0"/>
    <n v="2239163325"/>
    <x v="1"/>
    <n v="900"/>
    <x v="1"/>
    <x v="0"/>
    <x v="8"/>
    <x v="1"/>
    <x v="0"/>
    <x v="0"/>
    <x v="1"/>
    <x v="0"/>
  </r>
  <r>
    <x v="0"/>
    <x v="0"/>
    <n v="2239163326"/>
    <x v="0"/>
    <n v="2250"/>
    <x v="1"/>
    <x v="0"/>
    <x v="8"/>
    <x v="0"/>
    <x v="0"/>
    <x v="0"/>
    <x v="0"/>
    <x v="0"/>
  </r>
  <r>
    <x v="0"/>
    <x v="0"/>
    <n v="2239163329"/>
    <x v="5"/>
    <n v="-600"/>
    <x v="1"/>
    <x v="0"/>
    <x v="8"/>
    <x v="5"/>
    <x v="0"/>
    <x v="0"/>
    <x v="5"/>
    <x v="0"/>
  </r>
  <r>
    <x v="0"/>
    <x v="0"/>
    <n v="2239163329"/>
    <x v="6"/>
    <n v="3000"/>
    <x v="1"/>
    <x v="0"/>
    <x v="8"/>
    <x v="6"/>
    <x v="0"/>
    <x v="0"/>
    <x v="5"/>
    <x v="0"/>
  </r>
  <r>
    <x v="0"/>
    <x v="0"/>
    <n v="2239163330"/>
    <x v="5"/>
    <n v="-14000"/>
    <x v="1"/>
    <x v="0"/>
    <x v="8"/>
    <x v="5"/>
    <x v="0"/>
    <x v="0"/>
    <x v="5"/>
    <x v="0"/>
  </r>
  <r>
    <x v="0"/>
    <x v="0"/>
    <n v="2239163330"/>
    <x v="6"/>
    <n v="20000"/>
    <x v="1"/>
    <x v="0"/>
    <x v="8"/>
    <x v="6"/>
    <x v="0"/>
    <x v="0"/>
    <x v="5"/>
    <x v="0"/>
  </r>
  <r>
    <x v="0"/>
    <x v="0"/>
    <n v="2239163331"/>
    <x v="1"/>
    <n v="24440"/>
    <x v="1"/>
    <x v="0"/>
    <x v="8"/>
    <x v="1"/>
    <x v="0"/>
    <x v="0"/>
    <x v="1"/>
    <x v="0"/>
  </r>
  <r>
    <x v="0"/>
    <x v="0"/>
    <n v="2239163332"/>
    <x v="7"/>
    <n v="1500"/>
    <x v="1"/>
    <x v="0"/>
    <x v="8"/>
    <x v="7"/>
    <x v="0"/>
    <x v="0"/>
    <x v="1"/>
    <x v="0"/>
  </r>
  <r>
    <x v="0"/>
    <x v="0"/>
    <n v="2239163333"/>
    <x v="5"/>
    <n v="-400"/>
    <x v="1"/>
    <x v="0"/>
    <x v="8"/>
    <x v="5"/>
    <x v="0"/>
    <x v="0"/>
    <x v="5"/>
    <x v="0"/>
  </r>
  <r>
    <x v="0"/>
    <x v="0"/>
    <n v="2239163333"/>
    <x v="4"/>
    <n v="5000"/>
    <x v="1"/>
    <x v="0"/>
    <x v="8"/>
    <x v="4"/>
    <x v="0"/>
    <x v="0"/>
    <x v="4"/>
    <x v="0"/>
  </r>
  <r>
    <x v="0"/>
    <x v="0"/>
    <n v="2239163334"/>
    <x v="2"/>
    <n v="7500"/>
    <x v="1"/>
    <x v="0"/>
    <x v="8"/>
    <x v="2"/>
    <x v="0"/>
    <x v="0"/>
    <x v="2"/>
    <x v="0"/>
  </r>
  <r>
    <x v="0"/>
    <x v="0"/>
    <n v="2239163336"/>
    <x v="5"/>
    <n v="-7000"/>
    <x v="1"/>
    <x v="0"/>
    <x v="8"/>
    <x v="5"/>
    <x v="0"/>
    <x v="0"/>
    <x v="5"/>
    <x v="0"/>
  </r>
  <r>
    <x v="0"/>
    <x v="0"/>
    <n v="2239163336"/>
    <x v="6"/>
    <n v="20000"/>
    <x v="1"/>
    <x v="0"/>
    <x v="8"/>
    <x v="6"/>
    <x v="0"/>
    <x v="0"/>
    <x v="5"/>
    <x v="0"/>
  </r>
  <r>
    <x v="0"/>
    <x v="0"/>
    <n v="2239163337"/>
    <x v="0"/>
    <n v="3000"/>
    <x v="1"/>
    <x v="0"/>
    <x v="8"/>
    <x v="0"/>
    <x v="0"/>
    <x v="0"/>
    <x v="0"/>
    <x v="0"/>
  </r>
  <r>
    <x v="0"/>
    <x v="0"/>
    <n v="2239163340"/>
    <x v="2"/>
    <n v="8400"/>
    <x v="1"/>
    <x v="0"/>
    <x v="8"/>
    <x v="2"/>
    <x v="0"/>
    <x v="0"/>
    <x v="2"/>
    <x v="0"/>
  </r>
  <r>
    <x v="0"/>
    <x v="0"/>
    <n v="2239163343"/>
    <x v="7"/>
    <n v="1500"/>
    <x v="1"/>
    <x v="0"/>
    <x v="8"/>
    <x v="7"/>
    <x v="0"/>
    <x v="0"/>
    <x v="1"/>
    <x v="0"/>
  </r>
  <r>
    <x v="0"/>
    <x v="0"/>
    <n v="2239163344"/>
    <x v="0"/>
    <n v="6570"/>
    <x v="1"/>
    <x v="0"/>
    <x v="8"/>
    <x v="0"/>
    <x v="0"/>
    <x v="0"/>
    <x v="0"/>
    <x v="0"/>
  </r>
  <r>
    <x v="0"/>
    <x v="0"/>
    <n v="2239163345"/>
    <x v="5"/>
    <n v="-4700"/>
    <x v="1"/>
    <x v="0"/>
    <x v="8"/>
    <x v="5"/>
    <x v="0"/>
    <x v="0"/>
    <x v="5"/>
    <x v="0"/>
  </r>
  <r>
    <x v="0"/>
    <x v="0"/>
    <n v="2239163345"/>
    <x v="4"/>
    <n v="10000"/>
    <x v="1"/>
    <x v="0"/>
    <x v="8"/>
    <x v="4"/>
    <x v="0"/>
    <x v="0"/>
    <x v="4"/>
    <x v="0"/>
  </r>
  <r>
    <x v="0"/>
    <x v="0"/>
    <n v="2239163346"/>
    <x v="2"/>
    <n v="7150"/>
    <x v="1"/>
    <x v="0"/>
    <x v="8"/>
    <x v="2"/>
    <x v="0"/>
    <x v="0"/>
    <x v="2"/>
    <x v="0"/>
  </r>
  <r>
    <x v="0"/>
    <x v="0"/>
    <n v="2239163347"/>
    <x v="1"/>
    <n v="900"/>
    <x v="1"/>
    <x v="0"/>
    <x v="8"/>
    <x v="1"/>
    <x v="0"/>
    <x v="0"/>
    <x v="1"/>
    <x v="0"/>
  </r>
  <r>
    <x v="0"/>
    <x v="0"/>
    <n v="2239163348"/>
    <x v="0"/>
    <n v="4500"/>
    <x v="1"/>
    <x v="0"/>
    <x v="8"/>
    <x v="0"/>
    <x v="0"/>
    <x v="0"/>
    <x v="0"/>
    <x v="0"/>
  </r>
  <r>
    <x v="0"/>
    <x v="0"/>
    <n v="2239163349"/>
    <x v="7"/>
    <n v="1500"/>
    <x v="1"/>
    <x v="0"/>
    <x v="8"/>
    <x v="7"/>
    <x v="0"/>
    <x v="0"/>
    <x v="1"/>
    <x v="0"/>
  </r>
  <r>
    <x v="0"/>
    <x v="0"/>
    <n v="2239163350"/>
    <x v="2"/>
    <n v="12000"/>
    <x v="1"/>
    <x v="0"/>
    <x v="8"/>
    <x v="2"/>
    <x v="0"/>
    <x v="0"/>
    <x v="2"/>
    <x v="0"/>
  </r>
  <r>
    <x v="0"/>
    <x v="0"/>
    <n v="2239163351"/>
    <x v="7"/>
    <n v="1500"/>
    <x v="1"/>
    <x v="0"/>
    <x v="8"/>
    <x v="7"/>
    <x v="0"/>
    <x v="0"/>
    <x v="1"/>
    <x v="0"/>
  </r>
  <r>
    <x v="0"/>
    <x v="0"/>
    <n v="2239163352"/>
    <x v="5"/>
    <n v="-500"/>
    <x v="1"/>
    <x v="0"/>
    <x v="8"/>
    <x v="5"/>
    <x v="0"/>
    <x v="0"/>
    <x v="5"/>
    <x v="0"/>
  </r>
  <r>
    <x v="0"/>
    <x v="0"/>
    <n v="2239163352"/>
    <x v="6"/>
    <n v="10000"/>
    <x v="1"/>
    <x v="0"/>
    <x v="8"/>
    <x v="6"/>
    <x v="0"/>
    <x v="0"/>
    <x v="5"/>
    <x v="0"/>
  </r>
  <r>
    <x v="0"/>
    <x v="0"/>
    <n v="2239163353"/>
    <x v="5"/>
    <n v="-4000"/>
    <x v="1"/>
    <x v="0"/>
    <x v="8"/>
    <x v="5"/>
    <x v="0"/>
    <x v="0"/>
    <x v="5"/>
    <x v="0"/>
  </r>
  <r>
    <x v="0"/>
    <x v="0"/>
    <n v="2239163353"/>
    <x v="6"/>
    <n v="20000"/>
    <x v="1"/>
    <x v="0"/>
    <x v="8"/>
    <x v="6"/>
    <x v="0"/>
    <x v="0"/>
    <x v="5"/>
    <x v="0"/>
  </r>
  <r>
    <x v="0"/>
    <x v="0"/>
    <n v="2239163355"/>
    <x v="2"/>
    <n v="20900"/>
    <x v="1"/>
    <x v="0"/>
    <x v="8"/>
    <x v="2"/>
    <x v="0"/>
    <x v="0"/>
    <x v="2"/>
    <x v="0"/>
  </r>
  <r>
    <x v="0"/>
    <x v="0"/>
    <n v="2239163356"/>
    <x v="2"/>
    <n v="4000"/>
    <x v="1"/>
    <x v="0"/>
    <x v="8"/>
    <x v="2"/>
    <x v="0"/>
    <x v="0"/>
    <x v="2"/>
    <x v="0"/>
  </r>
  <r>
    <x v="0"/>
    <x v="0"/>
    <n v="2239163357"/>
    <x v="2"/>
    <n v="6160"/>
    <x v="1"/>
    <x v="0"/>
    <x v="8"/>
    <x v="2"/>
    <x v="0"/>
    <x v="0"/>
    <x v="2"/>
    <x v="0"/>
  </r>
  <r>
    <x v="0"/>
    <x v="0"/>
    <n v="2239163357"/>
    <x v="7"/>
    <n v="1400"/>
    <x v="1"/>
    <x v="0"/>
    <x v="8"/>
    <x v="7"/>
    <x v="0"/>
    <x v="0"/>
    <x v="1"/>
    <x v="0"/>
  </r>
  <r>
    <x v="0"/>
    <x v="0"/>
    <n v="2239163358"/>
    <x v="0"/>
    <n v="2250"/>
    <x v="1"/>
    <x v="0"/>
    <x v="8"/>
    <x v="0"/>
    <x v="0"/>
    <x v="0"/>
    <x v="0"/>
    <x v="0"/>
  </r>
  <r>
    <x v="0"/>
    <x v="0"/>
    <n v="2239163359"/>
    <x v="2"/>
    <n v="6600"/>
    <x v="1"/>
    <x v="0"/>
    <x v="8"/>
    <x v="2"/>
    <x v="0"/>
    <x v="0"/>
    <x v="2"/>
    <x v="0"/>
  </r>
  <r>
    <x v="0"/>
    <x v="0"/>
    <n v="2239163360"/>
    <x v="5"/>
    <n v="-500"/>
    <x v="1"/>
    <x v="0"/>
    <x v="8"/>
    <x v="5"/>
    <x v="0"/>
    <x v="0"/>
    <x v="5"/>
    <x v="0"/>
  </r>
  <r>
    <x v="0"/>
    <x v="0"/>
    <n v="2239163360"/>
    <x v="6"/>
    <n v="20000"/>
    <x v="1"/>
    <x v="0"/>
    <x v="8"/>
    <x v="6"/>
    <x v="0"/>
    <x v="0"/>
    <x v="5"/>
    <x v="0"/>
  </r>
  <r>
    <x v="0"/>
    <x v="0"/>
    <n v="2239163361"/>
    <x v="2"/>
    <n v="5500"/>
    <x v="1"/>
    <x v="0"/>
    <x v="8"/>
    <x v="2"/>
    <x v="0"/>
    <x v="0"/>
    <x v="2"/>
    <x v="0"/>
  </r>
  <r>
    <x v="0"/>
    <x v="0"/>
    <n v="2239163363"/>
    <x v="2"/>
    <n v="14300"/>
    <x v="1"/>
    <x v="0"/>
    <x v="8"/>
    <x v="2"/>
    <x v="0"/>
    <x v="0"/>
    <x v="2"/>
    <x v="0"/>
  </r>
  <r>
    <x v="0"/>
    <x v="0"/>
    <n v="2239163364"/>
    <x v="2"/>
    <n v="31790"/>
    <x v="1"/>
    <x v="0"/>
    <x v="8"/>
    <x v="2"/>
    <x v="0"/>
    <x v="0"/>
    <x v="2"/>
    <x v="0"/>
  </r>
  <r>
    <x v="0"/>
    <x v="0"/>
    <n v="2239163365"/>
    <x v="5"/>
    <n v="-4700"/>
    <x v="1"/>
    <x v="0"/>
    <x v="8"/>
    <x v="5"/>
    <x v="0"/>
    <x v="0"/>
    <x v="5"/>
    <x v="0"/>
  </r>
  <r>
    <x v="0"/>
    <x v="0"/>
    <n v="2239163365"/>
    <x v="4"/>
    <n v="10000"/>
    <x v="1"/>
    <x v="0"/>
    <x v="8"/>
    <x v="4"/>
    <x v="0"/>
    <x v="0"/>
    <x v="4"/>
    <x v="0"/>
  </r>
  <r>
    <x v="0"/>
    <x v="0"/>
    <n v="2239163366"/>
    <x v="3"/>
    <n v="47300"/>
    <x v="1"/>
    <x v="0"/>
    <x v="8"/>
    <x v="3"/>
    <x v="0"/>
    <x v="0"/>
    <x v="3"/>
    <x v="0"/>
  </r>
  <r>
    <x v="0"/>
    <x v="0"/>
    <n v="2239163367"/>
    <x v="1"/>
    <n v="900"/>
    <x v="1"/>
    <x v="0"/>
    <x v="8"/>
    <x v="1"/>
    <x v="0"/>
    <x v="0"/>
    <x v="1"/>
    <x v="0"/>
  </r>
  <r>
    <x v="0"/>
    <x v="0"/>
    <n v="2239163368"/>
    <x v="2"/>
    <n v="5500"/>
    <x v="1"/>
    <x v="0"/>
    <x v="8"/>
    <x v="2"/>
    <x v="0"/>
    <x v="0"/>
    <x v="2"/>
    <x v="0"/>
  </r>
  <r>
    <x v="0"/>
    <x v="0"/>
    <n v="2239163369"/>
    <x v="5"/>
    <n v="-1000"/>
    <x v="1"/>
    <x v="0"/>
    <x v="8"/>
    <x v="5"/>
    <x v="0"/>
    <x v="0"/>
    <x v="5"/>
    <x v="0"/>
  </r>
  <r>
    <x v="0"/>
    <x v="0"/>
    <n v="2239163369"/>
    <x v="6"/>
    <n v="7000"/>
    <x v="1"/>
    <x v="0"/>
    <x v="8"/>
    <x v="6"/>
    <x v="0"/>
    <x v="0"/>
    <x v="5"/>
    <x v="0"/>
  </r>
  <r>
    <x v="0"/>
    <x v="0"/>
    <n v="2239163370"/>
    <x v="5"/>
    <n v="-600"/>
    <x v="1"/>
    <x v="0"/>
    <x v="8"/>
    <x v="5"/>
    <x v="0"/>
    <x v="0"/>
    <x v="5"/>
    <x v="0"/>
  </r>
  <r>
    <x v="0"/>
    <x v="0"/>
    <n v="2239163370"/>
    <x v="6"/>
    <n v="9000"/>
    <x v="1"/>
    <x v="0"/>
    <x v="8"/>
    <x v="6"/>
    <x v="0"/>
    <x v="0"/>
    <x v="5"/>
    <x v="0"/>
  </r>
  <r>
    <x v="0"/>
    <x v="0"/>
    <n v="2239163371"/>
    <x v="5"/>
    <n v="-3500"/>
    <x v="1"/>
    <x v="0"/>
    <x v="8"/>
    <x v="5"/>
    <x v="0"/>
    <x v="0"/>
    <x v="5"/>
    <x v="0"/>
  </r>
  <r>
    <x v="0"/>
    <x v="0"/>
    <n v="2239163371"/>
    <x v="6"/>
    <n v="10000"/>
    <x v="1"/>
    <x v="0"/>
    <x v="8"/>
    <x v="6"/>
    <x v="0"/>
    <x v="0"/>
    <x v="5"/>
    <x v="0"/>
  </r>
  <r>
    <x v="0"/>
    <x v="0"/>
    <n v="2239163373"/>
    <x v="7"/>
    <n v="1500"/>
    <x v="1"/>
    <x v="0"/>
    <x v="8"/>
    <x v="7"/>
    <x v="0"/>
    <x v="0"/>
    <x v="1"/>
    <x v="0"/>
  </r>
  <r>
    <x v="0"/>
    <x v="0"/>
    <n v="2239163374"/>
    <x v="6"/>
    <n v="3000"/>
    <x v="1"/>
    <x v="0"/>
    <x v="8"/>
    <x v="6"/>
    <x v="0"/>
    <x v="0"/>
    <x v="5"/>
    <x v="0"/>
  </r>
  <r>
    <x v="0"/>
    <x v="0"/>
    <n v="2239163375"/>
    <x v="1"/>
    <n v="1050"/>
    <x v="1"/>
    <x v="0"/>
    <x v="8"/>
    <x v="1"/>
    <x v="0"/>
    <x v="0"/>
    <x v="1"/>
    <x v="0"/>
  </r>
  <r>
    <x v="0"/>
    <x v="0"/>
    <n v="2239163377"/>
    <x v="5"/>
    <n v="-2500"/>
    <x v="1"/>
    <x v="0"/>
    <x v="8"/>
    <x v="5"/>
    <x v="0"/>
    <x v="0"/>
    <x v="5"/>
    <x v="0"/>
  </r>
  <r>
    <x v="0"/>
    <x v="0"/>
    <n v="2239163377"/>
    <x v="6"/>
    <n v="10000"/>
    <x v="1"/>
    <x v="0"/>
    <x v="8"/>
    <x v="6"/>
    <x v="0"/>
    <x v="0"/>
    <x v="5"/>
    <x v="0"/>
  </r>
  <r>
    <x v="0"/>
    <x v="0"/>
    <n v="2239163378"/>
    <x v="5"/>
    <n v="-400"/>
    <x v="1"/>
    <x v="0"/>
    <x v="8"/>
    <x v="5"/>
    <x v="0"/>
    <x v="0"/>
    <x v="5"/>
    <x v="0"/>
  </r>
  <r>
    <x v="0"/>
    <x v="0"/>
    <n v="2239163378"/>
    <x v="4"/>
    <n v="11000"/>
    <x v="1"/>
    <x v="0"/>
    <x v="8"/>
    <x v="4"/>
    <x v="0"/>
    <x v="0"/>
    <x v="4"/>
    <x v="0"/>
  </r>
  <r>
    <x v="0"/>
    <x v="0"/>
    <n v="2239163379"/>
    <x v="2"/>
    <n v="14000"/>
    <x v="1"/>
    <x v="0"/>
    <x v="8"/>
    <x v="2"/>
    <x v="0"/>
    <x v="0"/>
    <x v="2"/>
    <x v="0"/>
  </r>
  <r>
    <x v="0"/>
    <x v="0"/>
    <n v="2239163380"/>
    <x v="2"/>
    <n v="17600"/>
    <x v="1"/>
    <x v="0"/>
    <x v="8"/>
    <x v="2"/>
    <x v="0"/>
    <x v="0"/>
    <x v="2"/>
    <x v="0"/>
  </r>
  <r>
    <x v="0"/>
    <x v="0"/>
    <n v="2239163381"/>
    <x v="1"/>
    <n v="2850"/>
    <x v="1"/>
    <x v="0"/>
    <x v="8"/>
    <x v="1"/>
    <x v="0"/>
    <x v="0"/>
    <x v="1"/>
    <x v="0"/>
  </r>
  <r>
    <x v="0"/>
    <x v="0"/>
    <n v="2239163382"/>
    <x v="10"/>
    <n v="7000"/>
    <x v="1"/>
    <x v="0"/>
    <x v="8"/>
    <x v="10"/>
    <x v="0"/>
    <x v="0"/>
    <x v="3"/>
    <x v="0"/>
  </r>
  <r>
    <x v="0"/>
    <x v="0"/>
    <n v="2239163383"/>
    <x v="5"/>
    <n v="-600"/>
    <x v="1"/>
    <x v="0"/>
    <x v="8"/>
    <x v="5"/>
    <x v="0"/>
    <x v="0"/>
    <x v="5"/>
    <x v="0"/>
  </r>
  <r>
    <x v="0"/>
    <x v="0"/>
    <n v="2239163383"/>
    <x v="6"/>
    <n v="9000"/>
    <x v="1"/>
    <x v="0"/>
    <x v="8"/>
    <x v="6"/>
    <x v="0"/>
    <x v="0"/>
    <x v="5"/>
    <x v="0"/>
  </r>
  <r>
    <x v="0"/>
    <x v="0"/>
    <n v="2239163384"/>
    <x v="2"/>
    <n v="61160"/>
    <x v="1"/>
    <x v="0"/>
    <x v="8"/>
    <x v="2"/>
    <x v="0"/>
    <x v="0"/>
    <x v="2"/>
    <x v="0"/>
  </r>
  <r>
    <x v="0"/>
    <x v="0"/>
    <n v="2239163385"/>
    <x v="2"/>
    <n v="3000"/>
    <x v="1"/>
    <x v="0"/>
    <x v="8"/>
    <x v="2"/>
    <x v="0"/>
    <x v="0"/>
    <x v="2"/>
    <x v="0"/>
  </r>
  <r>
    <x v="0"/>
    <x v="0"/>
    <n v="2239163386"/>
    <x v="2"/>
    <n v="20900"/>
    <x v="1"/>
    <x v="0"/>
    <x v="8"/>
    <x v="2"/>
    <x v="0"/>
    <x v="0"/>
    <x v="2"/>
    <x v="0"/>
  </r>
  <r>
    <x v="0"/>
    <x v="0"/>
    <n v="2239163387"/>
    <x v="2"/>
    <n v="20900"/>
    <x v="1"/>
    <x v="0"/>
    <x v="8"/>
    <x v="2"/>
    <x v="0"/>
    <x v="0"/>
    <x v="2"/>
    <x v="0"/>
  </r>
  <r>
    <x v="0"/>
    <x v="0"/>
    <n v="2239163388"/>
    <x v="5"/>
    <n v="-3000"/>
    <x v="1"/>
    <x v="0"/>
    <x v="8"/>
    <x v="5"/>
    <x v="0"/>
    <x v="0"/>
    <x v="5"/>
    <x v="0"/>
  </r>
  <r>
    <x v="0"/>
    <x v="0"/>
    <n v="2239163388"/>
    <x v="6"/>
    <n v="15000"/>
    <x v="1"/>
    <x v="0"/>
    <x v="8"/>
    <x v="6"/>
    <x v="0"/>
    <x v="0"/>
    <x v="5"/>
    <x v="0"/>
  </r>
  <r>
    <x v="0"/>
    <x v="0"/>
    <n v="2239163389"/>
    <x v="5"/>
    <n v="-3350"/>
    <x v="1"/>
    <x v="0"/>
    <x v="8"/>
    <x v="5"/>
    <x v="0"/>
    <x v="0"/>
    <x v="5"/>
    <x v="0"/>
  </r>
  <r>
    <x v="0"/>
    <x v="0"/>
    <n v="2239163389"/>
    <x v="6"/>
    <n v="10000"/>
    <x v="1"/>
    <x v="0"/>
    <x v="8"/>
    <x v="6"/>
    <x v="0"/>
    <x v="0"/>
    <x v="5"/>
    <x v="0"/>
  </r>
  <r>
    <x v="0"/>
    <x v="0"/>
    <n v="2239163390"/>
    <x v="2"/>
    <n v="7000"/>
    <x v="1"/>
    <x v="0"/>
    <x v="8"/>
    <x v="2"/>
    <x v="0"/>
    <x v="0"/>
    <x v="2"/>
    <x v="0"/>
  </r>
  <r>
    <x v="0"/>
    <x v="0"/>
    <n v="2239163392"/>
    <x v="2"/>
    <n v="11550"/>
    <x v="1"/>
    <x v="0"/>
    <x v="8"/>
    <x v="2"/>
    <x v="0"/>
    <x v="0"/>
    <x v="2"/>
    <x v="0"/>
  </r>
  <r>
    <x v="0"/>
    <x v="0"/>
    <n v="2239163393"/>
    <x v="2"/>
    <n v="40590"/>
    <x v="1"/>
    <x v="0"/>
    <x v="8"/>
    <x v="2"/>
    <x v="0"/>
    <x v="0"/>
    <x v="2"/>
    <x v="0"/>
  </r>
  <r>
    <x v="0"/>
    <x v="0"/>
    <n v="2239163394"/>
    <x v="5"/>
    <n v="-4700"/>
    <x v="1"/>
    <x v="0"/>
    <x v="8"/>
    <x v="5"/>
    <x v="0"/>
    <x v="0"/>
    <x v="5"/>
    <x v="0"/>
  </r>
  <r>
    <x v="0"/>
    <x v="0"/>
    <n v="2239163394"/>
    <x v="4"/>
    <n v="10000"/>
    <x v="1"/>
    <x v="0"/>
    <x v="8"/>
    <x v="4"/>
    <x v="0"/>
    <x v="0"/>
    <x v="4"/>
    <x v="0"/>
  </r>
  <r>
    <x v="0"/>
    <x v="0"/>
    <n v="2239163395"/>
    <x v="2"/>
    <n v="7000"/>
    <x v="1"/>
    <x v="0"/>
    <x v="8"/>
    <x v="2"/>
    <x v="0"/>
    <x v="0"/>
    <x v="2"/>
    <x v="0"/>
  </r>
  <r>
    <x v="0"/>
    <x v="0"/>
    <n v="2239163398"/>
    <x v="5"/>
    <n v="-4400"/>
    <x v="1"/>
    <x v="0"/>
    <x v="8"/>
    <x v="5"/>
    <x v="0"/>
    <x v="0"/>
    <x v="5"/>
    <x v="0"/>
  </r>
  <r>
    <x v="0"/>
    <x v="0"/>
    <n v="2239163398"/>
    <x v="4"/>
    <n v="10000"/>
    <x v="1"/>
    <x v="0"/>
    <x v="8"/>
    <x v="4"/>
    <x v="0"/>
    <x v="0"/>
    <x v="4"/>
    <x v="0"/>
  </r>
  <r>
    <x v="0"/>
    <x v="0"/>
    <n v="2239163399"/>
    <x v="5"/>
    <n v="-270"/>
    <x v="1"/>
    <x v="0"/>
    <x v="8"/>
    <x v="5"/>
    <x v="0"/>
    <x v="0"/>
    <x v="5"/>
    <x v="0"/>
  </r>
  <r>
    <x v="0"/>
    <x v="0"/>
    <n v="2239163399"/>
    <x v="6"/>
    <n v="10000"/>
    <x v="1"/>
    <x v="0"/>
    <x v="8"/>
    <x v="6"/>
    <x v="0"/>
    <x v="0"/>
    <x v="5"/>
    <x v="0"/>
  </r>
  <r>
    <x v="0"/>
    <x v="0"/>
    <n v="2239163401"/>
    <x v="2"/>
    <n v="29645"/>
    <x v="1"/>
    <x v="0"/>
    <x v="8"/>
    <x v="2"/>
    <x v="0"/>
    <x v="0"/>
    <x v="2"/>
    <x v="0"/>
  </r>
  <r>
    <x v="0"/>
    <x v="0"/>
    <n v="2239163402"/>
    <x v="5"/>
    <n v="-2500"/>
    <x v="1"/>
    <x v="0"/>
    <x v="8"/>
    <x v="5"/>
    <x v="0"/>
    <x v="0"/>
    <x v="5"/>
    <x v="0"/>
  </r>
  <r>
    <x v="0"/>
    <x v="0"/>
    <n v="2239163402"/>
    <x v="6"/>
    <n v="10000"/>
    <x v="1"/>
    <x v="0"/>
    <x v="8"/>
    <x v="6"/>
    <x v="0"/>
    <x v="0"/>
    <x v="5"/>
    <x v="0"/>
  </r>
  <r>
    <x v="0"/>
    <x v="0"/>
    <n v="2239163403"/>
    <x v="5"/>
    <n v="-4700"/>
    <x v="1"/>
    <x v="0"/>
    <x v="8"/>
    <x v="5"/>
    <x v="0"/>
    <x v="0"/>
    <x v="5"/>
    <x v="0"/>
  </r>
  <r>
    <x v="0"/>
    <x v="0"/>
    <n v="2239163403"/>
    <x v="4"/>
    <n v="10000"/>
    <x v="1"/>
    <x v="0"/>
    <x v="8"/>
    <x v="4"/>
    <x v="0"/>
    <x v="0"/>
    <x v="4"/>
    <x v="0"/>
  </r>
  <r>
    <x v="0"/>
    <x v="0"/>
    <n v="2239163404"/>
    <x v="5"/>
    <n v="-100"/>
    <x v="1"/>
    <x v="0"/>
    <x v="8"/>
    <x v="5"/>
    <x v="0"/>
    <x v="0"/>
    <x v="5"/>
    <x v="0"/>
  </r>
  <r>
    <x v="0"/>
    <x v="0"/>
    <n v="2239163404"/>
    <x v="6"/>
    <n v="15000"/>
    <x v="1"/>
    <x v="0"/>
    <x v="8"/>
    <x v="6"/>
    <x v="0"/>
    <x v="0"/>
    <x v="5"/>
    <x v="0"/>
  </r>
  <r>
    <x v="0"/>
    <x v="0"/>
    <n v="2239163405"/>
    <x v="5"/>
    <n v="-8200"/>
    <x v="1"/>
    <x v="0"/>
    <x v="8"/>
    <x v="5"/>
    <x v="0"/>
    <x v="0"/>
    <x v="5"/>
    <x v="0"/>
  </r>
  <r>
    <x v="0"/>
    <x v="0"/>
    <n v="2239163405"/>
    <x v="6"/>
    <n v="30000"/>
    <x v="1"/>
    <x v="0"/>
    <x v="8"/>
    <x v="6"/>
    <x v="0"/>
    <x v="0"/>
    <x v="5"/>
    <x v="0"/>
  </r>
  <r>
    <x v="0"/>
    <x v="0"/>
    <n v="2239163406"/>
    <x v="5"/>
    <n v="-2670"/>
    <x v="1"/>
    <x v="0"/>
    <x v="8"/>
    <x v="5"/>
    <x v="0"/>
    <x v="0"/>
    <x v="5"/>
    <x v="0"/>
  </r>
  <r>
    <x v="0"/>
    <x v="0"/>
    <n v="2239163406"/>
    <x v="6"/>
    <n v="20000"/>
    <x v="1"/>
    <x v="0"/>
    <x v="8"/>
    <x v="6"/>
    <x v="0"/>
    <x v="0"/>
    <x v="5"/>
    <x v="0"/>
  </r>
  <r>
    <x v="0"/>
    <x v="0"/>
    <n v="2239163406"/>
    <x v="7"/>
    <n v="2600"/>
    <x v="1"/>
    <x v="0"/>
    <x v="8"/>
    <x v="7"/>
    <x v="0"/>
    <x v="0"/>
    <x v="1"/>
    <x v="0"/>
  </r>
  <r>
    <x v="0"/>
    <x v="0"/>
    <n v="2239163407"/>
    <x v="5"/>
    <n v="-3350"/>
    <x v="1"/>
    <x v="0"/>
    <x v="8"/>
    <x v="5"/>
    <x v="0"/>
    <x v="0"/>
    <x v="5"/>
    <x v="0"/>
  </r>
  <r>
    <x v="0"/>
    <x v="0"/>
    <n v="2239163407"/>
    <x v="6"/>
    <n v="10000"/>
    <x v="1"/>
    <x v="0"/>
    <x v="8"/>
    <x v="6"/>
    <x v="0"/>
    <x v="0"/>
    <x v="5"/>
    <x v="0"/>
  </r>
  <r>
    <x v="0"/>
    <x v="0"/>
    <n v="2239163408"/>
    <x v="3"/>
    <n v="16500"/>
    <x v="1"/>
    <x v="0"/>
    <x v="8"/>
    <x v="3"/>
    <x v="0"/>
    <x v="0"/>
    <x v="3"/>
    <x v="0"/>
  </r>
  <r>
    <x v="0"/>
    <x v="0"/>
    <n v="2239163409"/>
    <x v="5"/>
    <n v="-2500"/>
    <x v="1"/>
    <x v="0"/>
    <x v="8"/>
    <x v="5"/>
    <x v="0"/>
    <x v="0"/>
    <x v="5"/>
    <x v="0"/>
  </r>
  <r>
    <x v="0"/>
    <x v="0"/>
    <n v="2239163409"/>
    <x v="6"/>
    <n v="10000"/>
    <x v="1"/>
    <x v="0"/>
    <x v="8"/>
    <x v="6"/>
    <x v="0"/>
    <x v="0"/>
    <x v="5"/>
    <x v="0"/>
  </r>
  <r>
    <x v="0"/>
    <x v="0"/>
    <n v="2239177343"/>
    <x v="5"/>
    <n v="-7000"/>
    <x v="1"/>
    <x v="0"/>
    <x v="36"/>
    <x v="5"/>
    <x v="0"/>
    <x v="0"/>
    <x v="5"/>
    <x v="0"/>
  </r>
  <r>
    <x v="0"/>
    <x v="0"/>
    <n v="2239177343"/>
    <x v="6"/>
    <n v="20000"/>
    <x v="1"/>
    <x v="0"/>
    <x v="36"/>
    <x v="6"/>
    <x v="0"/>
    <x v="0"/>
    <x v="5"/>
    <x v="0"/>
  </r>
  <r>
    <x v="0"/>
    <x v="0"/>
    <n v="2239177344"/>
    <x v="7"/>
    <n v="1500"/>
    <x v="1"/>
    <x v="0"/>
    <x v="36"/>
    <x v="7"/>
    <x v="0"/>
    <x v="0"/>
    <x v="1"/>
    <x v="0"/>
  </r>
  <r>
    <x v="0"/>
    <x v="0"/>
    <n v="2239177345"/>
    <x v="2"/>
    <n v="3500"/>
    <x v="1"/>
    <x v="0"/>
    <x v="36"/>
    <x v="2"/>
    <x v="0"/>
    <x v="0"/>
    <x v="2"/>
    <x v="0"/>
  </r>
  <r>
    <x v="0"/>
    <x v="0"/>
    <n v="2239177346"/>
    <x v="2"/>
    <n v="48290"/>
    <x v="1"/>
    <x v="0"/>
    <x v="36"/>
    <x v="2"/>
    <x v="0"/>
    <x v="0"/>
    <x v="2"/>
    <x v="0"/>
  </r>
  <r>
    <x v="0"/>
    <x v="0"/>
    <n v="2239177347"/>
    <x v="2"/>
    <n v="4000"/>
    <x v="1"/>
    <x v="0"/>
    <x v="36"/>
    <x v="2"/>
    <x v="0"/>
    <x v="0"/>
    <x v="2"/>
    <x v="0"/>
  </r>
  <r>
    <x v="0"/>
    <x v="0"/>
    <n v="2239177348"/>
    <x v="5"/>
    <n v="-4960"/>
    <x v="1"/>
    <x v="0"/>
    <x v="36"/>
    <x v="5"/>
    <x v="0"/>
    <x v="0"/>
    <x v="5"/>
    <x v="0"/>
  </r>
  <r>
    <x v="0"/>
    <x v="0"/>
    <n v="2239177348"/>
    <x v="6"/>
    <n v="60000"/>
    <x v="1"/>
    <x v="0"/>
    <x v="36"/>
    <x v="6"/>
    <x v="0"/>
    <x v="0"/>
    <x v="5"/>
    <x v="0"/>
  </r>
  <r>
    <x v="0"/>
    <x v="0"/>
    <n v="2239177349"/>
    <x v="5"/>
    <n v="-4750"/>
    <x v="1"/>
    <x v="0"/>
    <x v="36"/>
    <x v="5"/>
    <x v="0"/>
    <x v="0"/>
    <x v="5"/>
    <x v="0"/>
  </r>
  <r>
    <x v="0"/>
    <x v="0"/>
    <n v="2239177349"/>
    <x v="6"/>
    <n v="10000"/>
    <x v="1"/>
    <x v="0"/>
    <x v="36"/>
    <x v="6"/>
    <x v="0"/>
    <x v="0"/>
    <x v="5"/>
    <x v="0"/>
  </r>
  <r>
    <x v="0"/>
    <x v="0"/>
    <n v="2239177350"/>
    <x v="3"/>
    <n v="6000"/>
    <x v="1"/>
    <x v="0"/>
    <x v="36"/>
    <x v="3"/>
    <x v="0"/>
    <x v="0"/>
    <x v="3"/>
    <x v="0"/>
  </r>
  <r>
    <x v="0"/>
    <x v="0"/>
    <n v="2239177351"/>
    <x v="5"/>
    <n v="-400"/>
    <x v="1"/>
    <x v="0"/>
    <x v="36"/>
    <x v="5"/>
    <x v="0"/>
    <x v="0"/>
    <x v="5"/>
    <x v="0"/>
  </r>
  <r>
    <x v="0"/>
    <x v="0"/>
    <n v="2239177351"/>
    <x v="4"/>
    <n v="5000"/>
    <x v="1"/>
    <x v="0"/>
    <x v="36"/>
    <x v="4"/>
    <x v="0"/>
    <x v="0"/>
    <x v="4"/>
    <x v="0"/>
  </r>
  <r>
    <x v="0"/>
    <x v="0"/>
    <n v="2239177352"/>
    <x v="3"/>
    <n v="7150"/>
    <x v="1"/>
    <x v="0"/>
    <x v="36"/>
    <x v="3"/>
    <x v="0"/>
    <x v="0"/>
    <x v="3"/>
    <x v="0"/>
  </r>
  <r>
    <x v="0"/>
    <x v="0"/>
    <n v="2239177353"/>
    <x v="2"/>
    <n v="13750"/>
    <x v="1"/>
    <x v="0"/>
    <x v="36"/>
    <x v="2"/>
    <x v="0"/>
    <x v="0"/>
    <x v="2"/>
    <x v="0"/>
  </r>
  <r>
    <x v="0"/>
    <x v="0"/>
    <n v="2239177354"/>
    <x v="2"/>
    <n v="24552"/>
    <x v="1"/>
    <x v="0"/>
    <x v="36"/>
    <x v="2"/>
    <x v="0"/>
    <x v="0"/>
    <x v="2"/>
    <x v="0"/>
  </r>
  <r>
    <x v="0"/>
    <x v="0"/>
    <n v="2239177355"/>
    <x v="0"/>
    <n v="1350"/>
    <x v="1"/>
    <x v="0"/>
    <x v="36"/>
    <x v="0"/>
    <x v="0"/>
    <x v="0"/>
    <x v="0"/>
    <x v="0"/>
  </r>
  <r>
    <x v="0"/>
    <x v="0"/>
    <n v="2239177356"/>
    <x v="1"/>
    <n v="4350"/>
    <x v="1"/>
    <x v="0"/>
    <x v="36"/>
    <x v="1"/>
    <x v="0"/>
    <x v="0"/>
    <x v="1"/>
    <x v="0"/>
  </r>
  <r>
    <x v="0"/>
    <x v="0"/>
    <n v="2239177357"/>
    <x v="5"/>
    <n v="-5600"/>
    <x v="1"/>
    <x v="0"/>
    <x v="36"/>
    <x v="5"/>
    <x v="0"/>
    <x v="0"/>
    <x v="5"/>
    <x v="0"/>
  </r>
  <r>
    <x v="0"/>
    <x v="0"/>
    <n v="2239177357"/>
    <x v="6"/>
    <n v="20000"/>
    <x v="1"/>
    <x v="0"/>
    <x v="36"/>
    <x v="6"/>
    <x v="0"/>
    <x v="0"/>
    <x v="5"/>
    <x v="0"/>
  </r>
  <r>
    <x v="0"/>
    <x v="0"/>
    <n v="2239177357"/>
    <x v="7"/>
    <n v="2600"/>
    <x v="1"/>
    <x v="0"/>
    <x v="36"/>
    <x v="7"/>
    <x v="0"/>
    <x v="0"/>
    <x v="1"/>
    <x v="0"/>
  </r>
  <r>
    <x v="0"/>
    <x v="0"/>
    <n v="2239177358"/>
    <x v="4"/>
    <n v="5000"/>
    <x v="1"/>
    <x v="0"/>
    <x v="36"/>
    <x v="4"/>
    <x v="0"/>
    <x v="0"/>
    <x v="4"/>
    <x v="0"/>
  </r>
  <r>
    <x v="0"/>
    <x v="0"/>
    <n v="2239177359"/>
    <x v="1"/>
    <n v="4200"/>
    <x v="1"/>
    <x v="0"/>
    <x v="36"/>
    <x v="1"/>
    <x v="0"/>
    <x v="0"/>
    <x v="1"/>
    <x v="0"/>
  </r>
  <r>
    <x v="0"/>
    <x v="0"/>
    <n v="2239177360"/>
    <x v="6"/>
    <n v="13000"/>
    <x v="1"/>
    <x v="0"/>
    <x v="36"/>
    <x v="6"/>
    <x v="0"/>
    <x v="0"/>
    <x v="5"/>
    <x v="0"/>
  </r>
  <r>
    <x v="0"/>
    <x v="0"/>
    <n v="2239177362"/>
    <x v="2"/>
    <n v="6000"/>
    <x v="1"/>
    <x v="0"/>
    <x v="36"/>
    <x v="2"/>
    <x v="0"/>
    <x v="0"/>
    <x v="2"/>
    <x v="0"/>
  </r>
  <r>
    <x v="0"/>
    <x v="0"/>
    <n v="2239177363"/>
    <x v="2"/>
    <n v="6000"/>
    <x v="1"/>
    <x v="0"/>
    <x v="36"/>
    <x v="2"/>
    <x v="0"/>
    <x v="0"/>
    <x v="2"/>
    <x v="0"/>
  </r>
  <r>
    <x v="0"/>
    <x v="0"/>
    <n v="2239177364"/>
    <x v="0"/>
    <n v="7800"/>
    <x v="1"/>
    <x v="0"/>
    <x v="36"/>
    <x v="0"/>
    <x v="0"/>
    <x v="0"/>
    <x v="0"/>
    <x v="0"/>
  </r>
  <r>
    <x v="0"/>
    <x v="0"/>
    <n v="2239177365"/>
    <x v="0"/>
    <n v="1500"/>
    <x v="1"/>
    <x v="0"/>
    <x v="36"/>
    <x v="0"/>
    <x v="0"/>
    <x v="0"/>
    <x v="0"/>
    <x v="0"/>
  </r>
  <r>
    <x v="0"/>
    <x v="0"/>
    <n v="2239177366"/>
    <x v="2"/>
    <n v="14080"/>
    <x v="1"/>
    <x v="0"/>
    <x v="36"/>
    <x v="2"/>
    <x v="0"/>
    <x v="0"/>
    <x v="2"/>
    <x v="0"/>
  </r>
  <r>
    <x v="0"/>
    <x v="0"/>
    <n v="2239177367"/>
    <x v="3"/>
    <n v="12000"/>
    <x v="1"/>
    <x v="0"/>
    <x v="36"/>
    <x v="3"/>
    <x v="0"/>
    <x v="0"/>
    <x v="3"/>
    <x v="0"/>
  </r>
  <r>
    <x v="0"/>
    <x v="0"/>
    <n v="2239177368"/>
    <x v="3"/>
    <n v="9000"/>
    <x v="1"/>
    <x v="0"/>
    <x v="36"/>
    <x v="3"/>
    <x v="0"/>
    <x v="0"/>
    <x v="3"/>
    <x v="0"/>
  </r>
  <r>
    <x v="0"/>
    <x v="0"/>
    <n v="2239177369"/>
    <x v="3"/>
    <n v="27500"/>
    <x v="1"/>
    <x v="0"/>
    <x v="36"/>
    <x v="3"/>
    <x v="0"/>
    <x v="0"/>
    <x v="3"/>
    <x v="0"/>
  </r>
  <r>
    <x v="0"/>
    <x v="0"/>
    <n v="2239177370"/>
    <x v="2"/>
    <n v="5000"/>
    <x v="1"/>
    <x v="0"/>
    <x v="36"/>
    <x v="2"/>
    <x v="0"/>
    <x v="0"/>
    <x v="2"/>
    <x v="0"/>
  </r>
  <r>
    <x v="0"/>
    <x v="0"/>
    <n v="2239177371"/>
    <x v="0"/>
    <n v="1500"/>
    <x v="1"/>
    <x v="0"/>
    <x v="36"/>
    <x v="0"/>
    <x v="0"/>
    <x v="0"/>
    <x v="0"/>
    <x v="0"/>
  </r>
  <r>
    <x v="0"/>
    <x v="0"/>
    <n v="2239177372"/>
    <x v="3"/>
    <n v="3300"/>
    <x v="1"/>
    <x v="0"/>
    <x v="36"/>
    <x v="3"/>
    <x v="0"/>
    <x v="0"/>
    <x v="3"/>
    <x v="0"/>
  </r>
  <r>
    <x v="0"/>
    <x v="0"/>
    <n v="2239177373"/>
    <x v="7"/>
    <n v="1500"/>
    <x v="1"/>
    <x v="0"/>
    <x v="36"/>
    <x v="7"/>
    <x v="0"/>
    <x v="0"/>
    <x v="1"/>
    <x v="0"/>
  </r>
  <r>
    <x v="0"/>
    <x v="0"/>
    <n v="2239177374"/>
    <x v="6"/>
    <n v="3000"/>
    <x v="1"/>
    <x v="0"/>
    <x v="36"/>
    <x v="6"/>
    <x v="0"/>
    <x v="0"/>
    <x v="5"/>
    <x v="0"/>
  </r>
  <r>
    <x v="0"/>
    <x v="0"/>
    <n v="2239177375"/>
    <x v="0"/>
    <n v="1500"/>
    <x v="1"/>
    <x v="0"/>
    <x v="36"/>
    <x v="0"/>
    <x v="0"/>
    <x v="0"/>
    <x v="0"/>
    <x v="0"/>
  </r>
  <r>
    <x v="0"/>
    <x v="0"/>
    <n v="2239177376"/>
    <x v="0"/>
    <n v="13800"/>
    <x v="1"/>
    <x v="0"/>
    <x v="36"/>
    <x v="0"/>
    <x v="0"/>
    <x v="0"/>
    <x v="0"/>
    <x v="0"/>
  </r>
  <r>
    <x v="0"/>
    <x v="0"/>
    <n v="2239177377"/>
    <x v="2"/>
    <n v="35090"/>
    <x v="1"/>
    <x v="0"/>
    <x v="36"/>
    <x v="2"/>
    <x v="0"/>
    <x v="0"/>
    <x v="2"/>
    <x v="0"/>
  </r>
  <r>
    <x v="0"/>
    <x v="0"/>
    <n v="2239177378"/>
    <x v="2"/>
    <n v="15400"/>
    <x v="1"/>
    <x v="0"/>
    <x v="36"/>
    <x v="2"/>
    <x v="0"/>
    <x v="0"/>
    <x v="2"/>
    <x v="0"/>
  </r>
  <r>
    <x v="0"/>
    <x v="0"/>
    <n v="2239177379"/>
    <x v="4"/>
    <n v="4600"/>
    <x v="1"/>
    <x v="0"/>
    <x v="36"/>
    <x v="4"/>
    <x v="0"/>
    <x v="0"/>
    <x v="4"/>
    <x v="0"/>
  </r>
  <r>
    <x v="0"/>
    <x v="0"/>
    <n v="2239177381"/>
    <x v="2"/>
    <n v="17100"/>
    <x v="1"/>
    <x v="0"/>
    <x v="36"/>
    <x v="2"/>
    <x v="0"/>
    <x v="0"/>
    <x v="2"/>
    <x v="0"/>
  </r>
  <r>
    <x v="0"/>
    <x v="0"/>
    <n v="2239177382"/>
    <x v="2"/>
    <n v="9240"/>
    <x v="1"/>
    <x v="0"/>
    <x v="36"/>
    <x v="2"/>
    <x v="0"/>
    <x v="0"/>
    <x v="2"/>
    <x v="0"/>
  </r>
  <r>
    <x v="0"/>
    <x v="0"/>
    <n v="2239177383"/>
    <x v="8"/>
    <n v="3000"/>
    <x v="1"/>
    <x v="0"/>
    <x v="36"/>
    <x v="8"/>
    <x v="0"/>
    <x v="0"/>
    <x v="3"/>
    <x v="0"/>
  </r>
  <r>
    <x v="0"/>
    <x v="0"/>
    <n v="2239177384"/>
    <x v="2"/>
    <n v="10000"/>
    <x v="1"/>
    <x v="0"/>
    <x v="36"/>
    <x v="2"/>
    <x v="0"/>
    <x v="0"/>
    <x v="2"/>
    <x v="0"/>
  </r>
  <r>
    <x v="0"/>
    <x v="0"/>
    <n v="2239177385"/>
    <x v="2"/>
    <n v="13300"/>
    <x v="1"/>
    <x v="0"/>
    <x v="36"/>
    <x v="2"/>
    <x v="0"/>
    <x v="0"/>
    <x v="2"/>
    <x v="0"/>
  </r>
  <r>
    <x v="0"/>
    <x v="0"/>
    <n v="2239177386"/>
    <x v="6"/>
    <n v="3150"/>
    <x v="1"/>
    <x v="0"/>
    <x v="36"/>
    <x v="6"/>
    <x v="0"/>
    <x v="0"/>
    <x v="5"/>
    <x v="0"/>
  </r>
  <r>
    <x v="0"/>
    <x v="0"/>
    <n v="2239177387"/>
    <x v="2"/>
    <n v="10500"/>
    <x v="1"/>
    <x v="0"/>
    <x v="36"/>
    <x v="2"/>
    <x v="0"/>
    <x v="0"/>
    <x v="2"/>
    <x v="0"/>
  </r>
  <r>
    <x v="0"/>
    <x v="0"/>
    <n v="2239177388"/>
    <x v="2"/>
    <n v="4550"/>
    <x v="1"/>
    <x v="0"/>
    <x v="36"/>
    <x v="2"/>
    <x v="0"/>
    <x v="0"/>
    <x v="2"/>
    <x v="0"/>
  </r>
  <r>
    <x v="0"/>
    <x v="0"/>
    <n v="2239177388"/>
    <x v="7"/>
    <n v="1950"/>
    <x v="1"/>
    <x v="0"/>
    <x v="36"/>
    <x v="7"/>
    <x v="0"/>
    <x v="0"/>
    <x v="1"/>
    <x v="0"/>
  </r>
  <r>
    <x v="0"/>
    <x v="0"/>
    <n v="2239177389"/>
    <x v="2"/>
    <n v="59840"/>
    <x v="1"/>
    <x v="0"/>
    <x v="36"/>
    <x v="2"/>
    <x v="0"/>
    <x v="0"/>
    <x v="2"/>
    <x v="0"/>
  </r>
  <r>
    <x v="0"/>
    <x v="0"/>
    <n v="2239177390"/>
    <x v="2"/>
    <n v="15400"/>
    <x v="1"/>
    <x v="0"/>
    <x v="36"/>
    <x v="2"/>
    <x v="0"/>
    <x v="0"/>
    <x v="2"/>
    <x v="0"/>
  </r>
  <r>
    <x v="0"/>
    <x v="0"/>
    <n v="2239177391"/>
    <x v="2"/>
    <n v="41140"/>
    <x v="1"/>
    <x v="0"/>
    <x v="36"/>
    <x v="2"/>
    <x v="0"/>
    <x v="0"/>
    <x v="2"/>
    <x v="0"/>
  </r>
  <r>
    <x v="0"/>
    <x v="0"/>
    <n v="2239177395"/>
    <x v="4"/>
    <n v="5000"/>
    <x v="1"/>
    <x v="0"/>
    <x v="36"/>
    <x v="4"/>
    <x v="0"/>
    <x v="0"/>
    <x v="4"/>
    <x v="0"/>
  </r>
  <r>
    <x v="0"/>
    <x v="0"/>
    <n v="2239177396"/>
    <x v="2"/>
    <n v="75350"/>
    <x v="1"/>
    <x v="0"/>
    <x v="36"/>
    <x v="2"/>
    <x v="0"/>
    <x v="0"/>
    <x v="2"/>
    <x v="0"/>
  </r>
  <r>
    <x v="0"/>
    <x v="0"/>
    <n v="2239177397"/>
    <x v="2"/>
    <n v="16500"/>
    <x v="1"/>
    <x v="0"/>
    <x v="36"/>
    <x v="2"/>
    <x v="0"/>
    <x v="0"/>
    <x v="2"/>
    <x v="0"/>
  </r>
  <r>
    <x v="0"/>
    <x v="0"/>
    <n v="2239177398"/>
    <x v="5"/>
    <n v="-15000"/>
    <x v="1"/>
    <x v="0"/>
    <x v="36"/>
    <x v="5"/>
    <x v="0"/>
    <x v="0"/>
    <x v="5"/>
    <x v="0"/>
  </r>
  <r>
    <x v="0"/>
    <x v="0"/>
    <n v="2239177398"/>
    <x v="4"/>
    <n v="20000"/>
    <x v="1"/>
    <x v="0"/>
    <x v="36"/>
    <x v="4"/>
    <x v="0"/>
    <x v="0"/>
    <x v="4"/>
    <x v="0"/>
  </r>
  <r>
    <x v="0"/>
    <x v="0"/>
    <n v="2239177399"/>
    <x v="1"/>
    <n v="23050"/>
    <x v="1"/>
    <x v="0"/>
    <x v="36"/>
    <x v="1"/>
    <x v="0"/>
    <x v="0"/>
    <x v="1"/>
    <x v="0"/>
  </r>
  <r>
    <x v="0"/>
    <x v="0"/>
    <n v="2239177400"/>
    <x v="2"/>
    <n v="34650"/>
    <x v="1"/>
    <x v="0"/>
    <x v="36"/>
    <x v="2"/>
    <x v="0"/>
    <x v="0"/>
    <x v="2"/>
    <x v="0"/>
  </r>
  <r>
    <x v="0"/>
    <x v="0"/>
    <n v="2239177401"/>
    <x v="2"/>
    <n v="12500"/>
    <x v="1"/>
    <x v="0"/>
    <x v="36"/>
    <x v="2"/>
    <x v="0"/>
    <x v="0"/>
    <x v="2"/>
    <x v="0"/>
  </r>
  <r>
    <x v="0"/>
    <x v="0"/>
    <n v="2239177402"/>
    <x v="8"/>
    <n v="3000"/>
    <x v="1"/>
    <x v="0"/>
    <x v="36"/>
    <x v="8"/>
    <x v="0"/>
    <x v="0"/>
    <x v="3"/>
    <x v="0"/>
  </r>
  <r>
    <x v="0"/>
    <x v="0"/>
    <n v="2239177403"/>
    <x v="1"/>
    <n v="6750"/>
    <x v="1"/>
    <x v="0"/>
    <x v="36"/>
    <x v="1"/>
    <x v="0"/>
    <x v="0"/>
    <x v="1"/>
    <x v="0"/>
  </r>
  <r>
    <x v="0"/>
    <x v="0"/>
    <n v="2239177404"/>
    <x v="2"/>
    <n v="4400"/>
    <x v="1"/>
    <x v="0"/>
    <x v="36"/>
    <x v="2"/>
    <x v="0"/>
    <x v="0"/>
    <x v="2"/>
    <x v="0"/>
  </r>
  <r>
    <x v="0"/>
    <x v="0"/>
    <n v="2239177405"/>
    <x v="2"/>
    <n v="41140"/>
    <x v="1"/>
    <x v="0"/>
    <x v="36"/>
    <x v="2"/>
    <x v="0"/>
    <x v="0"/>
    <x v="2"/>
    <x v="0"/>
  </r>
  <r>
    <x v="0"/>
    <x v="0"/>
    <n v="2239177406"/>
    <x v="2"/>
    <n v="16863"/>
    <x v="1"/>
    <x v="0"/>
    <x v="36"/>
    <x v="2"/>
    <x v="0"/>
    <x v="0"/>
    <x v="2"/>
    <x v="0"/>
  </r>
  <r>
    <x v="0"/>
    <x v="0"/>
    <n v="2239177407"/>
    <x v="2"/>
    <n v="6600"/>
    <x v="1"/>
    <x v="0"/>
    <x v="36"/>
    <x v="2"/>
    <x v="0"/>
    <x v="0"/>
    <x v="2"/>
    <x v="0"/>
  </r>
  <r>
    <x v="0"/>
    <x v="0"/>
    <n v="2239177408"/>
    <x v="2"/>
    <n v="13000"/>
    <x v="1"/>
    <x v="0"/>
    <x v="36"/>
    <x v="2"/>
    <x v="0"/>
    <x v="0"/>
    <x v="2"/>
    <x v="0"/>
  </r>
  <r>
    <x v="0"/>
    <x v="0"/>
    <n v="2239177409"/>
    <x v="2"/>
    <n v="118690"/>
    <x v="1"/>
    <x v="0"/>
    <x v="36"/>
    <x v="2"/>
    <x v="0"/>
    <x v="0"/>
    <x v="2"/>
    <x v="0"/>
  </r>
  <r>
    <x v="0"/>
    <x v="0"/>
    <n v="2239177410"/>
    <x v="2"/>
    <n v="14000"/>
    <x v="1"/>
    <x v="0"/>
    <x v="36"/>
    <x v="2"/>
    <x v="0"/>
    <x v="0"/>
    <x v="2"/>
    <x v="0"/>
  </r>
  <r>
    <x v="0"/>
    <x v="0"/>
    <n v="2239177411"/>
    <x v="2"/>
    <n v="16900"/>
    <x v="1"/>
    <x v="0"/>
    <x v="36"/>
    <x v="2"/>
    <x v="0"/>
    <x v="0"/>
    <x v="2"/>
    <x v="0"/>
  </r>
  <r>
    <x v="0"/>
    <x v="0"/>
    <n v="2239177412"/>
    <x v="2"/>
    <n v="3300"/>
    <x v="1"/>
    <x v="0"/>
    <x v="36"/>
    <x v="2"/>
    <x v="0"/>
    <x v="0"/>
    <x v="2"/>
    <x v="0"/>
  </r>
  <r>
    <x v="0"/>
    <x v="0"/>
    <n v="2239177413"/>
    <x v="2"/>
    <n v="12100"/>
    <x v="1"/>
    <x v="0"/>
    <x v="36"/>
    <x v="2"/>
    <x v="0"/>
    <x v="0"/>
    <x v="2"/>
    <x v="0"/>
  </r>
  <r>
    <x v="0"/>
    <x v="0"/>
    <n v="2239177414"/>
    <x v="5"/>
    <n v="-9600"/>
    <x v="1"/>
    <x v="0"/>
    <x v="36"/>
    <x v="5"/>
    <x v="0"/>
    <x v="0"/>
    <x v="5"/>
    <x v="0"/>
  </r>
  <r>
    <x v="0"/>
    <x v="0"/>
    <n v="2239177414"/>
    <x v="6"/>
    <n v="20000"/>
    <x v="1"/>
    <x v="0"/>
    <x v="36"/>
    <x v="6"/>
    <x v="0"/>
    <x v="0"/>
    <x v="5"/>
    <x v="0"/>
  </r>
  <r>
    <x v="0"/>
    <x v="0"/>
    <n v="2239177414"/>
    <x v="7"/>
    <n v="2600"/>
    <x v="1"/>
    <x v="0"/>
    <x v="36"/>
    <x v="7"/>
    <x v="0"/>
    <x v="0"/>
    <x v="1"/>
    <x v="0"/>
  </r>
  <r>
    <x v="0"/>
    <x v="0"/>
    <n v="2239177415"/>
    <x v="5"/>
    <n v="-3000"/>
    <x v="1"/>
    <x v="0"/>
    <x v="36"/>
    <x v="5"/>
    <x v="0"/>
    <x v="0"/>
    <x v="5"/>
    <x v="0"/>
  </r>
  <r>
    <x v="0"/>
    <x v="0"/>
    <n v="2239177415"/>
    <x v="6"/>
    <n v="15000"/>
    <x v="1"/>
    <x v="0"/>
    <x v="36"/>
    <x v="6"/>
    <x v="0"/>
    <x v="0"/>
    <x v="5"/>
    <x v="0"/>
  </r>
  <r>
    <x v="0"/>
    <x v="0"/>
    <n v="2239177416"/>
    <x v="3"/>
    <n v="13475"/>
    <x v="1"/>
    <x v="0"/>
    <x v="36"/>
    <x v="3"/>
    <x v="0"/>
    <x v="0"/>
    <x v="3"/>
    <x v="0"/>
  </r>
  <r>
    <x v="0"/>
    <x v="0"/>
    <n v="2239177417"/>
    <x v="3"/>
    <n v="9000"/>
    <x v="1"/>
    <x v="0"/>
    <x v="36"/>
    <x v="3"/>
    <x v="0"/>
    <x v="0"/>
    <x v="3"/>
    <x v="0"/>
  </r>
  <r>
    <x v="0"/>
    <x v="0"/>
    <n v="2239177418"/>
    <x v="5"/>
    <n v="-6000"/>
    <x v="1"/>
    <x v="0"/>
    <x v="36"/>
    <x v="5"/>
    <x v="0"/>
    <x v="0"/>
    <x v="5"/>
    <x v="0"/>
  </r>
  <r>
    <x v="0"/>
    <x v="0"/>
    <n v="2239177418"/>
    <x v="6"/>
    <n v="20400"/>
    <x v="1"/>
    <x v="0"/>
    <x v="36"/>
    <x v="6"/>
    <x v="0"/>
    <x v="0"/>
    <x v="5"/>
    <x v="0"/>
  </r>
  <r>
    <x v="0"/>
    <x v="0"/>
    <n v="2239177418"/>
    <x v="7"/>
    <n v="3600"/>
    <x v="1"/>
    <x v="0"/>
    <x v="36"/>
    <x v="7"/>
    <x v="0"/>
    <x v="0"/>
    <x v="1"/>
    <x v="0"/>
  </r>
  <r>
    <x v="0"/>
    <x v="0"/>
    <n v="2239177419"/>
    <x v="5"/>
    <n v="-7370"/>
    <x v="1"/>
    <x v="0"/>
    <x v="36"/>
    <x v="5"/>
    <x v="0"/>
    <x v="0"/>
    <x v="5"/>
    <x v="0"/>
  </r>
  <r>
    <x v="0"/>
    <x v="0"/>
    <n v="2239177419"/>
    <x v="6"/>
    <n v="30000"/>
    <x v="1"/>
    <x v="0"/>
    <x v="36"/>
    <x v="6"/>
    <x v="0"/>
    <x v="0"/>
    <x v="5"/>
    <x v="0"/>
  </r>
  <r>
    <x v="0"/>
    <x v="0"/>
    <n v="2239177420"/>
    <x v="0"/>
    <n v="6750"/>
    <x v="1"/>
    <x v="0"/>
    <x v="36"/>
    <x v="0"/>
    <x v="0"/>
    <x v="0"/>
    <x v="0"/>
    <x v="0"/>
  </r>
  <r>
    <x v="0"/>
    <x v="0"/>
    <n v="2239177421"/>
    <x v="2"/>
    <n v="13200"/>
    <x v="1"/>
    <x v="0"/>
    <x v="36"/>
    <x v="2"/>
    <x v="0"/>
    <x v="0"/>
    <x v="2"/>
    <x v="0"/>
  </r>
  <r>
    <x v="0"/>
    <x v="0"/>
    <n v="2239177422"/>
    <x v="5"/>
    <n v="-14300"/>
    <x v="1"/>
    <x v="0"/>
    <x v="36"/>
    <x v="5"/>
    <x v="0"/>
    <x v="0"/>
    <x v="5"/>
    <x v="0"/>
  </r>
  <r>
    <x v="0"/>
    <x v="0"/>
    <n v="2239177422"/>
    <x v="4"/>
    <n v="20000"/>
    <x v="1"/>
    <x v="0"/>
    <x v="36"/>
    <x v="4"/>
    <x v="0"/>
    <x v="0"/>
    <x v="4"/>
    <x v="0"/>
  </r>
  <r>
    <x v="0"/>
    <x v="0"/>
    <n v="2239177423"/>
    <x v="7"/>
    <n v="1500"/>
    <x v="1"/>
    <x v="0"/>
    <x v="36"/>
    <x v="7"/>
    <x v="0"/>
    <x v="0"/>
    <x v="1"/>
    <x v="0"/>
  </r>
  <r>
    <x v="0"/>
    <x v="0"/>
    <n v="2239177424"/>
    <x v="1"/>
    <n v="23000"/>
    <x v="1"/>
    <x v="0"/>
    <x v="36"/>
    <x v="1"/>
    <x v="0"/>
    <x v="0"/>
    <x v="1"/>
    <x v="0"/>
  </r>
  <r>
    <x v="0"/>
    <x v="0"/>
    <n v="2239177425"/>
    <x v="5"/>
    <n v="-2000"/>
    <x v="1"/>
    <x v="0"/>
    <x v="36"/>
    <x v="5"/>
    <x v="0"/>
    <x v="0"/>
    <x v="5"/>
    <x v="0"/>
  </r>
  <r>
    <x v="0"/>
    <x v="0"/>
    <n v="2239177425"/>
    <x v="6"/>
    <n v="15300"/>
    <x v="1"/>
    <x v="0"/>
    <x v="36"/>
    <x v="6"/>
    <x v="0"/>
    <x v="0"/>
    <x v="5"/>
    <x v="0"/>
  </r>
  <r>
    <x v="0"/>
    <x v="0"/>
    <n v="2239177426"/>
    <x v="2"/>
    <n v="8250"/>
    <x v="1"/>
    <x v="0"/>
    <x v="36"/>
    <x v="2"/>
    <x v="0"/>
    <x v="0"/>
    <x v="2"/>
    <x v="0"/>
  </r>
  <r>
    <x v="0"/>
    <x v="0"/>
    <n v="2239177427"/>
    <x v="2"/>
    <n v="15000"/>
    <x v="1"/>
    <x v="0"/>
    <x v="36"/>
    <x v="2"/>
    <x v="0"/>
    <x v="0"/>
    <x v="2"/>
    <x v="0"/>
  </r>
  <r>
    <x v="0"/>
    <x v="0"/>
    <n v="2239177428"/>
    <x v="5"/>
    <n v="-5200"/>
    <x v="1"/>
    <x v="0"/>
    <x v="36"/>
    <x v="5"/>
    <x v="0"/>
    <x v="0"/>
    <x v="5"/>
    <x v="0"/>
  </r>
  <r>
    <x v="0"/>
    <x v="0"/>
    <n v="2239177428"/>
    <x v="4"/>
    <n v="10500"/>
    <x v="1"/>
    <x v="0"/>
    <x v="36"/>
    <x v="4"/>
    <x v="0"/>
    <x v="0"/>
    <x v="4"/>
    <x v="0"/>
  </r>
  <r>
    <x v="0"/>
    <x v="0"/>
    <n v="2239177429"/>
    <x v="2"/>
    <n v="13000"/>
    <x v="1"/>
    <x v="0"/>
    <x v="36"/>
    <x v="2"/>
    <x v="0"/>
    <x v="0"/>
    <x v="2"/>
    <x v="0"/>
  </r>
  <r>
    <x v="0"/>
    <x v="0"/>
    <n v="2239177430"/>
    <x v="5"/>
    <n v="-5660"/>
    <x v="1"/>
    <x v="0"/>
    <x v="36"/>
    <x v="5"/>
    <x v="0"/>
    <x v="0"/>
    <x v="5"/>
    <x v="0"/>
  </r>
  <r>
    <x v="0"/>
    <x v="0"/>
    <n v="2239177430"/>
    <x v="6"/>
    <n v="10000"/>
    <x v="1"/>
    <x v="0"/>
    <x v="36"/>
    <x v="6"/>
    <x v="0"/>
    <x v="0"/>
    <x v="5"/>
    <x v="0"/>
  </r>
  <r>
    <x v="0"/>
    <x v="0"/>
    <n v="2239177431"/>
    <x v="2"/>
    <n v="10890"/>
    <x v="1"/>
    <x v="0"/>
    <x v="36"/>
    <x v="2"/>
    <x v="0"/>
    <x v="0"/>
    <x v="2"/>
    <x v="0"/>
  </r>
  <r>
    <x v="0"/>
    <x v="0"/>
    <n v="2239177432"/>
    <x v="2"/>
    <n v="9240"/>
    <x v="1"/>
    <x v="0"/>
    <x v="36"/>
    <x v="2"/>
    <x v="0"/>
    <x v="0"/>
    <x v="2"/>
    <x v="0"/>
  </r>
  <r>
    <x v="0"/>
    <x v="0"/>
    <n v="2239177432"/>
    <x v="7"/>
    <n v="5600"/>
    <x v="1"/>
    <x v="0"/>
    <x v="36"/>
    <x v="7"/>
    <x v="0"/>
    <x v="0"/>
    <x v="1"/>
    <x v="0"/>
  </r>
  <r>
    <x v="0"/>
    <x v="0"/>
    <n v="2239177433"/>
    <x v="2"/>
    <n v="15950"/>
    <x v="1"/>
    <x v="0"/>
    <x v="36"/>
    <x v="2"/>
    <x v="0"/>
    <x v="0"/>
    <x v="2"/>
    <x v="0"/>
  </r>
  <r>
    <x v="0"/>
    <x v="0"/>
    <n v="2239177434"/>
    <x v="5"/>
    <n v="-5600"/>
    <x v="1"/>
    <x v="0"/>
    <x v="36"/>
    <x v="5"/>
    <x v="0"/>
    <x v="0"/>
    <x v="5"/>
    <x v="0"/>
  </r>
  <r>
    <x v="0"/>
    <x v="0"/>
    <n v="2239177434"/>
    <x v="4"/>
    <n v="10000"/>
    <x v="1"/>
    <x v="0"/>
    <x v="36"/>
    <x v="4"/>
    <x v="0"/>
    <x v="0"/>
    <x v="4"/>
    <x v="0"/>
  </r>
  <r>
    <x v="0"/>
    <x v="0"/>
    <n v="2239177436"/>
    <x v="1"/>
    <n v="6500"/>
    <x v="1"/>
    <x v="0"/>
    <x v="36"/>
    <x v="1"/>
    <x v="0"/>
    <x v="0"/>
    <x v="1"/>
    <x v="0"/>
  </r>
  <r>
    <x v="0"/>
    <x v="0"/>
    <n v="2239177437"/>
    <x v="7"/>
    <n v="1500"/>
    <x v="1"/>
    <x v="0"/>
    <x v="36"/>
    <x v="7"/>
    <x v="0"/>
    <x v="0"/>
    <x v="1"/>
    <x v="0"/>
  </r>
  <r>
    <x v="0"/>
    <x v="0"/>
    <n v="2239177438"/>
    <x v="2"/>
    <n v="16500"/>
    <x v="1"/>
    <x v="0"/>
    <x v="36"/>
    <x v="2"/>
    <x v="0"/>
    <x v="0"/>
    <x v="2"/>
    <x v="0"/>
  </r>
  <r>
    <x v="0"/>
    <x v="0"/>
    <n v="2239177439"/>
    <x v="2"/>
    <n v="13000"/>
    <x v="1"/>
    <x v="0"/>
    <x v="36"/>
    <x v="2"/>
    <x v="0"/>
    <x v="0"/>
    <x v="2"/>
    <x v="0"/>
  </r>
  <r>
    <x v="0"/>
    <x v="0"/>
    <n v="2239177440"/>
    <x v="1"/>
    <n v="1440"/>
    <x v="1"/>
    <x v="0"/>
    <x v="36"/>
    <x v="1"/>
    <x v="0"/>
    <x v="0"/>
    <x v="1"/>
    <x v="0"/>
  </r>
  <r>
    <x v="0"/>
    <x v="0"/>
    <n v="2239177441"/>
    <x v="2"/>
    <n v="7000"/>
    <x v="1"/>
    <x v="0"/>
    <x v="36"/>
    <x v="2"/>
    <x v="0"/>
    <x v="0"/>
    <x v="2"/>
    <x v="0"/>
  </r>
  <r>
    <x v="0"/>
    <x v="0"/>
    <n v="2239177443"/>
    <x v="3"/>
    <n v="6500"/>
    <x v="1"/>
    <x v="0"/>
    <x v="36"/>
    <x v="3"/>
    <x v="0"/>
    <x v="0"/>
    <x v="3"/>
    <x v="0"/>
  </r>
  <r>
    <x v="0"/>
    <x v="0"/>
    <n v="2239177444"/>
    <x v="2"/>
    <n v="9500"/>
    <x v="1"/>
    <x v="0"/>
    <x v="36"/>
    <x v="2"/>
    <x v="0"/>
    <x v="0"/>
    <x v="2"/>
    <x v="0"/>
  </r>
  <r>
    <x v="0"/>
    <x v="0"/>
    <n v="2239177445"/>
    <x v="2"/>
    <n v="24750"/>
    <x v="1"/>
    <x v="0"/>
    <x v="36"/>
    <x v="2"/>
    <x v="0"/>
    <x v="0"/>
    <x v="2"/>
    <x v="0"/>
  </r>
  <r>
    <x v="0"/>
    <x v="0"/>
    <n v="2239177446"/>
    <x v="5"/>
    <n v="-14500"/>
    <x v="1"/>
    <x v="0"/>
    <x v="36"/>
    <x v="5"/>
    <x v="0"/>
    <x v="0"/>
    <x v="5"/>
    <x v="0"/>
  </r>
  <r>
    <x v="0"/>
    <x v="0"/>
    <n v="2239177446"/>
    <x v="4"/>
    <n v="20100"/>
    <x v="1"/>
    <x v="0"/>
    <x v="36"/>
    <x v="4"/>
    <x v="0"/>
    <x v="0"/>
    <x v="4"/>
    <x v="0"/>
  </r>
  <r>
    <x v="0"/>
    <x v="0"/>
    <n v="2239177447"/>
    <x v="5"/>
    <n v="-10500"/>
    <x v="1"/>
    <x v="0"/>
    <x v="36"/>
    <x v="5"/>
    <x v="0"/>
    <x v="0"/>
    <x v="5"/>
    <x v="0"/>
  </r>
  <r>
    <x v="0"/>
    <x v="0"/>
    <n v="2239177447"/>
    <x v="4"/>
    <n v="20100"/>
    <x v="1"/>
    <x v="0"/>
    <x v="36"/>
    <x v="4"/>
    <x v="0"/>
    <x v="0"/>
    <x v="4"/>
    <x v="0"/>
  </r>
  <r>
    <x v="0"/>
    <x v="0"/>
    <n v="2239177448"/>
    <x v="2"/>
    <n v="5500"/>
    <x v="1"/>
    <x v="0"/>
    <x v="36"/>
    <x v="2"/>
    <x v="0"/>
    <x v="0"/>
    <x v="2"/>
    <x v="0"/>
  </r>
  <r>
    <x v="0"/>
    <x v="0"/>
    <n v="2239177450"/>
    <x v="5"/>
    <n v="-850"/>
    <x v="1"/>
    <x v="0"/>
    <x v="36"/>
    <x v="5"/>
    <x v="0"/>
    <x v="0"/>
    <x v="5"/>
    <x v="0"/>
  </r>
  <r>
    <x v="0"/>
    <x v="0"/>
    <n v="2239177450"/>
    <x v="6"/>
    <n v="4000"/>
    <x v="1"/>
    <x v="0"/>
    <x v="36"/>
    <x v="6"/>
    <x v="0"/>
    <x v="0"/>
    <x v="5"/>
    <x v="0"/>
  </r>
  <r>
    <x v="0"/>
    <x v="0"/>
    <n v="2239177451"/>
    <x v="2"/>
    <n v="4500"/>
    <x v="1"/>
    <x v="0"/>
    <x v="36"/>
    <x v="2"/>
    <x v="0"/>
    <x v="0"/>
    <x v="2"/>
    <x v="0"/>
  </r>
  <r>
    <x v="0"/>
    <x v="0"/>
    <n v="2239177452"/>
    <x v="2"/>
    <n v="64548"/>
    <x v="1"/>
    <x v="0"/>
    <x v="36"/>
    <x v="2"/>
    <x v="0"/>
    <x v="0"/>
    <x v="2"/>
    <x v="0"/>
  </r>
  <r>
    <x v="0"/>
    <x v="0"/>
    <n v="2239177453"/>
    <x v="3"/>
    <n v="4770"/>
    <x v="1"/>
    <x v="0"/>
    <x v="36"/>
    <x v="3"/>
    <x v="0"/>
    <x v="0"/>
    <x v="3"/>
    <x v="0"/>
  </r>
  <r>
    <x v="0"/>
    <x v="0"/>
    <n v="2239177454"/>
    <x v="8"/>
    <n v="16500"/>
    <x v="1"/>
    <x v="0"/>
    <x v="36"/>
    <x v="8"/>
    <x v="0"/>
    <x v="0"/>
    <x v="3"/>
    <x v="0"/>
  </r>
  <r>
    <x v="0"/>
    <x v="0"/>
    <n v="2239177455"/>
    <x v="6"/>
    <n v="6300"/>
    <x v="1"/>
    <x v="0"/>
    <x v="36"/>
    <x v="6"/>
    <x v="0"/>
    <x v="0"/>
    <x v="5"/>
    <x v="0"/>
  </r>
  <r>
    <x v="0"/>
    <x v="0"/>
    <n v="2239177456"/>
    <x v="2"/>
    <n v="6600"/>
    <x v="1"/>
    <x v="0"/>
    <x v="36"/>
    <x v="2"/>
    <x v="0"/>
    <x v="0"/>
    <x v="2"/>
    <x v="0"/>
  </r>
  <r>
    <x v="0"/>
    <x v="0"/>
    <n v="2239177457"/>
    <x v="2"/>
    <n v="10500"/>
    <x v="1"/>
    <x v="0"/>
    <x v="36"/>
    <x v="2"/>
    <x v="0"/>
    <x v="0"/>
    <x v="2"/>
    <x v="0"/>
  </r>
  <r>
    <x v="0"/>
    <x v="0"/>
    <n v="2239177458"/>
    <x v="2"/>
    <n v="11500"/>
    <x v="1"/>
    <x v="0"/>
    <x v="36"/>
    <x v="2"/>
    <x v="0"/>
    <x v="0"/>
    <x v="2"/>
    <x v="0"/>
  </r>
  <r>
    <x v="0"/>
    <x v="0"/>
    <n v="2239177459"/>
    <x v="2"/>
    <n v="6000"/>
    <x v="1"/>
    <x v="0"/>
    <x v="36"/>
    <x v="2"/>
    <x v="0"/>
    <x v="0"/>
    <x v="2"/>
    <x v="0"/>
  </r>
  <r>
    <x v="0"/>
    <x v="0"/>
    <n v="2239177460"/>
    <x v="5"/>
    <n v="-400"/>
    <x v="1"/>
    <x v="0"/>
    <x v="36"/>
    <x v="5"/>
    <x v="0"/>
    <x v="0"/>
    <x v="5"/>
    <x v="0"/>
  </r>
  <r>
    <x v="0"/>
    <x v="0"/>
    <n v="2239177460"/>
    <x v="4"/>
    <n v="5000"/>
    <x v="1"/>
    <x v="0"/>
    <x v="36"/>
    <x v="4"/>
    <x v="0"/>
    <x v="0"/>
    <x v="4"/>
    <x v="0"/>
  </r>
  <r>
    <x v="0"/>
    <x v="0"/>
    <n v="2239177461"/>
    <x v="2"/>
    <n v="8250"/>
    <x v="1"/>
    <x v="0"/>
    <x v="36"/>
    <x v="2"/>
    <x v="0"/>
    <x v="0"/>
    <x v="2"/>
    <x v="0"/>
  </r>
  <r>
    <x v="0"/>
    <x v="0"/>
    <n v="2239177462"/>
    <x v="5"/>
    <n v="-2500"/>
    <x v="1"/>
    <x v="0"/>
    <x v="36"/>
    <x v="5"/>
    <x v="0"/>
    <x v="0"/>
    <x v="5"/>
    <x v="0"/>
  </r>
  <r>
    <x v="0"/>
    <x v="0"/>
    <n v="2239177462"/>
    <x v="6"/>
    <n v="10000"/>
    <x v="1"/>
    <x v="0"/>
    <x v="36"/>
    <x v="6"/>
    <x v="0"/>
    <x v="0"/>
    <x v="5"/>
    <x v="0"/>
  </r>
  <r>
    <x v="0"/>
    <x v="0"/>
    <n v="2239177463"/>
    <x v="2"/>
    <n v="30690"/>
    <x v="1"/>
    <x v="0"/>
    <x v="36"/>
    <x v="2"/>
    <x v="0"/>
    <x v="0"/>
    <x v="2"/>
    <x v="0"/>
  </r>
  <r>
    <x v="0"/>
    <x v="0"/>
    <n v="2239177464"/>
    <x v="5"/>
    <n v="-1000"/>
    <x v="1"/>
    <x v="0"/>
    <x v="36"/>
    <x v="5"/>
    <x v="0"/>
    <x v="0"/>
    <x v="5"/>
    <x v="0"/>
  </r>
  <r>
    <x v="0"/>
    <x v="0"/>
    <n v="2239177464"/>
    <x v="6"/>
    <n v="20500"/>
    <x v="1"/>
    <x v="0"/>
    <x v="36"/>
    <x v="6"/>
    <x v="0"/>
    <x v="0"/>
    <x v="5"/>
    <x v="0"/>
  </r>
  <r>
    <x v="0"/>
    <x v="0"/>
    <n v="2239177465"/>
    <x v="8"/>
    <n v="26840"/>
    <x v="1"/>
    <x v="0"/>
    <x v="36"/>
    <x v="8"/>
    <x v="0"/>
    <x v="0"/>
    <x v="3"/>
    <x v="0"/>
  </r>
  <r>
    <x v="0"/>
    <x v="0"/>
    <n v="2239177466"/>
    <x v="5"/>
    <n v="-4300"/>
    <x v="1"/>
    <x v="0"/>
    <x v="36"/>
    <x v="5"/>
    <x v="0"/>
    <x v="0"/>
    <x v="5"/>
    <x v="0"/>
  </r>
  <r>
    <x v="0"/>
    <x v="0"/>
    <n v="2239177466"/>
    <x v="4"/>
    <n v="10000"/>
    <x v="1"/>
    <x v="0"/>
    <x v="36"/>
    <x v="4"/>
    <x v="0"/>
    <x v="0"/>
    <x v="4"/>
    <x v="0"/>
  </r>
  <r>
    <x v="0"/>
    <x v="0"/>
    <n v="2239177467"/>
    <x v="0"/>
    <n v="10500"/>
    <x v="1"/>
    <x v="0"/>
    <x v="36"/>
    <x v="0"/>
    <x v="0"/>
    <x v="0"/>
    <x v="0"/>
    <x v="0"/>
  </r>
  <r>
    <x v="0"/>
    <x v="0"/>
    <n v="2239177468"/>
    <x v="2"/>
    <n v="10450"/>
    <x v="1"/>
    <x v="0"/>
    <x v="36"/>
    <x v="2"/>
    <x v="0"/>
    <x v="0"/>
    <x v="2"/>
    <x v="0"/>
  </r>
  <r>
    <x v="0"/>
    <x v="0"/>
    <n v="2239177469"/>
    <x v="1"/>
    <n v="4050"/>
    <x v="1"/>
    <x v="0"/>
    <x v="36"/>
    <x v="1"/>
    <x v="0"/>
    <x v="0"/>
    <x v="1"/>
    <x v="0"/>
  </r>
  <r>
    <x v="0"/>
    <x v="0"/>
    <n v="2239177470"/>
    <x v="2"/>
    <n v="14300"/>
    <x v="1"/>
    <x v="0"/>
    <x v="36"/>
    <x v="2"/>
    <x v="0"/>
    <x v="0"/>
    <x v="2"/>
    <x v="0"/>
  </r>
  <r>
    <x v="0"/>
    <x v="0"/>
    <n v="2239177471"/>
    <x v="2"/>
    <n v="6820"/>
    <x v="1"/>
    <x v="0"/>
    <x v="36"/>
    <x v="2"/>
    <x v="0"/>
    <x v="0"/>
    <x v="2"/>
    <x v="0"/>
  </r>
  <r>
    <x v="0"/>
    <x v="0"/>
    <n v="2239177472"/>
    <x v="2"/>
    <n v="7000"/>
    <x v="1"/>
    <x v="0"/>
    <x v="36"/>
    <x v="2"/>
    <x v="0"/>
    <x v="0"/>
    <x v="2"/>
    <x v="0"/>
  </r>
  <r>
    <x v="0"/>
    <x v="0"/>
    <n v="2239177473"/>
    <x v="0"/>
    <n v="1500"/>
    <x v="1"/>
    <x v="0"/>
    <x v="36"/>
    <x v="0"/>
    <x v="0"/>
    <x v="0"/>
    <x v="0"/>
    <x v="0"/>
  </r>
  <r>
    <x v="0"/>
    <x v="0"/>
    <n v="2239177474"/>
    <x v="2"/>
    <n v="5500"/>
    <x v="1"/>
    <x v="0"/>
    <x v="36"/>
    <x v="2"/>
    <x v="0"/>
    <x v="0"/>
    <x v="2"/>
    <x v="0"/>
  </r>
  <r>
    <x v="0"/>
    <x v="0"/>
    <n v="2239177475"/>
    <x v="2"/>
    <n v="24310"/>
    <x v="1"/>
    <x v="0"/>
    <x v="36"/>
    <x v="2"/>
    <x v="0"/>
    <x v="0"/>
    <x v="2"/>
    <x v="0"/>
  </r>
  <r>
    <x v="0"/>
    <x v="0"/>
    <n v="2239177476"/>
    <x v="5"/>
    <n v="-2000"/>
    <x v="1"/>
    <x v="0"/>
    <x v="36"/>
    <x v="5"/>
    <x v="0"/>
    <x v="0"/>
    <x v="5"/>
    <x v="0"/>
  </r>
  <r>
    <x v="0"/>
    <x v="0"/>
    <n v="2239177476"/>
    <x v="6"/>
    <n v="5150"/>
    <x v="1"/>
    <x v="0"/>
    <x v="36"/>
    <x v="6"/>
    <x v="0"/>
    <x v="0"/>
    <x v="5"/>
    <x v="0"/>
  </r>
  <r>
    <x v="0"/>
    <x v="0"/>
    <n v="2239177477"/>
    <x v="7"/>
    <n v="1500"/>
    <x v="1"/>
    <x v="0"/>
    <x v="36"/>
    <x v="7"/>
    <x v="0"/>
    <x v="0"/>
    <x v="1"/>
    <x v="0"/>
  </r>
  <r>
    <x v="0"/>
    <x v="0"/>
    <n v="2239177478"/>
    <x v="2"/>
    <n v="7150"/>
    <x v="1"/>
    <x v="0"/>
    <x v="36"/>
    <x v="2"/>
    <x v="0"/>
    <x v="0"/>
    <x v="2"/>
    <x v="0"/>
  </r>
  <r>
    <x v="0"/>
    <x v="0"/>
    <n v="2239177479"/>
    <x v="3"/>
    <n v="8250"/>
    <x v="1"/>
    <x v="0"/>
    <x v="36"/>
    <x v="3"/>
    <x v="0"/>
    <x v="0"/>
    <x v="3"/>
    <x v="0"/>
  </r>
  <r>
    <x v="0"/>
    <x v="0"/>
    <n v="2239177480"/>
    <x v="6"/>
    <n v="3000"/>
    <x v="1"/>
    <x v="0"/>
    <x v="36"/>
    <x v="6"/>
    <x v="0"/>
    <x v="0"/>
    <x v="5"/>
    <x v="0"/>
  </r>
  <r>
    <x v="0"/>
    <x v="0"/>
    <n v="2239177481"/>
    <x v="2"/>
    <n v="71060"/>
    <x v="1"/>
    <x v="0"/>
    <x v="36"/>
    <x v="2"/>
    <x v="0"/>
    <x v="0"/>
    <x v="2"/>
    <x v="0"/>
  </r>
  <r>
    <x v="0"/>
    <x v="0"/>
    <n v="2239177482"/>
    <x v="2"/>
    <n v="8250"/>
    <x v="1"/>
    <x v="0"/>
    <x v="36"/>
    <x v="2"/>
    <x v="0"/>
    <x v="0"/>
    <x v="2"/>
    <x v="0"/>
  </r>
  <r>
    <x v="0"/>
    <x v="0"/>
    <n v="2239177483"/>
    <x v="2"/>
    <n v="8250"/>
    <x v="1"/>
    <x v="0"/>
    <x v="36"/>
    <x v="2"/>
    <x v="0"/>
    <x v="0"/>
    <x v="2"/>
    <x v="0"/>
  </r>
  <r>
    <x v="0"/>
    <x v="0"/>
    <n v="2239177484"/>
    <x v="2"/>
    <n v="18480"/>
    <x v="1"/>
    <x v="0"/>
    <x v="36"/>
    <x v="2"/>
    <x v="0"/>
    <x v="0"/>
    <x v="2"/>
    <x v="0"/>
  </r>
  <r>
    <x v="0"/>
    <x v="0"/>
    <n v="2239177485"/>
    <x v="0"/>
    <n v="2400"/>
    <x v="1"/>
    <x v="0"/>
    <x v="36"/>
    <x v="0"/>
    <x v="0"/>
    <x v="0"/>
    <x v="0"/>
    <x v="0"/>
  </r>
  <r>
    <x v="0"/>
    <x v="0"/>
    <n v="2239177486"/>
    <x v="2"/>
    <n v="10500"/>
    <x v="1"/>
    <x v="0"/>
    <x v="36"/>
    <x v="2"/>
    <x v="0"/>
    <x v="0"/>
    <x v="2"/>
    <x v="0"/>
  </r>
  <r>
    <x v="0"/>
    <x v="0"/>
    <n v="2239177487"/>
    <x v="2"/>
    <n v="12650"/>
    <x v="1"/>
    <x v="0"/>
    <x v="36"/>
    <x v="2"/>
    <x v="0"/>
    <x v="0"/>
    <x v="2"/>
    <x v="0"/>
  </r>
  <r>
    <x v="0"/>
    <x v="0"/>
    <n v="2239177488"/>
    <x v="2"/>
    <n v="27390"/>
    <x v="1"/>
    <x v="0"/>
    <x v="36"/>
    <x v="2"/>
    <x v="0"/>
    <x v="0"/>
    <x v="2"/>
    <x v="0"/>
  </r>
  <r>
    <x v="0"/>
    <x v="0"/>
    <n v="2239177489"/>
    <x v="2"/>
    <n v="6500"/>
    <x v="1"/>
    <x v="0"/>
    <x v="36"/>
    <x v="2"/>
    <x v="0"/>
    <x v="0"/>
    <x v="2"/>
    <x v="0"/>
  </r>
  <r>
    <x v="0"/>
    <x v="0"/>
    <n v="2239177490"/>
    <x v="2"/>
    <n v="12100"/>
    <x v="1"/>
    <x v="0"/>
    <x v="36"/>
    <x v="2"/>
    <x v="0"/>
    <x v="0"/>
    <x v="2"/>
    <x v="0"/>
  </r>
  <r>
    <x v="0"/>
    <x v="0"/>
    <n v="2239177491"/>
    <x v="5"/>
    <n v="-15000"/>
    <x v="1"/>
    <x v="0"/>
    <x v="36"/>
    <x v="5"/>
    <x v="0"/>
    <x v="0"/>
    <x v="5"/>
    <x v="0"/>
  </r>
  <r>
    <x v="0"/>
    <x v="0"/>
    <n v="2239177491"/>
    <x v="4"/>
    <n v="20300"/>
    <x v="1"/>
    <x v="0"/>
    <x v="36"/>
    <x v="4"/>
    <x v="0"/>
    <x v="0"/>
    <x v="4"/>
    <x v="0"/>
  </r>
  <r>
    <x v="0"/>
    <x v="0"/>
    <n v="2239177492"/>
    <x v="5"/>
    <n v="-5500"/>
    <x v="1"/>
    <x v="0"/>
    <x v="36"/>
    <x v="5"/>
    <x v="0"/>
    <x v="0"/>
    <x v="5"/>
    <x v="0"/>
  </r>
  <r>
    <x v="0"/>
    <x v="0"/>
    <n v="2239177492"/>
    <x v="6"/>
    <n v="15000"/>
    <x v="1"/>
    <x v="0"/>
    <x v="36"/>
    <x v="6"/>
    <x v="0"/>
    <x v="0"/>
    <x v="5"/>
    <x v="0"/>
  </r>
  <r>
    <x v="0"/>
    <x v="0"/>
    <n v="2239177493"/>
    <x v="1"/>
    <n v="1800"/>
    <x v="1"/>
    <x v="0"/>
    <x v="36"/>
    <x v="1"/>
    <x v="0"/>
    <x v="0"/>
    <x v="1"/>
    <x v="0"/>
  </r>
  <r>
    <x v="0"/>
    <x v="0"/>
    <n v="2239177495"/>
    <x v="5"/>
    <n v="-6000"/>
    <x v="1"/>
    <x v="0"/>
    <x v="36"/>
    <x v="5"/>
    <x v="0"/>
    <x v="0"/>
    <x v="5"/>
    <x v="0"/>
  </r>
  <r>
    <x v="0"/>
    <x v="0"/>
    <n v="2239177495"/>
    <x v="6"/>
    <n v="20400"/>
    <x v="1"/>
    <x v="0"/>
    <x v="36"/>
    <x v="6"/>
    <x v="0"/>
    <x v="0"/>
    <x v="5"/>
    <x v="0"/>
  </r>
  <r>
    <x v="0"/>
    <x v="0"/>
    <n v="2239177495"/>
    <x v="7"/>
    <n v="3600"/>
    <x v="1"/>
    <x v="0"/>
    <x v="36"/>
    <x v="7"/>
    <x v="0"/>
    <x v="0"/>
    <x v="1"/>
    <x v="0"/>
  </r>
  <r>
    <x v="0"/>
    <x v="0"/>
    <n v="2239177497"/>
    <x v="5"/>
    <n v="-3500"/>
    <x v="1"/>
    <x v="0"/>
    <x v="36"/>
    <x v="5"/>
    <x v="0"/>
    <x v="0"/>
    <x v="5"/>
    <x v="0"/>
  </r>
  <r>
    <x v="0"/>
    <x v="0"/>
    <n v="2239177497"/>
    <x v="6"/>
    <n v="10000"/>
    <x v="1"/>
    <x v="0"/>
    <x v="36"/>
    <x v="6"/>
    <x v="0"/>
    <x v="0"/>
    <x v="5"/>
    <x v="0"/>
  </r>
  <r>
    <x v="0"/>
    <x v="0"/>
    <n v="2239177498"/>
    <x v="5"/>
    <n v="-500"/>
    <x v="1"/>
    <x v="0"/>
    <x v="36"/>
    <x v="5"/>
    <x v="0"/>
    <x v="0"/>
    <x v="5"/>
    <x v="0"/>
  </r>
  <r>
    <x v="0"/>
    <x v="0"/>
    <n v="2239177498"/>
    <x v="6"/>
    <n v="10000"/>
    <x v="1"/>
    <x v="0"/>
    <x v="36"/>
    <x v="6"/>
    <x v="0"/>
    <x v="0"/>
    <x v="5"/>
    <x v="0"/>
  </r>
  <r>
    <x v="0"/>
    <x v="0"/>
    <n v="2239177499"/>
    <x v="5"/>
    <n v="-2500"/>
    <x v="1"/>
    <x v="0"/>
    <x v="36"/>
    <x v="5"/>
    <x v="0"/>
    <x v="0"/>
    <x v="5"/>
    <x v="0"/>
  </r>
  <r>
    <x v="0"/>
    <x v="0"/>
    <n v="2239177499"/>
    <x v="6"/>
    <n v="10000"/>
    <x v="1"/>
    <x v="0"/>
    <x v="36"/>
    <x v="6"/>
    <x v="0"/>
    <x v="0"/>
    <x v="5"/>
    <x v="0"/>
  </r>
  <r>
    <x v="0"/>
    <x v="0"/>
    <n v="2239177500"/>
    <x v="2"/>
    <n v="10500"/>
    <x v="1"/>
    <x v="0"/>
    <x v="36"/>
    <x v="2"/>
    <x v="0"/>
    <x v="0"/>
    <x v="2"/>
    <x v="0"/>
  </r>
  <r>
    <x v="0"/>
    <x v="0"/>
    <n v="2239177501"/>
    <x v="7"/>
    <n v="1500"/>
    <x v="1"/>
    <x v="0"/>
    <x v="36"/>
    <x v="7"/>
    <x v="0"/>
    <x v="0"/>
    <x v="1"/>
    <x v="0"/>
  </r>
  <r>
    <x v="0"/>
    <x v="0"/>
    <n v="2239177502"/>
    <x v="7"/>
    <n v="5300"/>
    <x v="1"/>
    <x v="0"/>
    <x v="36"/>
    <x v="7"/>
    <x v="0"/>
    <x v="0"/>
    <x v="1"/>
    <x v="0"/>
  </r>
  <r>
    <x v="0"/>
    <x v="0"/>
    <n v="2239177503"/>
    <x v="5"/>
    <n v="-4400"/>
    <x v="1"/>
    <x v="0"/>
    <x v="36"/>
    <x v="5"/>
    <x v="0"/>
    <x v="0"/>
    <x v="5"/>
    <x v="0"/>
  </r>
  <r>
    <x v="0"/>
    <x v="0"/>
    <n v="2239177503"/>
    <x v="4"/>
    <n v="10000"/>
    <x v="1"/>
    <x v="0"/>
    <x v="36"/>
    <x v="4"/>
    <x v="0"/>
    <x v="0"/>
    <x v="4"/>
    <x v="0"/>
  </r>
  <r>
    <x v="0"/>
    <x v="0"/>
    <n v="2239177504"/>
    <x v="2"/>
    <n v="14000"/>
    <x v="1"/>
    <x v="0"/>
    <x v="36"/>
    <x v="2"/>
    <x v="0"/>
    <x v="0"/>
    <x v="2"/>
    <x v="0"/>
  </r>
  <r>
    <x v="0"/>
    <x v="0"/>
    <n v="2239177505"/>
    <x v="2"/>
    <n v="9000"/>
    <x v="1"/>
    <x v="0"/>
    <x v="36"/>
    <x v="2"/>
    <x v="0"/>
    <x v="0"/>
    <x v="2"/>
    <x v="0"/>
  </r>
  <r>
    <x v="0"/>
    <x v="0"/>
    <n v="2239177507"/>
    <x v="2"/>
    <n v="16500"/>
    <x v="1"/>
    <x v="0"/>
    <x v="36"/>
    <x v="2"/>
    <x v="0"/>
    <x v="0"/>
    <x v="2"/>
    <x v="0"/>
  </r>
  <r>
    <x v="0"/>
    <x v="0"/>
    <n v="2239177509"/>
    <x v="5"/>
    <n v="-3500"/>
    <x v="1"/>
    <x v="0"/>
    <x v="36"/>
    <x v="5"/>
    <x v="0"/>
    <x v="0"/>
    <x v="5"/>
    <x v="0"/>
  </r>
  <r>
    <x v="0"/>
    <x v="0"/>
    <n v="2239177509"/>
    <x v="6"/>
    <n v="10000"/>
    <x v="1"/>
    <x v="0"/>
    <x v="36"/>
    <x v="6"/>
    <x v="0"/>
    <x v="0"/>
    <x v="5"/>
    <x v="0"/>
  </r>
  <r>
    <x v="0"/>
    <x v="0"/>
    <n v="2239177510"/>
    <x v="2"/>
    <n v="13200"/>
    <x v="1"/>
    <x v="0"/>
    <x v="36"/>
    <x v="2"/>
    <x v="0"/>
    <x v="0"/>
    <x v="2"/>
    <x v="0"/>
  </r>
  <r>
    <x v="0"/>
    <x v="0"/>
    <n v="2239177511"/>
    <x v="5"/>
    <n v="-4400"/>
    <x v="1"/>
    <x v="0"/>
    <x v="36"/>
    <x v="5"/>
    <x v="0"/>
    <x v="0"/>
    <x v="5"/>
    <x v="0"/>
  </r>
  <r>
    <x v="0"/>
    <x v="0"/>
    <n v="2239177511"/>
    <x v="4"/>
    <n v="10000"/>
    <x v="1"/>
    <x v="0"/>
    <x v="36"/>
    <x v="4"/>
    <x v="0"/>
    <x v="0"/>
    <x v="4"/>
    <x v="0"/>
  </r>
  <r>
    <x v="0"/>
    <x v="0"/>
    <n v="2239177512"/>
    <x v="2"/>
    <n v="3000"/>
    <x v="1"/>
    <x v="0"/>
    <x v="36"/>
    <x v="2"/>
    <x v="0"/>
    <x v="0"/>
    <x v="2"/>
    <x v="0"/>
  </r>
  <r>
    <x v="0"/>
    <x v="0"/>
    <n v="2239177513"/>
    <x v="2"/>
    <n v="10500"/>
    <x v="1"/>
    <x v="0"/>
    <x v="36"/>
    <x v="2"/>
    <x v="0"/>
    <x v="0"/>
    <x v="2"/>
    <x v="0"/>
  </r>
  <r>
    <x v="0"/>
    <x v="0"/>
    <n v="2239177514"/>
    <x v="2"/>
    <n v="24750"/>
    <x v="1"/>
    <x v="0"/>
    <x v="36"/>
    <x v="2"/>
    <x v="0"/>
    <x v="0"/>
    <x v="2"/>
    <x v="0"/>
  </r>
  <r>
    <x v="0"/>
    <x v="0"/>
    <n v="2239177515"/>
    <x v="2"/>
    <n v="6820"/>
    <x v="1"/>
    <x v="0"/>
    <x v="36"/>
    <x v="2"/>
    <x v="0"/>
    <x v="0"/>
    <x v="2"/>
    <x v="0"/>
  </r>
  <r>
    <x v="0"/>
    <x v="0"/>
    <n v="2239177516"/>
    <x v="2"/>
    <n v="4000"/>
    <x v="1"/>
    <x v="0"/>
    <x v="36"/>
    <x v="2"/>
    <x v="0"/>
    <x v="0"/>
    <x v="2"/>
    <x v="0"/>
  </r>
  <r>
    <x v="0"/>
    <x v="0"/>
    <n v="2239177517"/>
    <x v="1"/>
    <n v="4800"/>
    <x v="1"/>
    <x v="0"/>
    <x v="36"/>
    <x v="1"/>
    <x v="0"/>
    <x v="0"/>
    <x v="1"/>
    <x v="0"/>
  </r>
  <r>
    <x v="0"/>
    <x v="0"/>
    <n v="2239177518"/>
    <x v="2"/>
    <n v="6930"/>
    <x v="1"/>
    <x v="0"/>
    <x v="36"/>
    <x v="2"/>
    <x v="0"/>
    <x v="0"/>
    <x v="2"/>
    <x v="0"/>
  </r>
  <r>
    <x v="0"/>
    <x v="0"/>
    <n v="2239177519"/>
    <x v="7"/>
    <n v="1500"/>
    <x v="1"/>
    <x v="0"/>
    <x v="36"/>
    <x v="7"/>
    <x v="0"/>
    <x v="0"/>
    <x v="1"/>
    <x v="0"/>
  </r>
  <r>
    <x v="0"/>
    <x v="0"/>
    <n v="2239177520"/>
    <x v="8"/>
    <n v="47740"/>
    <x v="1"/>
    <x v="0"/>
    <x v="36"/>
    <x v="8"/>
    <x v="0"/>
    <x v="0"/>
    <x v="3"/>
    <x v="0"/>
  </r>
  <r>
    <x v="0"/>
    <x v="0"/>
    <n v="2239177522"/>
    <x v="5"/>
    <n v="-760"/>
    <x v="1"/>
    <x v="0"/>
    <x v="36"/>
    <x v="5"/>
    <x v="0"/>
    <x v="0"/>
    <x v="5"/>
    <x v="0"/>
  </r>
  <r>
    <x v="0"/>
    <x v="0"/>
    <n v="2239177522"/>
    <x v="6"/>
    <n v="10000"/>
    <x v="1"/>
    <x v="0"/>
    <x v="36"/>
    <x v="6"/>
    <x v="0"/>
    <x v="0"/>
    <x v="5"/>
    <x v="0"/>
  </r>
  <r>
    <x v="0"/>
    <x v="0"/>
    <n v="2239177523"/>
    <x v="2"/>
    <n v="16500"/>
    <x v="1"/>
    <x v="0"/>
    <x v="36"/>
    <x v="2"/>
    <x v="0"/>
    <x v="0"/>
    <x v="2"/>
    <x v="0"/>
  </r>
  <r>
    <x v="0"/>
    <x v="0"/>
    <n v="2239177524"/>
    <x v="6"/>
    <n v="3000"/>
    <x v="1"/>
    <x v="0"/>
    <x v="36"/>
    <x v="6"/>
    <x v="0"/>
    <x v="0"/>
    <x v="5"/>
    <x v="0"/>
  </r>
  <r>
    <x v="0"/>
    <x v="0"/>
    <n v="2239177525"/>
    <x v="2"/>
    <n v="39490"/>
    <x v="1"/>
    <x v="0"/>
    <x v="36"/>
    <x v="2"/>
    <x v="0"/>
    <x v="0"/>
    <x v="2"/>
    <x v="0"/>
  </r>
  <r>
    <x v="0"/>
    <x v="0"/>
    <n v="2239177526"/>
    <x v="5"/>
    <n v="-10500"/>
    <x v="1"/>
    <x v="0"/>
    <x v="36"/>
    <x v="5"/>
    <x v="0"/>
    <x v="0"/>
    <x v="5"/>
    <x v="0"/>
  </r>
  <r>
    <x v="0"/>
    <x v="0"/>
    <n v="2239177526"/>
    <x v="6"/>
    <n v="20000"/>
    <x v="1"/>
    <x v="0"/>
    <x v="36"/>
    <x v="6"/>
    <x v="0"/>
    <x v="0"/>
    <x v="5"/>
    <x v="0"/>
  </r>
  <r>
    <x v="0"/>
    <x v="0"/>
    <n v="2239177528"/>
    <x v="8"/>
    <n v="15000"/>
    <x v="1"/>
    <x v="0"/>
    <x v="36"/>
    <x v="8"/>
    <x v="0"/>
    <x v="0"/>
    <x v="3"/>
    <x v="0"/>
  </r>
  <r>
    <x v="0"/>
    <x v="0"/>
    <n v="2239177529"/>
    <x v="0"/>
    <n v="43050"/>
    <x v="1"/>
    <x v="0"/>
    <x v="36"/>
    <x v="0"/>
    <x v="0"/>
    <x v="0"/>
    <x v="0"/>
    <x v="0"/>
  </r>
  <r>
    <x v="0"/>
    <x v="0"/>
    <n v="2239177530"/>
    <x v="2"/>
    <n v="8250"/>
    <x v="1"/>
    <x v="0"/>
    <x v="36"/>
    <x v="2"/>
    <x v="0"/>
    <x v="0"/>
    <x v="2"/>
    <x v="0"/>
  </r>
  <r>
    <x v="0"/>
    <x v="0"/>
    <n v="2239177531"/>
    <x v="2"/>
    <n v="13530"/>
    <x v="1"/>
    <x v="0"/>
    <x v="36"/>
    <x v="2"/>
    <x v="0"/>
    <x v="0"/>
    <x v="2"/>
    <x v="0"/>
  </r>
  <r>
    <x v="0"/>
    <x v="0"/>
    <n v="2239177531"/>
    <x v="7"/>
    <n v="5200"/>
    <x v="1"/>
    <x v="0"/>
    <x v="36"/>
    <x v="7"/>
    <x v="0"/>
    <x v="0"/>
    <x v="1"/>
    <x v="0"/>
  </r>
  <r>
    <x v="0"/>
    <x v="0"/>
    <n v="2239177532"/>
    <x v="0"/>
    <n v="6900"/>
    <x v="1"/>
    <x v="0"/>
    <x v="36"/>
    <x v="0"/>
    <x v="0"/>
    <x v="0"/>
    <x v="0"/>
    <x v="0"/>
  </r>
  <r>
    <x v="0"/>
    <x v="0"/>
    <n v="2239177533"/>
    <x v="2"/>
    <n v="22880"/>
    <x v="1"/>
    <x v="0"/>
    <x v="36"/>
    <x v="2"/>
    <x v="0"/>
    <x v="0"/>
    <x v="2"/>
    <x v="0"/>
  </r>
  <r>
    <x v="0"/>
    <x v="0"/>
    <n v="2239177533"/>
    <x v="7"/>
    <n v="5200"/>
    <x v="1"/>
    <x v="0"/>
    <x v="36"/>
    <x v="7"/>
    <x v="0"/>
    <x v="0"/>
    <x v="1"/>
    <x v="0"/>
  </r>
  <r>
    <x v="0"/>
    <x v="0"/>
    <n v="2239177534"/>
    <x v="5"/>
    <n v="-10960"/>
    <x v="1"/>
    <x v="0"/>
    <x v="36"/>
    <x v="5"/>
    <x v="0"/>
    <x v="0"/>
    <x v="5"/>
    <x v="0"/>
  </r>
  <r>
    <x v="0"/>
    <x v="0"/>
    <n v="2239177534"/>
    <x v="6"/>
    <n v="20000"/>
    <x v="1"/>
    <x v="0"/>
    <x v="36"/>
    <x v="6"/>
    <x v="0"/>
    <x v="0"/>
    <x v="5"/>
    <x v="0"/>
  </r>
  <r>
    <x v="0"/>
    <x v="0"/>
    <n v="2239177535"/>
    <x v="1"/>
    <n v="10080"/>
    <x v="1"/>
    <x v="0"/>
    <x v="36"/>
    <x v="1"/>
    <x v="0"/>
    <x v="0"/>
    <x v="1"/>
    <x v="0"/>
  </r>
  <r>
    <x v="0"/>
    <x v="0"/>
    <n v="2239177536"/>
    <x v="2"/>
    <n v="18480"/>
    <x v="1"/>
    <x v="0"/>
    <x v="36"/>
    <x v="2"/>
    <x v="0"/>
    <x v="0"/>
    <x v="2"/>
    <x v="0"/>
  </r>
  <r>
    <x v="0"/>
    <x v="0"/>
    <n v="2239177537"/>
    <x v="5"/>
    <n v="-11600"/>
    <x v="1"/>
    <x v="0"/>
    <x v="36"/>
    <x v="5"/>
    <x v="0"/>
    <x v="0"/>
    <x v="5"/>
    <x v="0"/>
  </r>
  <r>
    <x v="0"/>
    <x v="0"/>
    <n v="2239177537"/>
    <x v="6"/>
    <n v="15800"/>
    <x v="1"/>
    <x v="0"/>
    <x v="36"/>
    <x v="6"/>
    <x v="0"/>
    <x v="0"/>
    <x v="5"/>
    <x v="0"/>
  </r>
  <r>
    <x v="0"/>
    <x v="0"/>
    <n v="2239177538"/>
    <x v="2"/>
    <n v="3000"/>
    <x v="1"/>
    <x v="0"/>
    <x v="36"/>
    <x v="2"/>
    <x v="0"/>
    <x v="0"/>
    <x v="2"/>
    <x v="0"/>
  </r>
  <r>
    <x v="0"/>
    <x v="0"/>
    <n v="2239177539"/>
    <x v="2"/>
    <n v="8250"/>
    <x v="1"/>
    <x v="0"/>
    <x v="36"/>
    <x v="2"/>
    <x v="0"/>
    <x v="0"/>
    <x v="2"/>
    <x v="0"/>
  </r>
  <r>
    <x v="0"/>
    <x v="0"/>
    <n v="2239177540"/>
    <x v="5"/>
    <n v="-2500"/>
    <x v="1"/>
    <x v="0"/>
    <x v="36"/>
    <x v="5"/>
    <x v="0"/>
    <x v="0"/>
    <x v="5"/>
    <x v="0"/>
  </r>
  <r>
    <x v="0"/>
    <x v="0"/>
    <n v="2239177540"/>
    <x v="6"/>
    <n v="10000"/>
    <x v="1"/>
    <x v="0"/>
    <x v="36"/>
    <x v="6"/>
    <x v="0"/>
    <x v="0"/>
    <x v="5"/>
    <x v="0"/>
  </r>
  <r>
    <x v="0"/>
    <x v="0"/>
    <n v="2239177541"/>
    <x v="2"/>
    <n v="7500"/>
    <x v="1"/>
    <x v="0"/>
    <x v="36"/>
    <x v="2"/>
    <x v="0"/>
    <x v="0"/>
    <x v="2"/>
    <x v="0"/>
  </r>
  <r>
    <x v="0"/>
    <x v="0"/>
    <n v="2239177542"/>
    <x v="2"/>
    <n v="7500"/>
    <x v="1"/>
    <x v="0"/>
    <x v="36"/>
    <x v="2"/>
    <x v="0"/>
    <x v="0"/>
    <x v="2"/>
    <x v="0"/>
  </r>
  <r>
    <x v="0"/>
    <x v="0"/>
    <n v="2239177543"/>
    <x v="2"/>
    <n v="7500"/>
    <x v="1"/>
    <x v="0"/>
    <x v="36"/>
    <x v="2"/>
    <x v="0"/>
    <x v="0"/>
    <x v="2"/>
    <x v="0"/>
  </r>
  <r>
    <x v="0"/>
    <x v="0"/>
    <n v="2239177544"/>
    <x v="5"/>
    <n v="-15800"/>
    <x v="1"/>
    <x v="0"/>
    <x v="36"/>
    <x v="5"/>
    <x v="0"/>
    <x v="0"/>
    <x v="5"/>
    <x v="0"/>
  </r>
  <r>
    <x v="0"/>
    <x v="0"/>
    <n v="2239177544"/>
    <x v="6"/>
    <n v="20000"/>
    <x v="1"/>
    <x v="0"/>
    <x v="36"/>
    <x v="6"/>
    <x v="0"/>
    <x v="0"/>
    <x v="5"/>
    <x v="0"/>
  </r>
  <r>
    <x v="0"/>
    <x v="0"/>
    <n v="2239177545"/>
    <x v="5"/>
    <n v="-7400"/>
    <x v="1"/>
    <x v="0"/>
    <x v="36"/>
    <x v="5"/>
    <x v="0"/>
    <x v="0"/>
    <x v="5"/>
    <x v="0"/>
  </r>
  <r>
    <x v="0"/>
    <x v="0"/>
    <n v="2239177545"/>
    <x v="6"/>
    <n v="11600"/>
    <x v="1"/>
    <x v="0"/>
    <x v="36"/>
    <x v="6"/>
    <x v="0"/>
    <x v="0"/>
    <x v="5"/>
    <x v="0"/>
  </r>
  <r>
    <x v="0"/>
    <x v="0"/>
    <n v="2239177546"/>
    <x v="0"/>
    <n v="13000"/>
    <x v="1"/>
    <x v="0"/>
    <x v="36"/>
    <x v="0"/>
    <x v="0"/>
    <x v="0"/>
    <x v="0"/>
    <x v="0"/>
  </r>
  <r>
    <x v="0"/>
    <x v="0"/>
    <n v="2239177547"/>
    <x v="8"/>
    <n v="25190"/>
    <x v="1"/>
    <x v="0"/>
    <x v="36"/>
    <x v="8"/>
    <x v="0"/>
    <x v="0"/>
    <x v="3"/>
    <x v="0"/>
  </r>
  <r>
    <x v="0"/>
    <x v="0"/>
    <n v="2239177548"/>
    <x v="5"/>
    <n v="-17000"/>
    <x v="1"/>
    <x v="0"/>
    <x v="36"/>
    <x v="5"/>
    <x v="0"/>
    <x v="0"/>
    <x v="5"/>
    <x v="0"/>
  </r>
  <r>
    <x v="0"/>
    <x v="0"/>
    <n v="2239177548"/>
    <x v="6"/>
    <n v="20000"/>
    <x v="1"/>
    <x v="0"/>
    <x v="36"/>
    <x v="6"/>
    <x v="0"/>
    <x v="0"/>
    <x v="5"/>
    <x v="0"/>
  </r>
  <r>
    <x v="0"/>
    <x v="0"/>
    <n v="2239177549"/>
    <x v="2"/>
    <n v="13000"/>
    <x v="1"/>
    <x v="0"/>
    <x v="36"/>
    <x v="2"/>
    <x v="0"/>
    <x v="0"/>
    <x v="2"/>
    <x v="0"/>
  </r>
  <r>
    <x v="0"/>
    <x v="0"/>
    <n v="2239177550"/>
    <x v="2"/>
    <n v="3300"/>
    <x v="1"/>
    <x v="0"/>
    <x v="36"/>
    <x v="2"/>
    <x v="0"/>
    <x v="0"/>
    <x v="2"/>
    <x v="0"/>
  </r>
  <r>
    <x v="0"/>
    <x v="0"/>
    <n v="2239177551"/>
    <x v="5"/>
    <n v="-9680"/>
    <x v="1"/>
    <x v="0"/>
    <x v="36"/>
    <x v="5"/>
    <x v="0"/>
    <x v="0"/>
    <x v="5"/>
    <x v="0"/>
  </r>
  <r>
    <x v="0"/>
    <x v="0"/>
    <n v="2239177551"/>
    <x v="6"/>
    <n v="40000"/>
    <x v="1"/>
    <x v="0"/>
    <x v="36"/>
    <x v="6"/>
    <x v="0"/>
    <x v="0"/>
    <x v="5"/>
    <x v="0"/>
  </r>
  <r>
    <x v="0"/>
    <x v="0"/>
    <n v="2239177551"/>
    <x v="7"/>
    <n v="2600"/>
    <x v="1"/>
    <x v="0"/>
    <x v="36"/>
    <x v="7"/>
    <x v="0"/>
    <x v="0"/>
    <x v="1"/>
    <x v="0"/>
  </r>
  <r>
    <x v="0"/>
    <x v="0"/>
    <n v="2239177552"/>
    <x v="2"/>
    <n v="22500"/>
    <x v="1"/>
    <x v="0"/>
    <x v="36"/>
    <x v="2"/>
    <x v="0"/>
    <x v="0"/>
    <x v="2"/>
    <x v="0"/>
  </r>
  <r>
    <x v="0"/>
    <x v="0"/>
    <n v="2239177553"/>
    <x v="2"/>
    <n v="16500"/>
    <x v="1"/>
    <x v="0"/>
    <x v="36"/>
    <x v="2"/>
    <x v="0"/>
    <x v="0"/>
    <x v="2"/>
    <x v="0"/>
  </r>
  <r>
    <x v="0"/>
    <x v="0"/>
    <n v="2239177554"/>
    <x v="3"/>
    <n v="5214"/>
    <x v="1"/>
    <x v="0"/>
    <x v="36"/>
    <x v="3"/>
    <x v="0"/>
    <x v="0"/>
    <x v="3"/>
    <x v="0"/>
  </r>
  <r>
    <x v="0"/>
    <x v="0"/>
    <n v="2239177554"/>
    <x v="7"/>
    <n v="3160"/>
    <x v="1"/>
    <x v="0"/>
    <x v="36"/>
    <x v="7"/>
    <x v="0"/>
    <x v="0"/>
    <x v="1"/>
    <x v="0"/>
  </r>
  <r>
    <x v="0"/>
    <x v="0"/>
    <n v="2239177555"/>
    <x v="0"/>
    <n v="1950"/>
    <x v="1"/>
    <x v="0"/>
    <x v="36"/>
    <x v="0"/>
    <x v="0"/>
    <x v="0"/>
    <x v="0"/>
    <x v="0"/>
  </r>
  <r>
    <x v="0"/>
    <x v="0"/>
    <n v="2239177557"/>
    <x v="1"/>
    <n v="2280"/>
    <x v="1"/>
    <x v="0"/>
    <x v="36"/>
    <x v="1"/>
    <x v="0"/>
    <x v="0"/>
    <x v="1"/>
    <x v="0"/>
  </r>
  <r>
    <x v="0"/>
    <x v="0"/>
    <n v="2239177559"/>
    <x v="2"/>
    <n v="14850"/>
    <x v="1"/>
    <x v="0"/>
    <x v="36"/>
    <x v="2"/>
    <x v="0"/>
    <x v="0"/>
    <x v="2"/>
    <x v="0"/>
  </r>
  <r>
    <x v="0"/>
    <x v="0"/>
    <n v="2239177560"/>
    <x v="1"/>
    <n v="1140"/>
    <x v="1"/>
    <x v="0"/>
    <x v="36"/>
    <x v="1"/>
    <x v="0"/>
    <x v="0"/>
    <x v="1"/>
    <x v="0"/>
  </r>
  <r>
    <x v="0"/>
    <x v="0"/>
    <n v="2239177561"/>
    <x v="7"/>
    <n v="1500"/>
    <x v="1"/>
    <x v="0"/>
    <x v="36"/>
    <x v="7"/>
    <x v="0"/>
    <x v="0"/>
    <x v="1"/>
    <x v="0"/>
  </r>
  <r>
    <x v="0"/>
    <x v="0"/>
    <n v="2239177562"/>
    <x v="2"/>
    <n v="6000"/>
    <x v="1"/>
    <x v="0"/>
    <x v="36"/>
    <x v="2"/>
    <x v="0"/>
    <x v="0"/>
    <x v="2"/>
    <x v="0"/>
  </r>
  <r>
    <x v="0"/>
    <x v="0"/>
    <n v="2239177563"/>
    <x v="7"/>
    <n v="1500"/>
    <x v="1"/>
    <x v="0"/>
    <x v="36"/>
    <x v="7"/>
    <x v="0"/>
    <x v="0"/>
    <x v="1"/>
    <x v="0"/>
  </r>
  <r>
    <x v="0"/>
    <x v="0"/>
    <n v="2239177564"/>
    <x v="5"/>
    <n v="-500"/>
    <x v="1"/>
    <x v="0"/>
    <x v="36"/>
    <x v="5"/>
    <x v="0"/>
    <x v="0"/>
    <x v="5"/>
    <x v="0"/>
  </r>
  <r>
    <x v="0"/>
    <x v="0"/>
    <n v="2239177564"/>
    <x v="6"/>
    <n v="10000"/>
    <x v="1"/>
    <x v="0"/>
    <x v="36"/>
    <x v="6"/>
    <x v="0"/>
    <x v="0"/>
    <x v="5"/>
    <x v="0"/>
  </r>
  <r>
    <x v="0"/>
    <x v="0"/>
    <n v="2239177565"/>
    <x v="2"/>
    <n v="21450"/>
    <x v="1"/>
    <x v="0"/>
    <x v="36"/>
    <x v="2"/>
    <x v="0"/>
    <x v="0"/>
    <x v="2"/>
    <x v="0"/>
  </r>
  <r>
    <x v="0"/>
    <x v="0"/>
    <n v="2239177566"/>
    <x v="2"/>
    <n v="7150"/>
    <x v="1"/>
    <x v="0"/>
    <x v="36"/>
    <x v="2"/>
    <x v="0"/>
    <x v="0"/>
    <x v="2"/>
    <x v="0"/>
  </r>
  <r>
    <x v="0"/>
    <x v="0"/>
    <n v="2239177567"/>
    <x v="2"/>
    <n v="30382"/>
    <x v="1"/>
    <x v="0"/>
    <x v="36"/>
    <x v="2"/>
    <x v="0"/>
    <x v="0"/>
    <x v="2"/>
    <x v="0"/>
  </r>
  <r>
    <x v="0"/>
    <x v="0"/>
    <n v="2239177568"/>
    <x v="5"/>
    <n v="-7000"/>
    <x v="1"/>
    <x v="0"/>
    <x v="36"/>
    <x v="5"/>
    <x v="0"/>
    <x v="0"/>
    <x v="5"/>
    <x v="0"/>
  </r>
  <r>
    <x v="0"/>
    <x v="0"/>
    <n v="2239177568"/>
    <x v="6"/>
    <n v="20000"/>
    <x v="1"/>
    <x v="0"/>
    <x v="36"/>
    <x v="6"/>
    <x v="0"/>
    <x v="0"/>
    <x v="5"/>
    <x v="0"/>
  </r>
  <r>
    <x v="0"/>
    <x v="0"/>
    <n v="2239177569"/>
    <x v="7"/>
    <n v="1500"/>
    <x v="1"/>
    <x v="0"/>
    <x v="36"/>
    <x v="7"/>
    <x v="0"/>
    <x v="0"/>
    <x v="1"/>
    <x v="0"/>
  </r>
  <r>
    <x v="0"/>
    <x v="0"/>
    <n v="2239177570"/>
    <x v="2"/>
    <n v="3000"/>
    <x v="1"/>
    <x v="0"/>
    <x v="36"/>
    <x v="2"/>
    <x v="0"/>
    <x v="0"/>
    <x v="2"/>
    <x v="0"/>
  </r>
  <r>
    <x v="0"/>
    <x v="0"/>
    <n v="2239177571"/>
    <x v="5"/>
    <n v="-2000"/>
    <x v="1"/>
    <x v="0"/>
    <x v="36"/>
    <x v="5"/>
    <x v="0"/>
    <x v="0"/>
    <x v="5"/>
    <x v="0"/>
  </r>
  <r>
    <x v="0"/>
    <x v="0"/>
    <n v="2239177571"/>
    <x v="6"/>
    <n v="15000"/>
    <x v="1"/>
    <x v="0"/>
    <x v="36"/>
    <x v="6"/>
    <x v="0"/>
    <x v="0"/>
    <x v="5"/>
    <x v="0"/>
  </r>
  <r>
    <x v="0"/>
    <x v="0"/>
    <n v="2239177572"/>
    <x v="5"/>
    <n v="-10340"/>
    <x v="1"/>
    <x v="0"/>
    <x v="36"/>
    <x v="5"/>
    <x v="0"/>
    <x v="0"/>
    <x v="5"/>
    <x v="0"/>
  </r>
  <r>
    <x v="0"/>
    <x v="0"/>
    <n v="2239177572"/>
    <x v="6"/>
    <n v="80000"/>
    <x v="1"/>
    <x v="0"/>
    <x v="36"/>
    <x v="6"/>
    <x v="0"/>
    <x v="0"/>
    <x v="5"/>
    <x v="0"/>
  </r>
  <r>
    <x v="0"/>
    <x v="0"/>
    <n v="2239177573"/>
    <x v="2"/>
    <n v="18900"/>
    <x v="1"/>
    <x v="0"/>
    <x v="36"/>
    <x v="2"/>
    <x v="0"/>
    <x v="0"/>
    <x v="2"/>
    <x v="0"/>
  </r>
  <r>
    <x v="0"/>
    <x v="0"/>
    <n v="2239177574"/>
    <x v="2"/>
    <n v="2400"/>
    <x v="1"/>
    <x v="0"/>
    <x v="36"/>
    <x v="2"/>
    <x v="0"/>
    <x v="0"/>
    <x v="2"/>
    <x v="0"/>
  </r>
  <r>
    <x v="0"/>
    <x v="0"/>
    <n v="2239177575"/>
    <x v="2"/>
    <n v="9500"/>
    <x v="1"/>
    <x v="0"/>
    <x v="36"/>
    <x v="2"/>
    <x v="0"/>
    <x v="0"/>
    <x v="2"/>
    <x v="0"/>
  </r>
  <r>
    <x v="0"/>
    <x v="0"/>
    <n v="2239177578"/>
    <x v="5"/>
    <n v="-12500"/>
    <x v="1"/>
    <x v="0"/>
    <x v="36"/>
    <x v="5"/>
    <x v="0"/>
    <x v="0"/>
    <x v="5"/>
    <x v="0"/>
  </r>
  <r>
    <x v="0"/>
    <x v="0"/>
    <n v="2239177578"/>
    <x v="6"/>
    <n v="20000"/>
    <x v="1"/>
    <x v="0"/>
    <x v="36"/>
    <x v="6"/>
    <x v="0"/>
    <x v="0"/>
    <x v="5"/>
    <x v="0"/>
  </r>
  <r>
    <x v="0"/>
    <x v="0"/>
    <n v="2239177579"/>
    <x v="6"/>
    <n v="9500"/>
    <x v="1"/>
    <x v="0"/>
    <x v="36"/>
    <x v="6"/>
    <x v="0"/>
    <x v="0"/>
    <x v="5"/>
    <x v="0"/>
  </r>
  <r>
    <x v="0"/>
    <x v="0"/>
    <n v="2239177579"/>
    <x v="2"/>
    <n v="1000"/>
    <x v="1"/>
    <x v="0"/>
    <x v="36"/>
    <x v="2"/>
    <x v="0"/>
    <x v="0"/>
    <x v="2"/>
    <x v="0"/>
  </r>
  <r>
    <x v="0"/>
    <x v="0"/>
    <n v="2239177580"/>
    <x v="2"/>
    <n v="7150"/>
    <x v="1"/>
    <x v="0"/>
    <x v="36"/>
    <x v="2"/>
    <x v="0"/>
    <x v="0"/>
    <x v="2"/>
    <x v="0"/>
  </r>
  <r>
    <x v="0"/>
    <x v="0"/>
    <n v="2239177581"/>
    <x v="7"/>
    <n v="1500"/>
    <x v="1"/>
    <x v="0"/>
    <x v="36"/>
    <x v="7"/>
    <x v="0"/>
    <x v="0"/>
    <x v="1"/>
    <x v="0"/>
  </r>
  <r>
    <x v="0"/>
    <x v="0"/>
    <n v="2239177582"/>
    <x v="5"/>
    <n v="-4700"/>
    <x v="1"/>
    <x v="0"/>
    <x v="36"/>
    <x v="5"/>
    <x v="0"/>
    <x v="0"/>
    <x v="5"/>
    <x v="0"/>
  </r>
  <r>
    <x v="0"/>
    <x v="0"/>
    <n v="2239177582"/>
    <x v="4"/>
    <n v="10000"/>
    <x v="1"/>
    <x v="0"/>
    <x v="36"/>
    <x v="4"/>
    <x v="0"/>
    <x v="0"/>
    <x v="4"/>
    <x v="0"/>
  </r>
  <r>
    <x v="0"/>
    <x v="0"/>
    <n v="2239177583"/>
    <x v="6"/>
    <n v="4000"/>
    <x v="1"/>
    <x v="0"/>
    <x v="36"/>
    <x v="6"/>
    <x v="0"/>
    <x v="0"/>
    <x v="5"/>
    <x v="0"/>
  </r>
  <r>
    <x v="0"/>
    <x v="0"/>
    <n v="2239177583"/>
    <x v="2"/>
    <n v="2500"/>
    <x v="1"/>
    <x v="0"/>
    <x v="36"/>
    <x v="2"/>
    <x v="0"/>
    <x v="0"/>
    <x v="2"/>
    <x v="0"/>
  </r>
  <r>
    <x v="0"/>
    <x v="0"/>
    <n v="2239177584"/>
    <x v="2"/>
    <n v="24750"/>
    <x v="1"/>
    <x v="0"/>
    <x v="36"/>
    <x v="2"/>
    <x v="0"/>
    <x v="0"/>
    <x v="2"/>
    <x v="0"/>
  </r>
  <r>
    <x v="0"/>
    <x v="0"/>
    <n v="2239177585"/>
    <x v="5"/>
    <n v="-4500"/>
    <x v="1"/>
    <x v="0"/>
    <x v="36"/>
    <x v="5"/>
    <x v="0"/>
    <x v="0"/>
    <x v="5"/>
    <x v="0"/>
  </r>
  <r>
    <x v="0"/>
    <x v="0"/>
    <n v="2239177585"/>
    <x v="6"/>
    <n v="15000"/>
    <x v="1"/>
    <x v="0"/>
    <x v="36"/>
    <x v="6"/>
    <x v="0"/>
    <x v="0"/>
    <x v="5"/>
    <x v="0"/>
  </r>
  <r>
    <x v="0"/>
    <x v="0"/>
    <n v="2239177586"/>
    <x v="3"/>
    <n v="31680"/>
    <x v="1"/>
    <x v="0"/>
    <x v="36"/>
    <x v="3"/>
    <x v="0"/>
    <x v="0"/>
    <x v="3"/>
    <x v="0"/>
  </r>
  <r>
    <x v="0"/>
    <x v="0"/>
    <n v="2239177587"/>
    <x v="7"/>
    <n v="1500"/>
    <x v="1"/>
    <x v="0"/>
    <x v="36"/>
    <x v="7"/>
    <x v="0"/>
    <x v="0"/>
    <x v="1"/>
    <x v="0"/>
  </r>
  <r>
    <x v="0"/>
    <x v="0"/>
    <n v="2239177588"/>
    <x v="2"/>
    <n v="10500"/>
    <x v="1"/>
    <x v="0"/>
    <x v="36"/>
    <x v="2"/>
    <x v="0"/>
    <x v="0"/>
    <x v="2"/>
    <x v="0"/>
  </r>
  <r>
    <x v="0"/>
    <x v="0"/>
    <n v="2239177589"/>
    <x v="2"/>
    <n v="13000"/>
    <x v="1"/>
    <x v="0"/>
    <x v="36"/>
    <x v="2"/>
    <x v="0"/>
    <x v="0"/>
    <x v="2"/>
    <x v="0"/>
  </r>
  <r>
    <x v="0"/>
    <x v="0"/>
    <n v="2239177590"/>
    <x v="5"/>
    <n v="-7000"/>
    <x v="1"/>
    <x v="0"/>
    <x v="36"/>
    <x v="5"/>
    <x v="0"/>
    <x v="0"/>
    <x v="5"/>
    <x v="0"/>
  </r>
  <r>
    <x v="0"/>
    <x v="0"/>
    <n v="2239177590"/>
    <x v="6"/>
    <n v="20000"/>
    <x v="1"/>
    <x v="0"/>
    <x v="36"/>
    <x v="6"/>
    <x v="0"/>
    <x v="0"/>
    <x v="5"/>
    <x v="0"/>
  </r>
  <r>
    <x v="0"/>
    <x v="0"/>
    <n v="2239177591"/>
    <x v="5"/>
    <n v="-5700"/>
    <x v="1"/>
    <x v="0"/>
    <x v="36"/>
    <x v="5"/>
    <x v="0"/>
    <x v="0"/>
    <x v="5"/>
    <x v="0"/>
  </r>
  <r>
    <x v="0"/>
    <x v="0"/>
    <n v="2239177591"/>
    <x v="6"/>
    <n v="20000"/>
    <x v="1"/>
    <x v="0"/>
    <x v="36"/>
    <x v="6"/>
    <x v="0"/>
    <x v="0"/>
    <x v="5"/>
    <x v="0"/>
  </r>
  <r>
    <x v="0"/>
    <x v="0"/>
    <n v="2239177592"/>
    <x v="5"/>
    <n v="-2500"/>
    <x v="1"/>
    <x v="0"/>
    <x v="36"/>
    <x v="5"/>
    <x v="0"/>
    <x v="0"/>
    <x v="5"/>
    <x v="0"/>
  </r>
  <r>
    <x v="0"/>
    <x v="0"/>
    <n v="2239177592"/>
    <x v="6"/>
    <n v="10000"/>
    <x v="1"/>
    <x v="0"/>
    <x v="36"/>
    <x v="6"/>
    <x v="0"/>
    <x v="0"/>
    <x v="5"/>
    <x v="0"/>
  </r>
  <r>
    <x v="0"/>
    <x v="0"/>
    <n v="2239177593"/>
    <x v="0"/>
    <n v="1200"/>
    <x v="1"/>
    <x v="0"/>
    <x v="36"/>
    <x v="0"/>
    <x v="0"/>
    <x v="0"/>
    <x v="0"/>
    <x v="0"/>
  </r>
  <r>
    <x v="0"/>
    <x v="0"/>
    <n v="2239177594"/>
    <x v="6"/>
    <n v="10000"/>
    <x v="1"/>
    <x v="0"/>
    <x v="36"/>
    <x v="6"/>
    <x v="0"/>
    <x v="0"/>
    <x v="5"/>
    <x v="0"/>
  </r>
  <r>
    <x v="0"/>
    <x v="0"/>
    <n v="2239177595"/>
    <x v="5"/>
    <n v="-5300"/>
    <x v="1"/>
    <x v="0"/>
    <x v="36"/>
    <x v="5"/>
    <x v="0"/>
    <x v="0"/>
    <x v="5"/>
    <x v="0"/>
  </r>
  <r>
    <x v="0"/>
    <x v="0"/>
    <n v="2239177595"/>
    <x v="4"/>
    <n v="11000"/>
    <x v="1"/>
    <x v="0"/>
    <x v="36"/>
    <x v="4"/>
    <x v="0"/>
    <x v="0"/>
    <x v="4"/>
    <x v="0"/>
  </r>
  <r>
    <x v="0"/>
    <x v="0"/>
    <n v="2239177596"/>
    <x v="2"/>
    <n v="19800"/>
    <x v="1"/>
    <x v="0"/>
    <x v="36"/>
    <x v="2"/>
    <x v="0"/>
    <x v="0"/>
    <x v="2"/>
    <x v="0"/>
  </r>
  <r>
    <x v="0"/>
    <x v="0"/>
    <n v="2239177597"/>
    <x v="2"/>
    <n v="14300"/>
    <x v="1"/>
    <x v="0"/>
    <x v="36"/>
    <x v="2"/>
    <x v="0"/>
    <x v="0"/>
    <x v="2"/>
    <x v="0"/>
  </r>
  <r>
    <x v="0"/>
    <x v="0"/>
    <n v="2239177598"/>
    <x v="5"/>
    <n v="-2000"/>
    <x v="1"/>
    <x v="0"/>
    <x v="36"/>
    <x v="5"/>
    <x v="0"/>
    <x v="0"/>
    <x v="5"/>
    <x v="0"/>
  </r>
  <r>
    <x v="0"/>
    <x v="0"/>
    <n v="2239177598"/>
    <x v="6"/>
    <n v="15000"/>
    <x v="1"/>
    <x v="0"/>
    <x v="36"/>
    <x v="6"/>
    <x v="0"/>
    <x v="0"/>
    <x v="5"/>
    <x v="0"/>
  </r>
  <r>
    <x v="0"/>
    <x v="0"/>
    <n v="2239177599"/>
    <x v="5"/>
    <n v="-2000"/>
    <x v="1"/>
    <x v="0"/>
    <x v="36"/>
    <x v="5"/>
    <x v="0"/>
    <x v="0"/>
    <x v="5"/>
    <x v="0"/>
  </r>
  <r>
    <x v="0"/>
    <x v="0"/>
    <n v="2239177599"/>
    <x v="6"/>
    <n v="15000"/>
    <x v="1"/>
    <x v="0"/>
    <x v="36"/>
    <x v="6"/>
    <x v="0"/>
    <x v="0"/>
    <x v="5"/>
    <x v="0"/>
  </r>
  <r>
    <x v="0"/>
    <x v="0"/>
    <n v="2239177600"/>
    <x v="0"/>
    <n v="6500"/>
    <x v="1"/>
    <x v="0"/>
    <x v="36"/>
    <x v="0"/>
    <x v="0"/>
    <x v="0"/>
    <x v="0"/>
    <x v="0"/>
  </r>
  <r>
    <x v="0"/>
    <x v="0"/>
    <n v="2239177601"/>
    <x v="0"/>
    <n v="2250"/>
    <x v="1"/>
    <x v="0"/>
    <x v="36"/>
    <x v="0"/>
    <x v="0"/>
    <x v="0"/>
    <x v="0"/>
    <x v="0"/>
  </r>
  <r>
    <x v="0"/>
    <x v="0"/>
    <n v="2239177602"/>
    <x v="5"/>
    <n v="-5400"/>
    <x v="1"/>
    <x v="0"/>
    <x v="36"/>
    <x v="5"/>
    <x v="0"/>
    <x v="0"/>
    <x v="5"/>
    <x v="0"/>
  </r>
  <r>
    <x v="0"/>
    <x v="0"/>
    <n v="2239177602"/>
    <x v="4"/>
    <n v="10000"/>
    <x v="1"/>
    <x v="0"/>
    <x v="36"/>
    <x v="4"/>
    <x v="0"/>
    <x v="0"/>
    <x v="4"/>
    <x v="0"/>
  </r>
  <r>
    <x v="0"/>
    <x v="0"/>
    <n v="2239177603"/>
    <x v="7"/>
    <n v="1500"/>
    <x v="1"/>
    <x v="0"/>
    <x v="36"/>
    <x v="7"/>
    <x v="0"/>
    <x v="0"/>
    <x v="1"/>
    <x v="0"/>
  </r>
  <r>
    <x v="0"/>
    <x v="0"/>
    <n v="2239177604"/>
    <x v="7"/>
    <n v="7000"/>
    <x v="1"/>
    <x v="0"/>
    <x v="36"/>
    <x v="7"/>
    <x v="0"/>
    <x v="0"/>
    <x v="1"/>
    <x v="0"/>
  </r>
  <r>
    <x v="0"/>
    <x v="0"/>
    <n v="2239177606"/>
    <x v="2"/>
    <n v="3000"/>
    <x v="1"/>
    <x v="0"/>
    <x v="36"/>
    <x v="2"/>
    <x v="0"/>
    <x v="0"/>
    <x v="2"/>
    <x v="0"/>
  </r>
  <r>
    <x v="0"/>
    <x v="0"/>
    <n v="2239177607"/>
    <x v="7"/>
    <n v="1500"/>
    <x v="1"/>
    <x v="0"/>
    <x v="36"/>
    <x v="7"/>
    <x v="0"/>
    <x v="0"/>
    <x v="1"/>
    <x v="0"/>
  </r>
  <r>
    <x v="0"/>
    <x v="0"/>
    <n v="2239177608"/>
    <x v="7"/>
    <n v="1500"/>
    <x v="1"/>
    <x v="0"/>
    <x v="36"/>
    <x v="7"/>
    <x v="0"/>
    <x v="0"/>
    <x v="1"/>
    <x v="0"/>
  </r>
  <r>
    <x v="0"/>
    <x v="0"/>
    <n v="2239177610"/>
    <x v="5"/>
    <n v="-400"/>
    <x v="1"/>
    <x v="0"/>
    <x v="36"/>
    <x v="5"/>
    <x v="0"/>
    <x v="0"/>
    <x v="5"/>
    <x v="0"/>
  </r>
  <r>
    <x v="0"/>
    <x v="0"/>
    <n v="2239177610"/>
    <x v="4"/>
    <n v="11000"/>
    <x v="1"/>
    <x v="0"/>
    <x v="36"/>
    <x v="4"/>
    <x v="0"/>
    <x v="0"/>
    <x v="4"/>
    <x v="0"/>
  </r>
  <r>
    <x v="0"/>
    <x v="0"/>
    <n v="2239177611"/>
    <x v="7"/>
    <n v="1500"/>
    <x v="1"/>
    <x v="0"/>
    <x v="36"/>
    <x v="7"/>
    <x v="0"/>
    <x v="0"/>
    <x v="1"/>
    <x v="0"/>
  </r>
  <r>
    <x v="0"/>
    <x v="0"/>
    <n v="2239177612"/>
    <x v="1"/>
    <n v="3150"/>
    <x v="1"/>
    <x v="0"/>
    <x v="36"/>
    <x v="1"/>
    <x v="0"/>
    <x v="0"/>
    <x v="1"/>
    <x v="0"/>
  </r>
  <r>
    <x v="0"/>
    <x v="0"/>
    <n v="2239177613"/>
    <x v="5"/>
    <n v="-3560"/>
    <x v="1"/>
    <x v="0"/>
    <x v="36"/>
    <x v="5"/>
    <x v="0"/>
    <x v="0"/>
    <x v="5"/>
    <x v="0"/>
  </r>
  <r>
    <x v="0"/>
    <x v="0"/>
    <n v="2239177613"/>
    <x v="6"/>
    <n v="10000"/>
    <x v="1"/>
    <x v="0"/>
    <x v="36"/>
    <x v="6"/>
    <x v="0"/>
    <x v="0"/>
    <x v="5"/>
    <x v="0"/>
  </r>
  <r>
    <x v="0"/>
    <x v="0"/>
    <n v="2239177615"/>
    <x v="1"/>
    <n v="6000"/>
    <x v="1"/>
    <x v="0"/>
    <x v="36"/>
    <x v="1"/>
    <x v="0"/>
    <x v="0"/>
    <x v="1"/>
    <x v="0"/>
  </r>
  <r>
    <x v="0"/>
    <x v="0"/>
    <n v="2239177616"/>
    <x v="1"/>
    <n v="23980"/>
    <x v="1"/>
    <x v="0"/>
    <x v="36"/>
    <x v="1"/>
    <x v="0"/>
    <x v="0"/>
    <x v="1"/>
    <x v="0"/>
  </r>
  <r>
    <x v="0"/>
    <x v="0"/>
    <n v="2239177617"/>
    <x v="1"/>
    <n v="13500"/>
    <x v="1"/>
    <x v="0"/>
    <x v="36"/>
    <x v="1"/>
    <x v="0"/>
    <x v="0"/>
    <x v="1"/>
    <x v="0"/>
  </r>
  <r>
    <x v="0"/>
    <x v="0"/>
    <n v="2239177618"/>
    <x v="1"/>
    <n v="1140"/>
    <x v="1"/>
    <x v="0"/>
    <x v="36"/>
    <x v="1"/>
    <x v="0"/>
    <x v="0"/>
    <x v="1"/>
    <x v="0"/>
  </r>
  <r>
    <x v="0"/>
    <x v="0"/>
    <n v="2239177619"/>
    <x v="1"/>
    <n v="54870"/>
    <x v="1"/>
    <x v="0"/>
    <x v="36"/>
    <x v="1"/>
    <x v="0"/>
    <x v="0"/>
    <x v="1"/>
    <x v="0"/>
  </r>
  <r>
    <x v="0"/>
    <x v="0"/>
    <n v="2239177620"/>
    <x v="0"/>
    <n v="7200"/>
    <x v="1"/>
    <x v="0"/>
    <x v="36"/>
    <x v="0"/>
    <x v="0"/>
    <x v="0"/>
    <x v="0"/>
    <x v="0"/>
  </r>
  <r>
    <x v="0"/>
    <x v="0"/>
    <n v="2239177622"/>
    <x v="1"/>
    <n v="6720"/>
    <x v="1"/>
    <x v="0"/>
    <x v="36"/>
    <x v="1"/>
    <x v="0"/>
    <x v="0"/>
    <x v="1"/>
    <x v="0"/>
  </r>
  <r>
    <x v="0"/>
    <x v="0"/>
    <n v="2239177623"/>
    <x v="3"/>
    <n v="11440"/>
    <x v="1"/>
    <x v="0"/>
    <x v="36"/>
    <x v="3"/>
    <x v="0"/>
    <x v="0"/>
    <x v="3"/>
    <x v="0"/>
  </r>
  <r>
    <x v="0"/>
    <x v="0"/>
    <n v="2239177624"/>
    <x v="1"/>
    <n v="14870"/>
    <x v="1"/>
    <x v="0"/>
    <x v="36"/>
    <x v="1"/>
    <x v="0"/>
    <x v="0"/>
    <x v="1"/>
    <x v="0"/>
  </r>
  <r>
    <x v="0"/>
    <x v="0"/>
    <n v="2239177625"/>
    <x v="1"/>
    <n v="2850"/>
    <x v="1"/>
    <x v="0"/>
    <x v="36"/>
    <x v="1"/>
    <x v="0"/>
    <x v="0"/>
    <x v="1"/>
    <x v="0"/>
  </r>
  <r>
    <x v="0"/>
    <x v="0"/>
    <n v="2239177626"/>
    <x v="1"/>
    <n v="1800"/>
    <x v="1"/>
    <x v="0"/>
    <x v="36"/>
    <x v="1"/>
    <x v="0"/>
    <x v="0"/>
    <x v="1"/>
    <x v="0"/>
  </r>
  <r>
    <x v="0"/>
    <x v="0"/>
    <n v="2239177628"/>
    <x v="1"/>
    <n v="11550"/>
    <x v="1"/>
    <x v="0"/>
    <x v="36"/>
    <x v="1"/>
    <x v="0"/>
    <x v="0"/>
    <x v="1"/>
    <x v="0"/>
  </r>
  <r>
    <x v="0"/>
    <x v="0"/>
    <n v="2239177629"/>
    <x v="1"/>
    <n v="1050"/>
    <x v="1"/>
    <x v="0"/>
    <x v="36"/>
    <x v="1"/>
    <x v="0"/>
    <x v="0"/>
    <x v="1"/>
    <x v="0"/>
  </r>
  <r>
    <x v="0"/>
    <x v="0"/>
    <n v="2239177630"/>
    <x v="1"/>
    <n v="1140"/>
    <x v="1"/>
    <x v="0"/>
    <x v="36"/>
    <x v="1"/>
    <x v="0"/>
    <x v="0"/>
    <x v="1"/>
    <x v="0"/>
  </r>
  <r>
    <x v="0"/>
    <x v="0"/>
    <n v="2239177631"/>
    <x v="1"/>
    <n v="15540"/>
    <x v="1"/>
    <x v="0"/>
    <x v="36"/>
    <x v="1"/>
    <x v="0"/>
    <x v="0"/>
    <x v="1"/>
    <x v="0"/>
  </r>
  <r>
    <x v="0"/>
    <x v="0"/>
    <n v="2239177632"/>
    <x v="1"/>
    <n v="6500"/>
    <x v="1"/>
    <x v="0"/>
    <x v="36"/>
    <x v="1"/>
    <x v="0"/>
    <x v="0"/>
    <x v="1"/>
    <x v="0"/>
  </r>
  <r>
    <x v="0"/>
    <x v="0"/>
    <n v="2239177633"/>
    <x v="1"/>
    <n v="7800"/>
    <x v="1"/>
    <x v="0"/>
    <x v="36"/>
    <x v="1"/>
    <x v="0"/>
    <x v="0"/>
    <x v="1"/>
    <x v="0"/>
  </r>
  <r>
    <x v="0"/>
    <x v="0"/>
    <n v="2239177634"/>
    <x v="1"/>
    <n v="8100"/>
    <x v="1"/>
    <x v="0"/>
    <x v="36"/>
    <x v="1"/>
    <x v="0"/>
    <x v="0"/>
    <x v="1"/>
    <x v="0"/>
  </r>
  <r>
    <x v="0"/>
    <x v="0"/>
    <n v="2239177635"/>
    <x v="2"/>
    <n v="3000"/>
    <x v="1"/>
    <x v="0"/>
    <x v="36"/>
    <x v="2"/>
    <x v="0"/>
    <x v="0"/>
    <x v="2"/>
    <x v="0"/>
  </r>
  <r>
    <x v="0"/>
    <x v="0"/>
    <n v="2239177636"/>
    <x v="6"/>
    <n v="3000"/>
    <x v="1"/>
    <x v="0"/>
    <x v="36"/>
    <x v="6"/>
    <x v="0"/>
    <x v="0"/>
    <x v="5"/>
    <x v="0"/>
  </r>
  <r>
    <x v="0"/>
    <x v="0"/>
    <n v="2239177637"/>
    <x v="1"/>
    <n v="900"/>
    <x v="1"/>
    <x v="0"/>
    <x v="36"/>
    <x v="1"/>
    <x v="0"/>
    <x v="0"/>
    <x v="1"/>
    <x v="0"/>
  </r>
  <r>
    <x v="0"/>
    <x v="0"/>
    <n v="2239177638"/>
    <x v="5"/>
    <n v="-4100"/>
    <x v="1"/>
    <x v="0"/>
    <x v="36"/>
    <x v="5"/>
    <x v="0"/>
    <x v="0"/>
    <x v="5"/>
    <x v="0"/>
  </r>
  <r>
    <x v="0"/>
    <x v="0"/>
    <n v="2239177638"/>
    <x v="4"/>
    <n v="20000"/>
    <x v="1"/>
    <x v="0"/>
    <x v="36"/>
    <x v="4"/>
    <x v="0"/>
    <x v="0"/>
    <x v="4"/>
    <x v="0"/>
  </r>
  <r>
    <x v="0"/>
    <x v="0"/>
    <n v="2239177639"/>
    <x v="5"/>
    <n v="-400"/>
    <x v="1"/>
    <x v="0"/>
    <x v="36"/>
    <x v="5"/>
    <x v="0"/>
    <x v="0"/>
    <x v="5"/>
    <x v="0"/>
  </r>
  <r>
    <x v="0"/>
    <x v="0"/>
    <n v="2239177639"/>
    <x v="4"/>
    <n v="5000"/>
    <x v="1"/>
    <x v="0"/>
    <x v="36"/>
    <x v="4"/>
    <x v="0"/>
    <x v="0"/>
    <x v="4"/>
    <x v="0"/>
  </r>
  <r>
    <x v="0"/>
    <x v="0"/>
    <n v="2239177640"/>
    <x v="1"/>
    <n v="2940"/>
    <x v="1"/>
    <x v="0"/>
    <x v="36"/>
    <x v="1"/>
    <x v="0"/>
    <x v="0"/>
    <x v="1"/>
    <x v="0"/>
  </r>
  <r>
    <x v="0"/>
    <x v="0"/>
    <n v="2239177641"/>
    <x v="2"/>
    <n v="3000"/>
    <x v="1"/>
    <x v="0"/>
    <x v="36"/>
    <x v="2"/>
    <x v="0"/>
    <x v="0"/>
    <x v="2"/>
    <x v="0"/>
  </r>
  <r>
    <x v="0"/>
    <x v="0"/>
    <n v="2239177642"/>
    <x v="5"/>
    <n v="-4300"/>
    <x v="1"/>
    <x v="0"/>
    <x v="36"/>
    <x v="5"/>
    <x v="0"/>
    <x v="0"/>
    <x v="5"/>
    <x v="0"/>
  </r>
  <r>
    <x v="0"/>
    <x v="0"/>
    <n v="2239177642"/>
    <x v="4"/>
    <n v="10000"/>
    <x v="1"/>
    <x v="0"/>
    <x v="36"/>
    <x v="4"/>
    <x v="0"/>
    <x v="0"/>
    <x v="4"/>
    <x v="0"/>
  </r>
  <r>
    <x v="0"/>
    <x v="0"/>
    <n v="2239177643"/>
    <x v="5"/>
    <n v="-5500"/>
    <x v="1"/>
    <x v="0"/>
    <x v="36"/>
    <x v="5"/>
    <x v="0"/>
    <x v="0"/>
    <x v="5"/>
    <x v="0"/>
  </r>
  <r>
    <x v="0"/>
    <x v="0"/>
    <n v="2239177643"/>
    <x v="6"/>
    <n v="10000"/>
    <x v="1"/>
    <x v="0"/>
    <x v="36"/>
    <x v="6"/>
    <x v="0"/>
    <x v="0"/>
    <x v="5"/>
    <x v="0"/>
  </r>
  <r>
    <x v="0"/>
    <x v="0"/>
    <n v="2239177644"/>
    <x v="5"/>
    <n v="-100"/>
    <x v="1"/>
    <x v="0"/>
    <x v="36"/>
    <x v="5"/>
    <x v="0"/>
    <x v="0"/>
    <x v="5"/>
    <x v="0"/>
  </r>
  <r>
    <x v="0"/>
    <x v="0"/>
    <n v="2239177644"/>
    <x v="4"/>
    <n v="10000"/>
    <x v="1"/>
    <x v="0"/>
    <x v="36"/>
    <x v="4"/>
    <x v="0"/>
    <x v="0"/>
    <x v="4"/>
    <x v="0"/>
  </r>
  <r>
    <x v="0"/>
    <x v="0"/>
    <n v="2239177645"/>
    <x v="2"/>
    <n v="8800"/>
    <x v="1"/>
    <x v="0"/>
    <x v="36"/>
    <x v="2"/>
    <x v="0"/>
    <x v="0"/>
    <x v="2"/>
    <x v="0"/>
  </r>
  <r>
    <x v="0"/>
    <x v="0"/>
    <n v="2239177646"/>
    <x v="1"/>
    <n v="3300"/>
    <x v="1"/>
    <x v="0"/>
    <x v="36"/>
    <x v="1"/>
    <x v="0"/>
    <x v="0"/>
    <x v="1"/>
    <x v="0"/>
  </r>
  <r>
    <x v="0"/>
    <x v="0"/>
    <n v="2239177647"/>
    <x v="0"/>
    <n v="13350"/>
    <x v="1"/>
    <x v="0"/>
    <x v="36"/>
    <x v="0"/>
    <x v="0"/>
    <x v="0"/>
    <x v="0"/>
    <x v="0"/>
  </r>
  <r>
    <x v="0"/>
    <x v="0"/>
    <n v="2239177649"/>
    <x v="5"/>
    <n v="-4500"/>
    <x v="1"/>
    <x v="0"/>
    <x v="36"/>
    <x v="5"/>
    <x v="0"/>
    <x v="0"/>
    <x v="5"/>
    <x v="0"/>
  </r>
  <r>
    <x v="0"/>
    <x v="0"/>
    <n v="2239177649"/>
    <x v="4"/>
    <n v="10100"/>
    <x v="1"/>
    <x v="0"/>
    <x v="36"/>
    <x v="4"/>
    <x v="0"/>
    <x v="0"/>
    <x v="4"/>
    <x v="0"/>
  </r>
  <r>
    <x v="0"/>
    <x v="0"/>
    <n v="2239177650"/>
    <x v="3"/>
    <n v="17600"/>
    <x v="1"/>
    <x v="0"/>
    <x v="36"/>
    <x v="3"/>
    <x v="0"/>
    <x v="0"/>
    <x v="3"/>
    <x v="0"/>
  </r>
  <r>
    <x v="0"/>
    <x v="0"/>
    <n v="2239177651"/>
    <x v="4"/>
    <n v="5300"/>
    <x v="1"/>
    <x v="0"/>
    <x v="36"/>
    <x v="4"/>
    <x v="0"/>
    <x v="0"/>
    <x v="4"/>
    <x v="0"/>
  </r>
  <r>
    <x v="0"/>
    <x v="0"/>
    <n v="2239177652"/>
    <x v="2"/>
    <n v="7500"/>
    <x v="1"/>
    <x v="0"/>
    <x v="36"/>
    <x v="2"/>
    <x v="0"/>
    <x v="0"/>
    <x v="2"/>
    <x v="0"/>
  </r>
  <r>
    <x v="0"/>
    <x v="0"/>
    <n v="2239177653"/>
    <x v="1"/>
    <n v="3300"/>
    <x v="1"/>
    <x v="0"/>
    <x v="36"/>
    <x v="1"/>
    <x v="0"/>
    <x v="0"/>
    <x v="1"/>
    <x v="0"/>
  </r>
  <r>
    <x v="0"/>
    <x v="0"/>
    <n v="2239177654"/>
    <x v="2"/>
    <n v="9350"/>
    <x v="1"/>
    <x v="0"/>
    <x v="36"/>
    <x v="2"/>
    <x v="0"/>
    <x v="0"/>
    <x v="2"/>
    <x v="0"/>
  </r>
  <r>
    <x v="0"/>
    <x v="0"/>
    <n v="2239177655"/>
    <x v="1"/>
    <n v="2280"/>
    <x v="1"/>
    <x v="0"/>
    <x v="36"/>
    <x v="1"/>
    <x v="0"/>
    <x v="0"/>
    <x v="1"/>
    <x v="0"/>
  </r>
  <r>
    <x v="0"/>
    <x v="0"/>
    <n v="2239177656"/>
    <x v="3"/>
    <n v="8360"/>
    <x v="1"/>
    <x v="0"/>
    <x v="36"/>
    <x v="3"/>
    <x v="0"/>
    <x v="0"/>
    <x v="3"/>
    <x v="0"/>
  </r>
  <r>
    <x v="0"/>
    <x v="0"/>
    <n v="2239177657"/>
    <x v="5"/>
    <n v="-5600"/>
    <x v="1"/>
    <x v="0"/>
    <x v="36"/>
    <x v="5"/>
    <x v="0"/>
    <x v="0"/>
    <x v="5"/>
    <x v="0"/>
  </r>
  <r>
    <x v="0"/>
    <x v="0"/>
    <n v="2239177657"/>
    <x v="4"/>
    <n v="10000"/>
    <x v="1"/>
    <x v="0"/>
    <x v="36"/>
    <x v="4"/>
    <x v="0"/>
    <x v="0"/>
    <x v="4"/>
    <x v="0"/>
  </r>
  <r>
    <x v="0"/>
    <x v="0"/>
    <n v="2239177659"/>
    <x v="2"/>
    <n v="26500"/>
    <x v="1"/>
    <x v="0"/>
    <x v="36"/>
    <x v="2"/>
    <x v="0"/>
    <x v="0"/>
    <x v="2"/>
    <x v="0"/>
  </r>
  <r>
    <x v="0"/>
    <x v="0"/>
    <n v="2239177660"/>
    <x v="7"/>
    <n v="1500"/>
    <x v="1"/>
    <x v="0"/>
    <x v="36"/>
    <x v="7"/>
    <x v="0"/>
    <x v="0"/>
    <x v="1"/>
    <x v="0"/>
  </r>
  <r>
    <x v="0"/>
    <x v="0"/>
    <n v="2239177661"/>
    <x v="8"/>
    <n v="37972"/>
    <x v="1"/>
    <x v="0"/>
    <x v="36"/>
    <x v="8"/>
    <x v="0"/>
    <x v="0"/>
    <x v="3"/>
    <x v="0"/>
  </r>
  <r>
    <x v="0"/>
    <x v="0"/>
    <n v="2239177661"/>
    <x v="7"/>
    <n v="9380"/>
    <x v="1"/>
    <x v="0"/>
    <x v="36"/>
    <x v="7"/>
    <x v="0"/>
    <x v="0"/>
    <x v="1"/>
    <x v="0"/>
  </r>
  <r>
    <x v="0"/>
    <x v="0"/>
    <n v="2239177662"/>
    <x v="2"/>
    <n v="58520"/>
    <x v="1"/>
    <x v="0"/>
    <x v="36"/>
    <x v="2"/>
    <x v="0"/>
    <x v="0"/>
    <x v="2"/>
    <x v="0"/>
  </r>
  <r>
    <x v="0"/>
    <x v="0"/>
    <n v="2239177663"/>
    <x v="5"/>
    <n v="-7400"/>
    <x v="1"/>
    <x v="0"/>
    <x v="36"/>
    <x v="5"/>
    <x v="0"/>
    <x v="0"/>
    <x v="5"/>
    <x v="0"/>
  </r>
  <r>
    <x v="0"/>
    <x v="0"/>
    <n v="2239177663"/>
    <x v="6"/>
    <n v="20000"/>
    <x v="1"/>
    <x v="0"/>
    <x v="36"/>
    <x v="6"/>
    <x v="0"/>
    <x v="0"/>
    <x v="5"/>
    <x v="0"/>
  </r>
  <r>
    <x v="0"/>
    <x v="0"/>
    <n v="2239177664"/>
    <x v="7"/>
    <n v="1500"/>
    <x v="1"/>
    <x v="0"/>
    <x v="36"/>
    <x v="7"/>
    <x v="0"/>
    <x v="0"/>
    <x v="1"/>
    <x v="0"/>
  </r>
  <r>
    <x v="0"/>
    <x v="0"/>
    <n v="2239177667"/>
    <x v="2"/>
    <n v="22330"/>
    <x v="1"/>
    <x v="0"/>
    <x v="36"/>
    <x v="2"/>
    <x v="0"/>
    <x v="0"/>
    <x v="2"/>
    <x v="0"/>
  </r>
  <r>
    <x v="0"/>
    <x v="0"/>
    <n v="2239177668"/>
    <x v="2"/>
    <n v="25344"/>
    <x v="1"/>
    <x v="0"/>
    <x v="36"/>
    <x v="2"/>
    <x v="0"/>
    <x v="0"/>
    <x v="2"/>
    <x v="0"/>
  </r>
  <r>
    <x v="0"/>
    <x v="0"/>
    <n v="2239177668"/>
    <x v="7"/>
    <n v="5760"/>
    <x v="1"/>
    <x v="0"/>
    <x v="36"/>
    <x v="7"/>
    <x v="0"/>
    <x v="0"/>
    <x v="1"/>
    <x v="0"/>
  </r>
  <r>
    <x v="0"/>
    <x v="0"/>
    <n v="2239177670"/>
    <x v="2"/>
    <n v="5500"/>
    <x v="1"/>
    <x v="0"/>
    <x v="36"/>
    <x v="2"/>
    <x v="0"/>
    <x v="0"/>
    <x v="2"/>
    <x v="0"/>
  </r>
  <r>
    <x v="0"/>
    <x v="0"/>
    <n v="2239177671"/>
    <x v="2"/>
    <n v="14410"/>
    <x v="1"/>
    <x v="0"/>
    <x v="36"/>
    <x v="2"/>
    <x v="0"/>
    <x v="0"/>
    <x v="2"/>
    <x v="0"/>
  </r>
  <r>
    <x v="0"/>
    <x v="0"/>
    <n v="2239177672"/>
    <x v="7"/>
    <n v="1500"/>
    <x v="1"/>
    <x v="0"/>
    <x v="36"/>
    <x v="7"/>
    <x v="0"/>
    <x v="0"/>
    <x v="1"/>
    <x v="0"/>
  </r>
  <r>
    <x v="0"/>
    <x v="0"/>
    <n v="2239177674"/>
    <x v="5"/>
    <n v="-5000"/>
    <x v="1"/>
    <x v="0"/>
    <x v="36"/>
    <x v="5"/>
    <x v="0"/>
    <x v="0"/>
    <x v="5"/>
    <x v="0"/>
  </r>
  <r>
    <x v="0"/>
    <x v="0"/>
    <n v="2239177674"/>
    <x v="4"/>
    <n v="10000"/>
    <x v="1"/>
    <x v="0"/>
    <x v="36"/>
    <x v="4"/>
    <x v="0"/>
    <x v="0"/>
    <x v="4"/>
    <x v="0"/>
  </r>
  <r>
    <x v="0"/>
    <x v="0"/>
    <n v="2239177675"/>
    <x v="1"/>
    <n v="4050"/>
    <x v="1"/>
    <x v="0"/>
    <x v="36"/>
    <x v="1"/>
    <x v="0"/>
    <x v="0"/>
    <x v="1"/>
    <x v="0"/>
  </r>
  <r>
    <x v="0"/>
    <x v="0"/>
    <n v="2239177676"/>
    <x v="2"/>
    <n v="12500"/>
    <x v="1"/>
    <x v="0"/>
    <x v="36"/>
    <x v="2"/>
    <x v="0"/>
    <x v="0"/>
    <x v="2"/>
    <x v="0"/>
  </r>
  <r>
    <x v="0"/>
    <x v="0"/>
    <n v="2239177677"/>
    <x v="2"/>
    <n v="10890"/>
    <x v="1"/>
    <x v="0"/>
    <x v="36"/>
    <x v="2"/>
    <x v="0"/>
    <x v="0"/>
    <x v="2"/>
    <x v="0"/>
  </r>
  <r>
    <x v="0"/>
    <x v="0"/>
    <n v="2239177678"/>
    <x v="1"/>
    <n v="900"/>
    <x v="1"/>
    <x v="0"/>
    <x v="36"/>
    <x v="1"/>
    <x v="0"/>
    <x v="0"/>
    <x v="1"/>
    <x v="0"/>
  </r>
  <r>
    <x v="0"/>
    <x v="0"/>
    <n v="2239177679"/>
    <x v="3"/>
    <n v="39710"/>
    <x v="1"/>
    <x v="0"/>
    <x v="36"/>
    <x v="3"/>
    <x v="0"/>
    <x v="0"/>
    <x v="3"/>
    <x v="0"/>
  </r>
  <r>
    <x v="0"/>
    <x v="0"/>
    <n v="2239177680"/>
    <x v="5"/>
    <n v="-5000"/>
    <x v="1"/>
    <x v="0"/>
    <x v="36"/>
    <x v="5"/>
    <x v="0"/>
    <x v="0"/>
    <x v="5"/>
    <x v="0"/>
  </r>
  <r>
    <x v="0"/>
    <x v="0"/>
    <n v="2239177680"/>
    <x v="4"/>
    <n v="10300"/>
    <x v="1"/>
    <x v="0"/>
    <x v="36"/>
    <x v="4"/>
    <x v="0"/>
    <x v="0"/>
    <x v="4"/>
    <x v="0"/>
  </r>
  <r>
    <x v="0"/>
    <x v="0"/>
    <n v="2239177681"/>
    <x v="5"/>
    <n v="-5000"/>
    <x v="1"/>
    <x v="0"/>
    <x v="36"/>
    <x v="5"/>
    <x v="0"/>
    <x v="0"/>
    <x v="5"/>
    <x v="0"/>
  </r>
  <r>
    <x v="0"/>
    <x v="0"/>
    <n v="2239177681"/>
    <x v="4"/>
    <n v="10300"/>
    <x v="1"/>
    <x v="0"/>
    <x v="36"/>
    <x v="4"/>
    <x v="0"/>
    <x v="0"/>
    <x v="4"/>
    <x v="0"/>
  </r>
  <r>
    <x v="0"/>
    <x v="0"/>
    <n v="2239177682"/>
    <x v="5"/>
    <n v="-500"/>
    <x v="1"/>
    <x v="0"/>
    <x v="36"/>
    <x v="5"/>
    <x v="0"/>
    <x v="0"/>
    <x v="5"/>
    <x v="0"/>
  </r>
  <r>
    <x v="0"/>
    <x v="0"/>
    <n v="2239177682"/>
    <x v="6"/>
    <n v="10000"/>
    <x v="1"/>
    <x v="0"/>
    <x v="36"/>
    <x v="6"/>
    <x v="0"/>
    <x v="0"/>
    <x v="5"/>
    <x v="0"/>
  </r>
  <r>
    <x v="0"/>
    <x v="0"/>
    <n v="2239177683"/>
    <x v="1"/>
    <n v="6000"/>
    <x v="1"/>
    <x v="0"/>
    <x v="36"/>
    <x v="1"/>
    <x v="0"/>
    <x v="0"/>
    <x v="1"/>
    <x v="0"/>
  </r>
  <r>
    <x v="0"/>
    <x v="0"/>
    <n v="2239177684"/>
    <x v="5"/>
    <n v="-5500"/>
    <x v="1"/>
    <x v="0"/>
    <x v="36"/>
    <x v="5"/>
    <x v="0"/>
    <x v="0"/>
    <x v="5"/>
    <x v="0"/>
  </r>
  <r>
    <x v="0"/>
    <x v="0"/>
    <n v="2239177684"/>
    <x v="6"/>
    <n v="20000"/>
    <x v="1"/>
    <x v="0"/>
    <x v="36"/>
    <x v="6"/>
    <x v="0"/>
    <x v="0"/>
    <x v="5"/>
    <x v="0"/>
  </r>
  <r>
    <x v="0"/>
    <x v="0"/>
    <n v="2239177685"/>
    <x v="2"/>
    <n v="10450"/>
    <x v="1"/>
    <x v="0"/>
    <x v="36"/>
    <x v="2"/>
    <x v="0"/>
    <x v="0"/>
    <x v="2"/>
    <x v="0"/>
  </r>
  <r>
    <x v="0"/>
    <x v="0"/>
    <n v="2239177686"/>
    <x v="2"/>
    <n v="47630"/>
    <x v="1"/>
    <x v="0"/>
    <x v="36"/>
    <x v="2"/>
    <x v="0"/>
    <x v="0"/>
    <x v="2"/>
    <x v="0"/>
  </r>
  <r>
    <x v="0"/>
    <x v="0"/>
    <n v="2239177687"/>
    <x v="3"/>
    <n v="51040"/>
    <x v="1"/>
    <x v="0"/>
    <x v="36"/>
    <x v="3"/>
    <x v="0"/>
    <x v="0"/>
    <x v="3"/>
    <x v="0"/>
  </r>
  <r>
    <x v="0"/>
    <x v="0"/>
    <n v="2239177688"/>
    <x v="2"/>
    <n v="6500"/>
    <x v="1"/>
    <x v="0"/>
    <x v="36"/>
    <x v="2"/>
    <x v="0"/>
    <x v="0"/>
    <x v="2"/>
    <x v="0"/>
  </r>
  <r>
    <x v="0"/>
    <x v="0"/>
    <n v="2239177689"/>
    <x v="2"/>
    <n v="7500"/>
    <x v="1"/>
    <x v="0"/>
    <x v="36"/>
    <x v="2"/>
    <x v="0"/>
    <x v="0"/>
    <x v="2"/>
    <x v="0"/>
  </r>
  <r>
    <x v="0"/>
    <x v="0"/>
    <n v="2239177690"/>
    <x v="3"/>
    <n v="14740"/>
    <x v="1"/>
    <x v="0"/>
    <x v="36"/>
    <x v="3"/>
    <x v="0"/>
    <x v="0"/>
    <x v="3"/>
    <x v="0"/>
  </r>
  <r>
    <x v="0"/>
    <x v="0"/>
    <n v="2239177691"/>
    <x v="2"/>
    <n v="31790"/>
    <x v="1"/>
    <x v="0"/>
    <x v="36"/>
    <x v="2"/>
    <x v="0"/>
    <x v="0"/>
    <x v="2"/>
    <x v="0"/>
  </r>
  <r>
    <x v="0"/>
    <x v="0"/>
    <n v="2239177692"/>
    <x v="7"/>
    <n v="1500"/>
    <x v="1"/>
    <x v="0"/>
    <x v="36"/>
    <x v="7"/>
    <x v="0"/>
    <x v="0"/>
    <x v="1"/>
    <x v="0"/>
  </r>
  <r>
    <x v="0"/>
    <x v="0"/>
    <n v="2239177693"/>
    <x v="2"/>
    <n v="16500"/>
    <x v="1"/>
    <x v="0"/>
    <x v="36"/>
    <x v="2"/>
    <x v="0"/>
    <x v="0"/>
    <x v="2"/>
    <x v="0"/>
  </r>
  <r>
    <x v="0"/>
    <x v="0"/>
    <n v="2239177694"/>
    <x v="1"/>
    <n v="10350"/>
    <x v="1"/>
    <x v="0"/>
    <x v="36"/>
    <x v="1"/>
    <x v="0"/>
    <x v="0"/>
    <x v="1"/>
    <x v="0"/>
  </r>
  <r>
    <x v="0"/>
    <x v="0"/>
    <n v="2239177695"/>
    <x v="2"/>
    <n v="15000"/>
    <x v="1"/>
    <x v="0"/>
    <x v="36"/>
    <x v="2"/>
    <x v="0"/>
    <x v="0"/>
    <x v="2"/>
    <x v="0"/>
  </r>
  <r>
    <x v="0"/>
    <x v="0"/>
    <n v="2239177696"/>
    <x v="7"/>
    <n v="1500"/>
    <x v="1"/>
    <x v="0"/>
    <x v="36"/>
    <x v="7"/>
    <x v="0"/>
    <x v="0"/>
    <x v="1"/>
    <x v="0"/>
  </r>
  <r>
    <x v="0"/>
    <x v="0"/>
    <n v="2239177697"/>
    <x v="1"/>
    <n v="2190"/>
    <x v="1"/>
    <x v="0"/>
    <x v="36"/>
    <x v="1"/>
    <x v="0"/>
    <x v="0"/>
    <x v="1"/>
    <x v="0"/>
  </r>
  <r>
    <x v="0"/>
    <x v="0"/>
    <n v="2239177698"/>
    <x v="2"/>
    <n v="57000"/>
    <x v="1"/>
    <x v="0"/>
    <x v="36"/>
    <x v="2"/>
    <x v="0"/>
    <x v="0"/>
    <x v="2"/>
    <x v="0"/>
  </r>
  <r>
    <x v="0"/>
    <x v="0"/>
    <n v="2239180198"/>
    <x v="1"/>
    <n v="113030"/>
    <x v="1"/>
    <x v="0"/>
    <x v="37"/>
    <x v="1"/>
    <x v="0"/>
    <x v="0"/>
    <x v="1"/>
    <x v="0"/>
  </r>
  <r>
    <x v="0"/>
    <x v="0"/>
    <n v="2239180199"/>
    <x v="1"/>
    <n v="39000"/>
    <x v="1"/>
    <x v="0"/>
    <x v="37"/>
    <x v="1"/>
    <x v="0"/>
    <x v="0"/>
    <x v="1"/>
    <x v="0"/>
  </r>
  <r>
    <x v="0"/>
    <x v="0"/>
    <n v="2239180200"/>
    <x v="1"/>
    <n v="900"/>
    <x v="1"/>
    <x v="0"/>
    <x v="37"/>
    <x v="1"/>
    <x v="0"/>
    <x v="0"/>
    <x v="1"/>
    <x v="0"/>
  </r>
  <r>
    <x v="0"/>
    <x v="0"/>
    <n v="2239180201"/>
    <x v="1"/>
    <n v="1350"/>
    <x v="1"/>
    <x v="0"/>
    <x v="37"/>
    <x v="1"/>
    <x v="0"/>
    <x v="0"/>
    <x v="1"/>
    <x v="0"/>
  </r>
  <r>
    <x v="0"/>
    <x v="0"/>
    <n v="2239180203"/>
    <x v="5"/>
    <n v="-970"/>
    <x v="1"/>
    <x v="0"/>
    <x v="37"/>
    <x v="5"/>
    <x v="0"/>
    <x v="0"/>
    <x v="5"/>
    <x v="0"/>
  </r>
  <r>
    <x v="0"/>
    <x v="0"/>
    <n v="2239180203"/>
    <x v="6"/>
    <n v="10000"/>
    <x v="1"/>
    <x v="0"/>
    <x v="37"/>
    <x v="6"/>
    <x v="0"/>
    <x v="0"/>
    <x v="5"/>
    <x v="0"/>
  </r>
  <r>
    <x v="0"/>
    <x v="0"/>
    <n v="2239180203"/>
    <x v="7"/>
    <n v="3870"/>
    <x v="1"/>
    <x v="0"/>
    <x v="37"/>
    <x v="7"/>
    <x v="0"/>
    <x v="0"/>
    <x v="1"/>
    <x v="0"/>
  </r>
  <r>
    <x v="0"/>
    <x v="0"/>
    <n v="2239180205"/>
    <x v="1"/>
    <n v="39950"/>
    <x v="1"/>
    <x v="0"/>
    <x v="37"/>
    <x v="1"/>
    <x v="0"/>
    <x v="0"/>
    <x v="1"/>
    <x v="0"/>
  </r>
  <r>
    <x v="0"/>
    <x v="0"/>
    <n v="2239180206"/>
    <x v="5"/>
    <n v="-500"/>
    <x v="1"/>
    <x v="0"/>
    <x v="37"/>
    <x v="5"/>
    <x v="0"/>
    <x v="0"/>
    <x v="5"/>
    <x v="0"/>
  </r>
  <r>
    <x v="0"/>
    <x v="0"/>
    <n v="2239180206"/>
    <x v="6"/>
    <n v="30000"/>
    <x v="1"/>
    <x v="0"/>
    <x v="37"/>
    <x v="6"/>
    <x v="0"/>
    <x v="0"/>
    <x v="5"/>
    <x v="0"/>
  </r>
  <r>
    <x v="0"/>
    <x v="0"/>
    <n v="2239180206"/>
    <x v="3"/>
    <n v="100000"/>
    <x v="1"/>
    <x v="0"/>
    <x v="37"/>
    <x v="3"/>
    <x v="0"/>
    <x v="0"/>
    <x v="3"/>
    <x v="0"/>
  </r>
  <r>
    <x v="0"/>
    <x v="0"/>
    <n v="2239180207"/>
    <x v="5"/>
    <n v="-600"/>
    <x v="1"/>
    <x v="0"/>
    <x v="37"/>
    <x v="5"/>
    <x v="0"/>
    <x v="0"/>
    <x v="5"/>
    <x v="0"/>
  </r>
  <r>
    <x v="0"/>
    <x v="0"/>
    <n v="2239180207"/>
    <x v="4"/>
    <n v="5000"/>
    <x v="1"/>
    <x v="0"/>
    <x v="37"/>
    <x v="4"/>
    <x v="0"/>
    <x v="0"/>
    <x v="4"/>
    <x v="0"/>
  </r>
  <r>
    <x v="0"/>
    <x v="0"/>
    <n v="2239180208"/>
    <x v="3"/>
    <n v="6500"/>
    <x v="1"/>
    <x v="0"/>
    <x v="37"/>
    <x v="3"/>
    <x v="0"/>
    <x v="0"/>
    <x v="3"/>
    <x v="0"/>
  </r>
  <r>
    <x v="0"/>
    <x v="0"/>
    <n v="2239180209"/>
    <x v="6"/>
    <n v="2000"/>
    <x v="1"/>
    <x v="0"/>
    <x v="37"/>
    <x v="6"/>
    <x v="0"/>
    <x v="0"/>
    <x v="5"/>
    <x v="0"/>
  </r>
  <r>
    <x v="0"/>
    <x v="0"/>
    <n v="2239180210"/>
    <x v="1"/>
    <n v="900"/>
    <x v="1"/>
    <x v="0"/>
    <x v="37"/>
    <x v="1"/>
    <x v="0"/>
    <x v="0"/>
    <x v="1"/>
    <x v="0"/>
  </r>
  <r>
    <x v="0"/>
    <x v="0"/>
    <n v="2239180211"/>
    <x v="1"/>
    <n v="13600"/>
    <x v="1"/>
    <x v="0"/>
    <x v="37"/>
    <x v="1"/>
    <x v="0"/>
    <x v="0"/>
    <x v="1"/>
    <x v="0"/>
  </r>
  <r>
    <x v="0"/>
    <x v="0"/>
    <n v="2239180213"/>
    <x v="5"/>
    <n v="-2000"/>
    <x v="1"/>
    <x v="0"/>
    <x v="37"/>
    <x v="5"/>
    <x v="0"/>
    <x v="0"/>
    <x v="5"/>
    <x v="0"/>
  </r>
  <r>
    <x v="0"/>
    <x v="0"/>
    <n v="2239180213"/>
    <x v="6"/>
    <n v="5000"/>
    <x v="1"/>
    <x v="0"/>
    <x v="37"/>
    <x v="6"/>
    <x v="0"/>
    <x v="0"/>
    <x v="5"/>
    <x v="0"/>
  </r>
  <r>
    <x v="0"/>
    <x v="0"/>
    <n v="2239180214"/>
    <x v="5"/>
    <n v="-5000"/>
    <x v="1"/>
    <x v="0"/>
    <x v="37"/>
    <x v="5"/>
    <x v="0"/>
    <x v="0"/>
    <x v="5"/>
    <x v="0"/>
  </r>
  <r>
    <x v="0"/>
    <x v="0"/>
    <n v="2239180214"/>
    <x v="6"/>
    <n v="10000"/>
    <x v="1"/>
    <x v="0"/>
    <x v="37"/>
    <x v="6"/>
    <x v="0"/>
    <x v="0"/>
    <x v="5"/>
    <x v="0"/>
  </r>
  <r>
    <x v="0"/>
    <x v="0"/>
    <n v="2239180215"/>
    <x v="7"/>
    <n v="1500"/>
    <x v="1"/>
    <x v="0"/>
    <x v="37"/>
    <x v="7"/>
    <x v="0"/>
    <x v="0"/>
    <x v="1"/>
    <x v="0"/>
  </r>
  <r>
    <x v="0"/>
    <x v="0"/>
    <n v="2239180216"/>
    <x v="2"/>
    <n v="3500"/>
    <x v="1"/>
    <x v="0"/>
    <x v="37"/>
    <x v="2"/>
    <x v="0"/>
    <x v="0"/>
    <x v="2"/>
    <x v="0"/>
  </r>
  <r>
    <x v="0"/>
    <x v="0"/>
    <n v="2239180217"/>
    <x v="5"/>
    <n v="-2000"/>
    <x v="1"/>
    <x v="0"/>
    <x v="37"/>
    <x v="5"/>
    <x v="0"/>
    <x v="0"/>
    <x v="5"/>
    <x v="0"/>
  </r>
  <r>
    <x v="0"/>
    <x v="0"/>
    <n v="2239180217"/>
    <x v="6"/>
    <n v="10000"/>
    <x v="1"/>
    <x v="0"/>
    <x v="37"/>
    <x v="6"/>
    <x v="0"/>
    <x v="0"/>
    <x v="5"/>
    <x v="0"/>
  </r>
  <r>
    <x v="0"/>
    <x v="0"/>
    <n v="2239180218"/>
    <x v="7"/>
    <n v="1500"/>
    <x v="1"/>
    <x v="0"/>
    <x v="37"/>
    <x v="7"/>
    <x v="0"/>
    <x v="0"/>
    <x v="1"/>
    <x v="0"/>
  </r>
  <r>
    <x v="0"/>
    <x v="0"/>
    <n v="2239180220"/>
    <x v="2"/>
    <n v="4500"/>
    <x v="1"/>
    <x v="0"/>
    <x v="37"/>
    <x v="2"/>
    <x v="0"/>
    <x v="0"/>
    <x v="2"/>
    <x v="0"/>
  </r>
  <r>
    <x v="0"/>
    <x v="0"/>
    <n v="2239180221"/>
    <x v="2"/>
    <n v="6600"/>
    <x v="1"/>
    <x v="0"/>
    <x v="37"/>
    <x v="2"/>
    <x v="0"/>
    <x v="0"/>
    <x v="2"/>
    <x v="0"/>
  </r>
  <r>
    <x v="0"/>
    <x v="0"/>
    <n v="2239180222"/>
    <x v="2"/>
    <n v="4400"/>
    <x v="1"/>
    <x v="0"/>
    <x v="37"/>
    <x v="2"/>
    <x v="0"/>
    <x v="0"/>
    <x v="2"/>
    <x v="0"/>
  </r>
  <r>
    <x v="0"/>
    <x v="0"/>
    <n v="2239180223"/>
    <x v="5"/>
    <n v="-4300"/>
    <x v="1"/>
    <x v="0"/>
    <x v="37"/>
    <x v="5"/>
    <x v="0"/>
    <x v="0"/>
    <x v="5"/>
    <x v="0"/>
  </r>
  <r>
    <x v="0"/>
    <x v="0"/>
    <n v="2239180223"/>
    <x v="4"/>
    <n v="10000"/>
    <x v="1"/>
    <x v="0"/>
    <x v="37"/>
    <x v="4"/>
    <x v="0"/>
    <x v="0"/>
    <x v="4"/>
    <x v="0"/>
  </r>
  <r>
    <x v="0"/>
    <x v="0"/>
    <n v="2239180224"/>
    <x v="5"/>
    <n v="-8000"/>
    <x v="1"/>
    <x v="0"/>
    <x v="37"/>
    <x v="5"/>
    <x v="0"/>
    <x v="0"/>
    <x v="5"/>
    <x v="0"/>
  </r>
  <r>
    <x v="0"/>
    <x v="0"/>
    <n v="2239180224"/>
    <x v="6"/>
    <n v="10000"/>
    <x v="1"/>
    <x v="0"/>
    <x v="37"/>
    <x v="6"/>
    <x v="0"/>
    <x v="0"/>
    <x v="5"/>
    <x v="0"/>
  </r>
  <r>
    <x v="0"/>
    <x v="0"/>
    <n v="2239180225"/>
    <x v="6"/>
    <n v="2000"/>
    <x v="1"/>
    <x v="0"/>
    <x v="37"/>
    <x v="6"/>
    <x v="0"/>
    <x v="0"/>
    <x v="5"/>
    <x v="0"/>
  </r>
  <r>
    <x v="0"/>
    <x v="0"/>
    <n v="2239180226"/>
    <x v="3"/>
    <n v="29590"/>
    <x v="1"/>
    <x v="0"/>
    <x v="37"/>
    <x v="3"/>
    <x v="0"/>
    <x v="0"/>
    <x v="3"/>
    <x v="0"/>
  </r>
  <r>
    <x v="0"/>
    <x v="0"/>
    <n v="2239180227"/>
    <x v="2"/>
    <n v="4000"/>
    <x v="1"/>
    <x v="0"/>
    <x v="37"/>
    <x v="2"/>
    <x v="0"/>
    <x v="0"/>
    <x v="2"/>
    <x v="0"/>
  </r>
  <r>
    <x v="0"/>
    <x v="0"/>
    <n v="2239180228"/>
    <x v="5"/>
    <n v="-4700"/>
    <x v="1"/>
    <x v="0"/>
    <x v="37"/>
    <x v="5"/>
    <x v="0"/>
    <x v="0"/>
    <x v="5"/>
    <x v="0"/>
  </r>
  <r>
    <x v="0"/>
    <x v="0"/>
    <n v="2239180228"/>
    <x v="4"/>
    <n v="10000"/>
    <x v="1"/>
    <x v="0"/>
    <x v="37"/>
    <x v="4"/>
    <x v="0"/>
    <x v="0"/>
    <x v="4"/>
    <x v="0"/>
  </r>
  <r>
    <x v="0"/>
    <x v="0"/>
    <n v="2239180229"/>
    <x v="5"/>
    <n v="-6000"/>
    <x v="1"/>
    <x v="0"/>
    <x v="37"/>
    <x v="5"/>
    <x v="0"/>
    <x v="0"/>
    <x v="5"/>
    <x v="0"/>
  </r>
  <r>
    <x v="0"/>
    <x v="0"/>
    <n v="2239180229"/>
    <x v="6"/>
    <n v="10000"/>
    <x v="1"/>
    <x v="0"/>
    <x v="37"/>
    <x v="6"/>
    <x v="0"/>
    <x v="0"/>
    <x v="5"/>
    <x v="0"/>
  </r>
  <r>
    <x v="0"/>
    <x v="0"/>
    <n v="2239180230"/>
    <x v="5"/>
    <n v="-100"/>
    <x v="1"/>
    <x v="0"/>
    <x v="37"/>
    <x v="5"/>
    <x v="0"/>
    <x v="0"/>
    <x v="5"/>
    <x v="0"/>
  </r>
  <r>
    <x v="0"/>
    <x v="0"/>
    <n v="2239180230"/>
    <x v="6"/>
    <n v="30000"/>
    <x v="1"/>
    <x v="0"/>
    <x v="37"/>
    <x v="6"/>
    <x v="0"/>
    <x v="0"/>
    <x v="5"/>
    <x v="0"/>
  </r>
  <r>
    <x v="0"/>
    <x v="0"/>
    <n v="2239180231"/>
    <x v="5"/>
    <n v="-3000"/>
    <x v="1"/>
    <x v="0"/>
    <x v="37"/>
    <x v="5"/>
    <x v="0"/>
    <x v="0"/>
    <x v="5"/>
    <x v="0"/>
  </r>
  <r>
    <x v="0"/>
    <x v="0"/>
    <n v="2239180231"/>
    <x v="6"/>
    <n v="10000"/>
    <x v="1"/>
    <x v="0"/>
    <x v="37"/>
    <x v="6"/>
    <x v="0"/>
    <x v="0"/>
    <x v="5"/>
    <x v="0"/>
  </r>
  <r>
    <x v="0"/>
    <x v="0"/>
    <n v="2239180232"/>
    <x v="2"/>
    <n v="4000"/>
    <x v="1"/>
    <x v="0"/>
    <x v="37"/>
    <x v="2"/>
    <x v="0"/>
    <x v="0"/>
    <x v="2"/>
    <x v="0"/>
  </r>
  <r>
    <x v="0"/>
    <x v="0"/>
    <n v="2239180233"/>
    <x v="7"/>
    <n v="1500"/>
    <x v="1"/>
    <x v="0"/>
    <x v="37"/>
    <x v="7"/>
    <x v="0"/>
    <x v="0"/>
    <x v="1"/>
    <x v="0"/>
  </r>
  <r>
    <x v="0"/>
    <x v="0"/>
    <n v="2239180234"/>
    <x v="7"/>
    <n v="7500"/>
    <x v="1"/>
    <x v="0"/>
    <x v="37"/>
    <x v="7"/>
    <x v="0"/>
    <x v="0"/>
    <x v="1"/>
    <x v="0"/>
  </r>
  <r>
    <x v="0"/>
    <x v="0"/>
    <n v="2239180235"/>
    <x v="3"/>
    <n v="6600"/>
    <x v="1"/>
    <x v="0"/>
    <x v="37"/>
    <x v="3"/>
    <x v="0"/>
    <x v="0"/>
    <x v="3"/>
    <x v="0"/>
  </r>
  <r>
    <x v="0"/>
    <x v="0"/>
    <n v="2239180236"/>
    <x v="2"/>
    <n v="3500"/>
    <x v="1"/>
    <x v="0"/>
    <x v="37"/>
    <x v="2"/>
    <x v="0"/>
    <x v="0"/>
    <x v="2"/>
    <x v="0"/>
  </r>
  <r>
    <x v="0"/>
    <x v="0"/>
    <n v="2239180237"/>
    <x v="5"/>
    <n v="-8000"/>
    <x v="1"/>
    <x v="0"/>
    <x v="37"/>
    <x v="5"/>
    <x v="0"/>
    <x v="0"/>
    <x v="5"/>
    <x v="0"/>
  </r>
  <r>
    <x v="0"/>
    <x v="0"/>
    <n v="2239180237"/>
    <x v="6"/>
    <n v="10000"/>
    <x v="1"/>
    <x v="0"/>
    <x v="37"/>
    <x v="6"/>
    <x v="0"/>
    <x v="0"/>
    <x v="5"/>
    <x v="0"/>
  </r>
  <r>
    <x v="0"/>
    <x v="0"/>
    <n v="2239180238"/>
    <x v="6"/>
    <n v="2000"/>
    <x v="1"/>
    <x v="0"/>
    <x v="37"/>
    <x v="6"/>
    <x v="0"/>
    <x v="0"/>
    <x v="5"/>
    <x v="0"/>
  </r>
  <r>
    <x v="0"/>
    <x v="0"/>
    <n v="2239180239"/>
    <x v="8"/>
    <n v="38720"/>
    <x v="1"/>
    <x v="0"/>
    <x v="37"/>
    <x v="8"/>
    <x v="0"/>
    <x v="0"/>
    <x v="3"/>
    <x v="0"/>
  </r>
  <r>
    <x v="0"/>
    <x v="0"/>
    <n v="2239180240"/>
    <x v="7"/>
    <n v="1500"/>
    <x v="1"/>
    <x v="0"/>
    <x v="37"/>
    <x v="7"/>
    <x v="0"/>
    <x v="0"/>
    <x v="1"/>
    <x v="0"/>
  </r>
  <r>
    <x v="0"/>
    <x v="0"/>
    <n v="2239180241"/>
    <x v="3"/>
    <n v="17270"/>
    <x v="1"/>
    <x v="0"/>
    <x v="37"/>
    <x v="3"/>
    <x v="0"/>
    <x v="0"/>
    <x v="3"/>
    <x v="0"/>
  </r>
  <r>
    <x v="0"/>
    <x v="0"/>
    <n v="2239180242"/>
    <x v="5"/>
    <n v="-5200"/>
    <x v="1"/>
    <x v="0"/>
    <x v="37"/>
    <x v="5"/>
    <x v="0"/>
    <x v="0"/>
    <x v="5"/>
    <x v="0"/>
  </r>
  <r>
    <x v="0"/>
    <x v="0"/>
    <n v="2239180242"/>
    <x v="6"/>
    <n v="10000"/>
    <x v="1"/>
    <x v="0"/>
    <x v="37"/>
    <x v="6"/>
    <x v="0"/>
    <x v="0"/>
    <x v="5"/>
    <x v="0"/>
  </r>
  <r>
    <x v="0"/>
    <x v="0"/>
    <n v="2239180243"/>
    <x v="5"/>
    <n v="-3000"/>
    <x v="1"/>
    <x v="0"/>
    <x v="37"/>
    <x v="5"/>
    <x v="0"/>
    <x v="0"/>
    <x v="5"/>
    <x v="0"/>
  </r>
  <r>
    <x v="0"/>
    <x v="0"/>
    <n v="2239180243"/>
    <x v="6"/>
    <n v="5000"/>
    <x v="1"/>
    <x v="0"/>
    <x v="37"/>
    <x v="6"/>
    <x v="0"/>
    <x v="0"/>
    <x v="5"/>
    <x v="0"/>
  </r>
  <r>
    <x v="0"/>
    <x v="0"/>
    <n v="2239180244"/>
    <x v="2"/>
    <n v="22990"/>
    <x v="1"/>
    <x v="0"/>
    <x v="37"/>
    <x v="2"/>
    <x v="0"/>
    <x v="0"/>
    <x v="2"/>
    <x v="0"/>
  </r>
  <r>
    <x v="0"/>
    <x v="0"/>
    <n v="2239180245"/>
    <x v="4"/>
    <n v="5300"/>
    <x v="1"/>
    <x v="0"/>
    <x v="37"/>
    <x v="4"/>
    <x v="0"/>
    <x v="0"/>
    <x v="4"/>
    <x v="0"/>
  </r>
  <r>
    <x v="0"/>
    <x v="0"/>
    <n v="2239180246"/>
    <x v="0"/>
    <n v="11250"/>
    <x v="1"/>
    <x v="0"/>
    <x v="37"/>
    <x v="0"/>
    <x v="0"/>
    <x v="0"/>
    <x v="0"/>
    <x v="0"/>
  </r>
  <r>
    <x v="0"/>
    <x v="0"/>
    <n v="2239180247"/>
    <x v="5"/>
    <n v="-1000"/>
    <x v="1"/>
    <x v="0"/>
    <x v="37"/>
    <x v="5"/>
    <x v="0"/>
    <x v="0"/>
    <x v="5"/>
    <x v="0"/>
  </r>
  <r>
    <x v="0"/>
    <x v="0"/>
    <n v="2239180247"/>
    <x v="6"/>
    <n v="5000"/>
    <x v="1"/>
    <x v="0"/>
    <x v="37"/>
    <x v="6"/>
    <x v="0"/>
    <x v="0"/>
    <x v="5"/>
    <x v="0"/>
  </r>
  <r>
    <x v="0"/>
    <x v="0"/>
    <n v="2239180249"/>
    <x v="5"/>
    <n v="-100"/>
    <x v="1"/>
    <x v="0"/>
    <x v="37"/>
    <x v="5"/>
    <x v="0"/>
    <x v="0"/>
    <x v="5"/>
    <x v="0"/>
  </r>
  <r>
    <x v="0"/>
    <x v="0"/>
    <n v="2239180249"/>
    <x v="6"/>
    <n v="20000"/>
    <x v="1"/>
    <x v="0"/>
    <x v="37"/>
    <x v="6"/>
    <x v="0"/>
    <x v="0"/>
    <x v="5"/>
    <x v="0"/>
  </r>
  <r>
    <x v="0"/>
    <x v="0"/>
    <n v="2239180250"/>
    <x v="5"/>
    <n v="-4750"/>
    <x v="1"/>
    <x v="0"/>
    <x v="37"/>
    <x v="5"/>
    <x v="0"/>
    <x v="0"/>
    <x v="5"/>
    <x v="0"/>
  </r>
  <r>
    <x v="0"/>
    <x v="0"/>
    <n v="2239180250"/>
    <x v="6"/>
    <n v="10000"/>
    <x v="1"/>
    <x v="0"/>
    <x v="37"/>
    <x v="6"/>
    <x v="0"/>
    <x v="0"/>
    <x v="5"/>
    <x v="0"/>
  </r>
  <r>
    <x v="0"/>
    <x v="0"/>
    <n v="2239180251"/>
    <x v="2"/>
    <n v="18711"/>
    <x v="1"/>
    <x v="0"/>
    <x v="37"/>
    <x v="2"/>
    <x v="0"/>
    <x v="0"/>
    <x v="2"/>
    <x v="0"/>
  </r>
  <r>
    <x v="0"/>
    <x v="0"/>
    <n v="2239180252"/>
    <x v="5"/>
    <n v="-3000"/>
    <x v="1"/>
    <x v="0"/>
    <x v="37"/>
    <x v="5"/>
    <x v="0"/>
    <x v="0"/>
    <x v="5"/>
    <x v="0"/>
  </r>
  <r>
    <x v="0"/>
    <x v="0"/>
    <n v="2239180252"/>
    <x v="6"/>
    <n v="5000"/>
    <x v="1"/>
    <x v="0"/>
    <x v="37"/>
    <x v="6"/>
    <x v="0"/>
    <x v="0"/>
    <x v="5"/>
    <x v="0"/>
  </r>
  <r>
    <x v="0"/>
    <x v="0"/>
    <n v="2239180254"/>
    <x v="5"/>
    <n v="-4000"/>
    <x v="1"/>
    <x v="0"/>
    <x v="37"/>
    <x v="5"/>
    <x v="0"/>
    <x v="0"/>
    <x v="5"/>
    <x v="0"/>
  </r>
  <r>
    <x v="0"/>
    <x v="0"/>
    <n v="2239180254"/>
    <x v="6"/>
    <n v="10000"/>
    <x v="1"/>
    <x v="0"/>
    <x v="37"/>
    <x v="6"/>
    <x v="0"/>
    <x v="0"/>
    <x v="5"/>
    <x v="0"/>
  </r>
  <r>
    <x v="0"/>
    <x v="0"/>
    <n v="2239180255"/>
    <x v="5"/>
    <n v="-20600"/>
    <x v="1"/>
    <x v="0"/>
    <x v="37"/>
    <x v="5"/>
    <x v="0"/>
    <x v="0"/>
    <x v="5"/>
    <x v="0"/>
  </r>
  <r>
    <x v="0"/>
    <x v="0"/>
    <n v="2239180255"/>
    <x v="6"/>
    <n v="50000"/>
    <x v="1"/>
    <x v="0"/>
    <x v="37"/>
    <x v="6"/>
    <x v="0"/>
    <x v="0"/>
    <x v="5"/>
    <x v="0"/>
  </r>
  <r>
    <x v="0"/>
    <x v="0"/>
    <n v="2239180256"/>
    <x v="7"/>
    <n v="1500"/>
    <x v="1"/>
    <x v="0"/>
    <x v="37"/>
    <x v="7"/>
    <x v="0"/>
    <x v="0"/>
    <x v="1"/>
    <x v="0"/>
  </r>
  <r>
    <x v="0"/>
    <x v="0"/>
    <n v="2239180257"/>
    <x v="5"/>
    <n v="-3000"/>
    <x v="1"/>
    <x v="0"/>
    <x v="37"/>
    <x v="5"/>
    <x v="0"/>
    <x v="0"/>
    <x v="5"/>
    <x v="0"/>
  </r>
  <r>
    <x v="0"/>
    <x v="0"/>
    <n v="2239180257"/>
    <x v="6"/>
    <n v="5000"/>
    <x v="1"/>
    <x v="0"/>
    <x v="37"/>
    <x v="6"/>
    <x v="0"/>
    <x v="0"/>
    <x v="5"/>
    <x v="0"/>
  </r>
  <r>
    <x v="0"/>
    <x v="0"/>
    <n v="2239180258"/>
    <x v="5"/>
    <n v="-300"/>
    <x v="1"/>
    <x v="0"/>
    <x v="37"/>
    <x v="5"/>
    <x v="0"/>
    <x v="0"/>
    <x v="5"/>
    <x v="0"/>
  </r>
  <r>
    <x v="0"/>
    <x v="0"/>
    <n v="2239180258"/>
    <x v="6"/>
    <n v="60000"/>
    <x v="1"/>
    <x v="0"/>
    <x v="37"/>
    <x v="6"/>
    <x v="0"/>
    <x v="0"/>
    <x v="5"/>
    <x v="0"/>
  </r>
  <r>
    <x v="0"/>
    <x v="0"/>
    <n v="2239180259"/>
    <x v="6"/>
    <n v="2000"/>
    <x v="1"/>
    <x v="0"/>
    <x v="37"/>
    <x v="6"/>
    <x v="0"/>
    <x v="0"/>
    <x v="5"/>
    <x v="0"/>
  </r>
  <r>
    <x v="0"/>
    <x v="0"/>
    <n v="2239180260"/>
    <x v="5"/>
    <n v="-8000"/>
    <x v="1"/>
    <x v="0"/>
    <x v="37"/>
    <x v="5"/>
    <x v="0"/>
    <x v="0"/>
    <x v="5"/>
    <x v="0"/>
  </r>
  <r>
    <x v="0"/>
    <x v="0"/>
    <n v="2239180260"/>
    <x v="6"/>
    <n v="10000"/>
    <x v="1"/>
    <x v="0"/>
    <x v="37"/>
    <x v="6"/>
    <x v="0"/>
    <x v="0"/>
    <x v="5"/>
    <x v="0"/>
  </r>
  <r>
    <x v="0"/>
    <x v="0"/>
    <n v="2239180261"/>
    <x v="1"/>
    <n v="33820"/>
    <x v="1"/>
    <x v="0"/>
    <x v="37"/>
    <x v="1"/>
    <x v="0"/>
    <x v="0"/>
    <x v="1"/>
    <x v="0"/>
  </r>
  <r>
    <x v="0"/>
    <x v="0"/>
    <n v="2239180262"/>
    <x v="4"/>
    <n v="5000"/>
    <x v="1"/>
    <x v="0"/>
    <x v="37"/>
    <x v="4"/>
    <x v="0"/>
    <x v="0"/>
    <x v="4"/>
    <x v="0"/>
  </r>
  <r>
    <x v="0"/>
    <x v="0"/>
    <n v="2239180263"/>
    <x v="2"/>
    <n v="4000"/>
    <x v="1"/>
    <x v="0"/>
    <x v="37"/>
    <x v="2"/>
    <x v="0"/>
    <x v="0"/>
    <x v="2"/>
    <x v="0"/>
  </r>
  <r>
    <x v="0"/>
    <x v="0"/>
    <n v="2239180264"/>
    <x v="1"/>
    <n v="56520"/>
    <x v="1"/>
    <x v="0"/>
    <x v="37"/>
    <x v="1"/>
    <x v="0"/>
    <x v="0"/>
    <x v="1"/>
    <x v="0"/>
  </r>
  <r>
    <x v="0"/>
    <x v="0"/>
    <n v="2239180265"/>
    <x v="2"/>
    <n v="4400"/>
    <x v="1"/>
    <x v="0"/>
    <x v="37"/>
    <x v="2"/>
    <x v="0"/>
    <x v="0"/>
    <x v="2"/>
    <x v="0"/>
  </r>
  <r>
    <x v="0"/>
    <x v="0"/>
    <n v="2239180266"/>
    <x v="5"/>
    <n v="-1000"/>
    <x v="1"/>
    <x v="0"/>
    <x v="37"/>
    <x v="5"/>
    <x v="0"/>
    <x v="0"/>
    <x v="5"/>
    <x v="0"/>
  </r>
  <r>
    <x v="0"/>
    <x v="0"/>
    <n v="2239180266"/>
    <x v="6"/>
    <n v="7000"/>
    <x v="1"/>
    <x v="0"/>
    <x v="37"/>
    <x v="6"/>
    <x v="0"/>
    <x v="0"/>
    <x v="5"/>
    <x v="0"/>
  </r>
  <r>
    <x v="0"/>
    <x v="0"/>
    <n v="2239180267"/>
    <x v="5"/>
    <n v="-1000"/>
    <x v="1"/>
    <x v="0"/>
    <x v="37"/>
    <x v="5"/>
    <x v="0"/>
    <x v="0"/>
    <x v="5"/>
    <x v="0"/>
  </r>
  <r>
    <x v="0"/>
    <x v="0"/>
    <n v="2239180267"/>
    <x v="6"/>
    <n v="5000"/>
    <x v="1"/>
    <x v="0"/>
    <x v="37"/>
    <x v="6"/>
    <x v="0"/>
    <x v="0"/>
    <x v="5"/>
    <x v="0"/>
  </r>
  <r>
    <x v="0"/>
    <x v="0"/>
    <n v="2239180268"/>
    <x v="5"/>
    <n v="-10480"/>
    <x v="1"/>
    <x v="0"/>
    <x v="37"/>
    <x v="5"/>
    <x v="0"/>
    <x v="0"/>
    <x v="5"/>
    <x v="0"/>
  </r>
  <r>
    <x v="0"/>
    <x v="0"/>
    <n v="2239180268"/>
    <x v="6"/>
    <n v="60000"/>
    <x v="1"/>
    <x v="0"/>
    <x v="37"/>
    <x v="6"/>
    <x v="0"/>
    <x v="0"/>
    <x v="5"/>
    <x v="0"/>
  </r>
  <r>
    <x v="0"/>
    <x v="0"/>
    <n v="2239180269"/>
    <x v="2"/>
    <n v="4000"/>
    <x v="1"/>
    <x v="0"/>
    <x v="37"/>
    <x v="2"/>
    <x v="0"/>
    <x v="0"/>
    <x v="2"/>
    <x v="0"/>
  </r>
  <r>
    <x v="0"/>
    <x v="0"/>
    <n v="2239180270"/>
    <x v="2"/>
    <n v="4400"/>
    <x v="1"/>
    <x v="0"/>
    <x v="37"/>
    <x v="2"/>
    <x v="0"/>
    <x v="0"/>
    <x v="2"/>
    <x v="0"/>
  </r>
  <r>
    <x v="0"/>
    <x v="0"/>
    <n v="2239180271"/>
    <x v="5"/>
    <n v="-5000"/>
    <x v="1"/>
    <x v="0"/>
    <x v="37"/>
    <x v="5"/>
    <x v="0"/>
    <x v="0"/>
    <x v="5"/>
    <x v="0"/>
  </r>
  <r>
    <x v="0"/>
    <x v="0"/>
    <n v="2239180271"/>
    <x v="6"/>
    <n v="10000"/>
    <x v="1"/>
    <x v="0"/>
    <x v="37"/>
    <x v="6"/>
    <x v="0"/>
    <x v="0"/>
    <x v="5"/>
    <x v="0"/>
  </r>
  <r>
    <x v="0"/>
    <x v="0"/>
    <n v="2239180272"/>
    <x v="1"/>
    <n v="46770"/>
    <x v="1"/>
    <x v="0"/>
    <x v="37"/>
    <x v="1"/>
    <x v="0"/>
    <x v="0"/>
    <x v="1"/>
    <x v="0"/>
  </r>
  <r>
    <x v="0"/>
    <x v="0"/>
    <n v="2239180273"/>
    <x v="7"/>
    <n v="1500"/>
    <x v="1"/>
    <x v="0"/>
    <x v="37"/>
    <x v="7"/>
    <x v="0"/>
    <x v="0"/>
    <x v="1"/>
    <x v="0"/>
  </r>
  <r>
    <x v="0"/>
    <x v="0"/>
    <n v="2239180275"/>
    <x v="2"/>
    <n v="3000"/>
    <x v="1"/>
    <x v="0"/>
    <x v="37"/>
    <x v="2"/>
    <x v="0"/>
    <x v="0"/>
    <x v="2"/>
    <x v="0"/>
  </r>
  <r>
    <x v="0"/>
    <x v="0"/>
    <n v="2239180276"/>
    <x v="3"/>
    <n v="8000"/>
    <x v="1"/>
    <x v="0"/>
    <x v="37"/>
    <x v="3"/>
    <x v="0"/>
    <x v="0"/>
    <x v="3"/>
    <x v="0"/>
  </r>
  <r>
    <x v="0"/>
    <x v="0"/>
    <n v="2239180277"/>
    <x v="3"/>
    <n v="26730"/>
    <x v="1"/>
    <x v="0"/>
    <x v="37"/>
    <x v="3"/>
    <x v="0"/>
    <x v="0"/>
    <x v="3"/>
    <x v="0"/>
  </r>
  <r>
    <x v="0"/>
    <x v="0"/>
    <n v="2239180278"/>
    <x v="2"/>
    <n v="3000"/>
    <x v="1"/>
    <x v="0"/>
    <x v="37"/>
    <x v="2"/>
    <x v="0"/>
    <x v="0"/>
    <x v="2"/>
    <x v="0"/>
  </r>
  <r>
    <x v="0"/>
    <x v="0"/>
    <n v="2239180279"/>
    <x v="3"/>
    <n v="30000"/>
    <x v="1"/>
    <x v="0"/>
    <x v="37"/>
    <x v="3"/>
    <x v="0"/>
    <x v="0"/>
    <x v="3"/>
    <x v="0"/>
  </r>
  <r>
    <x v="0"/>
    <x v="0"/>
    <n v="2239180280"/>
    <x v="7"/>
    <n v="1500"/>
    <x v="1"/>
    <x v="0"/>
    <x v="37"/>
    <x v="7"/>
    <x v="0"/>
    <x v="0"/>
    <x v="1"/>
    <x v="0"/>
  </r>
  <r>
    <x v="0"/>
    <x v="0"/>
    <n v="2239180281"/>
    <x v="4"/>
    <n v="5600"/>
    <x v="1"/>
    <x v="0"/>
    <x v="37"/>
    <x v="4"/>
    <x v="0"/>
    <x v="0"/>
    <x v="4"/>
    <x v="0"/>
  </r>
  <r>
    <x v="0"/>
    <x v="0"/>
    <n v="2239180283"/>
    <x v="7"/>
    <n v="1500"/>
    <x v="1"/>
    <x v="0"/>
    <x v="37"/>
    <x v="7"/>
    <x v="0"/>
    <x v="0"/>
    <x v="1"/>
    <x v="0"/>
  </r>
  <r>
    <x v="0"/>
    <x v="0"/>
    <n v="2239180284"/>
    <x v="5"/>
    <n v="-2000"/>
    <x v="1"/>
    <x v="0"/>
    <x v="37"/>
    <x v="5"/>
    <x v="0"/>
    <x v="0"/>
    <x v="5"/>
    <x v="0"/>
  </r>
  <r>
    <x v="0"/>
    <x v="0"/>
    <n v="2239180284"/>
    <x v="6"/>
    <n v="10000"/>
    <x v="1"/>
    <x v="0"/>
    <x v="37"/>
    <x v="6"/>
    <x v="0"/>
    <x v="0"/>
    <x v="5"/>
    <x v="0"/>
  </r>
  <r>
    <x v="0"/>
    <x v="0"/>
    <n v="2239180285"/>
    <x v="5"/>
    <n v="-5000"/>
    <x v="1"/>
    <x v="0"/>
    <x v="37"/>
    <x v="5"/>
    <x v="0"/>
    <x v="0"/>
    <x v="5"/>
    <x v="0"/>
  </r>
  <r>
    <x v="0"/>
    <x v="0"/>
    <n v="2239180285"/>
    <x v="6"/>
    <n v="10000"/>
    <x v="1"/>
    <x v="0"/>
    <x v="37"/>
    <x v="6"/>
    <x v="0"/>
    <x v="0"/>
    <x v="5"/>
    <x v="0"/>
  </r>
  <r>
    <x v="0"/>
    <x v="0"/>
    <n v="2239180286"/>
    <x v="2"/>
    <n v="10000"/>
    <x v="1"/>
    <x v="0"/>
    <x v="37"/>
    <x v="2"/>
    <x v="0"/>
    <x v="0"/>
    <x v="2"/>
    <x v="0"/>
  </r>
  <r>
    <x v="0"/>
    <x v="0"/>
    <n v="2239180288"/>
    <x v="2"/>
    <n v="3000"/>
    <x v="1"/>
    <x v="0"/>
    <x v="37"/>
    <x v="2"/>
    <x v="0"/>
    <x v="0"/>
    <x v="2"/>
    <x v="0"/>
  </r>
  <r>
    <x v="0"/>
    <x v="0"/>
    <n v="2239180289"/>
    <x v="3"/>
    <n v="1500"/>
    <x v="1"/>
    <x v="0"/>
    <x v="37"/>
    <x v="3"/>
    <x v="0"/>
    <x v="0"/>
    <x v="3"/>
    <x v="0"/>
  </r>
  <r>
    <x v="0"/>
    <x v="0"/>
    <n v="2239180291"/>
    <x v="6"/>
    <n v="21000"/>
    <x v="1"/>
    <x v="0"/>
    <x v="37"/>
    <x v="6"/>
    <x v="0"/>
    <x v="0"/>
    <x v="5"/>
    <x v="0"/>
  </r>
  <r>
    <x v="0"/>
    <x v="0"/>
    <n v="2239180292"/>
    <x v="1"/>
    <n v="1200"/>
    <x v="1"/>
    <x v="0"/>
    <x v="37"/>
    <x v="1"/>
    <x v="0"/>
    <x v="0"/>
    <x v="1"/>
    <x v="0"/>
  </r>
  <r>
    <x v="0"/>
    <x v="0"/>
    <n v="2239180294"/>
    <x v="1"/>
    <n v="14940"/>
    <x v="1"/>
    <x v="0"/>
    <x v="37"/>
    <x v="1"/>
    <x v="0"/>
    <x v="0"/>
    <x v="1"/>
    <x v="0"/>
  </r>
  <r>
    <x v="0"/>
    <x v="0"/>
    <n v="2239180296"/>
    <x v="3"/>
    <n v="14630"/>
    <x v="1"/>
    <x v="0"/>
    <x v="37"/>
    <x v="3"/>
    <x v="0"/>
    <x v="0"/>
    <x v="3"/>
    <x v="0"/>
  </r>
  <r>
    <x v="0"/>
    <x v="0"/>
    <n v="2239180297"/>
    <x v="1"/>
    <n v="900"/>
    <x v="1"/>
    <x v="0"/>
    <x v="37"/>
    <x v="1"/>
    <x v="0"/>
    <x v="0"/>
    <x v="1"/>
    <x v="0"/>
  </r>
  <r>
    <x v="0"/>
    <x v="0"/>
    <n v="2239180300"/>
    <x v="2"/>
    <n v="6600"/>
    <x v="1"/>
    <x v="0"/>
    <x v="37"/>
    <x v="2"/>
    <x v="0"/>
    <x v="0"/>
    <x v="2"/>
    <x v="0"/>
  </r>
  <r>
    <x v="0"/>
    <x v="0"/>
    <n v="2239180301"/>
    <x v="5"/>
    <n v="-11650"/>
    <x v="1"/>
    <x v="0"/>
    <x v="37"/>
    <x v="5"/>
    <x v="0"/>
    <x v="0"/>
    <x v="5"/>
    <x v="0"/>
  </r>
  <r>
    <x v="0"/>
    <x v="0"/>
    <n v="2239180301"/>
    <x v="6"/>
    <n v="40000"/>
    <x v="1"/>
    <x v="0"/>
    <x v="37"/>
    <x v="6"/>
    <x v="0"/>
    <x v="0"/>
    <x v="5"/>
    <x v="0"/>
  </r>
  <r>
    <x v="0"/>
    <x v="0"/>
    <n v="2239180302"/>
    <x v="2"/>
    <n v="33990"/>
    <x v="1"/>
    <x v="0"/>
    <x v="37"/>
    <x v="2"/>
    <x v="0"/>
    <x v="0"/>
    <x v="2"/>
    <x v="0"/>
  </r>
  <r>
    <x v="0"/>
    <x v="0"/>
    <n v="2239180304"/>
    <x v="2"/>
    <n v="1500"/>
    <x v="1"/>
    <x v="0"/>
    <x v="37"/>
    <x v="2"/>
    <x v="0"/>
    <x v="0"/>
    <x v="2"/>
    <x v="0"/>
  </r>
  <r>
    <x v="0"/>
    <x v="0"/>
    <n v="2239180305"/>
    <x v="2"/>
    <n v="6600"/>
    <x v="1"/>
    <x v="0"/>
    <x v="37"/>
    <x v="2"/>
    <x v="0"/>
    <x v="0"/>
    <x v="2"/>
    <x v="0"/>
  </r>
  <r>
    <x v="0"/>
    <x v="0"/>
    <n v="2239180306"/>
    <x v="1"/>
    <n v="7400"/>
    <x v="1"/>
    <x v="0"/>
    <x v="37"/>
    <x v="1"/>
    <x v="0"/>
    <x v="0"/>
    <x v="1"/>
    <x v="0"/>
  </r>
  <r>
    <x v="0"/>
    <x v="0"/>
    <n v="2239180307"/>
    <x v="3"/>
    <n v="6000"/>
    <x v="1"/>
    <x v="0"/>
    <x v="37"/>
    <x v="3"/>
    <x v="0"/>
    <x v="0"/>
    <x v="3"/>
    <x v="0"/>
  </r>
  <r>
    <x v="0"/>
    <x v="0"/>
    <n v="2239180309"/>
    <x v="7"/>
    <n v="1500"/>
    <x v="1"/>
    <x v="0"/>
    <x v="37"/>
    <x v="7"/>
    <x v="0"/>
    <x v="0"/>
    <x v="1"/>
    <x v="0"/>
  </r>
  <r>
    <x v="0"/>
    <x v="0"/>
    <n v="2239180310"/>
    <x v="5"/>
    <n v="-2500"/>
    <x v="1"/>
    <x v="0"/>
    <x v="37"/>
    <x v="5"/>
    <x v="0"/>
    <x v="0"/>
    <x v="5"/>
    <x v="0"/>
  </r>
  <r>
    <x v="0"/>
    <x v="0"/>
    <n v="2239180310"/>
    <x v="6"/>
    <n v="20000"/>
    <x v="1"/>
    <x v="0"/>
    <x v="37"/>
    <x v="6"/>
    <x v="0"/>
    <x v="0"/>
    <x v="5"/>
    <x v="0"/>
  </r>
  <r>
    <x v="0"/>
    <x v="0"/>
    <n v="2239180311"/>
    <x v="5"/>
    <n v="-970"/>
    <x v="1"/>
    <x v="0"/>
    <x v="37"/>
    <x v="5"/>
    <x v="0"/>
    <x v="0"/>
    <x v="5"/>
    <x v="0"/>
  </r>
  <r>
    <x v="0"/>
    <x v="0"/>
    <n v="2239180311"/>
    <x v="6"/>
    <n v="10000"/>
    <x v="1"/>
    <x v="0"/>
    <x v="37"/>
    <x v="6"/>
    <x v="0"/>
    <x v="0"/>
    <x v="5"/>
    <x v="0"/>
  </r>
  <r>
    <x v="0"/>
    <x v="0"/>
    <n v="2239180312"/>
    <x v="7"/>
    <n v="7500"/>
    <x v="1"/>
    <x v="0"/>
    <x v="37"/>
    <x v="7"/>
    <x v="0"/>
    <x v="0"/>
    <x v="1"/>
    <x v="0"/>
  </r>
  <r>
    <x v="0"/>
    <x v="0"/>
    <n v="2239180313"/>
    <x v="5"/>
    <n v="-15000"/>
    <x v="1"/>
    <x v="0"/>
    <x v="37"/>
    <x v="5"/>
    <x v="0"/>
    <x v="0"/>
    <x v="5"/>
    <x v="0"/>
  </r>
  <r>
    <x v="0"/>
    <x v="0"/>
    <n v="2239180313"/>
    <x v="4"/>
    <n v="20600"/>
    <x v="1"/>
    <x v="0"/>
    <x v="37"/>
    <x v="4"/>
    <x v="0"/>
    <x v="0"/>
    <x v="4"/>
    <x v="0"/>
  </r>
  <r>
    <x v="0"/>
    <x v="0"/>
    <n v="2239180314"/>
    <x v="2"/>
    <n v="4400"/>
    <x v="1"/>
    <x v="0"/>
    <x v="37"/>
    <x v="2"/>
    <x v="0"/>
    <x v="0"/>
    <x v="2"/>
    <x v="0"/>
  </r>
  <r>
    <x v="0"/>
    <x v="0"/>
    <n v="2239180315"/>
    <x v="5"/>
    <n v="-2000"/>
    <x v="1"/>
    <x v="0"/>
    <x v="37"/>
    <x v="5"/>
    <x v="0"/>
    <x v="0"/>
    <x v="5"/>
    <x v="0"/>
  </r>
  <r>
    <x v="0"/>
    <x v="0"/>
    <n v="2239180315"/>
    <x v="6"/>
    <n v="30000"/>
    <x v="1"/>
    <x v="0"/>
    <x v="37"/>
    <x v="6"/>
    <x v="0"/>
    <x v="0"/>
    <x v="5"/>
    <x v="0"/>
  </r>
  <r>
    <x v="0"/>
    <x v="0"/>
    <n v="2239180316"/>
    <x v="7"/>
    <n v="1500"/>
    <x v="1"/>
    <x v="0"/>
    <x v="37"/>
    <x v="7"/>
    <x v="0"/>
    <x v="0"/>
    <x v="1"/>
    <x v="0"/>
  </r>
  <r>
    <x v="0"/>
    <x v="0"/>
    <n v="2239180317"/>
    <x v="7"/>
    <n v="1500"/>
    <x v="1"/>
    <x v="0"/>
    <x v="37"/>
    <x v="7"/>
    <x v="0"/>
    <x v="0"/>
    <x v="1"/>
    <x v="0"/>
  </r>
  <r>
    <x v="0"/>
    <x v="0"/>
    <n v="2239180318"/>
    <x v="2"/>
    <n v="30690"/>
    <x v="1"/>
    <x v="0"/>
    <x v="37"/>
    <x v="2"/>
    <x v="0"/>
    <x v="0"/>
    <x v="2"/>
    <x v="0"/>
  </r>
  <r>
    <x v="0"/>
    <x v="0"/>
    <n v="2239180319"/>
    <x v="7"/>
    <n v="1500"/>
    <x v="1"/>
    <x v="0"/>
    <x v="37"/>
    <x v="7"/>
    <x v="0"/>
    <x v="0"/>
    <x v="1"/>
    <x v="0"/>
  </r>
  <r>
    <x v="0"/>
    <x v="0"/>
    <n v="2239180320"/>
    <x v="5"/>
    <n v="-4000"/>
    <x v="1"/>
    <x v="0"/>
    <x v="37"/>
    <x v="5"/>
    <x v="0"/>
    <x v="0"/>
    <x v="5"/>
    <x v="0"/>
  </r>
  <r>
    <x v="0"/>
    <x v="0"/>
    <n v="2239180320"/>
    <x v="6"/>
    <n v="70000"/>
    <x v="1"/>
    <x v="0"/>
    <x v="37"/>
    <x v="6"/>
    <x v="0"/>
    <x v="0"/>
    <x v="5"/>
    <x v="0"/>
  </r>
  <r>
    <x v="0"/>
    <x v="0"/>
    <n v="2239180321"/>
    <x v="7"/>
    <n v="1500"/>
    <x v="1"/>
    <x v="0"/>
    <x v="37"/>
    <x v="7"/>
    <x v="0"/>
    <x v="0"/>
    <x v="1"/>
    <x v="0"/>
  </r>
  <r>
    <x v="0"/>
    <x v="0"/>
    <n v="2239180322"/>
    <x v="3"/>
    <n v="40920"/>
    <x v="1"/>
    <x v="0"/>
    <x v="37"/>
    <x v="3"/>
    <x v="0"/>
    <x v="0"/>
    <x v="3"/>
    <x v="0"/>
  </r>
  <r>
    <x v="0"/>
    <x v="0"/>
    <n v="2239180323"/>
    <x v="5"/>
    <n v="-4400"/>
    <x v="1"/>
    <x v="0"/>
    <x v="37"/>
    <x v="5"/>
    <x v="0"/>
    <x v="0"/>
    <x v="5"/>
    <x v="0"/>
  </r>
  <r>
    <x v="0"/>
    <x v="0"/>
    <n v="2239180323"/>
    <x v="4"/>
    <n v="10000"/>
    <x v="1"/>
    <x v="0"/>
    <x v="37"/>
    <x v="4"/>
    <x v="0"/>
    <x v="0"/>
    <x v="4"/>
    <x v="0"/>
  </r>
  <r>
    <x v="0"/>
    <x v="0"/>
    <n v="2239180324"/>
    <x v="1"/>
    <n v="113940"/>
    <x v="1"/>
    <x v="0"/>
    <x v="37"/>
    <x v="1"/>
    <x v="0"/>
    <x v="0"/>
    <x v="1"/>
    <x v="0"/>
  </r>
  <r>
    <x v="0"/>
    <x v="0"/>
    <n v="2239180325"/>
    <x v="5"/>
    <n v="-9200"/>
    <x v="1"/>
    <x v="0"/>
    <x v="37"/>
    <x v="5"/>
    <x v="0"/>
    <x v="0"/>
    <x v="5"/>
    <x v="0"/>
  </r>
  <r>
    <x v="0"/>
    <x v="0"/>
    <n v="2239180325"/>
    <x v="6"/>
    <n v="20000"/>
    <x v="1"/>
    <x v="0"/>
    <x v="37"/>
    <x v="6"/>
    <x v="0"/>
    <x v="0"/>
    <x v="5"/>
    <x v="0"/>
  </r>
  <r>
    <x v="0"/>
    <x v="0"/>
    <n v="2239180325"/>
    <x v="7"/>
    <n v="2700"/>
    <x v="1"/>
    <x v="0"/>
    <x v="37"/>
    <x v="7"/>
    <x v="0"/>
    <x v="0"/>
    <x v="1"/>
    <x v="0"/>
  </r>
  <r>
    <x v="0"/>
    <x v="0"/>
    <n v="2239180327"/>
    <x v="3"/>
    <n v="77660"/>
    <x v="1"/>
    <x v="0"/>
    <x v="37"/>
    <x v="3"/>
    <x v="0"/>
    <x v="0"/>
    <x v="3"/>
    <x v="0"/>
  </r>
  <r>
    <x v="0"/>
    <x v="0"/>
    <n v="2239180328"/>
    <x v="7"/>
    <n v="1500"/>
    <x v="1"/>
    <x v="0"/>
    <x v="37"/>
    <x v="7"/>
    <x v="0"/>
    <x v="0"/>
    <x v="1"/>
    <x v="0"/>
  </r>
  <r>
    <x v="0"/>
    <x v="0"/>
    <n v="2239180329"/>
    <x v="1"/>
    <n v="3300"/>
    <x v="1"/>
    <x v="0"/>
    <x v="37"/>
    <x v="1"/>
    <x v="0"/>
    <x v="0"/>
    <x v="1"/>
    <x v="0"/>
  </r>
  <r>
    <x v="0"/>
    <x v="0"/>
    <n v="2239180330"/>
    <x v="5"/>
    <n v="-1200"/>
    <x v="1"/>
    <x v="0"/>
    <x v="37"/>
    <x v="5"/>
    <x v="0"/>
    <x v="0"/>
    <x v="5"/>
    <x v="0"/>
  </r>
  <r>
    <x v="0"/>
    <x v="0"/>
    <n v="2239180330"/>
    <x v="4"/>
    <n v="10000"/>
    <x v="1"/>
    <x v="0"/>
    <x v="37"/>
    <x v="4"/>
    <x v="0"/>
    <x v="0"/>
    <x v="4"/>
    <x v="0"/>
  </r>
  <r>
    <x v="0"/>
    <x v="0"/>
    <n v="2239180331"/>
    <x v="2"/>
    <n v="14553"/>
    <x v="1"/>
    <x v="0"/>
    <x v="37"/>
    <x v="2"/>
    <x v="0"/>
    <x v="0"/>
    <x v="2"/>
    <x v="0"/>
  </r>
  <r>
    <x v="0"/>
    <x v="0"/>
    <n v="2239180332"/>
    <x v="2"/>
    <n v="15000"/>
    <x v="1"/>
    <x v="0"/>
    <x v="37"/>
    <x v="2"/>
    <x v="0"/>
    <x v="0"/>
    <x v="2"/>
    <x v="0"/>
  </r>
  <r>
    <x v="0"/>
    <x v="0"/>
    <n v="2239180333"/>
    <x v="5"/>
    <n v="-1050"/>
    <x v="1"/>
    <x v="0"/>
    <x v="37"/>
    <x v="5"/>
    <x v="0"/>
    <x v="0"/>
    <x v="5"/>
    <x v="0"/>
  </r>
  <r>
    <x v="0"/>
    <x v="0"/>
    <n v="2239180333"/>
    <x v="6"/>
    <n v="90000"/>
    <x v="1"/>
    <x v="0"/>
    <x v="37"/>
    <x v="6"/>
    <x v="0"/>
    <x v="0"/>
    <x v="5"/>
    <x v="0"/>
  </r>
  <r>
    <x v="0"/>
    <x v="0"/>
    <n v="2239180333"/>
    <x v="8"/>
    <n v="21550"/>
    <x v="1"/>
    <x v="0"/>
    <x v="37"/>
    <x v="8"/>
    <x v="0"/>
    <x v="0"/>
    <x v="3"/>
    <x v="0"/>
  </r>
  <r>
    <x v="0"/>
    <x v="0"/>
    <n v="2239180334"/>
    <x v="3"/>
    <n v="13000"/>
    <x v="1"/>
    <x v="0"/>
    <x v="37"/>
    <x v="3"/>
    <x v="0"/>
    <x v="0"/>
    <x v="3"/>
    <x v="0"/>
  </r>
  <r>
    <x v="0"/>
    <x v="0"/>
    <n v="2239180335"/>
    <x v="3"/>
    <n v="7200"/>
    <x v="1"/>
    <x v="0"/>
    <x v="37"/>
    <x v="3"/>
    <x v="0"/>
    <x v="0"/>
    <x v="3"/>
    <x v="0"/>
  </r>
  <r>
    <x v="0"/>
    <x v="0"/>
    <n v="2239180336"/>
    <x v="2"/>
    <n v="26500"/>
    <x v="1"/>
    <x v="0"/>
    <x v="37"/>
    <x v="2"/>
    <x v="0"/>
    <x v="0"/>
    <x v="2"/>
    <x v="0"/>
  </r>
  <r>
    <x v="0"/>
    <x v="0"/>
    <n v="2239180337"/>
    <x v="3"/>
    <n v="7200"/>
    <x v="1"/>
    <x v="0"/>
    <x v="37"/>
    <x v="3"/>
    <x v="0"/>
    <x v="0"/>
    <x v="3"/>
    <x v="0"/>
  </r>
  <r>
    <x v="0"/>
    <x v="0"/>
    <n v="2239180338"/>
    <x v="2"/>
    <n v="6500"/>
    <x v="1"/>
    <x v="0"/>
    <x v="37"/>
    <x v="2"/>
    <x v="0"/>
    <x v="0"/>
    <x v="2"/>
    <x v="0"/>
  </r>
  <r>
    <x v="0"/>
    <x v="0"/>
    <n v="2239180339"/>
    <x v="7"/>
    <n v="4500"/>
    <x v="1"/>
    <x v="0"/>
    <x v="37"/>
    <x v="7"/>
    <x v="0"/>
    <x v="0"/>
    <x v="1"/>
    <x v="0"/>
  </r>
  <r>
    <x v="0"/>
    <x v="0"/>
    <n v="2239180340"/>
    <x v="7"/>
    <n v="1500"/>
    <x v="1"/>
    <x v="0"/>
    <x v="37"/>
    <x v="7"/>
    <x v="0"/>
    <x v="0"/>
    <x v="1"/>
    <x v="0"/>
  </r>
  <r>
    <x v="0"/>
    <x v="0"/>
    <n v="2239180341"/>
    <x v="7"/>
    <n v="1500"/>
    <x v="1"/>
    <x v="0"/>
    <x v="37"/>
    <x v="7"/>
    <x v="0"/>
    <x v="0"/>
    <x v="1"/>
    <x v="0"/>
  </r>
  <r>
    <x v="0"/>
    <x v="0"/>
    <n v="2239180342"/>
    <x v="7"/>
    <n v="4500"/>
    <x v="1"/>
    <x v="0"/>
    <x v="37"/>
    <x v="7"/>
    <x v="0"/>
    <x v="0"/>
    <x v="1"/>
    <x v="0"/>
  </r>
  <r>
    <x v="0"/>
    <x v="0"/>
    <n v="2239180343"/>
    <x v="7"/>
    <n v="1500"/>
    <x v="1"/>
    <x v="0"/>
    <x v="37"/>
    <x v="7"/>
    <x v="0"/>
    <x v="0"/>
    <x v="1"/>
    <x v="0"/>
  </r>
  <r>
    <x v="0"/>
    <x v="0"/>
    <n v="2239180348"/>
    <x v="5"/>
    <n v="-3000"/>
    <x v="1"/>
    <x v="0"/>
    <x v="37"/>
    <x v="5"/>
    <x v="0"/>
    <x v="0"/>
    <x v="5"/>
    <x v="0"/>
  </r>
  <r>
    <x v="0"/>
    <x v="0"/>
    <n v="2239180348"/>
    <x v="6"/>
    <n v="5000"/>
    <x v="1"/>
    <x v="0"/>
    <x v="37"/>
    <x v="6"/>
    <x v="0"/>
    <x v="0"/>
    <x v="5"/>
    <x v="0"/>
  </r>
  <r>
    <x v="0"/>
    <x v="0"/>
    <n v="2239180349"/>
    <x v="1"/>
    <n v="900"/>
    <x v="1"/>
    <x v="0"/>
    <x v="37"/>
    <x v="1"/>
    <x v="0"/>
    <x v="0"/>
    <x v="1"/>
    <x v="0"/>
  </r>
  <r>
    <x v="0"/>
    <x v="0"/>
    <n v="2239182269"/>
    <x v="1"/>
    <n v="9210"/>
    <x v="1"/>
    <x v="0"/>
    <x v="38"/>
    <x v="1"/>
    <x v="0"/>
    <x v="0"/>
    <x v="1"/>
    <x v="0"/>
  </r>
  <r>
    <x v="0"/>
    <x v="0"/>
    <n v="2239182270"/>
    <x v="1"/>
    <n v="53430"/>
    <x v="1"/>
    <x v="0"/>
    <x v="38"/>
    <x v="1"/>
    <x v="0"/>
    <x v="0"/>
    <x v="1"/>
    <x v="0"/>
  </r>
  <r>
    <x v="0"/>
    <x v="0"/>
    <n v="2239182271"/>
    <x v="1"/>
    <n v="17250"/>
    <x v="1"/>
    <x v="0"/>
    <x v="38"/>
    <x v="1"/>
    <x v="0"/>
    <x v="0"/>
    <x v="1"/>
    <x v="0"/>
  </r>
  <r>
    <x v="0"/>
    <x v="0"/>
    <n v="2239182272"/>
    <x v="1"/>
    <n v="12120"/>
    <x v="1"/>
    <x v="0"/>
    <x v="38"/>
    <x v="1"/>
    <x v="0"/>
    <x v="0"/>
    <x v="1"/>
    <x v="0"/>
  </r>
  <r>
    <x v="0"/>
    <x v="0"/>
    <n v="2239182273"/>
    <x v="1"/>
    <n v="46890"/>
    <x v="1"/>
    <x v="0"/>
    <x v="38"/>
    <x v="1"/>
    <x v="0"/>
    <x v="0"/>
    <x v="1"/>
    <x v="0"/>
  </r>
  <r>
    <x v="0"/>
    <x v="0"/>
    <n v="2239182274"/>
    <x v="1"/>
    <n v="16980"/>
    <x v="1"/>
    <x v="0"/>
    <x v="38"/>
    <x v="1"/>
    <x v="0"/>
    <x v="0"/>
    <x v="1"/>
    <x v="0"/>
  </r>
  <r>
    <x v="0"/>
    <x v="0"/>
    <n v="2239182275"/>
    <x v="1"/>
    <n v="9300"/>
    <x v="1"/>
    <x v="0"/>
    <x v="38"/>
    <x v="1"/>
    <x v="0"/>
    <x v="0"/>
    <x v="1"/>
    <x v="0"/>
  </r>
  <r>
    <x v="0"/>
    <x v="0"/>
    <n v="2239182276"/>
    <x v="1"/>
    <n v="8750"/>
    <x v="1"/>
    <x v="0"/>
    <x v="38"/>
    <x v="1"/>
    <x v="0"/>
    <x v="0"/>
    <x v="1"/>
    <x v="0"/>
  </r>
  <r>
    <x v="0"/>
    <x v="0"/>
    <n v="2239182277"/>
    <x v="1"/>
    <n v="2850"/>
    <x v="1"/>
    <x v="0"/>
    <x v="38"/>
    <x v="1"/>
    <x v="0"/>
    <x v="0"/>
    <x v="1"/>
    <x v="0"/>
  </r>
  <r>
    <x v="0"/>
    <x v="0"/>
    <n v="2239182289"/>
    <x v="2"/>
    <n v="38940"/>
    <x v="1"/>
    <x v="0"/>
    <x v="38"/>
    <x v="2"/>
    <x v="0"/>
    <x v="0"/>
    <x v="2"/>
    <x v="0"/>
  </r>
  <r>
    <x v="0"/>
    <x v="0"/>
    <n v="2239182291"/>
    <x v="1"/>
    <n v="900"/>
    <x v="1"/>
    <x v="0"/>
    <x v="38"/>
    <x v="1"/>
    <x v="0"/>
    <x v="0"/>
    <x v="1"/>
    <x v="0"/>
  </r>
  <r>
    <x v="0"/>
    <x v="0"/>
    <n v="2239182296"/>
    <x v="2"/>
    <n v="22990"/>
    <x v="1"/>
    <x v="0"/>
    <x v="38"/>
    <x v="2"/>
    <x v="0"/>
    <x v="0"/>
    <x v="2"/>
    <x v="0"/>
  </r>
  <r>
    <x v="0"/>
    <x v="0"/>
    <n v="2239182298"/>
    <x v="1"/>
    <n v="4500"/>
    <x v="1"/>
    <x v="0"/>
    <x v="38"/>
    <x v="1"/>
    <x v="0"/>
    <x v="0"/>
    <x v="1"/>
    <x v="0"/>
  </r>
  <r>
    <x v="0"/>
    <x v="0"/>
    <n v="2239182300"/>
    <x v="7"/>
    <n v="1800"/>
    <x v="1"/>
    <x v="0"/>
    <x v="38"/>
    <x v="7"/>
    <x v="0"/>
    <x v="0"/>
    <x v="1"/>
    <x v="0"/>
  </r>
  <r>
    <x v="0"/>
    <x v="0"/>
    <n v="2239182301"/>
    <x v="5"/>
    <n v="-13050"/>
    <x v="1"/>
    <x v="0"/>
    <x v="38"/>
    <x v="5"/>
    <x v="0"/>
    <x v="0"/>
    <x v="5"/>
    <x v="0"/>
  </r>
  <r>
    <x v="0"/>
    <x v="0"/>
    <n v="2239182301"/>
    <x v="6"/>
    <n v="20000"/>
    <x v="1"/>
    <x v="0"/>
    <x v="38"/>
    <x v="6"/>
    <x v="0"/>
    <x v="0"/>
    <x v="5"/>
    <x v="0"/>
  </r>
  <r>
    <x v="0"/>
    <x v="0"/>
    <n v="2239182302"/>
    <x v="4"/>
    <n v="5000"/>
    <x v="1"/>
    <x v="0"/>
    <x v="38"/>
    <x v="4"/>
    <x v="0"/>
    <x v="0"/>
    <x v="4"/>
    <x v="0"/>
  </r>
  <r>
    <x v="0"/>
    <x v="0"/>
    <n v="2239182304"/>
    <x v="5"/>
    <n v="-5200"/>
    <x v="1"/>
    <x v="0"/>
    <x v="38"/>
    <x v="5"/>
    <x v="0"/>
    <x v="0"/>
    <x v="5"/>
    <x v="0"/>
  </r>
  <r>
    <x v="0"/>
    <x v="0"/>
    <n v="2239182304"/>
    <x v="4"/>
    <n v="10500"/>
    <x v="1"/>
    <x v="0"/>
    <x v="38"/>
    <x v="4"/>
    <x v="0"/>
    <x v="0"/>
    <x v="4"/>
    <x v="0"/>
  </r>
  <r>
    <x v="0"/>
    <x v="0"/>
    <n v="2239182306"/>
    <x v="2"/>
    <n v="13250"/>
    <x v="1"/>
    <x v="0"/>
    <x v="38"/>
    <x v="2"/>
    <x v="0"/>
    <x v="0"/>
    <x v="2"/>
    <x v="0"/>
  </r>
  <r>
    <x v="0"/>
    <x v="0"/>
    <n v="2239182306"/>
    <x v="7"/>
    <n v="2250"/>
    <x v="1"/>
    <x v="0"/>
    <x v="38"/>
    <x v="7"/>
    <x v="0"/>
    <x v="0"/>
    <x v="1"/>
    <x v="0"/>
  </r>
  <r>
    <x v="0"/>
    <x v="0"/>
    <n v="2239182307"/>
    <x v="2"/>
    <n v="109670"/>
    <x v="1"/>
    <x v="0"/>
    <x v="38"/>
    <x v="2"/>
    <x v="0"/>
    <x v="0"/>
    <x v="2"/>
    <x v="0"/>
  </r>
  <r>
    <x v="0"/>
    <x v="0"/>
    <n v="2239182308"/>
    <x v="2"/>
    <n v="36740"/>
    <x v="1"/>
    <x v="0"/>
    <x v="38"/>
    <x v="2"/>
    <x v="0"/>
    <x v="0"/>
    <x v="2"/>
    <x v="0"/>
  </r>
  <r>
    <x v="0"/>
    <x v="0"/>
    <n v="2239182309"/>
    <x v="2"/>
    <n v="14300"/>
    <x v="1"/>
    <x v="0"/>
    <x v="38"/>
    <x v="2"/>
    <x v="0"/>
    <x v="0"/>
    <x v="2"/>
    <x v="0"/>
  </r>
  <r>
    <x v="0"/>
    <x v="0"/>
    <n v="2239182310"/>
    <x v="1"/>
    <n v="4500"/>
    <x v="1"/>
    <x v="0"/>
    <x v="38"/>
    <x v="1"/>
    <x v="0"/>
    <x v="0"/>
    <x v="1"/>
    <x v="0"/>
  </r>
  <r>
    <x v="0"/>
    <x v="0"/>
    <n v="2239182312"/>
    <x v="2"/>
    <n v="13500"/>
    <x v="1"/>
    <x v="0"/>
    <x v="38"/>
    <x v="2"/>
    <x v="0"/>
    <x v="0"/>
    <x v="2"/>
    <x v="0"/>
  </r>
  <r>
    <x v="0"/>
    <x v="0"/>
    <n v="2239182312"/>
    <x v="7"/>
    <n v="1500"/>
    <x v="1"/>
    <x v="0"/>
    <x v="38"/>
    <x v="7"/>
    <x v="0"/>
    <x v="0"/>
    <x v="1"/>
    <x v="0"/>
  </r>
  <r>
    <x v="0"/>
    <x v="0"/>
    <n v="2239182313"/>
    <x v="1"/>
    <n v="2250"/>
    <x v="1"/>
    <x v="0"/>
    <x v="38"/>
    <x v="1"/>
    <x v="0"/>
    <x v="0"/>
    <x v="1"/>
    <x v="0"/>
  </r>
  <r>
    <x v="0"/>
    <x v="0"/>
    <n v="2239182315"/>
    <x v="2"/>
    <n v="6000"/>
    <x v="1"/>
    <x v="0"/>
    <x v="38"/>
    <x v="2"/>
    <x v="0"/>
    <x v="0"/>
    <x v="2"/>
    <x v="0"/>
  </r>
  <r>
    <x v="0"/>
    <x v="0"/>
    <n v="2239182316"/>
    <x v="4"/>
    <n v="5600"/>
    <x v="1"/>
    <x v="0"/>
    <x v="38"/>
    <x v="4"/>
    <x v="0"/>
    <x v="0"/>
    <x v="4"/>
    <x v="0"/>
  </r>
  <r>
    <x v="0"/>
    <x v="0"/>
    <n v="2239182317"/>
    <x v="3"/>
    <n v="9000"/>
    <x v="1"/>
    <x v="0"/>
    <x v="38"/>
    <x v="3"/>
    <x v="0"/>
    <x v="0"/>
    <x v="3"/>
    <x v="0"/>
  </r>
  <r>
    <x v="0"/>
    <x v="0"/>
    <n v="2239182318"/>
    <x v="5"/>
    <n v="-14400"/>
    <x v="1"/>
    <x v="0"/>
    <x v="38"/>
    <x v="5"/>
    <x v="0"/>
    <x v="0"/>
    <x v="5"/>
    <x v="0"/>
  </r>
  <r>
    <x v="0"/>
    <x v="0"/>
    <n v="2239182318"/>
    <x v="4"/>
    <n v="20000"/>
    <x v="1"/>
    <x v="0"/>
    <x v="38"/>
    <x v="4"/>
    <x v="0"/>
    <x v="0"/>
    <x v="4"/>
    <x v="0"/>
  </r>
  <r>
    <x v="0"/>
    <x v="0"/>
    <n v="2239182319"/>
    <x v="2"/>
    <n v="24750"/>
    <x v="1"/>
    <x v="0"/>
    <x v="38"/>
    <x v="2"/>
    <x v="0"/>
    <x v="0"/>
    <x v="2"/>
    <x v="0"/>
  </r>
  <r>
    <x v="0"/>
    <x v="0"/>
    <n v="2239182320"/>
    <x v="3"/>
    <n v="10890"/>
    <x v="1"/>
    <x v="0"/>
    <x v="38"/>
    <x v="3"/>
    <x v="0"/>
    <x v="0"/>
    <x v="3"/>
    <x v="0"/>
  </r>
  <r>
    <x v="0"/>
    <x v="0"/>
    <n v="2239182321"/>
    <x v="2"/>
    <n v="17600"/>
    <x v="1"/>
    <x v="0"/>
    <x v="38"/>
    <x v="2"/>
    <x v="0"/>
    <x v="0"/>
    <x v="2"/>
    <x v="0"/>
  </r>
  <r>
    <x v="0"/>
    <x v="0"/>
    <n v="2239182322"/>
    <x v="2"/>
    <n v="48290"/>
    <x v="1"/>
    <x v="0"/>
    <x v="38"/>
    <x v="2"/>
    <x v="0"/>
    <x v="0"/>
    <x v="2"/>
    <x v="0"/>
  </r>
  <r>
    <x v="0"/>
    <x v="0"/>
    <n v="2239182323"/>
    <x v="5"/>
    <n v="-100"/>
    <x v="1"/>
    <x v="0"/>
    <x v="38"/>
    <x v="5"/>
    <x v="0"/>
    <x v="0"/>
    <x v="5"/>
    <x v="0"/>
  </r>
  <r>
    <x v="0"/>
    <x v="0"/>
    <n v="2239182323"/>
    <x v="4"/>
    <n v="4500"/>
    <x v="1"/>
    <x v="0"/>
    <x v="38"/>
    <x v="4"/>
    <x v="0"/>
    <x v="0"/>
    <x v="4"/>
    <x v="0"/>
  </r>
  <r>
    <x v="0"/>
    <x v="0"/>
    <n v="2239182324"/>
    <x v="5"/>
    <n v="-4700"/>
    <x v="1"/>
    <x v="0"/>
    <x v="38"/>
    <x v="5"/>
    <x v="0"/>
    <x v="0"/>
    <x v="5"/>
    <x v="0"/>
  </r>
  <r>
    <x v="0"/>
    <x v="0"/>
    <n v="2239182324"/>
    <x v="4"/>
    <n v="10000"/>
    <x v="1"/>
    <x v="0"/>
    <x v="38"/>
    <x v="4"/>
    <x v="0"/>
    <x v="0"/>
    <x v="4"/>
    <x v="0"/>
  </r>
  <r>
    <x v="0"/>
    <x v="0"/>
    <n v="2239182325"/>
    <x v="5"/>
    <n v="-1320"/>
    <x v="1"/>
    <x v="0"/>
    <x v="38"/>
    <x v="5"/>
    <x v="0"/>
    <x v="0"/>
    <x v="5"/>
    <x v="0"/>
  </r>
  <r>
    <x v="0"/>
    <x v="0"/>
    <n v="2239182325"/>
    <x v="6"/>
    <n v="10000"/>
    <x v="1"/>
    <x v="0"/>
    <x v="38"/>
    <x v="6"/>
    <x v="0"/>
    <x v="0"/>
    <x v="5"/>
    <x v="0"/>
  </r>
  <r>
    <x v="0"/>
    <x v="0"/>
    <n v="2239182326"/>
    <x v="5"/>
    <n v="-4300"/>
    <x v="1"/>
    <x v="0"/>
    <x v="38"/>
    <x v="5"/>
    <x v="0"/>
    <x v="0"/>
    <x v="5"/>
    <x v="0"/>
  </r>
  <r>
    <x v="0"/>
    <x v="0"/>
    <n v="2239182326"/>
    <x v="4"/>
    <n v="10000"/>
    <x v="1"/>
    <x v="0"/>
    <x v="38"/>
    <x v="4"/>
    <x v="0"/>
    <x v="0"/>
    <x v="4"/>
    <x v="0"/>
  </r>
  <r>
    <x v="0"/>
    <x v="0"/>
    <n v="2239182327"/>
    <x v="7"/>
    <n v="3900"/>
    <x v="1"/>
    <x v="0"/>
    <x v="38"/>
    <x v="7"/>
    <x v="0"/>
    <x v="0"/>
    <x v="1"/>
    <x v="0"/>
  </r>
  <r>
    <x v="0"/>
    <x v="0"/>
    <n v="2239182328"/>
    <x v="5"/>
    <n v="-10000"/>
    <x v="1"/>
    <x v="0"/>
    <x v="38"/>
    <x v="5"/>
    <x v="0"/>
    <x v="0"/>
    <x v="5"/>
    <x v="0"/>
  </r>
  <r>
    <x v="0"/>
    <x v="0"/>
    <n v="2239182328"/>
    <x v="4"/>
    <n v="20600"/>
    <x v="1"/>
    <x v="0"/>
    <x v="38"/>
    <x v="4"/>
    <x v="0"/>
    <x v="0"/>
    <x v="4"/>
    <x v="0"/>
  </r>
  <r>
    <x v="0"/>
    <x v="0"/>
    <n v="2239182329"/>
    <x v="5"/>
    <n v="-2000"/>
    <x v="1"/>
    <x v="0"/>
    <x v="38"/>
    <x v="5"/>
    <x v="0"/>
    <x v="0"/>
    <x v="5"/>
    <x v="0"/>
  </r>
  <r>
    <x v="0"/>
    <x v="0"/>
    <n v="2239182329"/>
    <x v="6"/>
    <n v="5000"/>
    <x v="1"/>
    <x v="0"/>
    <x v="38"/>
    <x v="6"/>
    <x v="0"/>
    <x v="0"/>
    <x v="5"/>
    <x v="0"/>
  </r>
  <r>
    <x v="0"/>
    <x v="0"/>
    <n v="2239182330"/>
    <x v="2"/>
    <n v="14000"/>
    <x v="1"/>
    <x v="0"/>
    <x v="38"/>
    <x v="2"/>
    <x v="0"/>
    <x v="0"/>
    <x v="2"/>
    <x v="0"/>
  </r>
  <r>
    <x v="0"/>
    <x v="0"/>
    <n v="2239182331"/>
    <x v="3"/>
    <n v="8085"/>
    <x v="1"/>
    <x v="0"/>
    <x v="38"/>
    <x v="3"/>
    <x v="0"/>
    <x v="0"/>
    <x v="3"/>
    <x v="0"/>
  </r>
  <r>
    <x v="0"/>
    <x v="0"/>
    <n v="2239182336"/>
    <x v="2"/>
    <n v="28952"/>
    <x v="1"/>
    <x v="0"/>
    <x v="38"/>
    <x v="2"/>
    <x v="0"/>
    <x v="0"/>
    <x v="2"/>
    <x v="0"/>
  </r>
  <r>
    <x v="0"/>
    <x v="0"/>
    <n v="2239182337"/>
    <x v="2"/>
    <n v="8000"/>
    <x v="1"/>
    <x v="0"/>
    <x v="38"/>
    <x v="2"/>
    <x v="0"/>
    <x v="0"/>
    <x v="2"/>
    <x v="0"/>
  </r>
  <r>
    <x v="0"/>
    <x v="0"/>
    <n v="2239182338"/>
    <x v="2"/>
    <n v="8800"/>
    <x v="1"/>
    <x v="0"/>
    <x v="38"/>
    <x v="2"/>
    <x v="0"/>
    <x v="0"/>
    <x v="2"/>
    <x v="0"/>
  </r>
  <r>
    <x v="0"/>
    <x v="0"/>
    <n v="2239182339"/>
    <x v="5"/>
    <n v="-3400"/>
    <x v="1"/>
    <x v="0"/>
    <x v="38"/>
    <x v="5"/>
    <x v="0"/>
    <x v="0"/>
    <x v="5"/>
    <x v="0"/>
  </r>
  <r>
    <x v="0"/>
    <x v="0"/>
    <n v="2239182339"/>
    <x v="6"/>
    <n v="10000"/>
    <x v="1"/>
    <x v="0"/>
    <x v="38"/>
    <x v="6"/>
    <x v="0"/>
    <x v="0"/>
    <x v="5"/>
    <x v="0"/>
  </r>
  <r>
    <x v="0"/>
    <x v="0"/>
    <n v="2239182341"/>
    <x v="2"/>
    <n v="20800"/>
    <x v="1"/>
    <x v="0"/>
    <x v="38"/>
    <x v="2"/>
    <x v="0"/>
    <x v="0"/>
    <x v="2"/>
    <x v="0"/>
  </r>
  <r>
    <x v="0"/>
    <x v="0"/>
    <n v="2239182342"/>
    <x v="2"/>
    <n v="7500"/>
    <x v="1"/>
    <x v="0"/>
    <x v="38"/>
    <x v="2"/>
    <x v="0"/>
    <x v="0"/>
    <x v="2"/>
    <x v="0"/>
  </r>
  <r>
    <x v="0"/>
    <x v="0"/>
    <n v="2239182343"/>
    <x v="2"/>
    <n v="8250"/>
    <x v="1"/>
    <x v="0"/>
    <x v="38"/>
    <x v="2"/>
    <x v="0"/>
    <x v="0"/>
    <x v="2"/>
    <x v="0"/>
  </r>
  <r>
    <x v="0"/>
    <x v="0"/>
    <n v="2239182345"/>
    <x v="1"/>
    <n v="1200"/>
    <x v="1"/>
    <x v="0"/>
    <x v="38"/>
    <x v="1"/>
    <x v="0"/>
    <x v="0"/>
    <x v="1"/>
    <x v="0"/>
  </r>
  <r>
    <x v="0"/>
    <x v="0"/>
    <n v="2239182346"/>
    <x v="1"/>
    <n v="2700"/>
    <x v="1"/>
    <x v="0"/>
    <x v="38"/>
    <x v="1"/>
    <x v="0"/>
    <x v="0"/>
    <x v="1"/>
    <x v="0"/>
  </r>
  <r>
    <x v="0"/>
    <x v="0"/>
    <n v="2239182347"/>
    <x v="1"/>
    <n v="1800"/>
    <x v="1"/>
    <x v="0"/>
    <x v="38"/>
    <x v="1"/>
    <x v="0"/>
    <x v="0"/>
    <x v="1"/>
    <x v="0"/>
  </r>
  <r>
    <x v="0"/>
    <x v="0"/>
    <n v="2239182348"/>
    <x v="1"/>
    <n v="1440"/>
    <x v="1"/>
    <x v="0"/>
    <x v="38"/>
    <x v="1"/>
    <x v="0"/>
    <x v="0"/>
    <x v="1"/>
    <x v="0"/>
  </r>
  <r>
    <x v="0"/>
    <x v="0"/>
    <n v="2239182354"/>
    <x v="1"/>
    <n v="9650"/>
    <x v="1"/>
    <x v="0"/>
    <x v="38"/>
    <x v="1"/>
    <x v="0"/>
    <x v="0"/>
    <x v="1"/>
    <x v="0"/>
  </r>
  <r>
    <x v="0"/>
    <x v="0"/>
    <n v="2239182356"/>
    <x v="1"/>
    <n v="3150"/>
    <x v="1"/>
    <x v="0"/>
    <x v="38"/>
    <x v="1"/>
    <x v="0"/>
    <x v="0"/>
    <x v="1"/>
    <x v="0"/>
  </r>
  <r>
    <x v="0"/>
    <x v="0"/>
    <n v="2239182360"/>
    <x v="1"/>
    <n v="2040"/>
    <x v="1"/>
    <x v="0"/>
    <x v="38"/>
    <x v="1"/>
    <x v="0"/>
    <x v="0"/>
    <x v="1"/>
    <x v="0"/>
  </r>
  <r>
    <x v="0"/>
    <x v="0"/>
    <n v="2239184124"/>
    <x v="1"/>
    <n v="20670"/>
    <x v="1"/>
    <x v="0"/>
    <x v="6"/>
    <x v="1"/>
    <x v="0"/>
    <x v="0"/>
    <x v="1"/>
    <x v="0"/>
  </r>
  <r>
    <x v="0"/>
    <x v="0"/>
    <n v="2239184125"/>
    <x v="1"/>
    <n v="90770"/>
    <x v="1"/>
    <x v="0"/>
    <x v="6"/>
    <x v="1"/>
    <x v="0"/>
    <x v="0"/>
    <x v="1"/>
    <x v="0"/>
  </r>
  <r>
    <x v="0"/>
    <x v="0"/>
    <n v="2239184126"/>
    <x v="1"/>
    <n v="39000"/>
    <x v="1"/>
    <x v="0"/>
    <x v="6"/>
    <x v="1"/>
    <x v="0"/>
    <x v="0"/>
    <x v="1"/>
    <x v="0"/>
  </r>
  <r>
    <x v="0"/>
    <x v="0"/>
    <n v="2239184127"/>
    <x v="1"/>
    <n v="111010"/>
    <x v="1"/>
    <x v="0"/>
    <x v="6"/>
    <x v="1"/>
    <x v="0"/>
    <x v="0"/>
    <x v="1"/>
    <x v="0"/>
  </r>
  <r>
    <x v="0"/>
    <x v="0"/>
    <n v="2239184128"/>
    <x v="1"/>
    <n v="20060"/>
    <x v="1"/>
    <x v="0"/>
    <x v="6"/>
    <x v="1"/>
    <x v="0"/>
    <x v="0"/>
    <x v="1"/>
    <x v="0"/>
  </r>
  <r>
    <x v="0"/>
    <x v="0"/>
    <n v="2239184129"/>
    <x v="1"/>
    <n v="37040"/>
    <x v="1"/>
    <x v="0"/>
    <x v="6"/>
    <x v="1"/>
    <x v="0"/>
    <x v="0"/>
    <x v="1"/>
    <x v="0"/>
  </r>
  <r>
    <x v="0"/>
    <x v="0"/>
    <n v="2239184130"/>
    <x v="1"/>
    <n v="70460"/>
    <x v="1"/>
    <x v="0"/>
    <x v="6"/>
    <x v="1"/>
    <x v="0"/>
    <x v="0"/>
    <x v="1"/>
    <x v="0"/>
  </r>
  <r>
    <x v="0"/>
    <x v="0"/>
    <n v="2239184131"/>
    <x v="1"/>
    <n v="35400"/>
    <x v="1"/>
    <x v="0"/>
    <x v="6"/>
    <x v="1"/>
    <x v="0"/>
    <x v="0"/>
    <x v="1"/>
    <x v="0"/>
  </r>
  <r>
    <x v="0"/>
    <x v="0"/>
    <n v="2239184132"/>
    <x v="1"/>
    <n v="15130"/>
    <x v="1"/>
    <x v="0"/>
    <x v="6"/>
    <x v="1"/>
    <x v="0"/>
    <x v="0"/>
    <x v="1"/>
    <x v="0"/>
  </r>
  <r>
    <x v="0"/>
    <x v="0"/>
    <n v="2239184133"/>
    <x v="1"/>
    <n v="17850"/>
    <x v="1"/>
    <x v="0"/>
    <x v="6"/>
    <x v="1"/>
    <x v="0"/>
    <x v="0"/>
    <x v="1"/>
    <x v="0"/>
  </r>
  <r>
    <x v="0"/>
    <x v="0"/>
    <n v="2239184134"/>
    <x v="1"/>
    <n v="1200"/>
    <x v="1"/>
    <x v="0"/>
    <x v="6"/>
    <x v="1"/>
    <x v="0"/>
    <x v="0"/>
    <x v="1"/>
    <x v="0"/>
  </r>
  <r>
    <x v="0"/>
    <x v="0"/>
    <n v="2239184135"/>
    <x v="1"/>
    <n v="5400"/>
    <x v="1"/>
    <x v="0"/>
    <x v="6"/>
    <x v="1"/>
    <x v="0"/>
    <x v="0"/>
    <x v="1"/>
    <x v="0"/>
  </r>
  <r>
    <x v="0"/>
    <x v="0"/>
    <n v="2239184136"/>
    <x v="1"/>
    <n v="2700"/>
    <x v="1"/>
    <x v="0"/>
    <x v="6"/>
    <x v="1"/>
    <x v="0"/>
    <x v="0"/>
    <x v="1"/>
    <x v="0"/>
  </r>
  <r>
    <x v="0"/>
    <x v="0"/>
    <n v="2239184137"/>
    <x v="1"/>
    <n v="11460"/>
    <x v="1"/>
    <x v="0"/>
    <x v="6"/>
    <x v="1"/>
    <x v="0"/>
    <x v="0"/>
    <x v="1"/>
    <x v="0"/>
  </r>
  <r>
    <x v="0"/>
    <x v="0"/>
    <n v="2239184138"/>
    <x v="1"/>
    <n v="2850"/>
    <x v="1"/>
    <x v="0"/>
    <x v="6"/>
    <x v="1"/>
    <x v="0"/>
    <x v="0"/>
    <x v="1"/>
    <x v="0"/>
  </r>
  <r>
    <x v="0"/>
    <x v="0"/>
    <n v="2239184139"/>
    <x v="1"/>
    <n v="6870"/>
    <x v="1"/>
    <x v="0"/>
    <x v="6"/>
    <x v="1"/>
    <x v="0"/>
    <x v="0"/>
    <x v="1"/>
    <x v="0"/>
  </r>
  <r>
    <x v="0"/>
    <x v="0"/>
    <n v="2239184140"/>
    <x v="1"/>
    <n v="15820"/>
    <x v="1"/>
    <x v="0"/>
    <x v="6"/>
    <x v="1"/>
    <x v="0"/>
    <x v="0"/>
    <x v="1"/>
    <x v="0"/>
  </r>
  <r>
    <x v="0"/>
    <x v="0"/>
    <n v="2239184141"/>
    <x v="1"/>
    <n v="900"/>
    <x v="1"/>
    <x v="0"/>
    <x v="6"/>
    <x v="1"/>
    <x v="0"/>
    <x v="0"/>
    <x v="1"/>
    <x v="0"/>
  </r>
  <r>
    <x v="0"/>
    <x v="0"/>
    <n v="2239184142"/>
    <x v="1"/>
    <n v="900"/>
    <x v="1"/>
    <x v="0"/>
    <x v="6"/>
    <x v="1"/>
    <x v="0"/>
    <x v="0"/>
    <x v="1"/>
    <x v="0"/>
  </r>
  <r>
    <x v="0"/>
    <x v="0"/>
    <n v="2239184143"/>
    <x v="1"/>
    <n v="27990"/>
    <x v="1"/>
    <x v="0"/>
    <x v="6"/>
    <x v="1"/>
    <x v="0"/>
    <x v="0"/>
    <x v="1"/>
    <x v="0"/>
  </r>
  <r>
    <x v="0"/>
    <x v="0"/>
    <n v="2239184144"/>
    <x v="1"/>
    <n v="1890"/>
    <x v="1"/>
    <x v="0"/>
    <x v="6"/>
    <x v="1"/>
    <x v="0"/>
    <x v="0"/>
    <x v="1"/>
    <x v="0"/>
  </r>
  <r>
    <x v="0"/>
    <x v="0"/>
    <n v="2239184145"/>
    <x v="1"/>
    <n v="5250"/>
    <x v="1"/>
    <x v="0"/>
    <x v="6"/>
    <x v="1"/>
    <x v="0"/>
    <x v="0"/>
    <x v="1"/>
    <x v="0"/>
  </r>
  <r>
    <x v="0"/>
    <x v="0"/>
    <n v="2239184146"/>
    <x v="1"/>
    <n v="2250"/>
    <x v="1"/>
    <x v="0"/>
    <x v="6"/>
    <x v="1"/>
    <x v="0"/>
    <x v="0"/>
    <x v="1"/>
    <x v="0"/>
  </r>
  <r>
    <x v="0"/>
    <x v="0"/>
    <n v="2239184147"/>
    <x v="1"/>
    <n v="2700"/>
    <x v="1"/>
    <x v="0"/>
    <x v="6"/>
    <x v="1"/>
    <x v="0"/>
    <x v="0"/>
    <x v="1"/>
    <x v="0"/>
  </r>
  <r>
    <x v="0"/>
    <x v="0"/>
    <n v="2239184148"/>
    <x v="1"/>
    <n v="13950"/>
    <x v="1"/>
    <x v="0"/>
    <x v="6"/>
    <x v="1"/>
    <x v="0"/>
    <x v="0"/>
    <x v="1"/>
    <x v="0"/>
  </r>
  <r>
    <x v="0"/>
    <x v="0"/>
    <n v="2239184149"/>
    <x v="1"/>
    <n v="1800"/>
    <x v="1"/>
    <x v="0"/>
    <x v="6"/>
    <x v="1"/>
    <x v="0"/>
    <x v="0"/>
    <x v="1"/>
    <x v="0"/>
  </r>
  <r>
    <x v="0"/>
    <x v="0"/>
    <n v="2239184151"/>
    <x v="1"/>
    <n v="9210"/>
    <x v="1"/>
    <x v="0"/>
    <x v="6"/>
    <x v="1"/>
    <x v="0"/>
    <x v="0"/>
    <x v="1"/>
    <x v="0"/>
  </r>
  <r>
    <x v="0"/>
    <x v="0"/>
    <n v="2239184152"/>
    <x v="1"/>
    <n v="3930"/>
    <x v="1"/>
    <x v="0"/>
    <x v="6"/>
    <x v="1"/>
    <x v="0"/>
    <x v="0"/>
    <x v="1"/>
    <x v="0"/>
  </r>
  <r>
    <x v="0"/>
    <x v="0"/>
    <n v="2239184153"/>
    <x v="1"/>
    <n v="5340"/>
    <x v="1"/>
    <x v="0"/>
    <x v="6"/>
    <x v="1"/>
    <x v="0"/>
    <x v="0"/>
    <x v="1"/>
    <x v="0"/>
  </r>
  <r>
    <x v="0"/>
    <x v="0"/>
    <n v="2239184154"/>
    <x v="1"/>
    <n v="19240"/>
    <x v="1"/>
    <x v="0"/>
    <x v="6"/>
    <x v="1"/>
    <x v="0"/>
    <x v="0"/>
    <x v="1"/>
    <x v="0"/>
  </r>
  <r>
    <x v="0"/>
    <x v="0"/>
    <n v="2239184155"/>
    <x v="1"/>
    <n v="124990"/>
    <x v="1"/>
    <x v="0"/>
    <x v="6"/>
    <x v="1"/>
    <x v="0"/>
    <x v="0"/>
    <x v="1"/>
    <x v="0"/>
  </r>
  <r>
    <x v="0"/>
    <x v="0"/>
    <n v="2239184156"/>
    <x v="1"/>
    <n v="7620"/>
    <x v="1"/>
    <x v="0"/>
    <x v="6"/>
    <x v="1"/>
    <x v="0"/>
    <x v="0"/>
    <x v="1"/>
    <x v="0"/>
  </r>
  <r>
    <x v="0"/>
    <x v="0"/>
    <n v="2239184157"/>
    <x v="1"/>
    <n v="38230"/>
    <x v="1"/>
    <x v="0"/>
    <x v="6"/>
    <x v="1"/>
    <x v="0"/>
    <x v="0"/>
    <x v="1"/>
    <x v="0"/>
  </r>
  <r>
    <x v="0"/>
    <x v="0"/>
    <n v="2239184159"/>
    <x v="1"/>
    <n v="3750"/>
    <x v="1"/>
    <x v="0"/>
    <x v="6"/>
    <x v="1"/>
    <x v="0"/>
    <x v="0"/>
    <x v="1"/>
    <x v="0"/>
  </r>
  <r>
    <x v="0"/>
    <x v="0"/>
    <n v="2239184160"/>
    <x v="1"/>
    <n v="4500"/>
    <x v="1"/>
    <x v="0"/>
    <x v="6"/>
    <x v="1"/>
    <x v="0"/>
    <x v="0"/>
    <x v="1"/>
    <x v="0"/>
  </r>
  <r>
    <x v="0"/>
    <x v="0"/>
    <n v="2239184163"/>
    <x v="1"/>
    <n v="1140"/>
    <x v="1"/>
    <x v="0"/>
    <x v="6"/>
    <x v="1"/>
    <x v="0"/>
    <x v="0"/>
    <x v="1"/>
    <x v="0"/>
  </r>
  <r>
    <x v="0"/>
    <x v="0"/>
    <n v="2239184164"/>
    <x v="1"/>
    <n v="1140"/>
    <x v="1"/>
    <x v="0"/>
    <x v="6"/>
    <x v="1"/>
    <x v="0"/>
    <x v="0"/>
    <x v="1"/>
    <x v="0"/>
  </r>
  <r>
    <x v="0"/>
    <x v="0"/>
    <n v="2239184167"/>
    <x v="3"/>
    <n v="7084"/>
    <x v="1"/>
    <x v="0"/>
    <x v="6"/>
    <x v="3"/>
    <x v="0"/>
    <x v="0"/>
    <x v="3"/>
    <x v="0"/>
  </r>
  <r>
    <x v="0"/>
    <x v="0"/>
    <n v="2239184168"/>
    <x v="3"/>
    <n v="14168"/>
    <x v="1"/>
    <x v="0"/>
    <x v="6"/>
    <x v="3"/>
    <x v="0"/>
    <x v="0"/>
    <x v="3"/>
    <x v="0"/>
  </r>
  <r>
    <x v="0"/>
    <x v="0"/>
    <n v="2239184169"/>
    <x v="1"/>
    <n v="165290"/>
    <x v="1"/>
    <x v="0"/>
    <x v="6"/>
    <x v="1"/>
    <x v="0"/>
    <x v="0"/>
    <x v="1"/>
    <x v="0"/>
  </r>
  <r>
    <x v="0"/>
    <x v="0"/>
    <n v="2239184173"/>
    <x v="2"/>
    <n v="28336"/>
    <x v="1"/>
    <x v="0"/>
    <x v="6"/>
    <x v="2"/>
    <x v="0"/>
    <x v="0"/>
    <x v="2"/>
    <x v="0"/>
  </r>
  <r>
    <x v="0"/>
    <x v="0"/>
    <n v="2239184175"/>
    <x v="6"/>
    <n v="3150"/>
    <x v="1"/>
    <x v="0"/>
    <x v="6"/>
    <x v="6"/>
    <x v="0"/>
    <x v="0"/>
    <x v="5"/>
    <x v="0"/>
  </r>
  <r>
    <x v="0"/>
    <x v="0"/>
    <n v="2239184175"/>
    <x v="7"/>
    <n v="1350"/>
    <x v="1"/>
    <x v="0"/>
    <x v="6"/>
    <x v="7"/>
    <x v="0"/>
    <x v="0"/>
    <x v="1"/>
    <x v="0"/>
  </r>
  <r>
    <x v="0"/>
    <x v="0"/>
    <n v="2239184177"/>
    <x v="2"/>
    <n v="4950"/>
    <x v="1"/>
    <x v="0"/>
    <x v="6"/>
    <x v="2"/>
    <x v="0"/>
    <x v="0"/>
    <x v="2"/>
    <x v="0"/>
  </r>
  <r>
    <x v="0"/>
    <x v="0"/>
    <n v="2239184178"/>
    <x v="4"/>
    <n v="5300"/>
    <x v="1"/>
    <x v="0"/>
    <x v="6"/>
    <x v="4"/>
    <x v="0"/>
    <x v="0"/>
    <x v="4"/>
    <x v="0"/>
  </r>
  <r>
    <x v="0"/>
    <x v="0"/>
    <n v="2239184179"/>
    <x v="6"/>
    <n v="3250"/>
    <x v="1"/>
    <x v="0"/>
    <x v="6"/>
    <x v="6"/>
    <x v="0"/>
    <x v="0"/>
    <x v="5"/>
    <x v="0"/>
  </r>
  <r>
    <x v="0"/>
    <x v="0"/>
    <n v="2239184180"/>
    <x v="6"/>
    <n v="7200"/>
    <x v="1"/>
    <x v="0"/>
    <x v="6"/>
    <x v="6"/>
    <x v="0"/>
    <x v="0"/>
    <x v="5"/>
    <x v="0"/>
  </r>
  <r>
    <x v="0"/>
    <x v="0"/>
    <n v="2239184180"/>
    <x v="7"/>
    <n v="1800"/>
    <x v="1"/>
    <x v="0"/>
    <x v="6"/>
    <x v="7"/>
    <x v="0"/>
    <x v="0"/>
    <x v="1"/>
    <x v="0"/>
  </r>
  <r>
    <x v="0"/>
    <x v="0"/>
    <n v="2239184181"/>
    <x v="1"/>
    <n v="7800"/>
    <x v="1"/>
    <x v="0"/>
    <x v="6"/>
    <x v="1"/>
    <x v="0"/>
    <x v="0"/>
    <x v="1"/>
    <x v="0"/>
  </r>
  <r>
    <x v="0"/>
    <x v="0"/>
    <n v="2239184182"/>
    <x v="1"/>
    <n v="2280"/>
    <x v="1"/>
    <x v="0"/>
    <x v="6"/>
    <x v="1"/>
    <x v="0"/>
    <x v="0"/>
    <x v="1"/>
    <x v="0"/>
  </r>
  <r>
    <x v="0"/>
    <x v="0"/>
    <n v="2239184183"/>
    <x v="6"/>
    <n v="7000"/>
    <x v="1"/>
    <x v="0"/>
    <x v="6"/>
    <x v="6"/>
    <x v="0"/>
    <x v="0"/>
    <x v="5"/>
    <x v="0"/>
  </r>
  <r>
    <x v="0"/>
    <x v="0"/>
    <n v="2239184186"/>
    <x v="1"/>
    <n v="5370"/>
    <x v="1"/>
    <x v="0"/>
    <x v="6"/>
    <x v="1"/>
    <x v="0"/>
    <x v="0"/>
    <x v="1"/>
    <x v="0"/>
  </r>
  <r>
    <x v="0"/>
    <x v="0"/>
    <n v="2239184189"/>
    <x v="1"/>
    <n v="3885"/>
    <x v="1"/>
    <x v="0"/>
    <x v="6"/>
    <x v="1"/>
    <x v="0"/>
    <x v="0"/>
    <x v="1"/>
    <x v="0"/>
  </r>
  <r>
    <x v="0"/>
    <x v="0"/>
    <n v="2239184190"/>
    <x v="1"/>
    <n v="7620"/>
    <x v="1"/>
    <x v="0"/>
    <x v="6"/>
    <x v="1"/>
    <x v="0"/>
    <x v="0"/>
    <x v="1"/>
    <x v="0"/>
  </r>
  <r>
    <x v="0"/>
    <x v="0"/>
    <n v="2239184191"/>
    <x v="1"/>
    <n v="3750"/>
    <x v="1"/>
    <x v="0"/>
    <x v="6"/>
    <x v="1"/>
    <x v="0"/>
    <x v="0"/>
    <x v="1"/>
    <x v="0"/>
  </r>
  <r>
    <x v="0"/>
    <x v="0"/>
    <n v="2239184192"/>
    <x v="1"/>
    <n v="3150"/>
    <x v="1"/>
    <x v="0"/>
    <x v="6"/>
    <x v="1"/>
    <x v="0"/>
    <x v="0"/>
    <x v="1"/>
    <x v="0"/>
  </r>
  <r>
    <x v="0"/>
    <x v="0"/>
    <n v="2239184194"/>
    <x v="1"/>
    <n v="2700"/>
    <x v="1"/>
    <x v="0"/>
    <x v="6"/>
    <x v="1"/>
    <x v="0"/>
    <x v="0"/>
    <x v="1"/>
    <x v="0"/>
  </r>
  <r>
    <x v="0"/>
    <x v="0"/>
    <n v="2239184195"/>
    <x v="5"/>
    <n v="-500"/>
    <x v="1"/>
    <x v="0"/>
    <x v="6"/>
    <x v="5"/>
    <x v="0"/>
    <x v="0"/>
    <x v="5"/>
    <x v="0"/>
  </r>
  <r>
    <x v="0"/>
    <x v="0"/>
    <n v="2239184195"/>
    <x v="6"/>
    <n v="2000"/>
    <x v="1"/>
    <x v="0"/>
    <x v="6"/>
    <x v="6"/>
    <x v="0"/>
    <x v="0"/>
    <x v="5"/>
    <x v="0"/>
  </r>
  <r>
    <x v="0"/>
    <x v="0"/>
    <n v="2239184196"/>
    <x v="2"/>
    <n v="43890"/>
    <x v="1"/>
    <x v="0"/>
    <x v="6"/>
    <x v="2"/>
    <x v="0"/>
    <x v="0"/>
    <x v="2"/>
    <x v="0"/>
  </r>
  <r>
    <x v="0"/>
    <x v="0"/>
    <n v="2239184197"/>
    <x v="1"/>
    <n v="2940"/>
    <x v="1"/>
    <x v="0"/>
    <x v="6"/>
    <x v="1"/>
    <x v="0"/>
    <x v="0"/>
    <x v="1"/>
    <x v="0"/>
  </r>
  <r>
    <x v="0"/>
    <x v="0"/>
    <n v="2239184198"/>
    <x v="1"/>
    <n v="25830"/>
    <x v="1"/>
    <x v="0"/>
    <x v="6"/>
    <x v="1"/>
    <x v="0"/>
    <x v="0"/>
    <x v="1"/>
    <x v="0"/>
  </r>
  <r>
    <x v="0"/>
    <x v="0"/>
    <n v="2239184199"/>
    <x v="4"/>
    <n v="36300"/>
    <x v="1"/>
    <x v="0"/>
    <x v="6"/>
    <x v="4"/>
    <x v="0"/>
    <x v="0"/>
    <x v="4"/>
    <x v="0"/>
  </r>
  <r>
    <x v="0"/>
    <x v="0"/>
    <n v="2239184201"/>
    <x v="2"/>
    <n v="41085"/>
    <x v="1"/>
    <x v="0"/>
    <x v="6"/>
    <x v="2"/>
    <x v="0"/>
    <x v="0"/>
    <x v="2"/>
    <x v="0"/>
  </r>
  <r>
    <x v="0"/>
    <x v="0"/>
    <n v="2239184202"/>
    <x v="2"/>
    <n v="12045"/>
    <x v="1"/>
    <x v="0"/>
    <x v="6"/>
    <x v="2"/>
    <x v="0"/>
    <x v="0"/>
    <x v="2"/>
    <x v="0"/>
  </r>
  <r>
    <x v="0"/>
    <x v="0"/>
    <n v="2239184203"/>
    <x v="4"/>
    <n v="5000"/>
    <x v="1"/>
    <x v="0"/>
    <x v="6"/>
    <x v="4"/>
    <x v="0"/>
    <x v="0"/>
    <x v="4"/>
    <x v="0"/>
  </r>
  <r>
    <x v="0"/>
    <x v="0"/>
    <n v="2239184204"/>
    <x v="5"/>
    <n v="-5600"/>
    <x v="1"/>
    <x v="0"/>
    <x v="6"/>
    <x v="5"/>
    <x v="0"/>
    <x v="0"/>
    <x v="5"/>
    <x v="0"/>
  </r>
  <r>
    <x v="0"/>
    <x v="0"/>
    <n v="2239184204"/>
    <x v="4"/>
    <n v="10000"/>
    <x v="1"/>
    <x v="0"/>
    <x v="6"/>
    <x v="4"/>
    <x v="0"/>
    <x v="0"/>
    <x v="4"/>
    <x v="0"/>
  </r>
  <r>
    <x v="0"/>
    <x v="0"/>
    <n v="2239184205"/>
    <x v="2"/>
    <n v="21945"/>
    <x v="1"/>
    <x v="0"/>
    <x v="6"/>
    <x v="2"/>
    <x v="0"/>
    <x v="0"/>
    <x v="2"/>
    <x v="0"/>
  </r>
  <r>
    <x v="0"/>
    <x v="0"/>
    <n v="2239184206"/>
    <x v="3"/>
    <n v="3575"/>
    <x v="1"/>
    <x v="0"/>
    <x v="6"/>
    <x v="3"/>
    <x v="0"/>
    <x v="0"/>
    <x v="3"/>
    <x v="0"/>
  </r>
  <r>
    <x v="0"/>
    <x v="0"/>
    <n v="2239184208"/>
    <x v="2"/>
    <n v="11770"/>
    <x v="1"/>
    <x v="0"/>
    <x v="6"/>
    <x v="2"/>
    <x v="0"/>
    <x v="0"/>
    <x v="2"/>
    <x v="0"/>
  </r>
  <r>
    <x v="0"/>
    <x v="0"/>
    <n v="2239184210"/>
    <x v="5"/>
    <n v="-6300"/>
    <x v="1"/>
    <x v="0"/>
    <x v="6"/>
    <x v="5"/>
    <x v="0"/>
    <x v="0"/>
    <x v="5"/>
    <x v="0"/>
  </r>
  <r>
    <x v="0"/>
    <x v="0"/>
    <n v="2239184210"/>
    <x v="6"/>
    <n v="20000"/>
    <x v="1"/>
    <x v="0"/>
    <x v="6"/>
    <x v="6"/>
    <x v="0"/>
    <x v="0"/>
    <x v="5"/>
    <x v="0"/>
  </r>
  <r>
    <x v="0"/>
    <x v="0"/>
    <n v="2239184211"/>
    <x v="2"/>
    <n v="6000"/>
    <x v="1"/>
    <x v="0"/>
    <x v="6"/>
    <x v="2"/>
    <x v="0"/>
    <x v="0"/>
    <x v="2"/>
    <x v="0"/>
  </r>
  <r>
    <x v="0"/>
    <x v="0"/>
    <n v="2239184212"/>
    <x v="2"/>
    <n v="27445"/>
    <x v="1"/>
    <x v="0"/>
    <x v="6"/>
    <x v="2"/>
    <x v="0"/>
    <x v="0"/>
    <x v="2"/>
    <x v="0"/>
  </r>
  <r>
    <x v="0"/>
    <x v="0"/>
    <n v="2239184213"/>
    <x v="5"/>
    <n v="-250"/>
    <x v="1"/>
    <x v="0"/>
    <x v="6"/>
    <x v="5"/>
    <x v="0"/>
    <x v="0"/>
    <x v="5"/>
    <x v="0"/>
  </r>
  <r>
    <x v="0"/>
    <x v="0"/>
    <n v="2239184213"/>
    <x v="6"/>
    <n v="2000"/>
    <x v="1"/>
    <x v="0"/>
    <x v="6"/>
    <x v="6"/>
    <x v="0"/>
    <x v="0"/>
    <x v="5"/>
    <x v="0"/>
  </r>
  <r>
    <x v="0"/>
    <x v="0"/>
    <n v="2239184214"/>
    <x v="5"/>
    <n v="-5600"/>
    <x v="1"/>
    <x v="0"/>
    <x v="6"/>
    <x v="5"/>
    <x v="0"/>
    <x v="0"/>
    <x v="5"/>
    <x v="0"/>
  </r>
  <r>
    <x v="0"/>
    <x v="0"/>
    <n v="2239184214"/>
    <x v="4"/>
    <n v="10000"/>
    <x v="1"/>
    <x v="0"/>
    <x v="6"/>
    <x v="4"/>
    <x v="0"/>
    <x v="0"/>
    <x v="4"/>
    <x v="0"/>
  </r>
  <r>
    <x v="0"/>
    <x v="0"/>
    <n v="2239184215"/>
    <x v="2"/>
    <n v="68640"/>
    <x v="1"/>
    <x v="0"/>
    <x v="6"/>
    <x v="2"/>
    <x v="0"/>
    <x v="0"/>
    <x v="2"/>
    <x v="0"/>
  </r>
  <r>
    <x v="0"/>
    <x v="0"/>
    <n v="2239184217"/>
    <x v="5"/>
    <n v="-400"/>
    <x v="1"/>
    <x v="0"/>
    <x v="6"/>
    <x v="5"/>
    <x v="0"/>
    <x v="0"/>
    <x v="5"/>
    <x v="0"/>
  </r>
  <r>
    <x v="0"/>
    <x v="0"/>
    <n v="2239184217"/>
    <x v="4"/>
    <n v="11000"/>
    <x v="1"/>
    <x v="0"/>
    <x v="6"/>
    <x v="4"/>
    <x v="0"/>
    <x v="0"/>
    <x v="4"/>
    <x v="0"/>
  </r>
  <r>
    <x v="0"/>
    <x v="0"/>
    <n v="2239184218"/>
    <x v="5"/>
    <n v="-500"/>
    <x v="1"/>
    <x v="0"/>
    <x v="6"/>
    <x v="5"/>
    <x v="0"/>
    <x v="0"/>
    <x v="5"/>
    <x v="0"/>
  </r>
  <r>
    <x v="0"/>
    <x v="0"/>
    <n v="2239184218"/>
    <x v="6"/>
    <n v="10000"/>
    <x v="1"/>
    <x v="0"/>
    <x v="6"/>
    <x v="6"/>
    <x v="0"/>
    <x v="0"/>
    <x v="5"/>
    <x v="0"/>
  </r>
  <r>
    <x v="0"/>
    <x v="0"/>
    <n v="2239184219"/>
    <x v="5"/>
    <n v="-3200"/>
    <x v="1"/>
    <x v="0"/>
    <x v="6"/>
    <x v="5"/>
    <x v="0"/>
    <x v="0"/>
    <x v="5"/>
    <x v="0"/>
  </r>
  <r>
    <x v="0"/>
    <x v="0"/>
    <n v="2239184219"/>
    <x v="6"/>
    <n v="80000"/>
    <x v="1"/>
    <x v="0"/>
    <x v="6"/>
    <x v="6"/>
    <x v="0"/>
    <x v="0"/>
    <x v="5"/>
    <x v="0"/>
  </r>
  <r>
    <x v="0"/>
    <x v="0"/>
    <n v="2239184220"/>
    <x v="3"/>
    <n v="64240"/>
    <x v="1"/>
    <x v="0"/>
    <x v="6"/>
    <x v="3"/>
    <x v="0"/>
    <x v="0"/>
    <x v="3"/>
    <x v="0"/>
  </r>
  <r>
    <x v="0"/>
    <x v="0"/>
    <n v="2239184221"/>
    <x v="2"/>
    <n v="5800"/>
    <x v="1"/>
    <x v="0"/>
    <x v="6"/>
    <x v="2"/>
    <x v="0"/>
    <x v="0"/>
    <x v="2"/>
    <x v="0"/>
  </r>
  <r>
    <x v="0"/>
    <x v="0"/>
    <n v="2239184222"/>
    <x v="5"/>
    <n v="-400"/>
    <x v="1"/>
    <x v="0"/>
    <x v="6"/>
    <x v="5"/>
    <x v="0"/>
    <x v="0"/>
    <x v="5"/>
    <x v="0"/>
  </r>
  <r>
    <x v="0"/>
    <x v="0"/>
    <n v="2239184222"/>
    <x v="4"/>
    <n v="6000"/>
    <x v="1"/>
    <x v="0"/>
    <x v="6"/>
    <x v="4"/>
    <x v="0"/>
    <x v="0"/>
    <x v="4"/>
    <x v="0"/>
  </r>
  <r>
    <x v="0"/>
    <x v="0"/>
    <n v="2239184225"/>
    <x v="2"/>
    <n v="16720"/>
    <x v="1"/>
    <x v="0"/>
    <x v="6"/>
    <x v="2"/>
    <x v="0"/>
    <x v="0"/>
    <x v="2"/>
    <x v="0"/>
  </r>
  <r>
    <x v="0"/>
    <x v="0"/>
    <n v="2239184226"/>
    <x v="2"/>
    <n v="5300"/>
    <x v="1"/>
    <x v="0"/>
    <x v="6"/>
    <x v="2"/>
    <x v="0"/>
    <x v="0"/>
    <x v="2"/>
    <x v="0"/>
  </r>
  <r>
    <x v="0"/>
    <x v="0"/>
    <n v="2239184227"/>
    <x v="2"/>
    <n v="5300"/>
    <x v="1"/>
    <x v="0"/>
    <x v="6"/>
    <x v="2"/>
    <x v="0"/>
    <x v="0"/>
    <x v="2"/>
    <x v="0"/>
  </r>
  <r>
    <x v="0"/>
    <x v="0"/>
    <n v="2239184229"/>
    <x v="2"/>
    <n v="10450"/>
    <x v="1"/>
    <x v="0"/>
    <x v="6"/>
    <x v="2"/>
    <x v="0"/>
    <x v="0"/>
    <x v="2"/>
    <x v="0"/>
  </r>
  <r>
    <x v="0"/>
    <x v="0"/>
    <n v="2239184230"/>
    <x v="5"/>
    <n v="-1500"/>
    <x v="1"/>
    <x v="0"/>
    <x v="6"/>
    <x v="5"/>
    <x v="0"/>
    <x v="0"/>
    <x v="5"/>
    <x v="0"/>
  </r>
  <r>
    <x v="0"/>
    <x v="0"/>
    <n v="2239184230"/>
    <x v="6"/>
    <n v="5000"/>
    <x v="1"/>
    <x v="0"/>
    <x v="6"/>
    <x v="6"/>
    <x v="0"/>
    <x v="0"/>
    <x v="5"/>
    <x v="0"/>
  </r>
  <r>
    <x v="0"/>
    <x v="0"/>
    <n v="2239184231"/>
    <x v="2"/>
    <n v="3850"/>
    <x v="1"/>
    <x v="0"/>
    <x v="6"/>
    <x v="2"/>
    <x v="0"/>
    <x v="0"/>
    <x v="2"/>
    <x v="0"/>
  </r>
  <r>
    <x v="0"/>
    <x v="0"/>
    <n v="2239184232"/>
    <x v="5"/>
    <n v="-7600"/>
    <x v="1"/>
    <x v="0"/>
    <x v="6"/>
    <x v="5"/>
    <x v="0"/>
    <x v="0"/>
    <x v="5"/>
    <x v="0"/>
  </r>
  <r>
    <x v="0"/>
    <x v="0"/>
    <n v="2239184232"/>
    <x v="6"/>
    <n v="10000"/>
    <x v="1"/>
    <x v="0"/>
    <x v="6"/>
    <x v="6"/>
    <x v="0"/>
    <x v="0"/>
    <x v="5"/>
    <x v="0"/>
  </r>
  <r>
    <x v="0"/>
    <x v="0"/>
    <n v="2239184233"/>
    <x v="5"/>
    <n v="-1575"/>
    <x v="1"/>
    <x v="0"/>
    <x v="6"/>
    <x v="5"/>
    <x v="0"/>
    <x v="0"/>
    <x v="5"/>
    <x v="0"/>
  </r>
  <r>
    <x v="0"/>
    <x v="0"/>
    <n v="2239184233"/>
    <x v="6"/>
    <n v="5000"/>
    <x v="1"/>
    <x v="0"/>
    <x v="6"/>
    <x v="6"/>
    <x v="0"/>
    <x v="0"/>
    <x v="5"/>
    <x v="0"/>
  </r>
  <r>
    <x v="0"/>
    <x v="0"/>
    <n v="2239184233"/>
    <x v="3"/>
    <n v="3575"/>
    <x v="1"/>
    <x v="0"/>
    <x v="6"/>
    <x v="3"/>
    <x v="0"/>
    <x v="0"/>
    <x v="3"/>
    <x v="0"/>
  </r>
  <r>
    <x v="0"/>
    <x v="0"/>
    <n v="2239184233"/>
    <x v="2"/>
    <n v="3000"/>
    <x v="1"/>
    <x v="0"/>
    <x v="6"/>
    <x v="2"/>
    <x v="0"/>
    <x v="0"/>
    <x v="2"/>
    <x v="0"/>
  </r>
  <r>
    <x v="0"/>
    <x v="0"/>
    <n v="2239184234"/>
    <x v="2"/>
    <n v="5000"/>
    <x v="1"/>
    <x v="0"/>
    <x v="6"/>
    <x v="2"/>
    <x v="0"/>
    <x v="0"/>
    <x v="2"/>
    <x v="0"/>
  </r>
  <r>
    <x v="0"/>
    <x v="0"/>
    <n v="2239184235"/>
    <x v="2"/>
    <n v="16800"/>
    <x v="1"/>
    <x v="0"/>
    <x v="6"/>
    <x v="2"/>
    <x v="0"/>
    <x v="0"/>
    <x v="2"/>
    <x v="0"/>
  </r>
  <r>
    <x v="0"/>
    <x v="0"/>
    <n v="2239184236"/>
    <x v="2"/>
    <n v="15400"/>
    <x v="1"/>
    <x v="0"/>
    <x v="6"/>
    <x v="2"/>
    <x v="0"/>
    <x v="0"/>
    <x v="2"/>
    <x v="0"/>
  </r>
  <r>
    <x v="0"/>
    <x v="0"/>
    <n v="2239184237"/>
    <x v="5"/>
    <n v="-400"/>
    <x v="1"/>
    <x v="0"/>
    <x v="6"/>
    <x v="5"/>
    <x v="0"/>
    <x v="0"/>
    <x v="5"/>
    <x v="0"/>
  </r>
  <r>
    <x v="0"/>
    <x v="0"/>
    <n v="2239184237"/>
    <x v="4"/>
    <n v="6000"/>
    <x v="1"/>
    <x v="0"/>
    <x v="6"/>
    <x v="4"/>
    <x v="0"/>
    <x v="0"/>
    <x v="4"/>
    <x v="0"/>
  </r>
  <r>
    <x v="0"/>
    <x v="0"/>
    <n v="2239184238"/>
    <x v="2"/>
    <n v="16500"/>
    <x v="1"/>
    <x v="0"/>
    <x v="6"/>
    <x v="2"/>
    <x v="0"/>
    <x v="0"/>
    <x v="2"/>
    <x v="0"/>
  </r>
  <r>
    <x v="0"/>
    <x v="0"/>
    <n v="2239184239"/>
    <x v="2"/>
    <n v="15000"/>
    <x v="1"/>
    <x v="0"/>
    <x v="6"/>
    <x v="2"/>
    <x v="0"/>
    <x v="0"/>
    <x v="2"/>
    <x v="0"/>
  </r>
  <r>
    <x v="0"/>
    <x v="0"/>
    <n v="2239184240"/>
    <x v="2"/>
    <n v="5000"/>
    <x v="1"/>
    <x v="0"/>
    <x v="6"/>
    <x v="2"/>
    <x v="0"/>
    <x v="0"/>
    <x v="2"/>
    <x v="0"/>
  </r>
  <r>
    <x v="0"/>
    <x v="0"/>
    <n v="2239184241"/>
    <x v="2"/>
    <n v="15000"/>
    <x v="1"/>
    <x v="0"/>
    <x v="6"/>
    <x v="2"/>
    <x v="0"/>
    <x v="0"/>
    <x v="2"/>
    <x v="0"/>
  </r>
  <r>
    <x v="0"/>
    <x v="0"/>
    <n v="2239184242"/>
    <x v="2"/>
    <n v="13200"/>
    <x v="1"/>
    <x v="0"/>
    <x v="6"/>
    <x v="2"/>
    <x v="0"/>
    <x v="0"/>
    <x v="2"/>
    <x v="0"/>
  </r>
  <r>
    <x v="0"/>
    <x v="0"/>
    <n v="2239184243"/>
    <x v="2"/>
    <n v="23100"/>
    <x v="1"/>
    <x v="0"/>
    <x v="6"/>
    <x v="2"/>
    <x v="0"/>
    <x v="0"/>
    <x v="2"/>
    <x v="0"/>
  </r>
  <r>
    <x v="0"/>
    <x v="0"/>
    <n v="2239184244"/>
    <x v="2"/>
    <n v="16500"/>
    <x v="1"/>
    <x v="0"/>
    <x v="6"/>
    <x v="2"/>
    <x v="0"/>
    <x v="0"/>
    <x v="2"/>
    <x v="0"/>
  </r>
  <r>
    <x v="0"/>
    <x v="0"/>
    <n v="2239184245"/>
    <x v="2"/>
    <n v="3000"/>
    <x v="1"/>
    <x v="0"/>
    <x v="6"/>
    <x v="2"/>
    <x v="0"/>
    <x v="0"/>
    <x v="2"/>
    <x v="0"/>
  </r>
  <r>
    <x v="0"/>
    <x v="0"/>
    <n v="2239184248"/>
    <x v="5"/>
    <n v="-22000"/>
    <x v="1"/>
    <x v="0"/>
    <x v="6"/>
    <x v="5"/>
    <x v="0"/>
    <x v="0"/>
    <x v="5"/>
    <x v="0"/>
  </r>
  <r>
    <x v="0"/>
    <x v="0"/>
    <n v="2239184248"/>
    <x v="6"/>
    <n v="25000"/>
    <x v="1"/>
    <x v="0"/>
    <x v="6"/>
    <x v="6"/>
    <x v="0"/>
    <x v="0"/>
    <x v="5"/>
    <x v="0"/>
  </r>
  <r>
    <x v="0"/>
    <x v="0"/>
    <n v="2239184249"/>
    <x v="1"/>
    <n v="2100"/>
    <x v="1"/>
    <x v="0"/>
    <x v="6"/>
    <x v="1"/>
    <x v="0"/>
    <x v="0"/>
    <x v="1"/>
    <x v="0"/>
  </r>
  <r>
    <x v="0"/>
    <x v="0"/>
    <n v="2239184251"/>
    <x v="1"/>
    <n v="12840"/>
    <x v="1"/>
    <x v="0"/>
    <x v="6"/>
    <x v="1"/>
    <x v="0"/>
    <x v="0"/>
    <x v="1"/>
    <x v="0"/>
  </r>
  <r>
    <x v="0"/>
    <x v="0"/>
    <n v="2239187137"/>
    <x v="1"/>
    <n v="12840"/>
    <x v="1"/>
    <x v="0"/>
    <x v="39"/>
    <x v="1"/>
    <x v="0"/>
    <x v="0"/>
    <x v="1"/>
    <x v="0"/>
  </r>
  <r>
    <x v="0"/>
    <x v="0"/>
    <n v="2239187138"/>
    <x v="1"/>
    <n v="4050"/>
    <x v="1"/>
    <x v="0"/>
    <x v="39"/>
    <x v="1"/>
    <x v="0"/>
    <x v="0"/>
    <x v="1"/>
    <x v="0"/>
  </r>
  <r>
    <x v="0"/>
    <x v="0"/>
    <n v="2239187139"/>
    <x v="1"/>
    <n v="13290"/>
    <x v="1"/>
    <x v="0"/>
    <x v="39"/>
    <x v="1"/>
    <x v="0"/>
    <x v="0"/>
    <x v="1"/>
    <x v="0"/>
  </r>
  <r>
    <x v="0"/>
    <x v="0"/>
    <n v="2239187140"/>
    <x v="1"/>
    <n v="5880"/>
    <x v="1"/>
    <x v="0"/>
    <x v="39"/>
    <x v="1"/>
    <x v="0"/>
    <x v="0"/>
    <x v="1"/>
    <x v="0"/>
  </r>
  <r>
    <x v="0"/>
    <x v="0"/>
    <n v="2239187142"/>
    <x v="1"/>
    <n v="42000"/>
    <x v="1"/>
    <x v="0"/>
    <x v="39"/>
    <x v="1"/>
    <x v="0"/>
    <x v="0"/>
    <x v="1"/>
    <x v="0"/>
  </r>
  <r>
    <x v="0"/>
    <x v="0"/>
    <n v="2239187144"/>
    <x v="1"/>
    <n v="2040"/>
    <x v="1"/>
    <x v="0"/>
    <x v="39"/>
    <x v="1"/>
    <x v="0"/>
    <x v="0"/>
    <x v="1"/>
    <x v="0"/>
  </r>
  <r>
    <x v="0"/>
    <x v="0"/>
    <n v="2239187146"/>
    <x v="1"/>
    <n v="26100"/>
    <x v="1"/>
    <x v="0"/>
    <x v="39"/>
    <x v="1"/>
    <x v="0"/>
    <x v="0"/>
    <x v="1"/>
    <x v="0"/>
  </r>
  <r>
    <x v="0"/>
    <x v="0"/>
    <n v="2239187147"/>
    <x v="1"/>
    <n v="3300"/>
    <x v="1"/>
    <x v="0"/>
    <x v="39"/>
    <x v="1"/>
    <x v="0"/>
    <x v="0"/>
    <x v="1"/>
    <x v="0"/>
  </r>
  <r>
    <x v="0"/>
    <x v="0"/>
    <n v="2239187148"/>
    <x v="1"/>
    <n v="8370"/>
    <x v="1"/>
    <x v="0"/>
    <x v="39"/>
    <x v="1"/>
    <x v="0"/>
    <x v="0"/>
    <x v="1"/>
    <x v="0"/>
  </r>
  <r>
    <x v="0"/>
    <x v="0"/>
    <n v="2239187149"/>
    <x v="1"/>
    <n v="14450"/>
    <x v="1"/>
    <x v="0"/>
    <x v="39"/>
    <x v="1"/>
    <x v="0"/>
    <x v="0"/>
    <x v="1"/>
    <x v="0"/>
  </r>
  <r>
    <x v="0"/>
    <x v="0"/>
    <n v="2239187150"/>
    <x v="1"/>
    <n v="66640"/>
    <x v="1"/>
    <x v="0"/>
    <x v="39"/>
    <x v="1"/>
    <x v="0"/>
    <x v="0"/>
    <x v="1"/>
    <x v="0"/>
  </r>
  <r>
    <x v="0"/>
    <x v="0"/>
    <n v="2239187151"/>
    <x v="1"/>
    <n v="6300"/>
    <x v="1"/>
    <x v="0"/>
    <x v="39"/>
    <x v="1"/>
    <x v="0"/>
    <x v="0"/>
    <x v="1"/>
    <x v="0"/>
  </r>
  <r>
    <x v="0"/>
    <x v="0"/>
    <n v="2239187152"/>
    <x v="1"/>
    <n v="1140"/>
    <x v="1"/>
    <x v="0"/>
    <x v="39"/>
    <x v="1"/>
    <x v="0"/>
    <x v="0"/>
    <x v="1"/>
    <x v="0"/>
  </r>
  <r>
    <x v="0"/>
    <x v="0"/>
    <n v="2239187153"/>
    <x v="1"/>
    <n v="18370"/>
    <x v="1"/>
    <x v="0"/>
    <x v="39"/>
    <x v="1"/>
    <x v="0"/>
    <x v="0"/>
    <x v="1"/>
    <x v="0"/>
  </r>
  <r>
    <x v="0"/>
    <x v="0"/>
    <n v="2239187154"/>
    <x v="1"/>
    <n v="3300"/>
    <x v="1"/>
    <x v="0"/>
    <x v="39"/>
    <x v="1"/>
    <x v="0"/>
    <x v="0"/>
    <x v="1"/>
    <x v="0"/>
  </r>
  <r>
    <x v="0"/>
    <x v="0"/>
    <n v="2239187156"/>
    <x v="1"/>
    <n v="11000"/>
    <x v="1"/>
    <x v="0"/>
    <x v="39"/>
    <x v="1"/>
    <x v="0"/>
    <x v="0"/>
    <x v="1"/>
    <x v="0"/>
  </r>
  <r>
    <x v="0"/>
    <x v="0"/>
    <n v="2239187157"/>
    <x v="1"/>
    <n v="2100"/>
    <x v="1"/>
    <x v="0"/>
    <x v="39"/>
    <x v="1"/>
    <x v="0"/>
    <x v="0"/>
    <x v="1"/>
    <x v="0"/>
  </r>
  <r>
    <x v="0"/>
    <x v="0"/>
    <n v="2239187158"/>
    <x v="1"/>
    <n v="11800"/>
    <x v="1"/>
    <x v="0"/>
    <x v="39"/>
    <x v="1"/>
    <x v="0"/>
    <x v="0"/>
    <x v="1"/>
    <x v="0"/>
  </r>
  <r>
    <x v="0"/>
    <x v="0"/>
    <n v="2239187159"/>
    <x v="1"/>
    <n v="2940"/>
    <x v="1"/>
    <x v="0"/>
    <x v="39"/>
    <x v="1"/>
    <x v="0"/>
    <x v="0"/>
    <x v="1"/>
    <x v="0"/>
  </r>
  <r>
    <x v="0"/>
    <x v="0"/>
    <n v="2239187160"/>
    <x v="1"/>
    <n v="1140"/>
    <x v="1"/>
    <x v="0"/>
    <x v="39"/>
    <x v="1"/>
    <x v="0"/>
    <x v="0"/>
    <x v="1"/>
    <x v="0"/>
  </r>
  <r>
    <x v="0"/>
    <x v="0"/>
    <n v="2239187161"/>
    <x v="1"/>
    <n v="50400"/>
    <x v="1"/>
    <x v="0"/>
    <x v="39"/>
    <x v="1"/>
    <x v="0"/>
    <x v="0"/>
    <x v="1"/>
    <x v="0"/>
  </r>
  <r>
    <x v="0"/>
    <x v="0"/>
    <n v="2239187163"/>
    <x v="1"/>
    <n v="17070"/>
    <x v="1"/>
    <x v="0"/>
    <x v="39"/>
    <x v="1"/>
    <x v="0"/>
    <x v="0"/>
    <x v="1"/>
    <x v="0"/>
  </r>
  <r>
    <x v="0"/>
    <x v="0"/>
    <n v="2239187165"/>
    <x v="1"/>
    <n v="12540"/>
    <x v="1"/>
    <x v="0"/>
    <x v="39"/>
    <x v="1"/>
    <x v="0"/>
    <x v="0"/>
    <x v="1"/>
    <x v="0"/>
  </r>
  <r>
    <x v="0"/>
    <x v="0"/>
    <n v="2239187167"/>
    <x v="1"/>
    <n v="1800"/>
    <x v="1"/>
    <x v="0"/>
    <x v="39"/>
    <x v="1"/>
    <x v="0"/>
    <x v="0"/>
    <x v="1"/>
    <x v="0"/>
  </r>
  <r>
    <x v="0"/>
    <x v="0"/>
    <n v="2239187168"/>
    <x v="1"/>
    <n v="1800"/>
    <x v="1"/>
    <x v="0"/>
    <x v="39"/>
    <x v="1"/>
    <x v="0"/>
    <x v="0"/>
    <x v="1"/>
    <x v="0"/>
  </r>
  <r>
    <x v="0"/>
    <x v="0"/>
    <n v="2239187169"/>
    <x v="1"/>
    <n v="7400"/>
    <x v="1"/>
    <x v="0"/>
    <x v="39"/>
    <x v="1"/>
    <x v="0"/>
    <x v="0"/>
    <x v="1"/>
    <x v="0"/>
  </r>
  <r>
    <x v="0"/>
    <x v="0"/>
    <n v="2239187170"/>
    <x v="1"/>
    <n v="18550"/>
    <x v="1"/>
    <x v="0"/>
    <x v="39"/>
    <x v="1"/>
    <x v="0"/>
    <x v="0"/>
    <x v="1"/>
    <x v="0"/>
  </r>
  <r>
    <x v="0"/>
    <x v="0"/>
    <n v="2239187171"/>
    <x v="1"/>
    <n v="5550"/>
    <x v="1"/>
    <x v="0"/>
    <x v="39"/>
    <x v="1"/>
    <x v="0"/>
    <x v="0"/>
    <x v="1"/>
    <x v="0"/>
  </r>
  <r>
    <x v="0"/>
    <x v="0"/>
    <n v="2239187175"/>
    <x v="1"/>
    <n v="29360"/>
    <x v="1"/>
    <x v="0"/>
    <x v="39"/>
    <x v="1"/>
    <x v="0"/>
    <x v="0"/>
    <x v="1"/>
    <x v="0"/>
  </r>
  <r>
    <x v="0"/>
    <x v="0"/>
    <n v="2239187176"/>
    <x v="1"/>
    <n v="900"/>
    <x v="1"/>
    <x v="0"/>
    <x v="39"/>
    <x v="1"/>
    <x v="0"/>
    <x v="0"/>
    <x v="1"/>
    <x v="0"/>
  </r>
  <r>
    <x v="0"/>
    <x v="0"/>
    <n v="2239187177"/>
    <x v="1"/>
    <n v="900"/>
    <x v="1"/>
    <x v="0"/>
    <x v="39"/>
    <x v="1"/>
    <x v="0"/>
    <x v="0"/>
    <x v="1"/>
    <x v="0"/>
  </r>
  <r>
    <x v="0"/>
    <x v="0"/>
    <n v="2239187178"/>
    <x v="2"/>
    <n v="3300"/>
    <x v="1"/>
    <x v="0"/>
    <x v="39"/>
    <x v="2"/>
    <x v="0"/>
    <x v="0"/>
    <x v="2"/>
    <x v="0"/>
  </r>
  <r>
    <x v="0"/>
    <x v="0"/>
    <n v="2239187179"/>
    <x v="3"/>
    <n v="2880"/>
    <x v="1"/>
    <x v="0"/>
    <x v="39"/>
    <x v="3"/>
    <x v="0"/>
    <x v="0"/>
    <x v="3"/>
    <x v="0"/>
  </r>
  <r>
    <x v="0"/>
    <x v="0"/>
    <n v="2239187179"/>
    <x v="7"/>
    <n v="1920"/>
    <x v="1"/>
    <x v="0"/>
    <x v="39"/>
    <x v="7"/>
    <x v="0"/>
    <x v="0"/>
    <x v="1"/>
    <x v="0"/>
  </r>
  <r>
    <x v="0"/>
    <x v="0"/>
    <n v="2239187180"/>
    <x v="1"/>
    <n v="900"/>
    <x v="1"/>
    <x v="0"/>
    <x v="39"/>
    <x v="1"/>
    <x v="0"/>
    <x v="0"/>
    <x v="1"/>
    <x v="0"/>
  </r>
  <r>
    <x v="0"/>
    <x v="0"/>
    <n v="2239187181"/>
    <x v="1"/>
    <n v="14450"/>
    <x v="1"/>
    <x v="0"/>
    <x v="39"/>
    <x v="1"/>
    <x v="0"/>
    <x v="0"/>
    <x v="1"/>
    <x v="0"/>
  </r>
  <r>
    <x v="0"/>
    <x v="0"/>
    <n v="2239187183"/>
    <x v="6"/>
    <n v="3150"/>
    <x v="1"/>
    <x v="0"/>
    <x v="39"/>
    <x v="6"/>
    <x v="0"/>
    <x v="0"/>
    <x v="5"/>
    <x v="0"/>
  </r>
  <r>
    <x v="0"/>
    <x v="0"/>
    <n v="2239187183"/>
    <x v="7"/>
    <n v="1350"/>
    <x v="1"/>
    <x v="0"/>
    <x v="39"/>
    <x v="7"/>
    <x v="0"/>
    <x v="0"/>
    <x v="1"/>
    <x v="0"/>
  </r>
  <r>
    <x v="0"/>
    <x v="0"/>
    <n v="2239187184"/>
    <x v="1"/>
    <n v="4500"/>
    <x v="1"/>
    <x v="0"/>
    <x v="39"/>
    <x v="1"/>
    <x v="0"/>
    <x v="0"/>
    <x v="1"/>
    <x v="0"/>
  </r>
  <r>
    <x v="0"/>
    <x v="0"/>
    <n v="2239187185"/>
    <x v="1"/>
    <n v="900"/>
    <x v="1"/>
    <x v="0"/>
    <x v="39"/>
    <x v="1"/>
    <x v="0"/>
    <x v="0"/>
    <x v="1"/>
    <x v="0"/>
  </r>
  <r>
    <x v="0"/>
    <x v="0"/>
    <n v="2239187187"/>
    <x v="2"/>
    <n v="3250"/>
    <x v="1"/>
    <x v="0"/>
    <x v="39"/>
    <x v="2"/>
    <x v="0"/>
    <x v="0"/>
    <x v="2"/>
    <x v="0"/>
  </r>
  <r>
    <x v="0"/>
    <x v="0"/>
    <n v="2239187189"/>
    <x v="5"/>
    <n v="-6050"/>
    <x v="1"/>
    <x v="0"/>
    <x v="39"/>
    <x v="5"/>
    <x v="0"/>
    <x v="0"/>
    <x v="5"/>
    <x v="0"/>
  </r>
  <r>
    <x v="0"/>
    <x v="0"/>
    <n v="2239187189"/>
    <x v="6"/>
    <n v="20000"/>
    <x v="1"/>
    <x v="0"/>
    <x v="39"/>
    <x v="6"/>
    <x v="0"/>
    <x v="0"/>
    <x v="5"/>
    <x v="0"/>
  </r>
  <r>
    <x v="0"/>
    <x v="0"/>
    <n v="2239187191"/>
    <x v="1"/>
    <n v="1140"/>
    <x v="1"/>
    <x v="0"/>
    <x v="39"/>
    <x v="1"/>
    <x v="0"/>
    <x v="0"/>
    <x v="1"/>
    <x v="0"/>
  </r>
  <r>
    <x v="0"/>
    <x v="0"/>
    <n v="2239187194"/>
    <x v="2"/>
    <n v="3250"/>
    <x v="1"/>
    <x v="0"/>
    <x v="39"/>
    <x v="2"/>
    <x v="0"/>
    <x v="0"/>
    <x v="2"/>
    <x v="0"/>
  </r>
  <r>
    <x v="0"/>
    <x v="0"/>
    <n v="2239187195"/>
    <x v="2"/>
    <n v="77660"/>
    <x v="1"/>
    <x v="0"/>
    <x v="39"/>
    <x v="2"/>
    <x v="0"/>
    <x v="0"/>
    <x v="2"/>
    <x v="0"/>
  </r>
  <r>
    <x v="0"/>
    <x v="0"/>
    <n v="2239187196"/>
    <x v="2"/>
    <n v="39600"/>
    <x v="1"/>
    <x v="0"/>
    <x v="39"/>
    <x v="2"/>
    <x v="0"/>
    <x v="0"/>
    <x v="2"/>
    <x v="0"/>
  </r>
  <r>
    <x v="0"/>
    <x v="0"/>
    <n v="2239187197"/>
    <x v="1"/>
    <n v="4650"/>
    <x v="1"/>
    <x v="0"/>
    <x v="39"/>
    <x v="1"/>
    <x v="0"/>
    <x v="0"/>
    <x v="1"/>
    <x v="0"/>
  </r>
  <r>
    <x v="0"/>
    <x v="0"/>
    <n v="2239187198"/>
    <x v="1"/>
    <n v="5670"/>
    <x v="1"/>
    <x v="0"/>
    <x v="39"/>
    <x v="1"/>
    <x v="0"/>
    <x v="0"/>
    <x v="1"/>
    <x v="0"/>
  </r>
  <r>
    <x v="0"/>
    <x v="0"/>
    <n v="2239187200"/>
    <x v="1"/>
    <n v="37550"/>
    <x v="1"/>
    <x v="0"/>
    <x v="39"/>
    <x v="1"/>
    <x v="0"/>
    <x v="0"/>
    <x v="1"/>
    <x v="0"/>
  </r>
  <r>
    <x v="0"/>
    <x v="0"/>
    <n v="2239187202"/>
    <x v="4"/>
    <n v="31400"/>
    <x v="1"/>
    <x v="0"/>
    <x v="39"/>
    <x v="4"/>
    <x v="0"/>
    <x v="0"/>
    <x v="4"/>
    <x v="0"/>
  </r>
  <r>
    <x v="0"/>
    <x v="0"/>
    <n v="2239187203"/>
    <x v="2"/>
    <n v="4000"/>
    <x v="1"/>
    <x v="0"/>
    <x v="39"/>
    <x v="2"/>
    <x v="0"/>
    <x v="0"/>
    <x v="2"/>
    <x v="0"/>
  </r>
  <r>
    <x v="0"/>
    <x v="0"/>
    <n v="2239187204"/>
    <x v="2"/>
    <n v="188705"/>
    <x v="1"/>
    <x v="0"/>
    <x v="39"/>
    <x v="2"/>
    <x v="0"/>
    <x v="0"/>
    <x v="2"/>
    <x v="0"/>
  </r>
  <r>
    <x v="0"/>
    <x v="0"/>
    <n v="2239187205"/>
    <x v="4"/>
    <n v="5300"/>
    <x v="1"/>
    <x v="0"/>
    <x v="39"/>
    <x v="4"/>
    <x v="0"/>
    <x v="0"/>
    <x v="4"/>
    <x v="0"/>
  </r>
  <r>
    <x v="0"/>
    <x v="0"/>
    <n v="2239187206"/>
    <x v="1"/>
    <n v="6500"/>
    <x v="1"/>
    <x v="0"/>
    <x v="39"/>
    <x v="1"/>
    <x v="0"/>
    <x v="0"/>
    <x v="1"/>
    <x v="0"/>
  </r>
  <r>
    <x v="0"/>
    <x v="0"/>
    <n v="2239187208"/>
    <x v="2"/>
    <n v="57860"/>
    <x v="1"/>
    <x v="0"/>
    <x v="39"/>
    <x v="2"/>
    <x v="0"/>
    <x v="0"/>
    <x v="2"/>
    <x v="0"/>
  </r>
  <r>
    <x v="0"/>
    <x v="0"/>
    <n v="2239187209"/>
    <x v="2"/>
    <n v="21945"/>
    <x v="1"/>
    <x v="0"/>
    <x v="39"/>
    <x v="2"/>
    <x v="0"/>
    <x v="0"/>
    <x v="2"/>
    <x v="0"/>
  </r>
  <r>
    <x v="0"/>
    <x v="0"/>
    <n v="2239187209"/>
    <x v="7"/>
    <n v="1900"/>
    <x v="1"/>
    <x v="0"/>
    <x v="39"/>
    <x v="7"/>
    <x v="0"/>
    <x v="0"/>
    <x v="1"/>
    <x v="0"/>
  </r>
  <r>
    <x v="0"/>
    <x v="0"/>
    <n v="2239187210"/>
    <x v="5"/>
    <n v="-2000"/>
    <x v="1"/>
    <x v="0"/>
    <x v="39"/>
    <x v="5"/>
    <x v="0"/>
    <x v="0"/>
    <x v="5"/>
    <x v="0"/>
  </r>
  <r>
    <x v="0"/>
    <x v="0"/>
    <n v="2239187210"/>
    <x v="6"/>
    <n v="5000"/>
    <x v="1"/>
    <x v="0"/>
    <x v="39"/>
    <x v="6"/>
    <x v="0"/>
    <x v="0"/>
    <x v="5"/>
    <x v="0"/>
  </r>
  <r>
    <x v="0"/>
    <x v="0"/>
    <n v="2239187211"/>
    <x v="2"/>
    <n v="24750"/>
    <x v="1"/>
    <x v="0"/>
    <x v="39"/>
    <x v="2"/>
    <x v="0"/>
    <x v="0"/>
    <x v="2"/>
    <x v="0"/>
  </r>
  <r>
    <x v="0"/>
    <x v="0"/>
    <n v="2239187212"/>
    <x v="3"/>
    <n v="17820"/>
    <x v="1"/>
    <x v="0"/>
    <x v="39"/>
    <x v="3"/>
    <x v="0"/>
    <x v="0"/>
    <x v="3"/>
    <x v="0"/>
  </r>
  <r>
    <x v="0"/>
    <x v="0"/>
    <n v="2239187214"/>
    <x v="2"/>
    <n v="26290"/>
    <x v="1"/>
    <x v="0"/>
    <x v="39"/>
    <x v="2"/>
    <x v="0"/>
    <x v="0"/>
    <x v="2"/>
    <x v="0"/>
  </r>
  <r>
    <x v="0"/>
    <x v="0"/>
    <n v="2239187215"/>
    <x v="2"/>
    <n v="48345"/>
    <x v="1"/>
    <x v="0"/>
    <x v="39"/>
    <x v="2"/>
    <x v="0"/>
    <x v="0"/>
    <x v="2"/>
    <x v="0"/>
  </r>
  <r>
    <x v="0"/>
    <x v="0"/>
    <n v="2239187215"/>
    <x v="7"/>
    <n v="4250"/>
    <x v="1"/>
    <x v="0"/>
    <x v="39"/>
    <x v="7"/>
    <x v="0"/>
    <x v="0"/>
    <x v="1"/>
    <x v="0"/>
  </r>
  <r>
    <x v="0"/>
    <x v="0"/>
    <n v="2239187216"/>
    <x v="2"/>
    <n v="20845"/>
    <x v="1"/>
    <x v="0"/>
    <x v="39"/>
    <x v="2"/>
    <x v="0"/>
    <x v="0"/>
    <x v="2"/>
    <x v="0"/>
  </r>
  <r>
    <x v="0"/>
    <x v="0"/>
    <n v="2239187217"/>
    <x v="1"/>
    <n v="27200"/>
    <x v="1"/>
    <x v="0"/>
    <x v="39"/>
    <x v="1"/>
    <x v="0"/>
    <x v="0"/>
    <x v="1"/>
    <x v="0"/>
  </r>
  <r>
    <x v="0"/>
    <x v="0"/>
    <n v="2239187218"/>
    <x v="1"/>
    <n v="1050"/>
    <x v="1"/>
    <x v="0"/>
    <x v="39"/>
    <x v="1"/>
    <x v="0"/>
    <x v="0"/>
    <x v="1"/>
    <x v="0"/>
  </r>
  <r>
    <x v="0"/>
    <x v="0"/>
    <n v="2239187219"/>
    <x v="2"/>
    <n v="41910"/>
    <x v="1"/>
    <x v="0"/>
    <x v="39"/>
    <x v="2"/>
    <x v="0"/>
    <x v="0"/>
    <x v="2"/>
    <x v="0"/>
  </r>
  <r>
    <x v="0"/>
    <x v="0"/>
    <n v="2239187220"/>
    <x v="5"/>
    <n v="-6750"/>
    <x v="1"/>
    <x v="0"/>
    <x v="39"/>
    <x v="5"/>
    <x v="0"/>
    <x v="0"/>
    <x v="5"/>
    <x v="0"/>
  </r>
  <r>
    <x v="0"/>
    <x v="0"/>
    <n v="2239187220"/>
    <x v="6"/>
    <n v="10000"/>
    <x v="1"/>
    <x v="0"/>
    <x v="39"/>
    <x v="6"/>
    <x v="0"/>
    <x v="0"/>
    <x v="5"/>
    <x v="0"/>
  </r>
  <r>
    <x v="0"/>
    <x v="0"/>
    <n v="2239187221"/>
    <x v="5"/>
    <n v="-400"/>
    <x v="1"/>
    <x v="0"/>
    <x v="39"/>
    <x v="5"/>
    <x v="0"/>
    <x v="0"/>
    <x v="5"/>
    <x v="0"/>
  </r>
  <r>
    <x v="0"/>
    <x v="0"/>
    <n v="2239187221"/>
    <x v="4"/>
    <n v="6000"/>
    <x v="1"/>
    <x v="0"/>
    <x v="39"/>
    <x v="4"/>
    <x v="0"/>
    <x v="0"/>
    <x v="4"/>
    <x v="0"/>
  </r>
  <r>
    <x v="0"/>
    <x v="0"/>
    <n v="2239187222"/>
    <x v="2"/>
    <n v="52085"/>
    <x v="1"/>
    <x v="0"/>
    <x v="39"/>
    <x v="2"/>
    <x v="0"/>
    <x v="0"/>
    <x v="2"/>
    <x v="0"/>
  </r>
  <r>
    <x v="0"/>
    <x v="0"/>
    <n v="2239187224"/>
    <x v="1"/>
    <n v="4500"/>
    <x v="1"/>
    <x v="0"/>
    <x v="39"/>
    <x v="1"/>
    <x v="0"/>
    <x v="0"/>
    <x v="1"/>
    <x v="0"/>
  </r>
  <r>
    <x v="0"/>
    <x v="0"/>
    <n v="2239187225"/>
    <x v="5"/>
    <n v="-5200"/>
    <x v="1"/>
    <x v="0"/>
    <x v="39"/>
    <x v="5"/>
    <x v="0"/>
    <x v="0"/>
    <x v="5"/>
    <x v="0"/>
  </r>
  <r>
    <x v="0"/>
    <x v="0"/>
    <n v="2239187225"/>
    <x v="4"/>
    <n v="10500"/>
    <x v="1"/>
    <x v="0"/>
    <x v="39"/>
    <x v="4"/>
    <x v="0"/>
    <x v="0"/>
    <x v="4"/>
    <x v="0"/>
  </r>
  <r>
    <x v="0"/>
    <x v="0"/>
    <n v="2239187226"/>
    <x v="2"/>
    <n v="28500"/>
    <x v="1"/>
    <x v="0"/>
    <x v="39"/>
    <x v="2"/>
    <x v="0"/>
    <x v="0"/>
    <x v="2"/>
    <x v="0"/>
  </r>
  <r>
    <x v="0"/>
    <x v="0"/>
    <n v="2239187227"/>
    <x v="3"/>
    <n v="11440"/>
    <x v="1"/>
    <x v="0"/>
    <x v="39"/>
    <x v="3"/>
    <x v="0"/>
    <x v="0"/>
    <x v="3"/>
    <x v="0"/>
  </r>
  <r>
    <x v="0"/>
    <x v="0"/>
    <n v="2239187227"/>
    <x v="7"/>
    <n v="2600"/>
    <x v="1"/>
    <x v="0"/>
    <x v="39"/>
    <x v="7"/>
    <x v="0"/>
    <x v="0"/>
    <x v="1"/>
    <x v="0"/>
  </r>
  <r>
    <x v="0"/>
    <x v="0"/>
    <n v="2239187228"/>
    <x v="5"/>
    <n v="-8000"/>
    <x v="1"/>
    <x v="0"/>
    <x v="39"/>
    <x v="5"/>
    <x v="0"/>
    <x v="0"/>
    <x v="5"/>
    <x v="0"/>
  </r>
  <r>
    <x v="0"/>
    <x v="0"/>
    <n v="2239187228"/>
    <x v="6"/>
    <n v="20000"/>
    <x v="1"/>
    <x v="0"/>
    <x v="39"/>
    <x v="6"/>
    <x v="0"/>
    <x v="0"/>
    <x v="5"/>
    <x v="0"/>
  </r>
  <r>
    <x v="0"/>
    <x v="0"/>
    <n v="2239187228"/>
    <x v="3"/>
    <n v="26400"/>
    <x v="1"/>
    <x v="0"/>
    <x v="39"/>
    <x v="3"/>
    <x v="0"/>
    <x v="0"/>
    <x v="3"/>
    <x v="0"/>
  </r>
  <r>
    <x v="0"/>
    <x v="0"/>
    <n v="2239187229"/>
    <x v="2"/>
    <n v="3300"/>
    <x v="1"/>
    <x v="0"/>
    <x v="39"/>
    <x v="2"/>
    <x v="0"/>
    <x v="0"/>
    <x v="2"/>
    <x v="0"/>
  </r>
  <r>
    <x v="0"/>
    <x v="0"/>
    <n v="2239187230"/>
    <x v="1"/>
    <n v="52000"/>
    <x v="1"/>
    <x v="0"/>
    <x v="39"/>
    <x v="1"/>
    <x v="0"/>
    <x v="0"/>
    <x v="1"/>
    <x v="0"/>
  </r>
  <r>
    <x v="0"/>
    <x v="0"/>
    <n v="2239187231"/>
    <x v="4"/>
    <n v="11200"/>
    <x v="1"/>
    <x v="0"/>
    <x v="39"/>
    <x v="4"/>
    <x v="0"/>
    <x v="0"/>
    <x v="4"/>
    <x v="0"/>
  </r>
  <r>
    <x v="0"/>
    <x v="0"/>
    <n v="2239187232"/>
    <x v="5"/>
    <n v="-40"/>
    <x v="1"/>
    <x v="0"/>
    <x v="39"/>
    <x v="5"/>
    <x v="0"/>
    <x v="0"/>
    <x v="5"/>
    <x v="0"/>
  </r>
  <r>
    <x v="0"/>
    <x v="0"/>
    <n v="2239187232"/>
    <x v="6"/>
    <n v="31000"/>
    <x v="1"/>
    <x v="0"/>
    <x v="39"/>
    <x v="6"/>
    <x v="0"/>
    <x v="0"/>
    <x v="5"/>
    <x v="0"/>
  </r>
  <r>
    <x v="0"/>
    <x v="0"/>
    <n v="2239187233"/>
    <x v="2"/>
    <n v="15000"/>
    <x v="1"/>
    <x v="0"/>
    <x v="39"/>
    <x v="2"/>
    <x v="0"/>
    <x v="0"/>
    <x v="2"/>
    <x v="0"/>
  </r>
  <r>
    <x v="0"/>
    <x v="0"/>
    <n v="2239187234"/>
    <x v="1"/>
    <n v="900"/>
    <x v="1"/>
    <x v="0"/>
    <x v="39"/>
    <x v="1"/>
    <x v="0"/>
    <x v="0"/>
    <x v="1"/>
    <x v="0"/>
  </r>
  <r>
    <x v="0"/>
    <x v="0"/>
    <n v="2239187235"/>
    <x v="5"/>
    <n v="-1000"/>
    <x v="1"/>
    <x v="0"/>
    <x v="39"/>
    <x v="5"/>
    <x v="0"/>
    <x v="0"/>
    <x v="5"/>
    <x v="0"/>
  </r>
  <r>
    <x v="0"/>
    <x v="0"/>
    <n v="2239187235"/>
    <x v="6"/>
    <n v="5000"/>
    <x v="1"/>
    <x v="0"/>
    <x v="39"/>
    <x v="6"/>
    <x v="0"/>
    <x v="0"/>
    <x v="5"/>
    <x v="0"/>
  </r>
  <r>
    <x v="0"/>
    <x v="0"/>
    <n v="2239187236"/>
    <x v="2"/>
    <n v="15000"/>
    <x v="1"/>
    <x v="0"/>
    <x v="39"/>
    <x v="2"/>
    <x v="0"/>
    <x v="0"/>
    <x v="2"/>
    <x v="0"/>
  </r>
  <r>
    <x v="0"/>
    <x v="0"/>
    <n v="2239187238"/>
    <x v="1"/>
    <n v="77380"/>
    <x v="1"/>
    <x v="0"/>
    <x v="39"/>
    <x v="1"/>
    <x v="0"/>
    <x v="0"/>
    <x v="1"/>
    <x v="0"/>
  </r>
  <r>
    <x v="0"/>
    <x v="0"/>
    <n v="2239187239"/>
    <x v="2"/>
    <n v="112100"/>
    <x v="1"/>
    <x v="0"/>
    <x v="39"/>
    <x v="2"/>
    <x v="0"/>
    <x v="0"/>
    <x v="2"/>
    <x v="0"/>
  </r>
  <r>
    <x v="0"/>
    <x v="0"/>
    <n v="2239187240"/>
    <x v="5"/>
    <n v="-7960"/>
    <x v="1"/>
    <x v="0"/>
    <x v="39"/>
    <x v="5"/>
    <x v="0"/>
    <x v="0"/>
    <x v="5"/>
    <x v="0"/>
  </r>
  <r>
    <x v="0"/>
    <x v="0"/>
    <n v="2239187240"/>
    <x v="6"/>
    <n v="40000"/>
    <x v="1"/>
    <x v="0"/>
    <x v="39"/>
    <x v="6"/>
    <x v="0"/>
    <x v="0"/>
    <x v="5"/>
    <x v="0"/>
  </r>
  <r>
    <x v="0"/>
    <x v="0"/>
    <n v="2239187240"/>
    <x v="7"/>
    <n v="7800"/>
    <x v="1"/>
    <x v="0"/>
    <x v="39"/>
    <x v="7"/>
    <x v="0"/>
    <x v="0"/>
    <x v="1"/>
    <x v="0"/>
  </r>
  <r>
    <x v="0"/>
    <x v="0"/>
    <n v="2239187241"/>
    <x v="5"/>
    <n v="-400"/>
    <x v="1"/>
    <x v="0"/>
    <x v="39"/>
    <x v="5"/>
    <x v="0"/>
    <x v="0"/>
    <x v="5"/>
    <x v="0"/>
  </r>
  <r>
    <x v="0"/>
    <x v="0"/>
    <n v="2239187241"/>
    <x v="4"/>
    <n v="5000"/>
    <x v="1"/>
    <x v="0"/>
    <x v="39"/>
    <x v="4"/>
    <x v="0"/>
    <x v="0"/>
    <x v="4"/>
    <x v="0"/>
  </r>
  <r>
    <x v="0"/>
    <x v="0"/>
    <n v="2239187242"/>
    <x v="5"/>
    <n v="-5600"/>
    <x v="1"/>
    <x v="0"/>
    <x v="39"/>
    <x v="5"/>
    <x v="0"/>
    <x v="0"/>
    <x v="5"/>
    <x v="0"/>
  </r>
  <r>
    <x v="0"/>
    <x v="0"/>
    <n v="2239187242"/>
    <x v="4"/>
    <n v="10000"/>
    <x v="1"/>
    <x v="0"/>
    <x v="39"/>
    <x v="4"/>
    <x v="0"/>
    <x v="0"/>
    <x v="4"/>
    <x v="0"/>
  </r>
  <r>
    <x v="0"/>
    <x v="0"/>
    <n v="2239187243"/>
    <x v="1"/>
    <n v="50470"/>
    <x v="1"/>
    <x v="0"/>
    <x v="39"/>
    <x v="1"/>
    <x v="0"/>
    <x v="0"/>
    <x v="1"/>
    <x v="0"/>
  </r>
  <r>
    <x v="0"/>
    <x v="0"/>
    <n v="2239187245"/>
    <x v="2"/>
    <n v="3300"/>
    <x v="1"/>
    <x v="0"/>
    <x v="39"/>
    <x v="2"/>
    <x v="0"/>
    <x v="0"/>
    <x v="2"/>
    <x v="0"/>
  </r>
  <r>
    <x v="0"/>
    <x v="0"/>
    <n v="2239187247"/>
    <x v="3"/>
    <n v="6500"/>
    <x v="1"/>
    <x v="0"/>
    <x v="39"/>
    <x v="3"/>
    <x v="0"/>
    <x v="0"/>
    <x v="3"/>
    <x v="0"/>
  </r>
  <r>
    <x v="0"/>
    <x v="0"/>
    <n v="2239187248"/>
    <x v="3"/>
    <n v="13500"/>
    <x v="1"/>
    <x v="0"/>
    <x v="39"/>
    <x v="3"/>
    <x v="0"/>
    <x v="0"/>
    <x v="3"/>
    <x v="0"/>
  </r>
  <r>
    <x v="0"/>
    <x v="0"/>
    <n v="2239187249"/>
    <x v="2"/>
    <n v="27643"/>
    <x v="1"/>
    <x v="0"/>
    <x v="39"/>
    <x v="2"/>
    <x v="0"/>
    <x v="0"/>
    <x v="2"/>
    <x v="0"/>
  </r>
  <r>
    <x v="0"/>
    <x v="0"/>
    <n v="2239187250"/>
    <x v="1"/>
    <n v="24140"/>
    <x v="1"/>
    <x v="0"/>
    <x v="39"/>
    <x v="1"/>
    <x v="0"/>
    <x v="0"/>
    <x v="1"/>
    <x v="0"/>
  </r>
  <r>
    <x v="0"/>
    <x v="0"/>
    <n v="2239187251"/>
    <x v="5"/>
    <n v="-5000"/>
    <x v="1"/>
    <x v="0"/>
    <x v="39"/>
    <x v="5"/>
    <x v="0"/>
    <x v="0"/>
    <x v="5"/>
    <x v="0"/>
  </r>
  <r>
    <x v="0"/>
    <x v="0"/>
    <n v="2239187251"/>
    <x v="4"/>
    <n v="10000"/>
    <x v="1"/>
    <x v="0"/>
    <x v="39"/>
    <x v="4"/>
    <x v="0"/>
    <x v="0"/>
    <x v="4"/>
    <x v="0"/>
  </r>
  <r>
    <x v="0"/>
    <x v="0"/>
    <n v="2239187252"/>
    <x v="2"/>
    <n v="7150"/>
    <x v="1"/>
    <x v="0"/>
    <x v="39"/>
    <x v="2"/>
    <x v="0"/>
    <x v="0"/>
    <x v="2"/>
    <x v="0"/>
  </r>
  <r>
    <x v="0"/>
    <x v="0"/>
    <n v="2239187254"/>
    <x v="5"/>
    <n v="-300"/>
    <x v="1"/>
    <x v="0"/>
    <x v="39"/>
    <x v="5"/>
    <x v="0"/>
    <x v="0"/>
    <x v="5"/>
    <x v="0"/>
  </r>
  <r>
    <x v="0"/>
    <x v="0"/>
    <n v="2239187254"/>
    <x v="4"/>
    <n v="6000"/>
    <x v="1"/>
    <x v="0"/>
    <x v="39"/>
    <x v="4"/>
    <x v="0"/>
    <x v="0"/>
    <x v="4"/>
    <x v="0"/>
  </r>
  <r>
    <x v="0"/>
    <x v="0"/>
    <n v="2239187255"/>
    <x v="5"/>
    <n v="-600"/>
    <x v="1"/>
    <x v="0"/>
    <x v="39"/>
    <x v="5"/>
    <x v="0"/>
    <x v="0"/>
    <x v="5"/>
    <x v="0"/>
  </r>
  <r>
    <x v="0"/>
    <x v="0"/>
    <n v="2239187255"/>
    <x v="6"/>
    <n v="10000"/>
    <x v="1"/>
    <x v="0"/>
    <x v="39"/>
    <x v="6"/>
    <x v="0"/>
    <x v="0"/>
    <x v="5"/>
    <x v="0"/>
  </r>
  <r>
    <x v="0"/>
    <x v="0"/>
    <n v="2239187256"/>
    <x v="5"/>
    <n v="-4000"/>
    <x v="1"/>
    <x v="0"/>
    <x v="39"/>
    <x v="5"/>
    <x v="0"/>
    <x v="0"/>
    <x v="5"/>
    <x v="0"/>
  </r>
  <r>
    <x v="0"/>
    <x v="0"/>
    <n v="2239187256"/>
    <x v="6"/>
    <n v="25000"/>
    <x v="1"/>
    <x v="0"/>
    <x v="39"/>
    <x v="6"/>
    <x v="0"/>
    <x v="0"/>
    <x v="5"/>
    <x v="0"/>
  </r>
  <r>
    <x v="0"/>
    <x v="0"/>
    <n v="2239187257"/>
    <x v="1"/>
    <n v="1350"/>
    <x v="1"/>
    <x v="0"/>
    <x v="39"/>
    <x v="1"/>
    <x v="0"/>
    <x v="0"/>
    <x v="1"/>
    <x v="0"/>
  </r>
  <r>
    <x v="0"/>
    <x v="0"/>
    <n v="2239187258"/>
    <x v="2"/>
    <n v="6500"/>
    <x v="1"/>
    <x v="0"/>
    <x v="39"/>
    <x v="2"/>
    <x v="0"/>
    <x v="0"/>
    <x v="2"/>
    <x v="0"/>
  </r>
  <r>
    <x v="0"/>
    <x v="0"/>
    <n v="2239187259"/>
    <x v="2"/>
    <n v="39490"/>
    <x v="1"/>
    <x v="0"/>
    <x v="39"/>
    <x v="2"/>
    <x v="0"/>
    <x v="0"/>
    <x v="2"/>
    <x v="0"/>
  </r>
  <r>
    <x v="0"/>
    <x v="0"/>
    <n v="2239187260"/>
    <x v="4"/>
    <n v="5000"/>
    <x v="1"/>
    <x v="0"/>
    <x v="39"/>
    <x v="4"/>
    <x v="0"/>
    <x v="0"/>
    <x v="4"/>
    <x v="0"/>
  </r>
  <r>
    <x v="0"/>
    <x v="0"/>
    <n v="2239187261"/>
    <x v="5"/>
    <n v="-1450"/>
    <x v="1"/>
    <x v="0"/>
    <x v="39"/>
    <x v="5"/>
    <x v="0"/>
    <x v="0"/>
    <x v="5"/>
    <x v="0"/>
  </r>
  <r>
    <x v="0"/>
    <x v="0"/>
    <n v="2239187261"/>
    <x v="6"/>
    <n v="10000"/>
    <x v="1"/>
    <x v="0"/>
    <x v="39"/>
    <x v="6"/>
    <x v="0"/>
    <x v="0"/>
    <x v="5"/>
    <x v="0"/>
  </r>
  <r>
    <x v="0"/>
    <x v="0"/>
    <n v="2239187262"/>
    <x v="5"/>
    <n v="-2000"/>
    <x v="1"/>
    <x v="0"/>
    <x v="39"/>
    <x v="5"/>
    <x v="0"/>
    <x v="0"/>
    <x v="5"/>
    <x v="0"/>
  </r>
  <r>
    <x v="0"/>
    <x v="0"/>
    <n v="2239187262"/>
    <x v="6"/>
    <n v="20000"/>
    <x v="1"/>
    <x v="0"/>
    <x v="39"/>
    <x v="6"/>
    <x v="0"/>
    <x v="0"/>
    <x v="5"/>
    <x v="0"/>
  </r>
  <r>
    <x v="0"/>
    <x v="0"/>
    <n v="2239187263"/>
    <x v="1"/>
    <n v="34400"/>
    <x v="1"/>
    <x v="0"/>
    <x v="39"/>
    <x v="1"/>
    <x v="0"/>
    <x v="0"/>
    <x v="1"/>
    <x v="0"/>
  </r>
  <r>
    <x v="0"/>
    <x v="0"/>
    <n v="2239187266"/>
    <x v="4"/>
    <n v="4600"/>
    <x v="1"/>
    <x v="0"/>
    <x v="39"/>
    <x v="4"/>
    <x v="0"/>
    <x v="0"/>
    <x v="4"/>
    <x v="0"/>
  </r>
  <r>
    <x v="0"/>
    <x v="0"/>
    <n v="2239187267"/>
    <x v="3"/>
    <n v="5200"/>
    <x v="1"/>
    <x v="0"/>
    <x v="39"/>
    <x v="3"/>
    <x v="0"/>
    <x v="0"/>
    <x v="3"/>
    <x v="0"/>
  </r>
  <r>
    <x v="0"/>
    <x v="0"/>
    <n v="2239187267"/>
    <x v="7"/>
    <n v="1300"/>
    <x v="1"/>
    <x v="0"/>
    <x v="39"/>
    <x v="7"/>
    <x v="0"/>
    <x v="0"/>
    <x v="1"/>
    <x v="0"/>
  </r>
  <r>
    <x v="0"/>
    <x v="0"/>
    <n v="2239187268"/>
    <x v="5"/>
    <n v="-8720"/>
    <x v="1"/>
    <x v="0"/>
    <x v="39"/>
    <x v="5"/>
    <x v="0"/>
    <x v="0"/>
    <x v="5"/>
    <x v="0"/>
  </r>
  <r>
    <x v="0"/>
    <x v="0"/>
    <n v="2239187268"/>
    <x v="6"/>
    <n v="30000"/>
    <x v="1"/>
    <x v="0"/>
    <x v="39"/>
    <x v="6"/>
    <x v="0"/>
    <x v="0"/>
    <x v="5"/>
    <x v="0"/>
  </r>
  <r>
    <x v="0"/>
    <x v="0"/>
    <n v="2239187268"/>
    <x v="7"/>
    <n v="4560"/>
    <x v="1"/>
    <x v="0"/>
    <x v="39"/>
    <x v="7"/>
    <x v="0"/>
    <x v="0"/>
    <x v="1"/>
    <x v="0"/>
  </r>
  <r>
    <x v="0"/>
    <x v="0"/>
    <n v="2239187269"/>
    <x v="2"/>
    <n v="6500"/>
    <x v="1"/>
    <x v="0"/>
    <x v="39"/>
    <x v="2"/>
    <x v="0"/>
    <x v="0"/>
    <x v="2"/>
    <x v="0"/>
  </r>
  <r>
    <x v="0"/>
    <x v="0"/>
    <n v="2239187270"/>
    <x v="5"/>
    <n v="-3500"/>
    <x v="1"/>
    <x v="0"/>
    <x v="39"/>
    <x v="5"/>
    <x v="0"/>
    <x v="0"/>
    <x v="5"/>
    <x v="0"/>
  </r>
  <r>
    <x v="0"/>
    <x v="0"/>
    <n v="2239187270"/>
    <x v="6"/>
    <n v="10000"/>
    <x v="1"/>
    <x v="0"/>
    <x v="39"/>
    <x v="6"/>
    <x v="0"/>
    <x v="0"/>
    <x v="5"/>
    <x v="0"/>
  </r>
  <r>
    <x v="0"/>
    <x v="0"/>
    <n v="2239187271"/>
    <x v="1"/>
    <n v="1800"/>
    <x v="1"/>
    <x v="0"/>
    <x v="39"/>
    <x v="1"/>
    <x v="0"/>
    <x v="0"/>
    <x v="1"/>
    <x v="0"/>
  </r>
  <r>
    <x v="0"/>
    <x v="0"/>
    <n v="2239187272"/>
    <x v="5"/>
    <n v="-5600"/>
    <x v="1"/>
    <x v="0"/>
    <x v="39"/>
    <x v="5"/>
    <x v="0"/>
    <x v="0"/>
    <x v="5"/>
    <x v="0"/>
  </r>
  <r>
    <x v="0"/>
    <x v="0"/>
    <n v="2239187272"/>
    <x v="4"/>
    <n v="10000"/>
    <x v="1"/>
    <x v="0"/>
    <x v="39"/>
    <x v="4"/>
    <x v="0"/>
    <x v="0"/>
    <x v="4"/>
    <x v="0"/>
  </r>
  <r>
    <x v="0"/>
    <x v="0"/>
    <n v="2239187273"/>
    <x v="3"/>
    <n v="11000"/>
    <x v="1"/>
    <x v="0"/>
    <x v="39"/>
    <x v="3"/>
    <x v="0"/>
    <x v="0"/>
    <x v="3"/>
    <x v="0"/>
  </r>
  <r>
    <x v="0"/>
    <x v="0"/>
    <n v="2239187274"/>
    <x v="5"/>
    <n v="-40"/>
    <x v="1"/>
    <x v="0"/>
    <x v="39"/>
    <x v="5"/>
    <x v="0"/>
    <x v="0"/>
    <x v="5"/>
    <x v="0"/>
  </r>
  <r>
    <x v="0"/>
    <x v="0"/>
    <n v="2239187274"/>
    <x v="6"/>
    <n v="10000"/>
    <x v="1"/>
    <x v="0"/>
    <x v="39"/>
    <x v="6"/>
    <x v="0"/>
    <x v="0"/>
    <x v="5"/>
    <x v="0"/>
  </r>
  <r>
    <x v="0"/>
    <x v="0"/>
    <n v="2239187275"/>
    <x v="2"/>
    <n v="6500"/>
    <x v="1"/>
    <x v="0"/>
    <x v="39"/>
    <x v="2"/>
    <x v="0"/>
    <x v="0"/>
    <x v="2"/>
    <x v="0"/>
  </r>
  <r>
    <x v="0"/>
    <x v="0"/>
    <n v="2239187276"/>
    <x v="5"/>
    <n v="-1450"/>
    <x v="1"/>
    <x v="0"/>
    <x v="39"/>
    <x v="5"/>
    <x v="0"/>
    <x v="0"/>
    <x v="5"/>
    <x v="0"/>
  </r>
  <r>
    <x v="0"/>
    <x v="0"/>
    <n v="2239187276"/>
    <x v="6"/>
    <n v="10000"/>
    <x v="1"/>
    <x v="0"/>
    <x v="39"/>
    <x v="6"/>
    <x v="0"/>
    <x v="0"/>
    <x v="5"/>
    <x v="0"/>
  </r>
  <r>
    <x v="0"/>
    <x v="0"/>
    <n v="2239187278"/>
    <x v="5"/>
    <n v="-4800"/>
    <x v="1"/>
    <x v="0"/>
    <x v="39"/>
    <x v="5"/>
    <x v="0"/>
    <x v="0"/>
    <x v="5"/>
    <x v="0"/>
  </r>
  <r>
    <x v="0"/>
    <x v="0"/>
    <n v="2239187278"/>
    <x v="6"/>
    <n v="10000"/>
    <x v="1"/>
    <x v="0"/>
    <x v="39"/>
    <x v="6"/>
    <x v="0"/>
    <x v="0"/>
    <x v="5"/>
    <x v="0"/>
  </r>
  <r>
    <x v="0"/>
    <x v="0"/>
    <n v="2239187278"/>
    <x v="7"/>
    <n v="1300"/>
    <x v="1"/>
    <x v="0"/>
    <x v="39"/>
    <x v="7"/>
    <x v="0"/>
    <x v="0"/>
    <x v="1"/>
    <x v="0"/>
  </r>
  <r>
    <x v="0"/>
    <x v="0"/>
    <n v="2239187279"/>
    <x v="1"/>
    <n v="19290"/>
    <x v="1"/>
    <x v="0"/>
    <x v="39"/>
    <x v="1"/>
    <x v="0"/>
    <x v="0"/>
    <x v="1"/>
    <x v="0"/>
  </r>
  <r>
    <x v="0"/>
    <x v="0"/>
    <n v="2239187280"/>
    <x v="5"/>
    <n v="-20"/>
    <x v="1"/>
    <x v="0"/>
    <x v="39"/>
    <x v="5"/>
    <x v="0"/>
    <x v="0"/>
    <x v="5"/>
    <x v="0"/>
  </r>
  <r>
    <x v="0"/>
    <x v="0"/>
    <n v="2239187280"/>
    <x v="6"/>
    <n v="44100"/>
    <x v="1"/>
    <x v="0"/>
    <x v="39"/>
    <x v="6"/>
    <x v="0"/>
    <x v="0"/>
    <x v="5"/>
    <x v="0"/>
  </r>
  <r>
    <x v="0"/>
    <x v="0"/>
    <n v="2239187281"/>
    <x v="1"/>
    <n v="900"/>
    <x v="1"/>
    <x v="0"/>
    <x v="39"/>
    <x v="1"/>
    <x v="0"/>
    <x v="0"/>
    <x v="1"/>
    <x v="0"/>
  </r>
  <r>
    <x v="0"/>
    <x v="0"/>
    <n v="2239187282"/>
    <x v="5"/>
    <n v="-5000"/>
    <x v="1"/>
    <x v="0"/>
    <x v="39"/>
    <x v="5"/>
    <x v="0"/>
    <x v="0"/>
    <x v="5"/>
    <x v="0"/>
  </r>
  <r>
    <x v="0"/>
    <x v="0"/>
    <n v="2239187282"/>
    <x v="4"/>
    <n v="10600"/>
    <x v="1"/>
    <x v="0"/>
    <x v="39"/>
    <x v="4"/>
    <x v="0"/>
    <x v="0"/>
    <x v="4"/>
    <x v="0"/>
  </r>
  <r>
    <x v="0"/>
    <x v="0"/>
    <n v="2239187283"/>
    <x v="1"/>
    <n v="6500"/>
    <x v="1"/>
    <x v="0"/>
    <x v="39"/>
    <x v="1"/>
    <x v="0"/>
    <x v="0"/>
    <x v="1"/>
    <x v="0"/>
  </r>
  <r>
    <x v="0"/>
    <x v="0"/>
    <n v="2239187284"/>
    <x v="5"/>
    <n v="-5200"/>
    <x v="1"/>
    <x v="0"/>
    <x v="39"/>
    <x v="5"/>
    <x v="0"/>
    <x v="0"/>
    <x v="5"/>
    <x v="0"/>
  </r>
  <r>
    <x v="0"/>
    <x v="0"/>
    <n v="2239187284"/>
    <x v="4"/>
    <n v="10500"/>
    <x v="1"/>
    <x v="0"/>
    <x v="39"/>
    <x v="4"/>
    <x v="0"/>
    <x v="0"/>
    <x v="4"/>
    <x v="0"/>
  </r>
  <r>
    <x v="0"/>
    <x v="0"/>
    <n v="2239187288"/>
    <x v="5"/>
    <n v="-3500"/>
    <x v="1"/>
    <x v="0"/>
    <x v="39"/>
    <x v="5"/>
    <x v="0"/>
    <x v="0"/>
    <x v="5"/>
    <x v="0"/>
  </r>
  <r>
    <x v="0"/>
    <x v="0"/>
    <n v="2239187288"/>
    <x v="6"/>
    <n v="10000"/>
    <x v="1"/>
    <x v="0"/>
    <x v="39"/>
    <x v="6"/>
    <x v="0"/>
    <x v="0"/>
    <x v="5"/>
    <x v="0"/>
  </r>
  <r>
    <x v="0"/>
    <x v="0"/>
    <n v="2239187289"/>
    <x v="5"/>
    <n v="-2200"/>
    <x v="1"/>
    <x v="0"/>
    <x v="39"/>
    <x v="5"/>
    <x v="0"/>
    <x v="0"/>
    <x v="5"/>
    <x v="0"/>
  </r>
  <r>
    <x v="0"/>
    <x v="0"/>
    <n v="2239187289"/>
    <x v="6"/>
    <n v="10000"/>
    <x v="1"/>
    <x v="0"/>
    <x v="39"/>
    <x v="6"/>
    <x v="0"/>
    <x v="0"/>
    <x v="5"/>
    <x v="0"/>
  </r>
  <r>
    <x v="0"/>
    <x v="0"/>
    <n v="2239187289"/>
    <x v="7"/>
    <n v="5200"/>
    <x v="1"/>
    <x v="0"/>
    <x v="39"/>
    <x v="7"/>
    <x v="0"/>
    <x v="0"/>
    <x v="1"/>
    <x v="0"/>
  </r>
  <r>
    <x v="0"/>
    <x v="0"/>
    <n v="2239187290"/>
    <x v="5"/>
    <n v="-1200"/>
    <x v="1"/>
    <x v="0"/>
    <x v="39"/>
    <x v="5"/>
    <x v="0"/>
    <x v="0"/>
    <x v="5"/>
    <x v="0"/>
  </r>
  <r>
    <x v="0"/>
    <x v="0"/>
    <n v="2239187290"/>
    <x v="6"/>
    <n v="5000"/>
    <x v="1"/>
    <x v="0"/>
    <x v="39"/>
    <x v="6"/>
    <x v="0"/>
    <x v="0"/>
    <x v="5"/>
    <x v="0"/>
  </r>
  <r>
    <x v="0"/>
    <x v="0"/>
    <n v="2239187291"/>
    <x v="5"/>
    <n v="-400"/>
    <x v="1"/>
    <x v="0"/>
    <x v="39"/>
    <x v="5"/>
    <x v="0"/>
    <x v="0"/>
    <x v="5"/>
    <x v="0"/>
  </r>
  <r>
    <x v="0"/>
    <x v="0"/>
    <n v="2239187291"/>
    <x v="4"/>
    <n v="6000"/>
    <x v="1"/>
    <x v="0"/>
    <x v="39"/>
    <x v="4"/>
    <x v="0"/>
    <x v="0"/>
    <x v="4"/>
    <x v="0"/>
  </r>
  <r>
    <x v="0"/>
    <x v="0"/>
    <n v="2239187292"/>
    <x v="1"/>
    <n v="24400"/>
    <x v="1"/>
    <x v="0"/>
    <x v="39"/>
    <x v="1"/>
    <x v="0"/>
    <x v="0"/>
    <x v="1"/>
    <x v="0"/>
  </r>
  <r>
    <x v="0"/>
    <x v="0"/>
    <n v="2239187294"/>
    <x v="1"/>
    <n v="2700"/>
    <x v="1"/>
    <x v="0"/>
    <x v="39"/>
    <x v="1"/>
    <x v="0"/>
    <x v="0"/>
    <x v="1"/>
    <x v="0"/>
  </r>
  <r>
    <x v="0"/>
    <x v="0"/>
    <n v="2239187295"/>
    <x v="1"/>
    <n v="3150"/>
    <x v="1"/>
    <x v="0"/>
    <x v="39"/>
    <x v="1"/>
    <x v="0"/>
    <x v="0"/>
    <x v="1"/>
    <x v="0"/>
  </r>
  <r>
    <x v="0"/>
    <x v="0"/>
    <n v="2239187296"/>
    <x v="1"/>
    <n v="23850"/>
    <x v="1"/>
    <x v="0"/>
    <x v="39"/>
    <x v="1"/>
    <x v="0"/>
    <x v="0"/>
    <x v="1"/>
    <x v="0"/>
  </r>
  <r>
    <x v="0"/>
    <x v="0"/>
    <n v="2239187297"/>
    <x v="1"/>
    <n v="23640"/>
    <x v="1"/>
    <x v="0"/>
    <x v="39"/>
    <x v="1"/>
    <x v="0"/>
    <x v="0"/>
    <x v="1"/>
    <x v="0"/>
  </r>
  <r>
    <x v="0"/>
    <x v="0"/>
    <n v="2239187299"/>
    <x v="1"/>
    <n v="25580"/>
    <x v="1"/>
    <x v="0"/>
    <x v="39"/>
    <x v="1"/>
    <x v="0"/>
    <x v="0"/>
    <x v="1"/>
    <x v="0"/>
  </r>
  <r>
    <x v="0"/>
    <x v="0"/>
    <n v="2239187302"/>
    <x v="1"/>
    <n v="900"/>
    <x v="1"/>
    <x v="0"/>
    <x v="39"/>
    <x v="1"/>
    <x v="0"/>
    <x v="0"/>
    <x v="1"/>
    <x v="0"/>
  </r>
  <r>
    <x v="0"/>
    <x v="0"/>
    <n v="2239187303"/>
    <x v="2"/>
    <n v="31900"/>
    <x v="1"/>
    <x v="0"/>
    <x v="39"/>
    <x v="2"/>
    <x v="0"/>
    <x v="0"/>
    <x v="2"/>
    <x v="0"/>
  </r>
  <r>
    <x v="0"/>
    <x v="0"/>
    <n v="2239187304"/>
    <x v="1"/>
    <n v="5490"/>
    <x v="1"/>
    <x v="0"/>
    <x v="39"/>
    <x v="1"/>
    <x v="0"/>
    <x v="0"/>
    <x v="1"/>
    <x v="0"/>
  </r>
  <r>
    <x v="0"/>
    <x v="0"/>
    <n v="2239187305"/>
    <x v="1"/>
    <n v="15300"/>
    <x v="1"/>
    <x v="0"/>
    <x v="39"/>
    <x v="1"/>
    <x v="0"/>
    <x v="0"/>
    <x v="1"/>
    <x v="0"/>
  </r>
  <r>
    <x v="0"/>
    <x v="0"/>
    <n v="2239191290"/>
    <x v="0"/>
    <n v="2250"/>
    <x v="1"/>
    <x v="0"/>
    <x v="40"/>
    <x v="0"/>
    <x v="0"/>
    <x v="0"/>
    <x v="0"/>
    <x v="0"/>
  </r>
  <r>
    <x v="0"/>
    <x v="0"/>
    <n v="2239191291"/>
    <x v="0"/>
    <n v="7320"/>
    <x v="1"/>
    <x v="0"/>
    <x v="40"/>
    <x v="0"/>
    <x v="0"/>
    <x v="0"/>
    <x v="0"/>
    <x v="0"/>
  </r>
  <r>
    <x v="0"/>
    <x v="0"/>
    <n v="2239191292"/>
    <x v="1"/>
    <n v="2250"/>
    <x v="1"/>
    <x v="0"/>
    <x v="40"/>
    <x v="1"/>
    <x v="0"/>
    <x v="0"/>
    <x v="1"/>
    <x v="0"/>
  </r>
  <r>
    <x v="0"/>
    <x v="0"/>
    <n v="2239191293"/>
    <x v="1"/>
    <n v="5250"/>
    <x v="1"/>
    <x v="0"/>
    <x v="40"/>
    <x v="1"/>
    <x v="0"/>
    <x v="0"/>
    <x v="1"/>
    <x v="0"/>
  </r>
  <r>
    <x v="0"/>
    <x v="0"/>
    <n v="2239191294"/>
    <x v="1"/>
    <n v="900"/>
    <x v="1"/>
    <x v="0"/>
    <x v="40"/>
    <x v="1"/>
    <x v="0"/>
    <x v="0"/>
    <x v="1"/>
    <x v="0"/>
  </r>
  <r>
    <x v="0"/>
    <x v="0"/>
    <n v="2239191295"/>
    <x v="0"/>
    <n v="7470"/>
    <x v="1"/>
    <x v="0"/>
    <x v="40"/>
    <x v="0"/>
    <x v="0"/>
    <x v="0"/>
    <x v="0"/>
    <x v="0"/>
  </r>
  <r>
    <x v="0"/>
    <x v="0"/>
    <n v="2239191296"/>
    <x v="0"/>
    <n v="1950"/>
    <x v="1"/>
    <x v="0"/>
    <x v="40"/>
    <x v="0"/>
    <x v="0"/>
    <x v="0"/>
    <x v="0"/>
    <x v="0"/>
  </r>
  <r>
    <x v="0"/>
    <x v="0"/>
    <n v="2239191297"/>
    <x v="1"/>
    <n v="6000"/>
    <x v="1"/>
    <x v="0"/>
    <x v="40"/>
    <x v="1"/>
    <x v="0"/>
    <x v="0"/>
    <x v="1"/>
    <x v="0"/>
  </r>
  <r>
    <x v="0"/>
    <x v="0"/>
    <n v="2239191298"/>
    <x v="1"/>
    <n v="900"/>
    <x v="1"/>
    <x v="0"/>
    <x v="40"/>
    <x v="1"/>
    <x v="0"/>
    <x v="0"/>
    <x v="1"/>
    <x v="0"/>
  </r>
  <r>
    <x v="0"/>
    <x v="0"/>
    <n v="2239191299"/>
    <x v="1"/>
    <n v="900"/>
    <x v="1"/>
    <x v="0"/>
    <x v="40"/>
    <x v="1"/>
    <x v="0"/>
    <x v="0"/>
    <x v="1"/>
    <x v="0"/>
  </r>
  <r>
    <x v="0"/>
    <x v="0"/>
    <n v="2239191300"/>
    <x v="1"/>
    <n v="1140"/>
    <x v="1"/>
    <x v="0"/>
    <x v="40"/>
    <x v="1"/>
    <x v="0"/>
    <x v="0"/>
    <x v="1"/>
    <x v="0"/>
  </r>
  <r>
    <x v="0"/>
    <x v="0"/>
    <n v="2239191301"/>
    <x v="1"/>
    <n v="1140"/>
    <x v="1"/>
    <x v="0"/>
    <x v="40"/>
    <x v="1"/>
    <x v="0"/>
    <x v="0"/>
    <x v="1"/>
    <x v="0"/>
  </r>
  <r>
    <x v="0"/>
    <x v="0"/>
    <n v="2239191302"/>
    <x v="0"/>
    <n v="1500"/>
    <x v="1"/>
    <x v="0"/>
    <x v="40"/>
    <x v="0"/>
    <x v="0"/>
    <x v="0"/>
    <x v="0"/>
    <x v="0"/>
  </r>
  <r>
    <x v="0"/>
    <x v="0"/>
    <n v="2239191303"/>
    <x v="0"/>
    <n v="1500"/>
    <x v="1"/>
    <x v="0"/>
    <x v="40"/>
    <x v="0"/>
    <x v="0"/>
    <x v="0"/>
    <x v="0"/>
    <x v="0"/>
  </r>
  <r>
    <x v="0"/>
    <x v="0"/>
    <n v="2239191304"/>
    <x v="1"/>
    <n v="2280"/>
    <x v="1"/>
    <x v="0"/>
    <x v="40"/>
    <x v="1"/>
    <x v="0"/>
    <x v="0"/>
    <x v="1"/>
    <x v="0"/>
  </r>
  <r>
    <x v="0"/>
    <x v="0"/>
    <n v="2239191305"/>
    <x v="1"/>
    <n v="900"/>
    <x v="1"/>
    <x v="0"/>
    <x v="40"/>
    <x v="1"/>
    <x v="0"/>
    <x v="0"/>
    <x v="1"/>
    <x v="0"/>
  </r>
  <r>
    <x v="0"/>
    <x v="0"/>
    <n v="2239191306"/>
    <x v="1"/>
    <n v="2250"/>
    <x v="1"/>
    <x v="0"/>
    <x v="40"/>
    <x v="1"/>
    <x v="0"/>
    <x v="0"/>
    <x v="1"/>
    <x v="0"/>
  </r>
  <r>
    <x v="0"/>
    <x v="0"/>
    <n v="2239191307"/>
    <x v="1"/>
    <n v="2550"/>
    <x v="1"/>
    <x v="0"/>
    <x v="40"/>
    <x v="1"/>
    <x v="0"/>
    <x v="0"/>
    <x v="1"/>
    <x v="0"/>
  </r>
  <r>
    <x v="0"/>
    <x v="0"/>
    <n v="2239191308"/>
    <x v="1"/>
    <n v="1950"/>
    <x v="1"/>
    <x v="0"/>
    <x v="40"/>
    <x v="1"/>
    <x v="0"/>
    <x v="0"/>
    <x v="1"/>
    <x v="0"/>
  </r>
  <r>
    <x v="0"/>
    <x v="0"/>
    <n v="2239191309"/>
    <x v="1"/>
    <n v="3300"/>
    <x v="1"/>
    <x v="0"/>
    <x v="40"/>
    <x v="1"/>
    <x v="0"/>
    <x v="0"/>
    <x v="1"/>
    <x v="0"/>
  </r>
  <r>
    <x v="0"/>
    <x v="0"/>
    <n v="2239191310"/>
    <x v="1"/>
    <n v="2280"/>
    <x v="1"/>
    <x v="0"/>
    <x v="40"/>
    <x v="1"/>
    <x v="0"/>
    <x v="0"/>
    <x v="1"/>
    <x v="0"/>
  </r>
  <r>
    <x v="0"/>
    <x v="0"/>
    <n v="2239191311"/>
    <x v="1"/>
    <n v="2040"/>
    <x v="1"/>
    <x v="0"/>
    <x v="40"/>
    <x v="1"/>
    <x v="0"/>
    <x v="0"/>
    <x v="1"/>
    <x v="0"/>
  </r>
  <r>
    <x v="0"/>
    <x v="0"/>
    <n v="2239191312"/>
    <x v="1"/>
    <n v="21840"/>
    <x v="1"/>
    <x v="0"/>
    <x v="40"/>
    <x v="1"/>
    <x v="0"/>
    <x v="0"/>
    <x v="1"/>
    <x v="0"/>
  </r>
  <r>
    <x v="0"/>
    <x v="0"/>
    <n v="2239191313"/>
    <x v="7"/>
    <n v="23600"/>
    <x v="1"/>
    <x v="0"/>
    <x v="40"/>
    <x v="7"/>
    <x v="0"/>
    <x v="0"/>
    <x v="1"/>
    <x v="0"/>
  </r>
  <r>
    <x v="0"/>
    <x v="0"/>
    <n v="2239191313"/>
    <x v="1"/>
    <n v="20300"/>
    <x v="1"/>
    <x v="0"/>
    <x v="40"/>
    <x v="1"/>
    <x v="0"/>
    <x v="0"/>
    <x v="1"/>
    <x v="0"/>
  </r>
  <r>
    <x v="0"/>
    <x v="0"/>
    <n v="2239191314"/>
    <x v="0"/>
    <n v="7920"/>
    <x v="1"/>
    <x v="0"/>
    <x v="40"/>
    <x v="0"/>
    <x v="0"/>
    <x v="0"/>
    <x v="0"/>
    <x v="0"/>
  </r>
  <r>
    <x v="0"/>
    <x v="0"/>
    <n v="2239191315"/>
    <x v="1"/>
    <n v="4470"/>
    <x v="1"/>
    <x v="0"/>
    <x v="40"/>
    <x v="1"/>
    <x v="0"/>
    <x v="0"/>
    <x v="1"/>
    <x v="0"/>
  </r>
  <r>
    <x v="0"/>
    <x v="0"/>
    <n v="2239191316"/>
    <x v="1"/>
    <n v="2400"/>
    <x v="1"/>
    <x v="0"/>
    <x v="40"/>
    <x v="1"/>
    <x v="0"/>
    <x v="0"/>
    <x v="1"/>
    <x v="0"/>
  </r>
  <r>
    <x v="0"/>
    <x v="0"/>
    <n v="2239191317"/>
    <x v="1"/>
    <n v="1470"/>
    <x v="1"/>
    <x v="0"/>
    <x v="40"/>
    <x v="1"/>
    <x v="0"/>
    <x v="0"/>
    <x v="1"/>
    <x v="0"/>
  </r>
  <r>
    <x v="0"/>
    <x v="0"/>
    <n v="2239191318"/>
    <x v="1"/>
    <n v="1440"/>
    <x v="1"/>
    <x v="0"/>
    <x v="40"/>
    <x v="1"/>
    <x v="0"/>
    <x v="0"/>
    <x v="1"/>
    <x v="0"/>
  </r>
  <r>
    <x v="0"/>
    <x v="0"/>
    <n v="2239191319"/>
    <x v="1"/>
    <n v="1440"/>
    <x v="1"/>
    <x v="0"/>
    <x v="40"/>
    <x v="1"/>
    <x v="0"/>
    <x v="0"/>
    <x v="1"/>
    <x v="0"/>
  </r>
  <r>
    <x v="0"/>
    <x v="0"/>
    <n v="2239191320"/>
    <x v="1"/>
    <n v="900"/>
    <x v="1"/>
    <x v="0"/>
    <x v="40"/>
    <x v="1"/>
    <x v="0"/>
    <x v="0"/>
    <x v="1"/>
    <x v="0"/>
  </r>
  <r>
    <x v="0"/>
    <x v="0"/>
    <n v="2239191321"/>
    <x v="1"/>
    <n v="1050"/>
    <x v="1"/>
    <x v="0"/>
    <x v="40"/>
    <x v="1"/>
    <x v="0"/>
    <x v="0"/>
    <x v="1"/>
    <x v="0"/>
  </r>
  <r>
    <x v="0"/>
    <x v="0"/>
    <n v="2239191322"/>
    <x v="1"/>
    <n v="7300"/>
    <x v="1"/>
    <x v="0"/>
    <x v="40"/>
    <x v="1"/>
    <x v="0"/>
    <x v="0"/>
    <x v="1"/>
    <x v="0"/>
  </r>
  <r>
    <x v="0"/>
    <x v="0"/>
    <n v="2239191323"/>
    <x v="1"/>
    <n v="1800"/>
    <x v="1"/>
    <x v="0"/>
    <x v="40"/>
    <x v="1"/>
    <x v="0"/>
    <x v="0"/>
    <x v="1"/>
    <x v="0"/>
  </r>
  <r>
    <x v="0"/>
    <x v="0"/>
    <n v="2239191324"/>
    <x v="1"/>
    <n v="2400"/>
    <x v="1"/>
    <x v="0"/>
    <x v="40"/>
    <x v="1"/>
    <x v="0"/>
    <x v="0"/>
    <x v="1"/>
    <x v="0"/>
  </r>
  <r>
    <x v="0"/>
    <x v="0"/>
    <n v="2239191325"/>
    <x v="1"/>
    <n v="5100"/>
    <x v="1"/>
    <x v="0"/>
    <x v="40"/>
    <x v="1"/>
    <x v="0"/>
    <x v="0"/>
    <x v="1"/>
    <x v="0"/>
  </r>
  <r>
    <x v="0"/>
    <x v="0"/>
    <n v="2239191326"/>
    <x v="1"/>
    <n v="10740"/>
    <x v="1"/>
    <x v="0"/>
    <x v="40"/>
    <x v="1"/>
    <x v="0"/>
    <x v="0"/>
    <x v="1"/>
    <x v="0"/>
  </r>
  <r>
    <x v="0"/>
    <x v="0"/>
    <n v="2239191327"/>
    <x v="1"/>
    <n v="24660"/>
    <x v="1"/>
    <x v="0"/>
    <x v="40"/>
    <x v="1"/>
    <x v="0"/>
    <x v="0"/>
    <x v="1"/>
    <x v="0"/>
  </r>
  <r>
    <x v="0"/>
    <x v="0"/>
    <n v="2239191328"/>
    <x v="1"/>
    <n v="12000"/>
    <x v="1"/>
    <x v="0"/>
    <x v="40"/>
    <x v="1"/>
    <x v="0"/>
    <x v="0"/>
    <x v="1"/>
    <x v="0"/>
  </r>
  <r>
    <x v="0"/>
    <x v="0"/>
    <n v="2239191329"/>
    <x v="1"/>
    <n v="900"/>
    <x v="1"/>
    <x v="0"/>
    <x v="40"/>
    <x v="1"/>
    <x v="0"/>
    <x v="0"/>
    <x v="1"/>
    <x v="0"/>
  </r>
  <r>
    <x v="0"/>
    <x v="0"/>
    <n v="2239191330"/>
    <x v="1"/>
    <n v="14350"/>
    <x v="1"/>
    <x v="0"/>
    <x v="40"/>
    <x v="1"/>
    <x v="0"/>
    <x v="0"/>
    <x v="1"/>
    <x v="0"/>
  </r>
  <r>
    <x v="0"/>
    <x v="0"/>
    <n v="2239191331"/>
    <x v="1"/>
    <n v="6500"/>
    <x v="1"/>
    <x v="0"/>
    <x v="40"/>
    <x v="1"/>
    <x v="0"/>
    <x v="0"/>
    <x v="1"/>
    <x v="0"/>
  </r>
  <r>
    <x v="0"/>
    <x v="0"/>
    <n v="2239191332"/>
    <x v="0"/>
    <n v="7650"/>
    <x v="1"/>
    <x v="0"/>
    <x v="40"/>
    <x v="0"/>
    <x v="0"/>
    <x v="0"/>
    <x v="0"/>
    <x v="0"/>
  </r>
  <r>
    <x v="0"/>
    <x v="0"/>
    <n v="2239191333"/>
    <x v="1"/>
    <n v="15000"/>
    <x v="1"/>
    <x v="0"/>
    <x v="40"/>
    <x v="1"/>
    <x v="0"/>
    <x v="0"/>
    <x v="1"/>
    <x v="0"/>
  </r>
  <r>
    <x v="0"/>
    <x v="0"/>
    <n v="2239191334"/>
    <x v="1"/>
    <n v="1050"/>
    <x v="1"/>
    <x v="0"/>
    <x v="40"/>
    <x v="1"/>
    <x v="0"/>
    <x v="0"/>
    <x v="1"/>
    <x v="0"/>
  </r>
  <r>
    <x v="0"/>
    <x v="0"/>
    <n v="2239191335"/>
    <x v="0"/>
    <n v="1800"/>
    <x v="1"/>
    <x v="0"/>
    <x v="40"/>
    <x v="0"/>
    <x v="0"/>
    <x v="0"/>
    <x v="0"/>
    <x v="0"/>
  </r>
  <r>
    <x v="0"/>
    <x v="0"/>
    <n v="2239191337"/>
    <x v="0"/>
    <n v="1350"/>
    <x v="1"/>
    <x v="0"/>
    <x v="40"/>
    <x v="0"/>
    <x v="0"/>
    <x v="0"/>
    <x v="0"/>
    <x v="0"/>
  </r>
  <r>
    <x v="0"/>
    <x v="0"/>
    <n v="2239191338"/>
    <x v="1"/>
    <n v="2040"/>
    <x v="1"/>
    <x v="0"/>
    <x v="40"/>
    <x v="1"/>
    <x v="0"/>
    <x v="0"/>
    <x v="1"/>
    <x v="0"/>
  </r>
  <r>
    <x v="0"/>
    <x v="0"/>
    <n v="2239191339"/>
    <x v="1"/>
    <n v="25000"/>
    <x v="1"/>
    <x v="0"/>
    <x v="40"/>
    <x v="1"/>
    <x v="0"/>
    <x v="0"/>
    <x v="1"/>
    <x v="0"/>
  </r>
  <r>
    <x v="0"/>
    <x v="0"/>
    <n v="2239191340"/>
    <x v="1"/>
    <n v="1800"/>
    <x v="1"/>
    <x v="0"/>
    <x v="40"/>
    <x v="1"/>
    <x v="0"/>
    <x v="0"/>
    <x v="1"/>
    <x v="0"/>
  </r>
  <r>
    <x v="0"/>
    <x v="0"/>
    <n v="2239191341"/>
    <x v="0"/>
    <n v="20200"/>
    <x v="1"/>
    <x v="0"/>
    <x v="40"/>
    <x v="0"/>
    <x v="0"/>
    <x v="0"/>
    <x v="0"/>
    <x v="0"/>
  </r>
  <r>
    <x v="0"/>
    <x v="0"/>
    <n v="2239191342"/>
    <x v="0"/>
    <n v="1950"/>
    <x v="1"/>
    <x v="0"/>
    <x v="40"/>
    <x v="0"/>
    <x v="0"/>
    <x v="0"/>
    <x v="0"/>
    <x v="0"/>
  </r>
  <r>
    <x v="0"/>
    <x v="0"/>
    <n v="2239191343"/>
    <x v="0"/>
    <n v="1950"/>
    <x v="1"/>
    <x v="0"/>
    <x v="40"/>
    <x v="0"/>
    <x v="0"/>
    <x v="0"/>
    <x v="0"/>
    <x v="0"/>
  </r>
  <r>
    <x v="0"/>
    <x v="0"/>
    <n v="2239191344"/>
    <x v="0"/>
    <n v="7320"/>
    <x v="1"/>
    <x v="0"/>
    <x v="40"/>
    <x v="0"/>
    <x v="0"/>
    <x v="0"/>
    <x v="0"/>
    <x v="0"/>
  </r>
  <r>
    <x v="0"/>
    <x v="0"/>
    <n v="2239191345"/>
    <x v="1"/>
    <n v="2850"/>
    <x v="1"/>
    <x v="0"/>
    <x v="40"/>
    <x v="1"/>
    <x v="0"/>
    <x v="0"/>
    <x v="1"/>
    <x v="0"/>
  </r>
  <r>
    <x v="0"/>
    <x v="0"/>
    <n v="2239191347"/>
    <x v="1"/>
    <n v="27130"/>
    <x v="1"/>
    <x v="0"/>
    <x v="40"/>
    <x v="1"/>
    <x v="0"/>
    <x v="0"/>
    <x v="1"/>
    <x v="0"/>
  </r>
  <r>
    <x v="0"/>
    <x v="0"/>
    <n v="2239191349"/>
    <x v="3"/>
    <n v="7084"/>
    <x v="1"/>
    <x v="0"/>
    <x v="40"/>
    <x v="3"/>
    <x v="0"/>
    <x v="0"/>
    <x v="3"/>
    <x v="0"/>
  </r>
  <r>
    <x v="0"/>
    <x v="0"/>
    <n v="2239191350"/>
    <x v="6"/>
    <n v="3150"/>
    <x v="1"/>
    <x v="0"/>
    <x v="40"/>
    <x v="6"/>
    <x v="0"/>
    <x v="0"/>
    <x v="5"/>
    <x v="0"/>
  </r>
  <r>
    <x v="0"/>
    <x v="0"/>
    <n v="2239191350"/>
    <x v="7"/>
    <n v="1350"/>
    <x v="1"/>
    <x v="0"/>
    <x v="40"/>
    <x v="7"/>
    <x v="0"/>
    <x v="0"/>
    <x v="1"/>
    <x v="0"/>
  </r>
  <r>
    <x v="0"/>
    <x v="0"/>
    <n v="2239191353"/>
    <x v="1"/>
    <n v="37150"/>
    <x v="1"/>
    <x v="0"/>
    <x v="40"/>
    <x v="1"/>
    <x v="0"/>
    <x v="0"/>
    <x v="1"/>
    <x v="0"/>
  </r>
  <r>
    <x v="0"/>
    <x v="0"/>
    <n v="2239191354"/>
    <x v="2"/>
    <n v="11000"/>
    <x v="1"/>
    <x v="0"/>
    <x v="40"/>
    <x v="2"/>
    <x v="0"/>
    <x v="0"/>
    <x v="2"/>
    <x v="0"/>
  </r>
  <r>
    <x v="0"/>
    <x v="0"/>
    <n v="2239191356"/>
    <x v="3"/>
    <n v="9420"/>
    <x v="1"/>
    <x v="0"/>
    <x v="40"/>
    <x v="3"/>
    <x v="0"/>
    <x v="0"/>
    <x v="3"/>
    <x v="0"/>
  </r>
  <r>
    <x v="0"/>
    <x v="0"/>
    <n v="2239191356"/>
    <x v="7"/>
    <n v="6280"/>
    <x v="1"/>
    <x v="0"/>
    <x v="40"/>
    <x v="7"/>
    <x v="0"/>
    <x v="0"/>
    <x v="1"/>
    <x v="0"/>
  </r>
  <r>
    <x v="0"/>
    <x v="0"/>
    <n v="2239191357"/>
    <x v="0"/>
    <n v="1200"/>
    <x v="1"/>
    <x v="0"/>
    <x v="40"/>
    <x v="0"/>
    <x v="0"/>
    <x v="0"/>
    <x v="0"/>
    <x v="0"/>
  </r>
  <r>
    <x v="0"/>
    <x v="0"/>
    <n v="2239191359"/>
    <x v="5"/>
    <n v="-3500"/>
    <x v="1"/>
    <x v="0"/>
    <x v="40"/>
    <x v="5"/>
    <x v="0"/>
    <x v="0"/>
    <x v="5"/>
    <x v="0"/>
  </r>
  <r>
    <x v="0"/>
    <x v="0"/>
    <n v="2239191359"/>
    <x v="6"/>
    <n v="10000"/>
    <x v="1"/>
    <x v="0"/>
    <x v="40"/>
    <x v="6"/>
    <x v="0"/>
    <x v="0"/>
    <x v="5"/>
    <x v="0"/>
  </r>
  <r>
    <x v="0"/>
    <x v="0"/>
    <n v="2239191360"/>
    <x v="6"/>
    <n v="5000"/>
    <x v="1"/>
    <x v="0"/>
    <x v="40"/>
    <x v="6"/>
    <x v="0"/>
    <x v="0"/>
    <x v="5"/>
    <x v="0"/>
  </r>
  <r>
    <x v="0"/>
    <x v="0"/>
    <n v="2239191361"/>
    <x v="1"/>
    <n v="900"/>
    <x v="1"/>
    <x v="0"/>
    <x v="40"/>
    <x v="1"/>
    <x v="0"/>
    <x v="0"/>
    <x v="1"/>
    <x v="0"/>
  </r>
  <r>
    <x v="0"/>
    <x v="0"/>
    <n v="2239191362"/>
    <x v="2"/>
    <n v="5500"/>
    <x v="1"/>
    <x v="0"/>
    <x v="40"/>
    <x v="2"/>
    <x v="0"/>
    <x v="0"/>
    <x v="2"/>
    <x v="0"/>
  </r>
  <r>
    <x v="0"/>
    <x v="0"/>
    <n v="2239191363"/>
    <x v="6"/>
    <n v="1000"/>
    <x v="1"/>
    <x v="0"/>
    <x v="40"/>
    <x v="6"/>
    <x v="0"/>
    <x v="0"/>
    <x v="5"/>
    <x v="0"/>
  </r>
  <r>
    <x v="0"/>
    <x v="0"/>
    <n v="2239191364"/>
    <x v="3"/>
    <n v="6600"/>
    <x v="1"/>
    <x v="0"/>
    <x v="40"/>
    <x v="3"/>
    <x v="0"/>
    <x v="0"/>
    <x v="3"/>
    <x v="0"/>
  </r>
  <r>
    <x v="0"/>
    <x v="0"/>
    <n v="2239191365"/>
    <x v="3"/>
    <n v="9845"/>
    <x v="1"/>
    <x v="0"/>
    <x v="40"/>
    <x v="3"/>
    <x v="0"/>
    <x v="0"/>
    <x v="3"/>
    <x v="0"/>
  </r>
  <r>
    <x v="0"/>
    <x v="0"/>
    <n v="2239191366"/>
    <x v="1"/>
    <n v="900"/>
    <x v="1"/>
    <x v="0"/>
    <x v="40"/>
    <x v="1"/>
    <x v="0"/>
    <x v="0"/>
    <x v="1"/>
    <x v="0"/>
  </r>
  <r>
    <x v="0"/>
    <x v="0"/>
    <n v="2239191367"/>
    <x v="2"/>
    <n v="13420"/>
    <x v="1"/>
    <x v="0"/>
    <x v="40"/>
    <x v="2"/>
    <x v="0"/>
    <x v="0"/>
    <x v="2"/>
    <x v="0"/>
  </r>
  <r>
    <x v="0"/>
    <x v="0"/>
    <n v="2239191369"/>
    <x v="2"/>
    <n v="12045"/>
    <x v="1"/>
    <x v="0"/>
    <x v="40"/>
    <x v="2"/>
    <x v="0"/>
    <x v="0"/>
    <x v="2"/>
    <x v="0"/>
  </r>
  <r>
    <x v="0"/>
    <x v="0"/>
    <n v="2239191370"/>
    <x v="3"/>
    <n v="7700"/>
    <x v="1"/>
    <x v="0"/>
    <x v="40"/>
    <x v="3"/>
    <x v="0"/>
    <x v="0"/>
    <x v="3"/>
    <x v="0"/>
  </r>
  <r>
    <x v="0"/>
    <x v="0"/>
    <n v="2239191371"/>
    <x v="2"/>
    <n v="1000"/>
    <x v="1"/>
    <x v="0"/>
    <x v="40"/>
    <x v="2"/>
    <x v="0"/>
    <x v="0"/>
    <x v="2"/>
    <x v="0"/>
  </r>
  <r>
    <x v="0"/>
    <x v="0"/>
    <n v="2239191372"/>
    <x v="3"/>
    <n v="2250"/>
    <x v="1"/>
    <x v="0"/>
    <x v="40"/>
    <x v="3"/>
    <x v="0"/>
    <x v="0"/>
    <x v="3"/>
    <x v="0"/>
  </r>
  <r>
    <x v="0"/>
    <x v="0"/>
    <n v="2239191373"/>
    <x v="2"/>
    <n v="2250"/>
    <x v="1"/>
    <x v="0"/>
    <x v="40"/>
    <x v="2"/>
    <x v="0"/>
    <x v="0"/>
    <x v="2"/>
    <x v="0"/>
  </r>
  <r>
    <x v="0"/>
    <x v="0"/>
    <n v="2239191374"/>
    <x v="3"/>
    <n v="38940"/>
    <x v="1"/>
    <x v="0"/>
    <x v="40"/>
    <x v="3"/>
    <x v="0"/>
    <x v="0"/>
    <x v="3"/>
    <x v="0"/>
  </r>
  <r>
    <x v="0"/>
    <x v="0"/>
    <n v="2239191375"/>
    <x v="2"/>
    <n v="12650"/>
    <x v="1"/>
    <x v="0"/>
    <x v="40"/>
    <x v="2"/>
    <x v="0"/>
    <x v="0"/>
    <x v="2"/>
    <x v="0"/>
  </r>
  <r>
    <x v="0"/>
    <x v="0"/>
    <n v="2239191376"/>
    <x v="1"/>
    <n v="7050"/>
    <x v="1"/>
    <x v="0"/>
    <x v="40"/>
    <x v="1"/>
    <x v="0"/>
    <x v="0"/>
    <x v="1"/>
    <x v="0"/>
  </r>
  <r>
    <x v="0"/>
    <x v="0"/>
    <n v="2239191377"/>
    <x v="2"/>
    <n v="4125"/>
    <x v="1"/>
    <x v="0"/>
    <x v="40"/>
    <x v="2"/>
    <x v="0"/>
    <x v="0"/>
    <x v="2"/>
    <x v="0"/>
  </r>
  <r>
    <x v="0"/>
    <x v="0"/>
    <n v="2239191378"/>
    <x v="2"/>
    <n v="36740"/>
    <x v="1"/>
    <x v="0"/>
    <x v="40"/>
    <x v="2"/>
    <x v="0"/>
    <x v="0"/>
    <x v="2"/>
    <x v="0"/>
  </r>
  <r>
    <x v="0"/>
    <x v="0"/>
    <n v="2239191379"/>
    <x v="1"/>
    <n v="900"/>
    <x v="1"/>
    <x v="0"/>
    <x v="40"/>
    <x v="1"/>
    <x v="0"/>
    <x v="0"/>
    <x v="1"/>
    <x v="0"/>
  </r>
  <r>
    <x v="0"/>
    <x v="0"/>
    <n v="2239191380"/>
    <x v="2"/>
    <n v="5445"/>
    <x v="1"/>
    <x v="0"/>
    <x v="40"/>
    <x v="2"/>
    <x v="0"/>
    <x v="0"/>
    <x v="2"/>
    <x v="0"/>
  </r>
  <r>
    <x v="0"/>
    <x v="0"/>
    <n v="2239191381"/>
    <x v="3"/>
    <n v="20845"/>
    <x v="1"/>
    <x v="0"/>
    <x v="40"/>
    <x v="3"/>
    <x v="0"/>
    <x v="0"/>
    <x v="3"/>
    <x v="0"/>
  </r>
  <r>
    <x v="0"/>
    <x v="0"/>
    <n v="2239191382"/>
    <x v="3"/>
    <n v="43285"/>
    <x v="1"/>
    <x v="0"/>
    <x v="40"/>
    <x v="3"/>
    <x v="0"/>
    <x v="0"/>
    <x v="3"/>
    <x v="0"/>
  </r>
  <r>
    <x v="0"/>
    <x v="0"/>
    <n v="2239191383"/>
    <x v="2"/>
    <n v="61875"/>
    <x v="1"/>
    <x v="0"/>
    <x v="40"/>
    <x v="2"/>
    <x v="0"/>
    <x v="0"/>
    <x v="2"/>
    <x v="0"/>
  </r>
  <r>
    <x v="0"/>
    <x v="0"/>
    <n v="2239191384"/>
    <x v="2"/>
    <n v="13695"/>
    <x v="1"/>
    <x v="0"/>
    <x v="40"/>
    <x v="2"/>
    <x v="0"/>
    <x v="0"/>
    <x v="2"/>
    <x v="0"/>
  </r>
  <r>
    <x v="0"/>
    <x v="0"/>
    <n v="2239191385"/>
    <x v="2"/>
    <n v="44165"/>
    <x v="1"/>
    <x v="0"/>
    <x v="40"/>
    <x v="2"/>
    <x v="0"/>
    <x v="0"/>
    <x v="2"/>
    <x v="0"/>
  </r>
  <r>
    <x v="0"/>
    <x v="0"/>
    <n v="2239191386"/>
    <x v="2"/>
    <n v="4180"/>
    <x v="1"/>
    <x v="0"/>
    <x v="40"/>
    <x v="2"/>
    <x v="0"/>
    <x v="0"/>
    <x v="2"/>
    <x v="0"/>
  </r>
  <r>
    <x v="0"/>
    <x v="0"/>
    <n v="2239191387"/>
    <x v="5"/>
    <n v="-3000"/>
    <x v="1"/>
    <x v="0"/>
    <x v="40"/>
    <x v="5"/>
    <x v="0"/>
    <x v="0"/>
    <x v="5"/>
    <x v="0"/>
  </r>
  <r>
    <x v="0"/>
    <x v="0"/>
    <n v="2239191387"/>
    <x v="6"/>
    <n v="10000"/>
    <x v="1"/>
    <x v="0"/>
    <x v="40"/>
    <x v="6"/>
    <x v="0"/>
    <x v="0"/>
    <x v="5"/>
    <x v="0"/>
  </r>
  <r>
    <x v="0"/>
    <x v="0"/>
    <n v="2239191388"/>
    <x v="2"/>
    <n v="8000"/>
    <x v="1"/>
    <x v="0"/>
    <x v="40"/>
    <x v="2"/>
    <x v="0"/>
    <x v="0"/>
    <x v="2"/>
    <x v="0"/>
  </r>
  <r>
    <x v="0"/>
    <x v="0"/>
    <n v="2239191389"/>
    <x v="2"/>
    <n v="57035"/>
    <x v="1"/>
    <x v="0"/>
    <x v="40"/>
    <x v="2"/>
    <x v="0"/>
    <x v="0"/>
    <x v="2"/>
    <x v="0"/>
  </r>
  <r>
    <x v="0"/>
    <x v="0"/>
    <n v="2239191390"/>
    <x v="3"/>
    <n v="7150"/>
    <x v="1"/>
    <x v="0"/>
    <x v="40"/>
    <x v="3"/>
    <x v="0"/>
    <x v="0"/>
    <x v="3"/>
    <x v="0"/>
  </r>
  <r>
    <x v="0"/>
    <x v="0"/>
    <n v="2239191391"/>
    <x v="2"/>
    <n v="37565"/>
    <x v="1"/>
    <x v="0"/>
    <x v="40"/>
    <x v="2"/>
    <x v="0"/>
    <x v="0"/>
    <x v="2"/>
    <x v="0"/>
  </r>
  <r>
    <x v="0"/>
    <x v="0"/>
    <n v="2239191391"/>
    <x v="7"/>
    <n v="10000"/>
    <x v="1"/>
    <x v="0"/>
    <x v="40"/>
    <x v="7"/>
    <x v="0"/>
    <x v="0"/>
    <x v="1"/>
    <x v="0"/>
  </r>
  <r>
    <x v="0"/>
    <x v="0"/>
    <n v="2239191392"/>
    <x v="5"/>
    <n v="-7000"/>
    <x v="1"/>
    <x v="0"/>
    <x v="40"/>
    <x v="5"/>
    <x v="0"/>
    <x v="0"/>
    <x v="5"/>
    <x v="0"/>
  </r>
  <r>
    <x v="0"/>
    <x v="0"/>
    <n v="2239191392"/>
    <x v="6"/>
    <n v="10000"/>
    <x v="1"/>
    <x v="0"/>
    <x v="40"/>
    <x v="6"/>
    <x v="0"/>
    <x v="0"/>
    <x v="5"/>
    <x v="0"/>
  </r>
  <r>
    <x v="0"/>
    <x v="0"/>
    <n v="2239191393"/>
    <x v="2"/>
    <n v="25190"/>
    <x v="1"/>
    <x v="0"/>
    <x v="40"/>
    <x v="2"/>
    <x v="0"/>
    <x v="0"/>
    <x v="2"/>
    <x v="0"/>
  </r>
  <r>
    <x v="0"/>
    <x v="0"/>
    <n v="2239191395"/>
    <x v="5"/>
    <n v="-17000"/>
    <x v="1"/>
    <x v="0"/>
    <x v="40"/>
    <x v="5"/>
    <x v="0"/>
    <x v="0"/>
    <x v="5"/>
    <x v="0"/>
  </r>
  <r>
    <x v="0"/>
    <x v="0"/>
    <n v="2239191395"/>
    <x v="6"/>
    <n v="20000"/>
    <x v="1"/>
    <x v="0"/>
    <x v="40"/>
    <x v="6"/>
    <x v="0"/>
    <x v="0"/>
    <x v="5"/>
    <x v="0"/>
  </r>
  <r>
    <x v="0"/>
    <x v="0"/>
    <n v="2239191396"/>
    <x v="5"/>
    <n v="-11300"/>
    <x v="1"/>
    <x v="0"/>
    <x v="40"/>
    <x v="5"/>
    <x v="0"/>
    <x v="0"/>
    <x v="5"/>
    <x v="0"/>
  </r>
  <r>
    <x v="0"/>
    <x v="0"/>
    <n v="2239191396"/>
    <x v="4"/>
    <n v="17000"/>
    <x v="1"/>
    <x v="0"/>
    <x v="40"/>
    <x v="4"/>
    <x v="0"/>
    <x v="0"/>
    <x v="4"/>
    <x v="0"/>
  </r>
  <r>
    <x v="0"/>
    <x v="0"/>
    <n v="2239191397"/>
    <x v="5"/>
    <n v="-9000"/>
    <x v="1"/>
    <x v="0"/>
    <x v="40"/>
    <x v="5"/>
    <x v="0"/>
    <x v="0"/>
    <x v="5"/>
    <x v="0"/>
  </r>
  <r>
    <x v="0"/>
    <x v="0"/>
    <n v="2239191397"/>
    <x v="6"/>
    <n v="10000"/>
    <x v="1"/>
    <x v="0"/>
    <x v="40"/>
    <x v="6"/>
    <x v="0"/>
    <x v="0"/>
    <x v="5"/>
    <x v="0"/>
  </r>
  <r>
    <x v="0"/>
    <x v="0"/>
    <n v="2239191400"/>
    <x v="2"/>
    <n v="1900"/>
    <x v="1"/>
    <x v="0"/>
    <x v="40"/>
    <x v="2"/>
    <x v="0"/>
    <x v="0"/>
    <x v="2"/>
    <x v="0"/>
  </r>
  <r>
    <x v="0"/>
    <x v="0"/>
    <n v="2239191402"/>
    <x v="6"/>
    <n v="5000"/>
    <x v="1"/>
    <x v="0"/>
    <x v="40"/>
    <x v="6"/>
    <x v="0"/>
    <x v="0"/>
    <x v="5"/>
    <x v="0"/>
  </r>
  <r>
    <x v="0"/>
    <x v="0"/>
    <n v="2239191403"/>
    <x v="2"/>
    <n v="92840"/>
    <x v="1"/>
    <x v="0"/>
    <x v="40"/>
    <x v="2"/>
    <x v="0"/>
    <x v="0"/>
    <x v="2"/>
    <x v="0"/>
  </r>
  <r>
    <x v="0"/>
    <x v="0"/>
    <n v="2239191405"/>
    <x v="2"/>
    <n v="8000"/>
    <x v="1"/>
    <x v="0"/>
    <x v="40"/>
    <x v="2"/>
    <x v="0"/>
    <x v="0"/>
    <x v="2"/>
    <x v="0"/>
  </r>
  <r>
    <x v="0"/>
    <x v="0"/>
    <n v="2239191406"/>
    <x v="2"/>
    <n v="2000"/>
    <x v="1"/>
    <x v="0"/>
    <x v="40"/>
    <x v="2"/>
    <x v="0"/>
    <x v="0"/>
    <x v="2"/>
    <x v="0"/>
  </r>
  <r>
    <x v="0"/>
    <x v="0"/>
    <n v="2239191407"/>
    <x v="6"/>
    <n v="5000"/>
    <x v="1"/>
    <x v="0"/>
    <x v="40"/>
    <x v="6"/>
    <x v="0"/>
    <x v="0"/>
    <x v="5"/>
    <x v="0"/>
  </r>
  <r>
    <x v="0"/>
    <x v="0"/>
    <n v="2239191408"/>
    <x v="3"/>
    <n v="2000"/>
    <x v="1"/>
    <x v="0"/>
    <x v="40"/>
    <x v="3"/>
    <x v="0"/>
    <x v="0"/>
    <x v="3"/>
    <x v="0"/>
  </r>
  <r>
    <x v="0"/>
    <x v="0"/>
    <n v="2239191409"/>
    <x v="2"/>
    <n v="39765"/>
    <x v="1"/>
    <x v="0"/>
    <x v="40"/>
    <x v="2"/>
    <x v="0"/>
    <x v="0"/>
    <x v="2"/>
    <x v="0"/>
  </r>
  <r>
    <x v="0"/>
    <x v="0"/>
    <n v="2239191410"/>
    <x v="6"/>
    <n v="2000"/>
    <x v="1"/>
    <x v="0"/>
    <x v="40"/>
    <x v="6"/>
    <x v="0"/>
    <x v="0"/>
    <x v="5"/>
    <x v="0"/>
  </r>
  <r>
    <x v="0"/>
    <x v="0"/>
    <n v="2239191411"/>
    <x v="2"/>
    <n v="5445"/>
    <x v="1"/>
    <x v="0"/>
    <x v="40"/>
    <x v="2"/>
    <x v="0"/>
    <x v="0"/>
    <x v="2"/>
    <x v="0"/>
  </r>
  <r>
    <x v="0"/>
    <x v="0"/>
    <n v="2239191412"/>
    <x v="1"/>
    <n v="900"/>
    <x v="1"/>
    <x v="0"/>
    <x v="40"/>
    <x v="1"/>
    <x v="0"/>
    <x v="0"/>
    <x v="1"/>
    <x v="0"/>
  </r>
  <r>
    <x v="0"/>
    <x v="0"/>
    <n v="2239191413"/>
    <x v="5"/>
    <n v="-3100"/>
    <x v="1"/>
    <x v="0"/>
    <x v="40"/>
    <x v="5"/>
    <x v="0"/>
    <x v="0"/>
    <x v="5"/>
    <x v="0"/>
  </r>
  <r>
    <x v="0"/>
    <x v="0"/>
    <n v="2239191413"/>
    <x v="6"/>
    <n v="15000"/>
    <x v="1"/>
    <x v="0"/>
    <x v="40"/>
    <x v="6"/>
    <x v="0"/>
    <x v="0"/>
    <x v="5"/>
    <x v="0"/>
  </r>
  <r>
    <x v="0"/>
    <x v="0"/>
    <n v="2239191415"/>
    <x v="1"/>
    <n v="2400"/>
    <x v="1"/>
    <x v="0"/>
    <x v="40"/>
    <x v="1"/>
    <x v="0"/>
    <x v="0"/>
    <x v="1"/>
    <x v="0"/>
  </r>
  <r>
    <x v="0"/>
    <x v="0"/>
    <n v="2239191416"/>
    <x v="2"/>
    <n v="6000"/>
    <x v="1"/>
    <x v="0"/>
    <x v="40"/>
    <x v="2"/>
    <x v="0"/>
    <x v="0"/>
    <x v="2"/>
    <x v="0"/>
  </r>
  <r>
    <x v="0"/>
    <x v="0"/>
    <n v="2239191417"/>
    <x v="2"/>
    <n v="27940"/>
    <x v="1"/>
    <x v="0"/>
    <x v="40"/>
    <x v="2"/>
    <x v="0"/>
    <x v="0"/>
    <x v="2"/>
    <x v="0"/>
  </r>
  <r>
    <x v="0"/>
    <x v="0"/>
    <n v="2239191418"/>
    <x v="5"/>
    <n v="-100"/>
    <x v="1"/>
    <x v="0"/>
    <x v="40"/>
    <x v="5"/>
    <x v="0"/>
    <x v="0"/>
    <x v="5"/>
    <x v="0"/>
  </r>
  <r>
    <x v="0"/>
    <x v="0"/>
    <n v="2239191418"/>
    <x v="4"/>
    <n v="4500"/>
    <x v="1"/>
    <x v="0"/>
    <x v="40"/>
    <x v="4"/>
    <x v="0"/>
    <x v="0"/>
    <x v="4"/>
    <x v="0"/>
  </r>
  <r>
    <x v="0"/>
    <x v="0"/>
    <n v="2239191419"/>
    <x v="6"/>
    <n v="3500"/>
    <x v="1"/>
    <x v="0"/>
    <x v="40"/>
    <x v="6"/>
    <x v="0"/>
    <x v="0"/>
    <x v="5"/>
    <x v="0"/>
  </r>
  <r>
    <x v="0"/>
    <x v="0"/>
    <n v="2239191420"/>
    <x v="5"/>
    <n v="-1680"/>
    <x v="1"/>
    <x v="0"/>
    <x v="40"/>
    <x v="5"/>
    <x v="0"/>
    <x v="0"/>
    <x v="5"/>
    <x v="0"/>
  </r>
  <r>
    <x v="0"/>
    <x v="0"/>
    <n v="2239191420"/>
    <x v="6"/>
    <n v="20000"/>
    <x v="1"/>
    <x v="0"/>
    <x v="40"/>
    <x v="6"/>
    <x v="0"/>
    <x v="0"/>
    <x v="5"/>
    <x v="0"/>
  </r>
  <r>
    <x v="0"/>
    <x v="0"/>
    <n v="2239191420"/>
    <x v="7"/>
    <n v="2600"/>
    <x v="1"/>
    <x v="0"/>
    <x v="40"/>
    <x v="7"/>
    <x v="0"/>
    <x v="0"/>
    <x v="1"/>
    <x v="0"/>
  </r>
  <r>
    <x v="0"/>
    <x v="0"/>
    <n v="2239191421"/>
    <x v="2"/>
    <n v="22550"/>
    <x v="1"/>
    <x v="0"/>
    <x v="40"/>
    <x v="2"/>
    <x v="0"/>
    <x v="0"/>
    <x v="2"/>
    <x v="0"/>
  </r>
  <r>
    <x v="0"/>
    <x v="0"/>
    <n v="2239191422"/>
    <x v="8"/>
    <n v="7150"/>
    <x v="1"/>
    <x v="0"/>
    <x v="40"/>
    <x v="8"/>
    <x v="0"/>
    <x v="0"/>
    <x v="3"/>
    <x v="0"/>
  </r>
  <r>
    <x v="0"/>
    <x v="0"/>
    <n v="2239191423"/>
    <x v="2"/>
    <n v="4000"/>
    <x v="1"/>
    <x v="0"/>
    <x v="40"/>
    <x v="2"/>
    <x v="0"/>
    <x v="0"/>
    <x v="2"/>
    <x v="0"/>
  </r>
  <r>
    <x v="0"/>
    <x v="0"/>
    <n v="2239191424"/>
    <x v="1"/>
    <n v="2850"/>
    <x v="1"/>
    <x v="0"/>
    <x v="40"/>
    <x v="1"/>
    <x v="0"/>
    <x v="0"/>
    <x v="1"/>
    <x v="0"/>
  </r>
  <r>
    <x v="0"/>
    <x v="0"/>
    <n v="2239191426"/>
    <x v="2"/>
    <n v="9900"/>
    <x v="1"/>
    <x v="0"/>
    <x v="40"/>
    <x v="2"/>
    <x v="0"/>
    <x v="0"/>
    <x v="2"/>
    <x v="0"/>
  </r>
  <r>
    <x v="0"/>
    <x v="0"/>
    <n v="2239191427"/>
    <x v="3"/>
    <n v="9000"/>
    <x v="1"/>
    <x v="0"/>
    <x v="40"/>
    <x v="3"/>
    <x v="0"/>
    <x v="0"/>
    <x v="3"/>
    <x v="0"/>
  </r>
  <r>
    <x v="0"/>
    <x v="0"/>
    <n v="2239191428"/>
    <x v="2"/>
    <n v="41470"/>
    <x v="1"/>
    <x v="0"/>
    <x v="40"/>
    <x v="2"/>
    <x v="0"/>
    <x v="0"/>
    <x v="2"/>
    <x v="0"/>
  </r>
  <r>
    <x v="0"/>
    <x v="0"/>
    <n v="2239191430"/>
    <x v="5"/>
    <n v="-4000"/>
    <x v="1"/>
    <x v="0"/>
    <x v="40"/>
    <x v="5"/>
    <x v="0"/>
    <x v="0"/>
    <x v="5"/>
    <x v="0"/>
  </r>
  <r>
    <x v="0"/>
    <x v="0"/>
    <n v="2239191430"/>
    <x v="6"/>
    <n v="25000"/>
    <x v="1"/>
    <x v="0"/>
    <x v="40"/>
    <x v="6"/>
    <x v="0"/>
    <x v="0"/>
    <x v="5"/>
    <x v="0"/>
  </r>
  <r>
    <x v="0"/>
    <x v="0"/>
    <n v="2239191431"/>
    <x v="5"/>
    <n v="-5600"/>
    <x v="1"/>
    <x v="0"/>
    <x v="40"/>
    <x v="5"/>
    <x v="0"/>
    <x v="0"/>
    <x v="5"/>
    <x v="0"/>
  </r>
  <r>
    <x v="0"/>
    <x v="0"/>
    <n v="2239191431"/>
    <x v="4"/>
    <n v="10000"/>
    <x v="1"/>
    <x v="0"/>
    <x v="40"/>
    <x v="4"/>
    <x v="0"/>
    <x v="0"/>
    <x v="4"/>
    <x v="0"/>
  </r>
  <r>
    <x v="0"/>
    <x v="0"/>
    <n v="2239191432"/>
    <x v="2"/>
    <n v="27500"/>
    <x v="1"/>
    <x v="0"/>
    <x v="40"/>
    <x v="2"/>
    <x v="0"/>
    <x v="0"/>
    <x v="2"/>
    <x v="0"/>
  </r>
  <r>
    <x v="0"/>
    <x v="0"/>
    <n v="2239191433"/>
    <x v="5"/>
    <n v="-15000"/>
    <x v="1"/>
    <x v="0"/>
    <x v="40"/>
    <x v="5"/>
    <x v="0"/>
    <x v="0"/>
    <x v="5"/>
    <x v="0"/>
  </r>
  <r>
    <x v="0"/>
    <x v="0"/>
    <n v="2239191433"/>
    <x v="4"/>
    <n v="20700"/>
    <x v="1"/>
    <x v="0"/>
    <x v="40"/>
    <x v="4"/>
    <x v="0"/>
    <x v="0"/>
    <x v="4"/>
    <x v="0"/>
  </r>
  <r>
    <x v="0"/>
    <x v="0"/>
    <n v="2239191434"/>
    <x v="3"/>
    <n v="8000"/>
    <x v="1"/>
    <x v="0"/>
    <x v="40"/>
    <x v="3"/>
    <x v="0"/>
    <x v="0"/>
    <x v="3"/>
    <x v="0"/>
  </r>
  <r>
    <x v="0"/>
    <x v="0"/>
    <n v="2239191435"/>
    <x v="2"/>
    <n v="13640"/>
    <x v="1"/>
    <x v="0"/>
    <x v="40"/>
    <x v="2"/>
    <x v="0"/>
    <x v="0"/>
    <x v="2"/>
    <x v="0"/>
  </r>
  <r>
    <x v="0"/>
    <x v="0"/>
    <n v="2239191436"/>
    <x v="2"/>
    <n v="49500"/>
    <x v="1"/>
    <x v="0"/>
    <x v="40"/>
    <x v="2"/>
    <x v="0"/>
    <x v="0"/>
    <x v="2"/>
    <x v="0"/>
  </r>
  <r>
    <x v="0"/>
    <x v="0"/>
    <n v="2239191436"/>
    <x v="7"/>
    <n v="2850"/>
    <x v="1"/>
    <x v="0"/>
    <x v="40"/>
    <x v="7"/>
    <x v="0"/>
    <x v="0"/>
    <x v="1"/>
    <x v="0"/>
  </r>
  <r>
    <x v="0"/>
    <x v="0"/>
    <n v="2239191437"/>
    <x v="2"/>
    <n v="41690"/>
    <x v="1"/>
    <x v="0"/>
    <x v="40"/>
    <x v="2"/>
    <x v="0"/>
    <x v="0"/>
    <x v="2"/>
    <x v="0"/>
  </r>
  <r>
    <x v="0"/>
    <x v="0"/>
    <n v="2239191438"/>
    <x v="5"/>
    <n v="-450"/>
    <x v="1"/>
    <x v="0"/>
    <x v="40"/>
    <x v="5"/>
    <x v="0"/>
    <x v="0"/>
    <x v="5"/>
    <x v="0"/>
  </r>
  <r>
    <x v="0"/>
    <x v="0"/>
    <n v="2239191438"/>
    <x v="6"/>
    <n v="5000"/>
    <x v="1"/>
    <x v="0"/>
    <x v="40"/>
    <x v="6"/>
    <x v="0"/>
    <x v="0"/>
    <x v="5"/>
    <x v="0"/>
  </r>
  <r>
    <x v="0"/>
    <x v="0"/>
    <n v="2239191438"/>
    <x v="7"/>
    <n v="1950"/>
    <x v="1"/>
    <x v="0"/>
    <x v="40"/>
    <x v="7"/>
    <x v="0"/>
    <x v="0"/>
    <x v="1"/>
    <x v="0"/>
  </r>
  <r>
    <x v="0"/>
    <x v="0"/>
    <n v="2239191439"/>
    <x v="1"/>
    <n v="2040"/>
    <x v="1"/>
    <x v="0"/>
    <x v="40"/>
    <x v="1"/>
    <x v="0"/>
    <x v="0"/>
    <x v="1"/>
    <x v="0"/>
  </r>
  <r>
    <x v="0"/>
    <x v="0"/>
    <n v="2239191440"/>
    <x v="2"/>
    <n v="18040"/>
    <x v="1"/>
    <x v="0"/>
    <x v="40"/>
    <x v="2"/>
    <x v="0"/>
    <x v="0"/>
    <x v="2"/>
    <x v="0"/>
  </r>
  <r>
    <x v="0"/>
    <x v="0"/>
    <n v="2239191441"/>
    <x v="5"/>
    <n v="-2400"/>
    <x v="1"/>
    <x v="0"/>
    <x v="40"/>
    <x v="5"/>
    <x v="0"/>
    <x v="0"/>
    <x v="5"/>
    <x v="0"/>
  </r>
  <r>
    <x v="0"/>
    <x v="0"/>
    <n v="2239191441"/>
    <x v="6"/>
    <n v="10000"/>
    <x v="1"/>
    <x v="0"/>
    <x v="40"/>
    <x v="6"/>
    <x v="0"/>
    <x v="0"/>
    <x v="5"/>
    <x v="0"/>
  </r>
  <r>
    <x v="0"/>
    <x v="0"/>
    <n v="2239191443"/>
    <x v="5"/>
    <n v="-19300"/>
    <x v="1"/>
    <x v="0"/>
    <x v="40"/>
    <x v="5"/>
    <x v="0"/>
    <x v="0"/>
    <x v="5"/>
    <x v="0"/>
  </r>
  <r>
    <x v="0"/>
    <x v="0"/>
    <n v="2239191443"/>
    <x v="4"/>
    <n v="25000"/>
    <x v="1"/>
    <x v="0"/>
    <x v="40"/>
    <x v="4"/>
    <x v="0"/>
    <x v="0"/>
    <x v="4"/>
    <x v="0"/>
  </r>
  <r>
    <x v="0"/>
    <x v="0"/>
    <n v="2239191444"/>
    <x v="2"/>
    <n v="11550"/>
    <x v="1"/>
    <x v="0"/>
    <x v="40"/>
    <x v="2"/>
    <x v="0"/>
    <x v="0"/>
    <x v="2"/>
    <x v="0"/>
  </r>
  <r>
    <x v="0"/>
    <x v="0"/>
    <n v="2239191445"/>
    <x v="5"/>
    <n v="-600"/>
    <x v="1"/>
    <x v="0"/>
    <x v="40"/>
    <x v="5"/>
    <x v="0"/>
    <x v="0"/>
    <x v="5"/>
    <x v="0"/>
  </r>
  <r>
    <x v="0"/>
    <x v="0"/>
    <n v="2239191445"/>
    <x v="4"/>
    <n v="5000"/>
    <x v="1"/>
    <x v="0"/>
    <x v="40"/>
    <x v="4"/>
    <x v="0"/>
    <x v="0"/>
    <x v="4"/>
    <x v="0"/>
  </r>
  <r>
    <x v="0"/>
    <x v="0"/>
    <n v="2239191446"/>
    <x v="2"/>
    <n v="6000"/>
    <x v="1"/>
    <x v="0"/>
    <x v="40"/>
    <x v="2"/>
    <x v="0"/>
    <x v="0"/>
    <x v="2"/>
    <x v="0"/>
  </r>
  <r>
    <x v="0"/>
    <x v="0"/>
    <n v="2239191447"/>
    <x v="2"/>
    <n v="31790"/>
    <x v="1"/>
    <x v="0"/>
    <x v="40"/>
    <x v="2"/>
    <x v="0"/>
    <x v="0"/>
    <x v="2"/>
    <x v="0"/>
  </r>
  <r>
    <x v="0"/>
    <x v="0"/>
    <n v="2239191448"/>
    <x v="5"/>
    <n v="-2500"/>
    <x v="1"/>
    <x v="0"/>
    <x v="40"/>
    <x v="5"/>
    <x v="0"/>
    <x v="0"/>
    <x v="5"/>
    <x v="0"/>
  </r>
  <r>
    <x v="0"/>
    <x v="0"/>
    <n v="2239191448"/>
    <x v="6"/>
    <n v="10000"/>
    <x v="1"/>
    <x v="0"/>
    <x v="40"/>
    <x v="6"/>
    <x v="0"/>
    <x v="0"/>
    <x v="5"/>
    <x v="0"/>
  </r>
  <r>
    <x v="0"/>
    <x v="0"/>
    <n v="2239191449"/>
    <x v="2"/>
    <n v="4000"/>
    <x v="1"/>
    <x v="0"/>
    <x v="40"/>
    <x v="2"/>
    <x v="0"/>
    <x v="0"/>
    <x v="2"/>
    <x v="0"/>
  </r>
  <r>
    <x v="0"/>
    <x v="0"/>
    <n v="2239191451"/>
    <x v="5"/>
    <n v="-8600"/>
    <x v="1"/>
    <x v="0"/>
    <x v="40"/>
    <x v="5"/>
    <x v="0"/>
    <x v="0"/>
    <x v="5"/>
    <x v="0"/>
  </r>
  <r>
    <x v="0"/>
    <x v="0"/>
    <n v="2239191451"/>
    <x v="6"/>
    <n v="40000"/>
    <x v="1"/>
    <x v="0"/>
    <x v="40"/>
    <x v="6"/>
    <x v="0"/>
    <x v="0"/>
    <x v="5"/>
    <x v="0"/>
  </r>
  <r>
    <x v="0"/>
    <x v="0"/>
    <n v="2239191452"/>
    <x v="2"/>
    <n v="8000"/>
    <x v="1"/>
    <x v="0"/>
    <x v="40"/>
    <x v="2"/>
    <x v="0"/>
    <x v="0"/>
    <x v="2"/>
    <x v="0"/>
  </r>
  <r>
    <x v="0"/>
    <x v="0"/>
    <n v="2239191453"/>
    <x v="6"/>
    <n v="10000"/>
    <x v="1"/>
    <x v="0"/>
    <x v="40"/>
    <x v="6"/>
    <x v="0"/>
    <x v="0"/>
    <x v="5"/>
    <x v="0"/>
  </r>
  <r>
    <x v="0"/>
    <x v="0"/>
    <n v="2239191454"/>
    <x v="5"/>
    <n v="-4000"/>
    <x v="1"/>
    <x v="0"/>
    <x v="40"/>
    <x v="5"/>
    <x v="0"/>
    <x v="0"/>
    <x v="5"/>
    <x v="0"/>
  </r>
  <r>
    <x v="0"/>
    <x v="0"/>
    <n v="2239191454"/>
    <x v="6"/>
    <n v="10000"/>
    <x v="1"/>
    <x v="0"/>
    <x v="40"/>
    <x v="6"/>
    <x v="0"/>
    <x v="0"/>
    <x v="5"/>
    <x v="0"/>
  </r>
  <r>
    <x v="0"/>
    <x v="0"/>
    <n v="2239191455"/>
    <x v="2"/>
    <n v="53790"/>
    <x v="1"/>
    <x v="0"/>
    <x v="40"/>
    <x v="2"/>
    <x v="0"/>
    <x v="0"/>
    <x v="2"/>
    <x v="0"/>
  </r>
  <r>
    <x v="0"/>
    <x v="0"/>
    <n v="2239191456"/>
    <x v="5"/>
    <n v="-500"/>
    <x v="1"/>
    <x v="0"/>
    <x v="40"/>
    <x v="5"/>
    <x v="0"/>
    <x v="0"/>
    <x v="5"/>
    <x v="0"/>
  </r>
  <r>
    <x v="0"/>
    <x v="0"/>
    <n v="2239191456"/>
    <x v="6"/>
    <n v="4000"/>
    <x v="1"/>
    <x v="0"/>
    <x v="40"/>
    <x v="6"/>
    <x v="0"/>
    <x v="0"/>
    <x v="5"/>
    <x v="0"/>
  </r>
  <r>
    <x v="0"/>
    <x v="0"/>
    <n v="2239191457"/>
    <x v="5"/>
    <n v="-14400"/>
    <x v="1"/>
    <x v="0"/>
    <x v="40"/>
    <x v="5"/>
    <x v="0"/>
    <x v="0"/>
    <x v="5"/>
    <x v="0"/>
  </r>
  <r>
    <x v="0"/>
    <x v="0"/>
    <n v="2239191457"/>
    <x v="4"/>
    <n v="20000"/>
    <x v="1"/>
    <x v="0"/>
    <x v="40"/>
    <x v="4"/>
    <x v="0"/>
    <x v="0"/>
    <x v="4"/>
    <x v="0"/>
  </r>
  <r>
    <x v="0"/>
    <x v="0"/>
    <n v="2239191458"/>
    <x v="3"/>
    <n v="5200"/>
    <x v="1"/>
    <x v="0"/>
    <x v="40"/>
    <x v="3"/>
    <x v="0"/>
    <x v="0"/>
    <x v="3"/>
    <x v="0"/>
  </r>
  <r>
    <x v="0"/>
    <x v="0"/>
    <n v="2239191458"/>
    <x v="7"/>
    <n v="1300"/>
    <x v="1"/>
    <x v="0"/>
    <x v="40"/>
    <x v="7"/>
    <x v="0"/>
    <x v="0"/>
    <x v="1"/>
    <x v="0"/>
  </r>
  <r>
    <x v="0"/>
    <x v="0"/>
    <n v="2239191459"/>
    <x v="2"/>
    <n v="10500"/>
    <x v="1"/>
    <x v="0"/>
    <x v="40"/>
    <x v="2"/>
    <x v="0"/>
    <x v="0"/>
    <x v="2"/>
    <x v="0"/>
  </r>
  <r>
    <x v="0"/>
    <x v="0"/>
    <n v="2239191460"/>
    <x v="2"/>
    <n v="7500"/>
    <x v="1"/>
    <x v="0"/>
    <x v="40"/>
    <x v="2"/>
    <x v="0"/>
    <x v="0"/>
    <x v="2"/>
    <x v="0"/>
  </r>
  <r>
    <x v="0"/>
    <x v="0"/>
    <n v="2239191461"/>
    <x v="2"/>
    <n v="4950"/>
    <x v="1"/>
    <x v="0"/>
    <x v="40"/>
    <x v="2"/>
    <x v="0"/>
    <x v="0"/>
    <x v="2"/>
    <x v="0"/>
  </r>
  <r>
    <x v="0"/>
    <x v="0"/>
    <n v="2239191462"/>
    <x v="8"/>
    <n v="13750"/>
    <x v="1"/>
    <x v="0"/>
    <x v="40"/>
    <x v="8"/>
    <x v="0"/>
    <x v="0"/>
    <x v="3"/>
    <x v="0"/>
  </r>
  <r>
    <x v="0"/>
    <x v="0"/>
    <n v="2239191463"/>
    <x v="2"/>
    <n v="6500"/>
    <x v="1"/>
    <x v="0"/>
    <x v="40"/>
    <x v="2"/>
    <x v="0"/>
    <x v="0"/>
    <x v="2"/>
    <x v="0"/>
  </r>
  <r>
    <x v="0"/>
    <x v="0"/>
    <n v="2239191465"/>
    <x v="5"/>
    <n v="-2500"/>
    <x v="1"/>
    <x v="0"/>
    <x v="40"/>
    <x v="5"/>
    <x v="0"/>
    <x v="0"/>
    <x v="5"/>
    <x v="0"/>
  </r>
  <r>
    <x v="0"/>
    <x v="0"/>
    <n v="2239191465"/>
    <x v="6"/>
    <n v="10000"/>
    <x v="1"/>
    <x v="0"/>
    <x v="40"/>
    <x v="6"/>
    <x v="0"/>
    <x v="0"/>
    <x v="5"/>
    <x v="0"/>
  </r>
  <r>
    <x v="0"/>
    <x v="0"/>
    <n v="2239191466"/>
    <x v="5"/>
    <n v="-6000"/>
    <x v="1"/>
    <x v="0"/>
    <x v="40"/>
    <x v="5"/>
    <x v="0"/>
    <x v="0"/>
    <x v="5"/>
    <x v="0"/>
  </r>
  <r>
    <x v="0"/>
    <x v="0"/>
    <n v="2239191466"/>
    <x v="6"/>
    <n v="10000"/>
    <x v="1"/>
    <x v="0"/>
    <x v="40"/>
    <x v="6"/>
    <x v="0"/>
    <x v="0"/>
    <x v="5"/>
    <x v="0"/>
  </r>
  <r>
    <x v="0"/>
    <x v="0"/>
    <n v="2239191467"/>
    <x v="1"/>
    <n v="900"/>
    <x v="1"/>
    <x v="0"/>
    <x v="40"/>
    <x v="1"/>
    <x v="0"/>
    <x v="0"/>
    <x v="1"/>
    <x v="0"/>
  </r>
  <r>
    <x v="0"/>
    <x v="0"/>
    <n v="2239191468"/>
    <x v="2"/>
    <n v="9500"/>
    <x v="1"/>
    <x v="0"/>
    <x v="40"/>
    <x v="2"/>
    <x v="0"/>
    <x v="0"/>
    <x v="2"/>
    <x v="0"/>
  </r>
  <r>
    <x v="0"/>
    <x v="0"/>
    <n v="2239191469"/>
    <x v="5"/>
    <n v="-520"/>
    <x v="1"/>
    <x v="0"/>
    <x v="40"/>
    <x v="5"/>
    <x v="0"/>
    <x v="0"/>
    <x v="5"/>
    <x v="0"/>
  </r>
  <r>
    <x v="0"/>
    <x v="0"/>
    <n v="2239191469"/>
    <x v="6"/>
    <n v="10000"/>
    <x v="1"/>
    <x v="0"/>
    <x v="40"/>
    <x v="6"/>
    <x v="0"/>
    <x v="0"/>
    <x v="5"/>
    <x v="0"/>
  </r>
  <r>
    <x v="0"/>
    <x v="0"/>
    <n v="2239191471"/>
    <x v="2"/>
    <n v="18700"/>
    <x v="1"/>
    <x v="0"/>
    <x v="40"/>
    <x v="2"/>
    <x v="0"/>
    <x v="0"/>
    <x v="2"/>
    <x v="0"/>
  </r>
  <r>
    <x v="0"/>
    <x v="0"/>
    <n v="2239191472"/>
    <x v="2"/>
    <n v="6500"/>
    <x v="1"/>
    <x v="0"/>
    <x v="40"/>
    <x v="2"/>
    <x v="0"/>
    <x v="0"/>
    <x v="2"/>
    <x v="0"/>
  </r>
  <r>
    <x v="0"/>
    <x v="0"/>
    <n v="2239191474"/>
    <x v="2"/>
    <n v="7500"/>
    <x v="1"/>
    <x v="0"/>
    <x v="40"/>
    <x v="2"/>
    <x v="0"/>
    <x v="0"/>
    <x v="2"/>
    <x v="0"/>
  </r>
  <r>
    <x v="0"/>
    <x v="0"/>
    <n v="2239191475"/>
    <x v="5"/>
    <n v="-2100"/>
    <x v="1"/>
    <x v="0"/>
    <x v="40"/>
    <x v="5"/>
    <x v="0"/>
    <x v="0"/>
    <x v="5"/>
    <x v="0"/>
  </r>
  <r>
    <x v="0"/>
    <x v="0"/>
    <n v="2239191475"/>
    <x v="6"/>
    <n v="20000"/>
    <x v="1"/>
    <x v="0"/>
    <x v="40"/>
    <x v="6"/>
    <x v="0"/>
    <x v="0"/>
    <x v="5"/>
    <x v="0"/>
  </r>
  <r>
    <x v="0"/>
    <x v="0"/>
    <n v="2239191476"/>
    <x v="2"/>
    <n v="19140"/>
    <x v="1"/>
    <x v="0"/>
    <x v="40"/>
    <x v="2"/>
    <x v="0"/>
    <x v="0"/>
    <x v="2"/>
    <x v="0"/>
  </r>
  <r>
    <x v="0"/>
    <x v="0"/>
    <n v="2239191477"/>
    <x v="6"/>
    <n v="62940"/>
    <x v="1"/>
    <x v="0"/>
    <x v="40"/>
    <x v="6"/>
    <x v="0"/>
    <x v="0"/>
    <x v="5"/>
    <x v="0"/>
  </r>
  <r>
    <x v="0"/>
    <x v="0"/>
    <n v="2239191478"/>
    <x v="2"/>
    <n v="8250"/>
    <x v="1"/>
    <x v="0"/>
    <x v="40"/>
    <x v="2"/>
    <x v="0"/>
    <x v="0"/>
    <x v="2"/>
    <x v="0"/>
  </r>
  <r>
    <x v="0"/>
    <x v="0"/>
    <n v="2239191479"/>
    <x v="2"/>
    <n v="6500"/>
    <x v="1"/>
    <x v="0"/>
    <x v="40"/>
    <x v="2"/>
    <x v="0"/>
    <x v="0"/>
    <x v="2"/>
    <x v="0"/>
  </r>
  <r>
    <x v="0"/>
    <x v="0"/>
    <n v="2239191482"/>
    <x v="2"/>
    <n v="18700"/>
    <x v="1"/>
    <x v="0"/>
    <x v="40"/>
    <x v="2"/>
    <x v="0"/>
    <x v="0"/>
    <x v="2"/>
    <x v="0"/>
  </r>
  <r>
    <x v="0"/>
    <x v="0"/>
    <n v="2239191483"/>
    <x v="3"/>
    <n v="5200"/>
    <x v="1"/>
    <x v="0"/>
    <x v="40"/>
    <x v="3"/>
    <x v="0"/>
    <x v="0"/>
    <x v="3"/>
    <x v="0"/>
  </r>
  <r>
    <x v="0"/>
    <x v="0"/>
    <n v="2239191483"/>
    <x v="7"/>
    <n v="1300"/>
    <x v="1"/>
    <x v="0"/>
    <x v="40"/>
    <x v="7"/>
    <x v="0"/>
    <x v="0"/>
    <x v="1"/>
    <x v="0"/>
  </r>
  <r>
    <x v="0"/>
    <x v="0"/>
    <n v="2239191484"/>
    <x v="1"/>
    <n v="25700"/>
    <x v="1"/>
    <x v="0"/>
    <x v="40"/>
    <x v="1"/>
    <x v="0"/>
    <x v="0"/>
    <x v="1"/>
    <x v="0"/>
  </r>
  <r>
    <x v="0"/>
    <x v="0"/>
    <n v="2239191485"/>
    <x v="3"/>
    <n v="8000"/>
    <x v="1"/>
    <x v="0"/>
    <x v="40"/>
    <x v="3"/>
    <x v="0"/>
    <x v="0"/>
    <x v="3"/>
    <x v="0"/>
  </r>
  <r>
    <x v="0"/>
    <x v="0"/>
    <n v="2239191487"/>
    <x v="2"/>
    <n v="7150"/>
    <x v="1"/>
    <x v="0"/>
    <x v="40"/>
    <x v="2"/>
    <x v="0"/>
    <x v="0"/>
    <x v="2"/>
    <x v="0"/>
  </r>
  <r>
    <x v="0"/>
    <x v="0"/>
    <n v="2239191488"/>
    <x v="2"/>
    <n v="8690"/>
    <x v="1"/>
    <x v="0"/>
    <x v="40"/>
    <x v="2"/>
    <x v="0"/>
    <x v="0"/>
    <x v="2"/>
    <x v="0"/>
  </r>
  <r>
    <x v="0"/>
    <x v="0"/>
    <n v="2239191489"/>
    <x v="6"/>
    <n v="3000"/>
    <x v="1"/>
    <x v="0"/>
    <x v="40"/>
    <x v="6"/>
    <x v="0"/>
    <x v="0"/>
    <x v="5"/>
    <x v="0"/>
  </r>
  <r>
    <x v="0"/>
    <x v="0"/>
    <n v="2239191490"/>
    <x v="5"/>
    <n v="-7800"/>
    <x v="1"/>
    <x v="0"/>
    <x v="40"/>
    <x v="5"/>
    <x v="0"/>
    <x v="0"/>
    <x v="5"/>
    <x v="0"/>
  </r>
  <r>
    <x v="0"/>
    <x v="0"/>
    <n v="2239191490"/>
    <x v="6"/>
    <n v="20000"/>
    <x v="1"/>
    <x v="0"/>
    <x v="40"/>
    <x v="6"/>
    <x v="0"/>
    <x v="0"/>
    <x v="5"/>
    <x v="0"/>
  </r>
  <r>
    <x v="0"/>
    <x v="0"/>
    <n v="2239191492"/>
    <x v="2"/>
    <n v="3000"/>
    <x v="1"/>
    <x v="0"/>
    <x v="40"/>
    <x v="2"/>
    <x v="0"/>
    <x v="0"/>
    <x v="2"/>
    <x v="0"/>
  </r>
  <r>
    <x v="0"/>
    <x v="0"/>
    <n v="2239191493"/>
    <x v="2"/>
    <n v="6600"/>
    <x v="1"/>
    <x v="0"/>
    <x v="40"/>
    <x v="2"/>
    <x v="0"/>
    <x v="0"/>
    <x v="2"/>
    <x v="0"/>
  </r>
  <r>
    <x v="0"/>
    <x v="0"/>
    <n v="2239191494"/>
    <x v="5"/>
    <n v="-4400"/>
    <x v="1"/>
    <x v="0"/>
    <x v="40"/>
    <x v="5"/>
    <x v="0"/>
    <x v="0"/>
    <x v="5"/>
    <x v="0"/>
  </r>
  <r>
    <x v="0"/>
    <x v="0"/>
    <n v="2239191494"/>
    <x v="4"/>
    <n v="10000"/>
    <x v="1"/>
    <x v="0"/>
    <x v="40"/>
    <x v="4"/>
    <x v="0"/>
    <x v="0"/>
    <x v="4"/>
    <x v="0"/>
  </r>
  <r>
    <x v="0"/>
    <x v="0"/>
    <n v="2239191495"/>
    <x v="5"/>
    <n v="-18500"/>
    <x v="1"/>
    <x v="0"/>
    <x v="40"/>
    <x v="5"/>
    <x v="0"/>
    <x v="0"/>
    <x v="5"/>
    <x v="0"/>
  </r>
  <r>
    <x v="0"/>
    <x v="0"/>
    <n v="2239191495"/>
    <x v="6"/>
    <n v="25000"/>
    <x v="1"/>
    <x v="0"/>
    <x v="40"/>
    <x v="6"/>
    <x v="0"/>
    <x v="0"/>
    <x v="5"/>
    <x v="0"/>
  </r>
  <r>
    <x v="0"/>
    <x v="0"/>
    <n v="2239191496"/>
    <x v="2"/>
    <n v="22500"/>
    <x v="1"/>
    <x v="0"/>
    <x v="40"/>
    <x v="2"/>
    <x v="0"/>
    <x v="0"/>
    <x v="2"/>
    <x v="0"/>
  </r>
  <r>
    <x v="0"/>
    <x v="0"/>
    <n v="2239191497"/>
    <x v="2"/>
    <n v="35090"/>
    <x v="1"/>
    <x v="0"/>
    <x v="40"/>
    <x v="2"/>
    <x v="0"/>
    <x v="0"/>
    <x v="2"/>
    <x v="0"/>
  </r>
  <r>
    <x v="0"/>
    <x v="0"/>
    <n v="2239191498"/>
    <x v="2"/>
    <n v="3000"/>
    <x v="1"/>
    <x v="0"/>
    <x v="40"/>
    <x v="2"/>
    <x v="0"/>
    <x v="0"/>
    <x v="2"/>
    <x v="0"/>
  </r>
  <r>
    <x v="0"/>
    <x v="0"/>
    <n v="2239191499"/>
    <x v="5"/>
    <n v="-5360"/>
    <x v="1"/>
    <x v="0"/>
    <x v="40"/>
    <x v="5"/>
    <x v="0"/>
    <x v="0"/>
    <x v="5"/>
    <x v="0"/>
  </r>
  <r>
    <x v="0"/>
    <x v="0"/>
    <n v="2239191499"/>
    <x v="6"/>
    <n v="30000"/>
    <x v="1"/>
    <x v="0"/>
    <x v="40"/>
    <x v="6"/>
    <x v="0"/>
    <x v="0"/>
    <x v="5"/>
    <x v="0"/>
  </r>
  <r>
    <x v="0"/>
    <x v="0"/>
    <n v="2239191500"/>
    <x v="2"/>
    <n v="24955"/>
    <x v="1"/>
    <x v="0"/>
    <x v="40"/>
    <x v="2"/>
    <x v="0"/>
    <x v="0"/>
    <x v="2"/>
    <x v="0"/>
  </r>
  <r>
    <x v="0"/>
    <x v="0"/>
    <n v="2239191501"/>
    <x v="5"/>
    <n v="-2070"/>
    <x v="1"/>
    <x v="0"/>
    <x v="40"/>
    <x v="5"/>
    <x v="0"/>
    <x v="0"/>
    <x v="5"/>
    <x v="0"/>
  </r>
  <r>
    <x v="0"/>
    <x v="0"/>
    <n v="2239191501"/>
    <x v="6"/>
    <n v="10000"/>
    <x v="1"/>
    <x v="0"/>
    <x v="40"/>
    <x v="6"/>
    <x v="0"/>
    <x v="0"/>
    <x v="5"/>
    <x v="0"/>
  </r>
  <r>
    <x v="0"/>
    <x v="0"/>
    <n v="2239191501"/>
    <x v="2"/>
    <n v="10450"/>
    <x v="1"/>
    <x v="0"/>
    <x v="40"/>
    <x v="2"/>
    <x v="0"/>
    <x v="0"/>
    <x v="2"/>
    <x v="0"/>
  </r>
  <r>
    <x v="0"/>
    <x v="0"/>
    <n v="2239191502"/>
    <x v="1"/>
    <n v="900"/>
    <x v="1"/>
    <x v="0"/>
    <x v="40"/>
    <x v="1"/>
    <x v="0"/>
    <x v="0"/>
    <x v="1"/>
    <x v="0"/>
  </r>
  <r>
    <x v="0"/>
    <x v="0"/>
    <n v="2239191503"/>
    <x v="5"/>
    <n v="-200"/>
    <x v="1"/>
    <x v="0"/>
    <x v="40"/>
    <x v="5"/>
    <x v="0"/>
    <x v="0"/>
    <x v="5"/>
    <x v="0"/>
  </r>
  <r>
    <x v="0"/>
    <x v="0"/>
    <n v="2239191503"/>
    <x v="6"/>
    <n v="2000"/>
    <x v="1"/>
    <x v="0"/>
    <x v="40"/>
    <x v="6"/>
    <x v="0"/>
    <x v="0"/>
    <x v="5"/>
    <x v="0"/>
  </r>
  <r>
    <x v="0"/>
    <x v="0"/>
    <n v="2239191505"/>
    <x v="4"/>
    <n v="5600"/>
    <x v="1"/>
    <x v="0"/>
    <x v="40"/>
    <x v="4"/>
    <x v="0"/>
    <x v="0"/>
    <x v="4"/>
    <x v="0"/>
  </r>
  <r>
    <x v="0"/>
    <x v="0"/>
    <n v="2239191506"/>
    <x v="5"/>
    <n v="-2360"/>
    <x v="1"/>
    <x v="0"/>
    <x v="40"/>
    <x v="5"/>
    <x v="0"/>
    <x v="0"/>
    <x v="5"/>
    <x v="0"/>
  </r>
  <r>
    <x v="0"/>
    <x v="0"/>
    <n v="2239191506"/>
    <x v="6"/>
    <n v="20000"/>
    <x v="1"/>
    <x v="0"/>
    <x v="40"/>
    <x v="6"/>
    <x v="0"/>
    <x v="0"/>
    <x v="5"/>
    <x v="0"/>
  </r>
  <r>
    <x v="0"/>
    <x v="0"/>
    <n v="2239191506"/>
    <x v="7"/>
    <n v="8720"/>
    <x v="1"/>
    <x v="0"/>
    <x v="40"/>
    <x v="7"/>
    <x v="0"/>
    <x v="0"/>
    <x v="1"/>
    <x v="0"/>
  </r>
  <r>
    <x v="0"/>
    <x v="0"/>
    <n v="2239191507"/>
    <x v="6"/>
    <n v="8500"/>
    <x v="1"/>
    <x v="0"/>
    <x v="40"/>
    <x v="6"/>
    <x v="0"/>
    <x v="0"/>
    <x v="5"/>
    <x v="0"/>
  </r>
  <r>
    <x v="0"/>
    <x v="0"/>
    <n v="2239191507"/>
    <x v="2"/>
    <n v="6500"/>
    <x v="1"/>
    <x v="0"/>
    <x v="40"/>
    <x v="2"/>
    <x v="0"/>
    <x v="0"/>
    <x v="2"/>
    <x v="0"/>
  </r>
  <r>
    <x v="0"/>
    <x v="0"/>
    <n v="2239191508"/>
    <x v="1"/>
    <n v="1140"/>
    <x v="1"/>
    <x v="0"/>
    <x v="40"/>
    <x v="1"/>
    <x v="0"/>
    <x v="0"/>
    <x v="1"/>
    <x v="0"/>
  </r>
  <r>
    <x v="0"/>
    <x v="0"/>
    <n v="2239191509"/>
    <x v="5"/>
    <n v="-9500"/>
    <x v="1"/>
    <x v="0"/>
    <x v="40"/>
    <x v="5"/>
    <x v="0"/>
    <x v="0"/>
    <x v="5"/>
    <x v="0"/>
  </r>
  <r>
    <x v="0"/>
    <x v="0"/>
    <n v="2239191509"/>
    <x v="6"/>
    <n v="50000"/>
    <x v="1"/>
    <x v="0"/>
    <x v="40"/>
    <x v="6"/>
    <x v="0"/>
    <x v="0"/>
    <x v="5"/>
    <x v="0"/>
  </r>
  <r>
    <x v="0"/>
    <x v="0"/>
    <n v="2239191511"/>
    <x v="5"/>
    <n v="-5600"/>
    <x v="1"/>
    <x v="0"/>
    <x v="40"/>
    <x v="5"/>
    <x v="0"/>
    <x v="0"/>
    <x v="5"/>
    <x v="0"/>
  </r>
  <r>
    <x v="0"/>
    <x v="0"/>
    <n v="2239191511"/>
    <x v="4"/>
    <n v="10000"/>
    <x v="1"/>
    <x v="0"/>
    <x v="40"/>
    <x v="4"/>
    <x v="0"/>
    <x v="0"/>
    <x v="4"/>
    <x v="0"/>
  </r>
  <r>
    <x v="0"/>
    <x v="0"/>
    <n v="2239191512"/>
    <x v="2"/>
    <n v="13000"/>
    <x v="1"/>
    <x v="0"/>
    <x v="40"/>
    <x v="2"/>
    <x v="0"/>
    <x v="0"/>
    <x v="2"/>
    <x v="0"/>
  </r>
  <r>
    <x v="0"/>
    <x v="0"/>
    <n v="2239191513"/>
    <x v="5"/>
    <n v="-700"/>
    <x v="1"/>
    <x v="0"/>
    <x v="40"/>
    <x v="5"/>
    <x v="0"/>
    <x v="0"/>
    <x v="5"/>
    <x v="0"/>
  </r>
  <r>
    <x v="0"/>
    <x v="0"/>
    <n v="2239191513"/>
    <x v="6"/>
    <n v="25000"/>
    <x v="1"/>
    <x v="0"/>
    <x v="40"/>
    <x v="6"/>
    <x v="0"/>
    <x v="0"/>
    <x v="5"/>
    <x v="0"/>
  </r>
  <r>
    <x v="0"/>
    <x v="0"/>
    <n v="2239191514"/>
    <x v="1"/>
    <n v="15300"/>
    <x v="1"/>
    <x v="0"/>
    <x v="40"/>
    <x v="1"/>
    <x v="0"/>
    <x v="0"/>
    <x v="1"/>
    <x v="0"/>
  </r>
  <r>
    <x v="0"/>
    <x v="0"/>
    <n v="2239191515"/>
    <x v="1"/>
    <n v="900"/>
    <x v="1"/>
    <x v="0"/>
    <x v="40"/>
    <x v="1"/>
    <x v="0"/>
    <x v="0"/>
    <x v="1"/>
    <x v="0"/>
  </r>
  <r>
    <x v="0"/>
    <x v="0"/>
    <n v="2239191516"/>
    <x v="1"/>
    <n v="3150"/>
    <x v="1"/>
    <x v="0"/>
    <x v="40"/>
    <x v="1"/>
    <x v="0"/>
    <x v="0"/>
    <x v="1"/>
    <x v="0"/>
  </r>
  <r>
    <x v="0"/>
    <x v="0"/>
    <n v="2239191517"/>
    <x v="1"/>
    <n v="11400"/>
    <x v="1"/>
    <x v="0"/>
    <x v="40"/>
    <x v="1"/>
    <x v="0"/>
    <x v="0"/>
    <x v="1"/>
    <x v="0"/>
  </r>
  <r>
    <x v="0"/>
    <x v="0"/>
    <n v="2239191518"/>
    <x v="5"/>
    <n v="-400"/>
    <x v="1"/>
    <x v="0"/>
    <x v="40"/>
    <x v="5"/>
    <x v="0"/>
    <x v="0"/>
    <x v="5"/>
    <x v="0"/>
  </r>
  <r>
    <x v="0"/>
    <x v="0"/>
    <n v="2239191518"/>
    <x v="6"/>
    <n v="2000"/>
    <x v="1"/>
    <x v="0"/>
    <x v="40"/>
    <x v="6"/>
    <x v="0"/>
    <x v="0"/>
    <x v="5"/>
    <x v="0"/>
  </r>
  <r>
    <x v="0"/>
    <x v="0"/>
    <n v="2239191519"/>
    <x v="1"/>
    <n v="2700"/>
    <x v="1"/>
    <x v="0"/>
    <x v="40"/>
    <x v="1"/>
    <x v="0"/>
    <x v="0"/>
    <x v="1"/>
    <x v="0"/>
  </r>
  <r>
    <x v="0"/>
    <x v="0"/>
    <n v="2239191520"/>
    <x v="1"/>
    <n v="1800"/>
    <x v="1"/>
    <x v="0"/>
    <x v="40"/>
    <x v="1"/>
    <x v="0"/>
    <x v="0"/>
    <x v="1"/>
    <x v="0"/>
  </r>
  <r>
    <x v="0"/>
    <x v="0"/>
    <n v="2239191521"/>
    <x v="1"/>
    <n v="3750"/>
    <x v="1"/>
    <x v="0"/>
    <x v="40"/>
    <x v="1"/>
    <x v="0"/>
    <x v="0"/>
    <x v="1"/>
    <x v="0"/>
  </r>
  <r>
    <x v="0"/>
    <x v="0"/>
    <n v="2239191522"/>
    <x v="1"/>
    <n v="15810"/>
    <x v="1"/>
    <x v="0"/>
    <x v="40"/>
    <x v="1"/>
    <x v="0"/>
    <x v="0"/>
    <x v="1"/>
    <x v="0"/>
  </r>
  <r>
    <x v="0"/>
    <x v="0"/>
    <n v="2239191523"/>
    <x v="1"/>
    <n v="19320"/>
    <x v="1"/>
    <x v="0"/>
    <x v="40"/>
    <x v="1"/>
    <x v="0"/>
    <x v="0"/>
    <x v="1"/>
    <x v="0"/>
  </r>
  <r>
    <x v="0"/>
    <x v="0"/>
    <n v="2239191524"/>
    <x v="1"/>
    <n v="8040"/>
    <x v="1"/>
    <x v="0"/>
    <x v="40"/>
    <x v="1"/>
    <x v="0"/>
    <x v="0"/>
    <x v="1"/>
    <x v="0"/>
  </r>
  <r>
    <x v="0"/>
    <x v="0"/>
    <n v="2239191525"/>
    <x v="0"/>
    <n v="2400"/>
    <x v="1"/>
    <x v="0"/>
    <x v="40"/>
    <x v="0"/>
    <x v="0"/>
    <x v="0"/>
    <x v="0"/>
    <x v="0"/>
  </r>
  <r>
    <x v="0"/>
    <x v="0"/>
    <n v="2239196652"/>
    <x v="1"/>
    <n v="10200"/>
    <x v="1"/>
    <x v="0"/>
    <x v="41"/>
    <x v="1"/>
    <x v="0"/>
    <x v="0"/>
    <x v="1"/>
    <x v="0"/>
  </r>
  <r>
    <x v="0"/>
    <x v="0"/>
    <n v="2239196653"/>
    <x v="1"/>
    <n v="7950"/>
    <x v="1"/>
    <x v="0"/>
    <x v="41"/>
    <x v="1"/>
    <x v="0"/>
    <x v="0"/>
    <x v="1"/>
    <x v="0"/>
  </r>
  <r>
    <x v="0"/>
    <x v="0"/>
    <n v="2239196654"/>
    <x v="1"/>
    <n v="9570"/>
    <x v="1"/>
    <x v="0"/>
    <x v="41"/>
    <x v="1"/>
    <x v="0"/>
    <x v="0"/>
    <x v="1"/>
    <x v="0"/>
  </r>
  <r>
    <x v="0"/>
    <x v="0"/>
    <n v="2239196655"/>
    <x v="1"/>
    <n v="15600"/>
    <x v="1"/>
    <x v="0"/>
    <x v="41"/>
    <x v="1"/>
    <x v="0"/>
    <x v="0"/>
    <x v="1"/>
    <x v="0"/>
  </r>
  <r>
    <x v="0"/>
    <x v="0"/>
    <n v="2239196656"/>
    <x v="1"/>
    <n v="2250"/>
    <x v="1"/>
    <x v="0"/>
    <x v="41"/>
    <x v="1"/>
    <x v="0"/>
    <x v="0"/>
    <x v="1"/>
    <x v="0"/>
  </r>
  <r>
    <x v="0"/>
    <x v="0"/>
    <n v="2239196657"/>
    <x v="1"/>
    <n v="36420"/>
    <x v="1"/>
    <x v="0"/>
    <x v="41"/>
    <x v="1"/>
    <x v="0"/>
    <x v="0"/>
    <x v="1"/>
    <x v="0"/>
  </r>
  <r>
    <x v="0"/>
    <x v="0"/>
    <n v="2239196658"/>
    <x v="1"/>
    <n v="39360"/>
    <x v="1"/>
    <x v="0"/>
    <x v="41"/>
    <x v="1"/>
    <x v="0"/>
    <x v="0"/>
    <x v="1"/>
    <x v="0"/>
  </r>
  <r>
    <x v="0"/>
    <x v="0"/>
    <n v="2239196659"/>
    <x v="1"/>
    <n v="15450"/>
    <x v="1"/>
    <x v="0"/>
    <x v="41"/>
    <x v="1"/>
    <x v="0"/>
    <x v="0"/>
    <x v="1"/>
    <x v="0"/>
  </r>
  <r>
    <x v="0"/>
    <x v="0"/>
    <n v="2239196660"/>
    <x v="1"/>
    <n v="2700"/>
    <x v="1"/>
    <x v="0"/>
    <x v="41"/>
    <x v="1"/>
    <x v="0"/>
    <x v="0"/>
    <x v="1"/>
    <x v="0"/>
  </r>
  <r>
    <x v="0"/>
    <x v="0"/>
    <n v="2239196661"/>
    <x v="1"/>
    <n v="25280"/>
    <x v="1"/>
    <x v="0"/>
    <x v="41"/>
    <x v="1"/>
    <x v="0"/>
    <x v="0"/>
    <x v="1"/>
    <x v="0"/>
  </r>
  <r>
    <x v="0"/>
    <x v="0"/>
    <n v="2239196662"/>
    <x v="1"/>
    <n v="2400"/>
    <x v="1"/>
    <x v="0"/>
    <x v="41"/>
    <x v="1"/>
    <x v="0"/>
    <x v="0"/>
    <x v="1"/>
    <x v="0"/>
  </r>
  <r>
    <x v="0"/>
    <x v="0"/>
    <n v="2239196664"/>
    <x v="1"/>
    <n v="6500"/>
    <x v="1"/>
    <x v="0"/>
    <x v="41"/>
    <x v="1"/>
    <x v="0"/>
    <x v="0"/>
    <x v="1"/>
    <x v="0"/>
  </r>
  <r>
    <x v="0"/>
    <x v="0"/>
    <n v="2239196665"/>
    <x v="1"/>
    <n v="3000"/>
    <x v="1"/>
    <x v="0"/>
    <x v="41"/>
    <x v="1"/>
    <x v="0"/>
    <x v="0"/>
    <x v="1"/>
    <x v="0"/>
  </r>
  <r>
    <x v="0"/>
    <x v="0"/>
    <n v="2239196666"/>
    <x v="1"/>
    <n v="1140"/>
    <x v="1"/>
    <x v="0"/>
    <x v="41"/>
    <x v="1"/>
    <x v="0"/>
    <x v="0"/>
    <x v="1"/>
    <x v="0"/>
  </r>
  <r>
    <x v="0"/>
    <x v="0"/>
    <n v="2239196667"/>
    <x v="1"/>
    <n v="6000"/>
    <x v="1"/>
    <x v="0"/>
    <x v="41"/>
    <x v="1"/>
    <x v="0"/>
    <x v="0"/>
    <x v="1"/>
    <x v="0"/>
  </r>
  <r>
    <x v="0"/>
    <x v="0"/>
    <n v="2239196668"/>
    <x v="1"/>
    <n v="1440"/>
    <x v="1"/>
    <x v="0"/>
    <x v="41"/>
    <x v="1"/>
    <x v="0"/>
    <x v="0"/>
    <x v="1"/>
    <x v="0"/>
  </r>
  <r>
    <x v="0"/>
    <x v="0"/>
    <n v="2239196669"/>
    <x v="1"/>
    <n v="2400"/>
    <x v="1"/>
    <x v="0"/>
    <x v="41"/>
    <x v="1"/>
    <x v="0"/>
    <x v="0"/>
    <x v="1"/>
    <x v="0"/>
  </r>
  <r>
    <x v="0"/>
    <x v="0"/>
    <n v="2239196670"/>
    <x v="1"/>
    <n v="2040"/>
    <x v="1"/>
    <x v="0"/>
    <x v="41"/>
    <x v="1"/>
    <x v="0"/>
    <x v="0"/>
    <x v="1"/>
    <x v="0"/>
  </r>
  <r>
    <x v="0"/>
    <x v="0"/>
    <n v="2239196672"/>
    <x v="1"/>
    <n v="1140"/>
    <x v="1"/>
    <x v="0"/>
    <x v="41"/>
    <x v="1"/>
    <x v="0"/>
    <x v="0"/>
    <x v="1"/>
    <x v="0"/>
  </r>
  <r>
    <x v="0"/>
    <x v="0"/>
    <n v="2239196673"/>
    <x v="1"/>
    <n v="1140"/>
    <x v="1"/>
    <x v="0"/>
    <x v="41"/>
    <x v="1"/>
    <x v="0"/>
    <x v="0"/>
    <x v="1"/>
    <x v="0"/>
  </r>
  <r>
    <x v="0"/>
    <x v="0"/>
    <n v="2239196674"/>
    <x v="1"/>
    <n v="2040"/>
    <x v="1"/>
    <x v="0"/>
    <x v="41"/>
    <x v="1"/>
    <x v="0"/>
    <x v="0"/>
    <x v="1"/>
    <x v="0"/>
  </r>
  <r>
    <x v="0"/>
    <x v="0"/>
    <n v="2239196675"/>
    <x v="1"/>
    <n v="2340"/>
    <x v="1"/>
    <x v="0"/>
    <x v="41"/>
    <x v="1"/>
    <x v="0"/>
    <x v="0"/>
    <x v="1"/>
    <x v="0"/>
  </r>
  <r>
    <x v="0"/>
    <x v="0"/>
    <n v="2239196676"/>
    <x v="1"/>
    <n v="2850"/>
    <x v="1"/>
    <x v="0"/>
    <x v="41"/>
    <x v="1"/>
    <x v="0"/>
    <x v="0"/>
    <x v="1"/>
    <x v="0"/>
  </r>
  <r>
    <x v="0"/>
    <x v="0"/>
    <n v="2239196677"/>
    <x v="1"/>
    <n v="27840"/>
    <x v="1"/>
    <x v="0"/>
    <x v="41"/>
    <x v="1"/>
    <x v="0"/>
    <x v="0"/>
    <x v="1"/>
    <x v="0"/>
  </r>
  <r>
    <x v="0"/>
    <x v="0"/>
    <n v="2239196678"/>
    <x v="1"/>
    <n v="4500"/>
    <x v="1"/>
    <x v="0"/>
    <x v="41"/>
    <x v="1"/>
    <x v="0"/>
    <x v="0"/>
    <x v="1"/>
    <x v="0"/>
  </r>
  <r>
    <x v="0"/>
    <x v="0"/>
    <n v="2239196679"/>
    <x v="1"/>
    <n v="29870"/>
    <x v="1"/>
    <x v="0"/>
    <x v="41"/>
    <x v="1"/>
    <x v="0"/>
    <x v="0"/>
    <x v="1"/>
    <x v="0"/>
  </r>
  <r>
    <x v="0"/>
    <x v="0"/>
    <n v="2239196680"/>
    <x v="1"/>
    <n v="5850"/>
    <x v="1"/>
    <x v="0"/>
    <x v="41"/>
    <x v="1"/>
    <x v="0"/>
    <x v="0"/>
    <x v="1"/>
    <x v="0"/>
  </r>
  <r>
    <x v="0"/>
    <x v="0"/>
    <n v="2239196681"/>
    <x v="1"/>
    <n v="49500"/>
    <x v="1"/>
    <x v="0"/>
    <x v="41"/>
    <x v="1"/>
    <x v="0"/>
    <x v="0"/>
    <x v="1"/>
    <x v="0"/>
  </r>
  <r>
    <x v="0"/>
    <x v="0"/>
    <n v="2239196682"/>
    <x v="1"/>
    <n v="32520"/>
    <x v="1"/>
    <x v="0"/>
    <x v="41"/>
    <x v="1"/>
    <x v="0"/>
    <x v="0"/>
    <x v="1"/>
    <x v="0"/>
  </r>
  <r>
    <x v="0"/>
    <x v="0"/>
    <n v="2239196683"/>
    <x v="1"/>
    <n v="12550"/>
    <x v="1"/>
    <x v="0"/>
    <x v="41"/>
    <x v="1"/>
    <x v="0"/>
    <x v="0"/>
    <x v="1"/>
    <x v="0"/>
  </r>
  <r>
    <x v="0"/>
    <x v="0"/>
    <n v="2239196684"/>
    <x v="1"/>
    <n v="89670"/>
    <x v="1"/>
    <x v="0"/>
    <x v="41"/>
    <x v="1"/>
    <x v="0"/>
    <x v="0"/>
    <x v="1"/>
    <x v="0"/>
  </r>
  <r>
    <x v="0"/>
    <x v="0"/>
    <n v="2239196685"/>
    <x v="1"/>
    <n v="14950"/>
    <x v="1"/>
    <x v="0"/>
    <x v="41"/>
    <x v="1"/>
    <x v="0"/>
    <x v="0"/>
    <x v="1"/>
    <x v="0"/>
  </r>
  <r>
    <x v="0"/>
    <x v="0"/>
    <n v="2239196686"/>
    <x v="1"/>
    <n v="900"/>
    <x v="1"/>
    <x v="0"/>
    <x v="41"/>
    <x v="1"/>
    <x v="0"/>
    <x v="0"/>
    <x v="1"/>
    <x v="0"/>
  </r>
  <r>
    <x v="0"/>
    <x v="0"/>
    <n v="2239196687"/>
    <x v="1"/>
    <n v="91610"/>
    <x v="1"/>
    <x v="0"/>
    <x v="41"/>
    <x v="1"/>
    <x v="0"/>
    <x v="0"/>
    <x v="1"/>
    <x v="0"/>
  </r>
  <r>
    <x v="0"/>
    <x v="0"/>
    <n v="2239196688"/>
    <x v="1"/>
    <n v="20300"/>
    <x v="1"/>
    <x v="0"/>
    <x v="41"/>
    <x v="1"/>
    <x v="0"/>
    <x v="0"/>
    <x v="1"/>
    <x v="0"/>
  </r>
  <r>
    <x v="0"/>
    <x v="0"/>
    <n v="2239196689"/>
    <x v="1"/>
    <n v="32820"/>
    <x v="1"/>
    <x v="0"/>
    <x v="41"/>
    <x v="1"/>
    <x v="0"/>
    <x v="0"/>
    <x v="1"/>
    <x v="0"/>
  </r>
  <r>
    <x v="0"/>
    <x v="0"/>
    <n v="2239196690"/>
    <x v="1"/>
    <n v="2400"/>
    <x v="1"/>
    <x v="0"/>
    <x v="41"/>
    <x v="1"/>
    <x v="0"/>
    <x v="0"/>
    <x v="1"/>
    <x v="0"/>
  </r>
  <r>
    <x v="0"/>
    <x v="0"/>
    <n v="2239196691"/>
    <x v="1"/>
    <n v="63650"/>
    <x v="1"/>
    <x v="0"/>
    <x v="41"/>
    <x v="1"/>
    <x v="0"/>
    <x v="0"/>
    <x v="1"/>
    <x v="0"/>
  </r>
  <r>
    <x v="0"/>
    <x v="0"/>
    <n v="2239196692"/>
    <x v="1"/>
    <n v="5400"/>
    <x v="1"/>
    <x v="0"/>
    <x v="41"/>
    <x v="1"/>
    <x v="0"/>
    <x v="0"/>
    <x v="1"/>
    <x v="0"/>
  </r>
  <r>
    <x v="0"/>
    <x v="0"/>
    <n v="2239196693"/>
    <x v="1"/>
    <n v="2100"/>
    <x v="1"/>
    <x v="0"/>
    <x v="41"/>
    <x v="1"/>
    <x v="0"/>
    <x v="0"/>
    <x v="1"/>
    <x v="0"/>
  </r>
  <r>
    <x v="0"/>
    <x v="0"/>
    <n v="2239196694"/>
    <x v="1"/>
    <n v="20370"/>
    <x v="1"/>
    <x v="0"/>
    <x v="41"/>
    <x v="1"/>
    <x v="0"/>
    <x v="0"/>
    <x v="1"/>
    <x v="0"/>
  </r>
  <r>
    <x v="0"/>
    <x v="0"/>
    <n v="2239196695"/>
    <x v="1"/>
    <n v="2340"/>
    <x v="1"/>
    <x v="0"/>
    <x v="41"/>
    <x v="1"/>
    <x v="0"/>
    <x v="0"/>
    <x v="1"/>
    <x v="0"/>
  </r>
  <r>
    <x v="0"/>
    <x v="0"/>
    <n v="2239196696"/>
    <x v="1"/>
    <n v="34520"/>
    <x v="1"/>
    <x v="0"/>
    <x v="41"/>
    <x v="1"/>
    <x v="0"/>
    <x v="0"/>
    <x v="1"/>
    <x v="0"/>
  </r>
  <r>
    <x v="0"/>
    <x v="0"/>
    <n v="2239196697"/>
    <x v="1"/>
    <n v="3840"/>
    <x v="1"/>
    <x v="0"/>
    <x v="41"/>
    <x v="1"/>
    <x v="0"/>
    <x v="0"/>
    <x v="1"/>
    <x v="0"/>
  </r>
  <r>
    <x v="0"/>
    <x v="0"/>
    <n v="2239196698"/>
    <x v="1"/>
    <n v="900"/>
    <x v="1"/>
    <x v="0"/>
    <x v="41"/>
    <x v="1"/>
    <x v="0"/>
    <x v="0"/>
    <x v="1"/>
    <x v="0"/>
  </r>
  <r>
    <x v="0"/>
    <x v="0"/>
    <n v="2239196699"/>
    <x v="1"/>
    <n v="68670"/>
    <x v="1"/>
    <x v="0"/>
    <x v="41"/>
    <x v="1"/>
    <x v="0"/>
    <x v="0"/>
    <x v="1"/>
    <x v="0"/>
  </r>
  <r>
    <x v="0"/>
    <x v="0"/>
    <n v="2239196700"/>
    <x v="1"/>
    <n v="2250"/>
    <x v="1"/>
    <x v="0"/>
    <x v="41"/>
    <x v="1"/>
    <x v="0"/>
    <x v="0"/>
    <x v="1"/>
    <x v="0"/>
  </r>
  <r>
    <x v="0"/>
    <x v="0"/>
    <n v="2239196703"/>
    <x v="1"/>
    <n v="4140"/>
    <x v="1"/>
    <x v="0"/>
    <x v="41"/>
    <x v="1"/>
    <x v="0"/>
    <x v="0"/>
    <x v="1"/>
    <x v="0"/>
  </r>
  <r>
    <x v="0"/>
    <x v="0"/>
    <n v="2239196705"/>
    <x v="2"/>
    <n v="24618"/>
    <x v="1"/>
    <x v="0"/>
    <x v="41"/>
    <x v="2"/>
    <x v="0"/>
    <x v="0"/>
    <x v="2"/>
    <x v="0"/>
  </r>
  <r>
    <x v="0"/>
    <x v="0"/>
    <n v="2239196706"/>
    <x v="1"/>
    <n v="5370"/>
    <x v="1"/>
    <x v="0"/>
    <x v="41"/>
    <x v="1"/>
    <x v="0"/>
    <x v="0"/>
    <x v="1"/>
    <x v="0"/>
  </r>
  <r>
    <x v="0"/>
    <x v="0"/>
    <n v="2239196707"/>
    <x v="2"/>
    <n v="15268"/>
    <x v="1"/>
    <x v="0"/>
    <x v="41"/>
    <x v="2"/>
    <x v="0"/>
    <x v="0"/>
    <x v="2"/>
    <x v="0"/>
  </r>
  <r>
    <x v="0"/>
    <x v="0"/>
    <n v="2239196708"/>
    <x v="5"/>
    <n v="-7120"/>
    <x v="1"/>
    <x v="0"/>
    <x v="41"/>
    <x v="5"/>
    <x v="0"/>
    <x v="0"/>
    <x v="5"/>
    <x v="0"/>
  </r>
  <r>
    <x v="0"/>
    <x v="0"/>
    <n v="2239196708"/>
    <x v="6"/>
    <n v="20000"/>
    <x v="1"/>
    <x v="0"/>
    <x v="41"/>
    <x v="6"/>
    <x v="0"/>
    <x v="0"/>
    <x v="5"/>
    <x v="0"/>
  </r>
  <r>
    <x v="0"/>
    <x v="0"/>
    <n v="2239196709"/>
    <x v="6"/>
    <n v="6000"/>
    <x v="1"/>
    <x v="0"/>
    <x v="41"/>
    <x v="6"/>
    <x v="0"/>
    <x v="0"/>
    <x v="5"/>
    <x v="0"/>
  </r>
  <r>
    <x v="0"/>
    <x v="0"/>
    <n v="2239196710"/>
    <x v="5"/>
    <n v="-2000"/>
    <x v="1"/>
    <x v="0"/>
    <x v="41"/>
    <x v="5"/>
    <x v="0"/>
    <x v="0"/>
    <x v="5"/>
    <x v="0"/>
  </r>
  <r>
    <x v="0"/>
    <x v="0"/>
    <n v="2239196710"/>
    <x v="6"/>
    <n v="20000"/>
    <x v="1"/>
    <x v="0"/>
    <x v="41"/>
    <x v="6"/>
    <x v="0"/>
    <x v="0"/>
    <x v="5"/>
    <x v="0"/>
  </r>
  <r>
    <x v="0"/>
    <x v="0"/>
    <n v="2239196713"/>
    <x v="5"/>
    <n v="-6950"/>
    <x v="1"/>
    <x v="0"/>
    <x v="41"/>
    <x v="5"/>
    <x v="0"/>
    <x v="0"/>
    <x v="5"/>
    <x v="0"/>
  </r>
  <r>
    <x v="0"/>
    <x v="0"/>
    <n v="2239196713"/>
    <x v="6"/>
    <n v="40000"/>
    <x v="1"/>
    <x v="0"/>
    <x v="41"/>
    <x v="6"/>
    <x v="0"/>
    <x v="0"/>
    <x v="5"/>
    <x v="0"/>
  </r>
  <r>
    <x v="0"/>
    <x v="0"/>
    <n v="2239196714"/>
    <x v="1"/>
    <n v="10440"/>
    <x v="1"/>
    <x v="0"/>
    <x v="41"/>
    <x v="1"/>
    <x v="0"/>
    <x v="0"/>
    <x v="1"/>
    <x v="0"/>
  </r>
  <r>
    <x v="0"/>
    <x v="0"/>
    <n v="2239196715"/>
    <x v="5"/>
    <n v="-10100"/>
    <x v="1"/>
    <x v="0"/>
    <x v="41"/>
    <x v="5"/>
    <x v="0"/>
    <x v="0"/>
    <x v="5"/>
    <x v="0"/>
  </r>
  <r>
    <x v="0"/>
    <x v="0"/>
    <n v="2239196715"/>
    <x v="6"/>
    <n v="20000"/>
    <x v="1"/>
    <x v="0"/>
    <x v="41"/>
    <x v="6"/>
    <x v="0"/>
    <x v="0"/>
    <x v="5"/>
    <x v="0"/>
  </r>
  <r>
    <x v="0"/>
    <x v="0"/>
    <n v="2239196716"/>
    <x v="5"/>
    <n v="-3000"/>
    <x v="1"/>
    <x v="0"/>
    <x v="41"/>
    <x v="5"/>
    <x v="0"/>
    <x v="0"/>
    <x v="5"/>
    <x v="0"/>
  </r>
  <r>
    <x v="0"/>
    <x v="0"/>
    <n v="2239196716"/>
    <x v="6"/>
    <n v="10000"/>
    <x v="1"/>
    <x v="0"/>
    <x v="41"/>
    <x v="6"/>
    <x v="0"/>
    <x v="0"/>
    <x v="5"/>
    <x v="0"/>
  </r>
  <r>
    <x v="0"/>
    <x v="0"/>
    <n v="2239196717"/>
    <x v="5"/>
    <n v="-5100"/>
    <x v="1"/>
    <x v="0"/>
    <x v="41"/>
    <x v="5"/>
    <x v="0"/>
    <x v="0"/>
    <x v="5"/>
    <x v="0"/>
  </r>
  <r>
    <x v="0"/>
    <x v="0"/>
    <n v="2239196717"/>
    <x v="6"/>
    <n v="10000"/>
    <x v="1"/>
    <x v="0"/>
    <x v="41"/>
    <x v="6"/>
    <x v="0"/>
    <x v="0"/>
    <x v="5"/>
    <x v="0"/>
  </r>
  <r>
    <x v="0"/>
    <x v="0"/>
    <n v="2239196718"/>
    <x v="1"/>
    <n v="12090"/>
    <x v="1"/>
    <x v="0"/>
    <x v="41"/>
    <x v="1"/>
    <x v="0"/>
    <x v="0"/>
    <x v="1"/>
    <x v="0"/>
  </r>
  <r>
    <x v="0"/>
    <x v="0"/>
    <n v="2239196719"/>
    <x v="2"/>
    <n v="4250"/>
    <x v="1"/>
    <x v="0"/>
    <x v="41"/>
    <x v="2"/>
    <x v="0"/>
    <x v="0"/>
    <x v="2"/>
    <x v="0"/>
  </r>
  <r>
    <x v="0"/>
    <x v="0"/>
    <n v="2239196719"/>
    <x v="7"/>
    <n v="4250"/>
    <x v="1"/>
    <x v="0"/>
    <x v="41"/>
    <x v="7"/>
    <x v="0"/>
    <x v="0"/>
    <x v="1"/>
    <x v="0"/>
  </r>
  <r>
    <x v="0"/>
    <x v="0"/>
    <n v="2239196720"/>
    <x v="5"/>
    <n v="-200"/>
    <x v="1"/>
    <x v="0"/>
    <x v="41"/>
    <x v="5"/>
    <x v="0"/>
    <x v="0"/>
    <x v="5"/>
    <x v="0"/>
  </r>
  <r>
    <x v="0"/>
    <x v="0"/>
    <n v="2239196720"/>
    <x v="4"/>
    <n v="5500"/>
    <x v="1"/>
    <x v="0"/>
    <x v="41"/>
    <x v="4"/>
    <x v="0"/>
    <x v="0"/>
    <x v="4"/>
    <x v="0"/>
  </r>
  <r>
    <x v="0"/>
    <x v="0"/>
    <n v="2239196721"/>
    <x v="1"/>
    <n v="23450"/>
    <x v="1"/>
    <x v="0"/>
    <x v="41"/>
    <x v="1"/>
    <x v="0"/>
    <x v="0"/>
    <x v="1"/>
    <x v="0"/>
  </r>
  <r>
    <x v="0"/>
    <x v="0"/>
    <n v="2239196723"/>
    <x v="3"/>
    <n v="12800"/>
    <x v="1"/>
    <x v="0"/>
    <x v="41"/>
    <x v="3"/>
    <x v="0"/>
    <x v="0"/>
    <x v="3"/>
    <x v="0"/>
  </r>
  <r>
    <x v="0"/>
    <x v="0"/>
    <n v="2239196724"/>
    <x v="2"/>
    <n v="14520"/>
    <x v="1"/>
    <x v="0"/>
    <x v="41"/>
    <x v="2"/>
    <x v="0"/>
    <x v="0"/>
    <x v="2"/>
    <x v="0"/>
  </r>
  <r>
    <x v="0"/>
    <x v="0"/>
    <n v="2239196725"/>
    <x v="1"/>
    <n v="6300"/>
    <x v="1"/>
    <x v="0"/>
    <x v="41"/>
    <x v="1"/>
    <x v="0"/>
    <x v="0"/>
    <x v="1"/>
    <x v="0"/>
  </r>
  <r>
    <x v="0"/>
    <x v="0"/>
    <n v="2239196726"/>
    <x v="5"/>
    <n v="-4350"/>
    <x v="1"/>
    <x v="0"/>
    <x v="41"/>
    <x v="5"/>
    <x v="0"/>
    <x v="0"/>
    <x v="5"/>
    <x v="0"/>
  </r>
  <r>
    <x v="0"/>
    <x v="0"/>
    <n v="2239196726"/>
    <x v="6"/>
    <n v="20000"/>
    <x v="1"/>
    <x v="0"/>
    <x v="41"/>
    <x v="6"/>
    <x v="0"/>
    <x v="0"/>
    <x v="5"/>
    <x v="0"/>
  </r>
  <r>
    <x v="0"/>
    <x v="0"/>
    <n v="2239196727"/>
    <x v="1"/>
    <n v="2190"/>
    <x v="1"/>
    <x v="0"/>
    <x v="41"/>
    <x v="1"/>
    <x v="0"/>
    <x v="0"/>
    <x v="1"/>
    <x v="0"/>
  </r>
  <r>
    <x v="0"/>
    <x v="0"/>
    <n v="2239196728"/>
    <x v="1"/>
    <n v="33340"/>
    <x v="1"/>
    <x v="0"/>
    <x v="41"/>
    <x v="1"/>
    <x v="0"/>
    <x v="0"/>
    <x v="1"/>
    <x v="0"/>
  </r>
  <r>
    <x v="0"/>
    <x v="0"/>
    <n v="2239196729"/>
    <x v="2"/>
    <n v="7500"/>
    <x v="1"/>
    <x v="0"/>
    <x v="41"/>
    <x v="2"/>
    <x v="0"/>
    <x v="0"/>
    <x v="2"/>
    <x v="0"/>
  </r>
  <r>
    <x v="0"/>
    <x v="0"/>
    <n v="2239196730"/>
    <x v="1"/>
    <n v="900"/>
    <x v="1"/>
    <x v="0"/>
    <x v="41"/>
    <x v="1"/>
    <x v="0"/>
    <x v="0"/>
    <x v="1"/>
    <x v="0"/>
  </r>
  <r>
    <x v="0"/>
    <x v="0"/>
    <n v="2239196731"/>
    <x v="5"/>
    <n v="-50"/>
    <x v="1"/>
    <x v="0"/>
    <x v="41"/>
    <x v="5"/>
    <x v="0"/>
    <x v="0"/>
    <x v="5"/>
    <x v="0"/>
  </r>
  <r>
    <x v="0"/>
    <x v="0"/>
    <n v="2239196731"/>
    <x v="6"/>
    <n v="11000"/>
    <x v="1"/>
    <x v="0"/>
    <x v="41"/>
    <x v="6"/>
    <x v="0"/>
    <x v="0"/>
    <x v="5"/>
    <x v="0"/>
  </r>
  <r>
    <x v="0"/>
    <x v="0"/>
    <n v="2239196732"/>
    <x v="3"/>
    <n v="3000"/>
    <x v="1"/>
    <x v="0"/>
    <x v="41"/>
    <x v="3"/>
    <x v="0"/>
    <x v="0"/>
    <x v="3"/>
    <x v="0"/>
  </r>
  <r>
    <x v="0"/>
    <x v="0"/>
    <n v="2239196733"/>
    <x v="2"/>
    <n v="100540"/>
    <x v="1"/>
    <x v="0"/>
    <x v="41"/>
    <x v="2"/>
    <x v="0"/>
    <x v="0"/>
    <x v="2"/>
    <x v="0"/>
  </r>
  <r>
    <x v="0"/>
    <x v="0"/>
    <n v="2239196734"/>
    <x v="2"/>
    <n v="27950"/>
    <x v="1"/>
    <x v="0"/>
    <x v="41"/>
    <x v="2"/>
    <x v="0"/>
    <x v="0"/>
    <x v="2"/>
    <x v="0"/>
  </r>
  <r>
    <x v="0"/>
    <x v="0"/>
    <n v="2239196735"/>
    <x v="2"/>
    <n v="8750"/>
    <x v="1"/>
    <x v="0"/>
    <x v="41"/>
    <x v="2"/>
    <x v="0"/>
    <x v="0"/>
    <x v="2"/>
    <x v="0"/>
  </r>
  <r>
    <x v="0"/>
    <x v="0"/>
    <n v="2239196736"/>
    <x v="5"/>
    <n v="-1200"/>
    <x v="1"/>
    <x v="0"/>
    <x v="41"/>
    <x v="5"/>
    <x v="0"/>
    <x v="0"/>
    <x v="5"/>
    <x v="0"/>
  </r>
  <r>
    <x v="0"/>
    <x v="0"/>
    <n v="2239196736"/>
    <x v="6"/>
    <n v="5000"/>
    <x v="1"/>
    <x v="0"/>
    <x v="41"/>
    <x v="6"/>
    <x v="0"/>
    <x v="0"/>
    <x v="5"/>
    <x v="0"/>
  </r>
  <r>
    <x v="0"/>
    <x v="0"/>
    <n v="2239196736"/>
    <x v="7"/>
    <n v="3800"/>
    <x v="1"/>
    <x v="0"/>
    <x v="41"/>
    <x v="7"/>
    <x v="0"/>
    <x v="0"/>
    <x v="1"/>
    <x v="0"/>
  </r>
  <r>
    <x v="0"/>
    <x v="0"/>
    <n v="2239196737"/>
    <x v="1"/>
    <n v="28400"/>
    <x v="1"/>
    <x v="0"/>
    <x v="41"/>
    <x v="1"/>
    <x v="0"/>
    <x v="0"/>
    <x v="1"/>
    <x v="0"/>
  </r>
  <r>
    <x v="0"/>
    <x v="0"/>
    <n v="2239196738"/>
    <x v="2"/>
    <n v="29645"/>
    <x v="1"/>
    <x v="0"/>
    <x v="41"/>
    <x v="2"/>
    <x v="0"/>
    <x v="0"/>
    <x v="2"/>
    <x v="0"/>
  </r>
  <r>
    <x v="0"/>
    <x v="0"/>
    <n v="2239196739"/>
    <x v="2"/>
    <n v="32065"/>
    <x v="1"/>
    <x v="0"/>
    <x v="41"/>
    <x v="2"/>
    <x v="0"/>
    <x v="0"/>
    <x v="2"/>
    <x v="0"/>
  </r>
  <r>
    <x v="0"/>
    <x v="0"/>
    <n v="2239196740"/>
    <x v="1"/>
    <n v="26940"/>
    <x v="1"/>
    <x v="0"/>
    <x v="41"/>
    <x v="1"/>
    <x v="0"/>
    <x v="0"/>
    <x v="1"/>
    <x v="0"/>
  </r>
  <r>
    <x v="0"/>
    <x v="0"/>
    <n v="2239196741"/>
    <x v="2"/>
    <n v="3750"/>
    <x v="1"/>
    <x v="0"/>
    <x v="41"/>
    <x v="2"/>
    <x v="0"/>
    <x v="0"/>
    <x v="2"/>
    <x v="0"/>
  </r>
  <r>
    <x v="0"/>
    <x v="0"/>
    <n v="2239196742"/>
    <x v="5"/>
    <n v="-700"/>
    <x v="1"/>
    <x v="0"/>
    <x v="41"/>
    <x v="5"/>
    <x v="0"/>
    <x v="0"/>
    <x v="5"/>
    <x v="0"/>
  </r>
  <r>
    <x v="0"/>
    <x v="0"/>
    <n v="2239196742"/>
    <x v="4"/>
    <n v="6000"/>
    <x v="1"/>
    <x v="0"/>
    <x v="41"/>
    <x v="4"/>
    <x v="0"/>
    <x v="0"/>
    <x v="4"/>
    <x v="0"/>
  </r>
  <r>
    <x v="0"/>
    <x v="0"/>
    <n v="2239196743"/>
    <x v="3"/>
    <n v="13150"/>
    <x v="1"/>
    <x v="0"/>
    <x v="41"/>
    <x v="3"/>
    <x v="0"/>
    <x v="0"/>
    <x v="3"/>
    <x v="0"/>
  </r>
  <r>
    <x v="0"/>
    <x v="0"/>
    <n v="2239196744"/>
    <x v="1"/>
    <n v="11970"/>
    <x v="1"/>
    <x v="0"/>
    <x v="41"/>
    <x v="1"/>
    <x v="0"/>
    <x v="0"/>
    <x v="1"/>
    <x v="0"/>
  </r>
  <r>
    <x v="0"/>
    <x v="0"/>
    <n v="2239196745"/>
    <x v="5"/>
    <n v="-5600"/>
    <x v="1"/>
    <x v="0"/>
    <x v="41"/>
    <x v="5"/>
    <x v="0"/>
    <x v="0"/>
    <x v="5"/>
    <x v="0"/>
  </r>
  <r>
    <x v="0"/>
    <x v="0"/>
    <n v="2239196745"/>
    <x v="6"/>
    <n v="20000"/>
    <x v="1"/>
    <x v="0"/>
    <x v="41"/>
    <x v="6"/>
    <x v="0"/>
    <x v="0"/>
    <x v="5"/>
    <x v="0"/>
  </r>
  <r>
    <x v="0"/>
    <x v="0"/>
    <n v="2239196746"/>
    <x v="1"/>
    <n v="11220"/>
    <x v="1"/>
    <x v="0"/>
    <x v="41"/>
    <x v="1"/>
    <x v="0"/>
    <x v="0"/>
    <x v="1"/>
    <x v="0"/>
  </r>
  <r>
    <x v="0"/>
    <x v="0"/>
    <n v="2239196747"/>
    <x v="1"/>
    <n v="11800"/>
    <x v="1"/>
    <x v="0"/>
    <x v="41"/>
    <x v="1"/>
    <x v="0"/>
    <x v="0"/>
    <x v="1"/>
    <x v="0"/>
  </r>
  <r>
    <x v="0"/>
    <x v="0"/>
    <n v="2239196748"/>
    <x v="2"/>
    <n v="43950"/>
    <x v="1"/>
    <x v="0"/>
    <x v="41"/>
    <x v="2"/>
    <x v="0"/>
    <x v="0"/>
    <x v="2"/>
    <x v="0"/>
  </r>
  <r>
    <x v="0"/>
    <x v="0"/>
    <n v="2239196749"/>
    <x v="2"/>
    <n v="46530"/>
    <x v="1"/>
    <x v="0"/>
    <x v="41"/>
    <x v="2"/>
    <x v="0"/>
    <x v="0"/>
    <x v="2"/>
    <x v="0"/>
  </r>
  <r>
    <x v="0"/>
    <x v="0"/>
    <n v="2239196750"/>
    <x v="2"/>
    <n v="3300"/>
    <x v="1"/>
    <x v="0"/>
    <x v="41"/>
    <x v="2"/>
    <x v="0"/>
    <x v="0"/>
    <x v="2"/>
    <x v="0"/>
  </r>
  <r>
    <x v="0"/>
    <x v="0"/>
    <n v="2239196751"/>
    <x v="2"/>
    <n v="27170"/>
    <x v="1"/>
    <x v="0"/>
    <x v="41"/>
    <x v="2"/>
    <x v="0"/>
    <x v="0"/>
    <x v="2"/>
    <x v="0"/>
  </r>
  <r>
    <x v="0"/>
    <x v="0"/>
    <n v="2239196752"/>
    <x v="5"/>
    <n v="-50"/>
    <x v="1"/>
    <x v="0"/>
    <x v="41"/>
    <x v="5"/>
    <x v="0"/>
    <x v="0"/>
    <x v="5"/>
    <x v="0"/>
  </r>
  <r>
    <x v="0"/>
    <x v="0"/>
    <n v="2239196752"/>
    <x v="6"/>
    <n v="10000"/>
    <x v="1"/>
    <x v="0"/>
    <x v="41"/>
    <x v="6"/>
    <x v="0"/>
    <x v="0"/>
    <x v="5"/>
    <x v="0"/>
  </r>
  <r>
    <x v="0"/>
    <x v="0"/>
    <n v="2239196753"/>
    <x v="5"/>
    <n v="-400"/>
    <x v="1"/>
    <x v="0"/>
    <x v="41"/>
    <x v="5"/>
    <x v="0"/>
    <x v="0"/>
    <x v="5"/>
    <x v="0"/>
  </r>
  <r>
    <x v="0"/>
    <x v="0"/>
    <n v="2239196753"/>
    <x v="4"/>
    <n v="6000"/>
    <x v="1"/>
    <x v="0"/>
    <x v="41"/>
    <x v="4"/>
    <x v="0"/>
    <x v="0"/>
    <x v="4"/>
    <x v="0"/>
  </r>
  <r>
    <x v="0"/>
    <x v="0"/>
    <n v="2239196754"/>
    <x v="2"/>
    <n v="17545"/>
    <x v="1"/>
    <x v="0"/>
    <x v="41"/>
    <x v="2"/>
    <x v="0"/>
    <x v="0"/>
    <x v="2"/>
    <x v="0"/>
  </r>
  <r>
    <x v="0"/>
    <x v="0"/>
    <n v="2239196755"/>
    <x v="2"/>
    <n v="15300"/>
    <x v="1"/>
    <x v="0"/>
    <x v="41"/>
    <x v="2"/>
    <x v="0"/>
    <x v="0"/>
    <x v="2"/>
    <x v="0"/>
  </r>
  <r>
    <x v="0"/>
    <x v="0"/>
    <n v="2239196756"/>
    <x v="2"/>
    <n v="31570"/>
    <x v="1"/>
    <x v="0"/>
    <x v="41"/>
    <x v="2"/>
    <x v="0"/>
    <x v="0"/>
    <x v="2"/>
    <x v="0"/>
  </r>
  <r>
    <x v="0"/>
    <x v="0"/>
    <n v="2239196757"/>
    <x v="2"/>
    <n v="24100"/>
    <x v="1"/>
    <x v="0"/>
    <x v="41"/>
    <x v="2"/>
    <x v="0"/>
    <x v="0"/>
    <x v="2"/>
    <x v="0"/>
  </r>
  <r>
    <x v="0"/>
    <x v="0"/>
    <n v="2239196759"/>
    <x v="2"/>
    <n v="49885"/>
    <x v="1"/>
    <x v="0"/>
    <x v="41"/>
    <x v="2"/>
    <x v="0"/>
    <x v="0"/>
    <x v="2"/>
    <x v="0"/>
  </r>
  <r>
    <x v="0"/>
    <x v="0"/>
    <n v="2239196760"/>
    <x v="2"/>
    <n v="37235"/>
    <x v="1"/>
    <x v="0"/>
    <x v="41"/>
    <x v="2"/>
    <x v="0"/>
    <x v="0"/>
    <x v="2"/>
    <x v="0"/>
  </r>
  <r>
    <x v="0"/>
    <x v="0"/>
    <n v="2239196761"/>
    <x v="2"/>
    <n v="17270"/>
    <x v="1"/>
    <x v="0"/>
    <x v="41"/>
    <x v="2"/>
    <x v="0"/>
    <x v="0"/>
    <x v="2"/>
    <x v="0"/>
  </r>
  <r>
    <x v="0"/>
    <x v="0"/>
    <n v="2239196762"/>
    <x v="2"/>
    <n v="19690"/>
    <x v="1"/>
    <x v="0"/>
    <x v="41"/>
    <x v="2"/>
    <x v="0"/>
    <x v="0"/>
    <x v="2"/>
    <x v="0"/>
  </r>
  <r>
    <x v="0"/>
    <x v="0"/>
    <n v="2239196763"/>
    <x v="1"/>
    <n v="7800"/>
    <x v="1"/>
    <x v="0"/>
    <x v="41"/>
    <x v="1"/>
    <x v="0"/>
    <x v="0"/>
    <x v="1"/>
    <x v="0"/>
  </r>
  <r>
    <x v="0"/>
    <x v="0"/>
    <n v="2239196764"/>
    <x v="2"/>
    <n v="12800"/>
    <x v="1"/>
    <x v="0"/>
    <x v="41"/>
    <x v="2"/>
    <x v="0"/>
    <x v="0"/>
    <x v="2"/>
    <x v="0"/>
  </r>
  <r>
    <x v="0"/>
    <x v="0"/>
    <n v="2239196765"/>
    <x v="2"/>
    <n v="14300"/>
    <x v="1"/>
    <x v="0"/>
    <x v="41"/>
    <x v="2"/>
    <x v="0"/>
    <x v="0"/>
    <x v="2"/>
    <x v="0"/>
  </r>
  <r>
    <x v="0"/>
    <x v="0"/>
    <n v="2239196767"/>
    <x v="2"/>
    <n v="25800"/>
    <x v="1"/>
    <x v="0"/>
    <x v="41"/>
    <x v="2"/>
    <x v="0"/>
    <x v="0"/>
    <x v="2"/>
    <x v="0"/>
  </r>
  <r>
    <x v="0"/>
    <x v="0"/>
    <n v="2239196768"/>
    <x v="2"/>
    <n v="27115"/>
    <x v="1"/>
    <x v="0"/>
    <x v="41"/>
    <x v="2"/>
    <x v="0"/>
    <x v="0"/>
    <x v="2"/>
    <x v="0"/>
  </r>
  <r>
    <x v="0"/>
    <x v="0"/>
    <n v="2239196769"/>
    <x v="6"/>
    <n v="8500"/>
    <x v="1"/>
    <x v="0"/>
    <x v="41"/>
    <x v="6"/>
    <x v="0"/>
    <x v="0"/>
    <x v="5"/>
    <x v="0"/>
  </r>
  <r>
    <x v="0"/>
    <x v="0"/>
    <n v="2239196770"/>
    <x v="1"/>
    <n v="10770"/>
    <x v="1"/>
    <x v="0"/>
    <x v="41"/>
    <x v="1"/>
    <x v="0"/>
    <x v="0"/>
    <x v="1"/>
    <x v="0"/>
  </r>
  <r>
    <x v="0"/>
    <x v="0"/>
    <n v="2239196771"/>
    <x v="3"/>
    <n v="35035"/>
    <x v="1"/>
    <x v="0"/>
    <x v="41"/>
    <x v="3"/>
    <x v="0"/>
    <x v="0"/>
    <x v="3"/>
    <x v="0"/>
  </r>
  <r>
    <x v="0"/>
    <x v="0"/>
    <n v="2239196772"/>
    <x v="1"/>
    <n v="12770"/>
    <x v="1"/>
    <x v="0"/>
    <x v="41"/>
    <x v="1"/>
    <x v="0"/>
    <x v="0"/>
    <x v="1"/>
    <x v="0"/>
  </r>
  <r>
    <x v="0"/>
    <x v="0"/>
    <n v="2239196773"/>
    <x v="3"/>
    <n v="22495"/>
    <x v="1"/>
    <x v="0"/>
    <x v="41"/>
    <x v="3"/>
    <x v="0"/>
    <x v="0"/>
    <x v="3"/>
    <x v="0"/>
  </r>
  <r>
    <x v="0"/>
    <x v="0"/>
    <n v="2239196774"/>
    <x v="2"/>
    <n v="5500"/>
    <x v="1"/>
    <x v="0"/>
    <x v="41"/>
    <x v="2"/>
    <x v="0"/>
    <x v="0"/>
    <x v="2"/>
    <x v="0"/>
  </r>
  <r>
    <x v="0"/>
    <x v="0"/>
    <n v="2239196775"/>
    <x v="2"/>
    <n v="69465"/>
    <x v="1"/>
    <x v="0"/>
    <x v="41"/>
    <x v="2"/>
    <x v="0"/>
    <x v="0"/>
    <x v="2"/>
    <x v="0"/>
  </r>
  <r>
    <x v="0"/>
    <x v="0"/>
    <n v="2239196777"/>
    <x v="2"/>
    <n v="3000"/>
    <x v="1"/>
    <x v="0"/>
    <x v="41"/>
    <x v="2"/>
    <x v="0"/>
    <x v="0"/>
    <x v="2"/>
    <x v="0"/>
  </r>
  <r>
    <x v="0"/>
    <x v="0"/>
    <n v="2239196778"/>
    <x v="2"/>
    <n v="26840"/>
    <x v="1"/>
    <x v="0"/>
    <x v="41"/>
    <x v="2"/>
    <x v="0"/>
    <x v="0"/>
    <x v="2"/>
    <x v="0"/>
  </r>
  <r>
    <x v="0"/>
    <x v="0"/>
    <n v="2239196779"/>
    <x v="2"/>
    <n v="78045"/>
    <x v="1"/>
    <x v="0"/>
    <x v="41"/>
    <x v="2"/>
    <x v="0"/>
    <x v="0"/>
    <x v="2"/>
    <x v="0"/>
  </r>
  <r>
    <x v="0"/>
    <x v="0"/>
    <n v="2239196780"/>
    <x v="5"/>
    <n v="-5885"/>
    <x v="1"/>
    <x v="0"/>
    <x v="41"/>
    <x v="5"/>
    <x v="0"/>
    <x v="0"/>
    <x v="5"/>
    <x v="0"/>
  </r>
  <r>
    <x v="0"/>
    <x v="0"/>
    <n v="2239196780"/>
    <x v="6"/>
    <n v="20000"/>
    <x v="1"/>
    <x v="0"/>
    <x v="41"/>
    <x v="6"/>
    <x v="0"/>
    <x v="0"/>
    <x v="5"/>
    <x v="0"/>
  </r>
  <r>
    <x v="0"/>
    <x v="0"/>
    <n v="2239196781"/>
    <x v="2"/>
    <n v="10600"/>
    <x v="1"/>
    <x v="0"/>
    <x v="41"/>
    <x v="2"/>
    <x v="0"/>
    <x v="0"/>
    <x v="2"/>
    <x v="0"/>
  </r>
  <r>
    <x v="0"/>
    <x v="0"/>
    <n v="2239196782"/>
    <x v="2"/>
    <n v="6750"/>
    <x v="1"/>
    <x v="0"/>
    <x v="41"/>
    <x v="2"/>
    <x v="0"/>
    <x v="0"/>
    <x v="2"/>
    <x v="0"/>
  </r>
  <r>
    <x v="0"/>
    <x v="0"/>
    <n v="2239196783"/>
    <x v="2"/>
    <n v="5650"/>
    <x v="1"/>
    <x v="0"/>
    <x v="41"/>
    <x v="2"/>
    <x v="0"/>
    <x v="0"/>
    <x v="2"/>
    <x v="0"/>
  </r>
  <r>
    <x v="0"/>
    <x v="0"/>
    <n v="2239196783"/>
    <x v="7"/>
    <n v="2400"/>
    <x v="1"/>
    <x v="0"/>
    <x v="41"/>
    <x v="7"/>
    <x v="0"/>
    <x v="0"/>
    <x v="1"/>
    <x v="0"/>
  </r>
  <r>
    <x v="0"/>
    <x v="0"/>
    <n v="2239196784"/>
    <x v="2"/>
    <n v="23595"/>
    <x v="1"/>
    <x v="0"/>
    <x v="41"/>
    <x v="2"/>
    <x v="0"/>
    <x v="0"/>
    <x v="2"/>
    <x v="0"/>
  </r>
  <r>
    <x v="0"/>
    <x v="0"/>
    <n v="2239196785"/>
    <x v="2"/>
    <n v="26345"/>
    <x v="1"/>
    <x v="0"/>
    <x v="41"/>
    <x v="2"/>
    <x v="0"/>
    <x v="0"/>
    <x v="2"/>
    <x v="0"/>
  </r>
  <r>
    <x v="0"/>
    <x v="0"/>
    <n v="2239196786"/>
    <x v="2"/>
    <n v="58245"/>
    <x v="1"/>
    <x v="0"/>
    <x v="41"/>
    <x v="2"/>
    <x v="0"/>
    <x v="0"/>
    <x v="2"/>
    <x v="0"/>
  </r>
  <r>
    <x v="0"/>
    <x v="0"/>
    <n v="2239196787"/>
    <x v="5"/>
    <n v="-5000"/>
    <x v="1"/>
    <x v="0"/>
    <x v="41"/>
    <x v="5"/>
    <x v="0"/>
    <x v="0"/>
    <x v="5"/>
    <x v="0"/>
  </r>
  <r>
    <x v="0"/>
    <x v="0"/>
    <n v="2239196787"/>
    <x v="4"/>
    <n v="10000"/>
    <x v="1"/>
    <x v="0"/>
    <x v="41"/>
    <x v="4"/>
    <x v="0"/>
    <x v="0"/>
    <x v="4"/>
    <x v="0"/>
  </r>
  <r>
    <x v="0"/>
    <x v="0"/>
    <n v="2239196788"/>
    <x v="2"/>
    <n v="31570"/>
    <x v="1"/>
    <x v="0"/>
    <x v="41"/>
    <x v="2"/>
    <x v="0"/>
    <x v="0"/>
    <x v="2"/>
    <x v="0"/>
  </r>
  <r>
    <x v="0"/>
    <x v="0"/>
    <n v="2239196789"/>
    <x v="2"/>
    <n v="3750"/>
    <x v="1"/>
    <x v="0"/>
    <x v="41"/>
    <x v="2"/>
    <x v="0"/>
    <x v="0"/>
    <x v="2"/>
    <x v="0"/>
  </r>
  <r>
    <x v="0"/>
    <x v="0"/>
    <n v="2239196790"/>
    <x v="2"/>
    <n v="8000"/>
    <x v="1"/>
    <x v="0"/>
    <x v="41"/>
    <x v="2"/>
    <x v="0"/>
    <x v="0"/>
    <x v="2"/>
    <x v="0"/>
  </r>
  <r>
    <x v="0"/>
    <x v="0"/>
    <n v="2239196791"/>
    <x v="5"/>
    <n v="-3500"/>
    <x v="1"/>
    <x v="0"/>
    <x v="41"/>
    <x v="5"/>
    <x v="0"/>
    <x v="0"/>
    <x v="5"/>
    <x v="0"/>
  </r>
  <r>
    <x v="0"/>
    <x v="0"/>
    <n v="2239196791"/>
    <x v="6"/>
    <n v="10000"/>
    <x v="1"/>
    <x v="0"/>
    <x v="41"/>
    <x v="6"/>
    <x v="0"/>
    <x v="0"/>
    <x v="5"/>
    <x v="0"/>
  </r>
  <r>
    <x v="0"/>
    <x v="0"/>
    <n v="2239196792"/>
    <x v="2"/>
    <n v="14520"/>
    <x v="1"/>
    <x v="0"/>
    <x v="41"/>
    <x v="2"/>
    <x v="0"/>
    <x v="0"/>
    <x v="2"/>
    <x v="0"/>
  </r>
  <r>
    <x v="0"/>
    <x v="0"/>
    <n v="2239196793"/>
    <x v="2"/>
    <n v="10000"/>
    <x v="1"/>
    <x v="0"/>
    <x v="41"/>
    <x v="2"/>
    <x v="0"/>
    <x v="0"/>
    <x v="2"/>
    <x v="0"/>
  </r>
  <r>
    <x v="0"/>
    <x v="0"/>
    <n v="2239196794"/>
    <x v="2"/>
    <n v="6500"/>
    <x v="1"/>
    <x v="0"/>
    <x v="41"/>
    <x v="2"/>
    <x v="0"/>
    <x v="0"/>
    <x v="2"/>
    <x v="0"/>
  </r>
  <r>
    <x v="0"/>
    <x v="0"/>
    <n v="2239196795"/>
    <x v="6"/>
    <n v="1000"/>
    <x v="1"/>
    <x v="0"/>
    <x v="41"/>
    <x v="6"/>
    <x v="0"/>
    <x v="0"/>
    <x v="5"/>
    <x v="0"/>
  </r>
  <r>
    <x v="0"/>
    <x v="0"/>
    <n v="2239196796"/>
    <x v="2"/>
    <n v="6600"/>
    <x v="1"/>
    <x v="0"/>
    <x v="41"/>
    <x v="2"/>
    <x v="0"/>
    <x v="0"/>
    <x v="2"/>
    <x v="0"/>
  </r>
  <r>
    <x v="0"/>
    <x v="0"/>
    <n v="2239196797"/>
    <x v="1"/>
    <n v="4500"/>
    <x v="1"/>
    <x v="0"/>
    <x v="41"/>
    <x v="1"/>
    <x v="0"/>
    <x v="0"/>
    <x v="1"/>
    <x v="0"/>
  </r>
  <r>
    <x v="0"/>
    <x v="0"/>
    <n v="2239196798"/>
    <x v="5"/>
    <n v="-7000"/>
    <x v="1"/>
    <x v="0"/>
    <x v="41"/>
    <x v="5"/>
    <x v="0"/>
    <x v="0"/>
    <x v="5"/>
    <x v="0"/>
  </r>
  <r>
    <x v="0"/>
    <x v="0"/>
    <n v="2239196798"/>
    <x v="6"/>
    <n v="10000"/>
    <x v="1"/>
    <x v="0"/>
    <x v="41"/>
    <x v="6"/>
    <x v="0"/>
    <x v="0"/>
    <x v="5"/>
    <x v="0"/>
  </r>
  <r>
    <x v="0"/>
    <x v="0"/>
    <n v="2239196799"/>
    <x v="5"/>
    <n v="-2000"/>
    <x v="1"/>
    <x v="0"/>
    <x v="41"/>
    <x v="5"/>
    <x v="0"/>
    <x v="0"/>
    <x v="5"/>
    <x v="0"/>
  </r>
  <r>
    <x v="0"/>
    <x v="0"/>
    <n v="2239196799"/>
    <x v="6"/>
    <n v="5000"/>
    <x v="1"/>
    <x v="0"/>
    <x v="41"/>
    <x v="6"/>
    <x v="0"/>
    <x v="0"/>
    <x v="5"/>
    <x v="0"/>
  </r>
  <r>
    <x v="0"/>
    <x v="0"/>
    <n v="2239196800"/>
    <x v="5"/>
    <n v="-400"/>
    <x v="1"/>
    <x v="0"/>
    <x v="41"/>
    <x v="5"/>
    <x v="0"/>
    <x v="0"/>
    <x v="5"/>
    <x v="0"/>
  </r>
  <r>
    <x v="0"/>
    <x v="0"/>
    <n v="2239196800"/>
    <x v="6"/>
    <n v="12000"/>
    <x v="1"/>
    <x v="0"/>
    <x v="41"/>
    <x v="6"/>
    <x v="0"/>
    <x v="0"/>
    <x v="5"/>
    <x v="0"/>
  </r>
  <r>
    <x v="0"/>
    <x v="0"/>
    <n v="2239196801"/>
    <x v="5"/>
    <n v="-1000"/>
    <x v="1"/>
    <x v="0"/>
    <x v="41"/>
    <x v="5"/>
    <x v="0"/>
    <x v="0"/>
    <x v="5"/>
    <x v="0"/>
  </r>
  <r>
    <x v="0"/>
    <x v="0"/>
    <n v="2239196801"/>
    <x v="6"/>
    <n v="5000"/>
    <x v="1"/>
    <x v="0"/>
    <x v="41"/>
    <x v="6"/>
    <x v="0"/>
    <x v="0"/>
    <x v="5"/>
    <x v="0"/>
  </r>
  <r>
    <x v="0"/>
    <x v="0"/>
    <n v="2239196802"/>
    <x v="3"/>
    <n v="14300"/>
    <x v="1"/>
    <x v="0"/>
    <x v="41"/>
    <x v="3"/>
    <x v="0"/>
    <x v="0"/>
    <x v="3"/>
    <x v="0"/>
  </r>
  <r>
    <x v="0"/>
    <x v="0"/>
    <n v="2239196803"/>
    <x v="3"/>
    <n v="7700"/>
    <x v="1"/>
    <x v="0"/>
    <x v="41"/>
    <x v="3"/>
    <x v="0"/>
    <x v="0"/>
    <x v="3"/>
    <x v="0"/>
  </r>
  <r>
    <x v="0"/>
    <x v="0"/>
    <n v="2239196804"/>
    <x v="3"/>
    <n v="7500"/>
    <x v="1"/>
    <x v="0"/>
    <x v="41"/>
    <x v="3"/>
    <x v="0"/>
    <x v="0"/>
    <x v="3"/>
    <x v="0"/>
  </r>
  <r>
    <x v="0"/>
    <x v="0"/>
    <n v="2239196805"/>
    <x v="2"/>
    <n v="2200"/>
    <x v="1"/>
    <x v="0"/>
    <x v="41"/>
    <x v="2"/>
    <x v="0"/>
    <x v="0"/>
    <x v="2"/>
    <x v="0"/>
  </r>
  <r>
    <x v="0"/>
    <x v="0"/>
    <n v="2239196806"/>
    <x v="2"/>
    <n v="114840"/>
    <x v="1"/>
    <x v="0"/>
    <x v="41"/>
    <x v="2"/>
    <x v="0"/>
    <x v="0"/>
    <x v="2"/>
    <x v="0"/>
  </r>
  <r>
    <x v="0"/>
    <x v="0"/>
    <n v="2239196807"/>
    <x v="5"/>
    <n v="-300"/>
    <x v="1"/>
    <x v="0"/>
    <x v="41"/>
    <x v="5"/>
    <x v="0"/>
    <x v="0"/>
    <x v="5"/>
    <x v="0"/>
  </r>
  <r>
    <x v="0"/>
    <x v="0"/>
    <n v="2239196807"/>
    <x v="4"/>
    <n v="4700"/>
    <x v="1"/>
    <x v="0"/>
    <x v="41"/>
    <x v="4"/>
    <x v="0"/>
    <x v="0"/>
    <x v="4"/>
    <x v="0"/>
  </r>
  <r>
    <x v="0"/>
    <x v="0"/>
    <n v="2239196808"/>
    <x v="6"/>
    <n v="2000"/>
    <x v="1"/>
    <x v="0"/>
    <x v="41"/>
    <x v="6"/>
    <x v="0"/>
    <x v="0"/>
    <x v="5"/>
    <x v="0"/>
  </r>
  <r>
    <x v="0"/>
    <x v="0"/>
    <n v="2239196809"/>
    <x v="2"/>
    <n v="6000"/>
    <x v="1"/>
    <x v="0"/>
    <x v="41"/>
    <x v="2"/>
    <x v="0"/>
    <x v="0"/>
    <x v="2"/>
    <x v="0"/>
  </r>
  <r>
    <x v="0"/>
    <x v="0"/>
    <n v="2239196810"/>
    <x v="1"/>
    <n v="7170"/>
    <x v="1"/>
    <x v="0"/>
    <x v="41"/>
    <x v="1"/>
    <x v="0"/>
    <x v="0"/>
    <x v="1"/>
    <x v="0"/>
  </r>
  <r>
    <x v="0"/>
    <x v="0"/>
    <n v="2239196811"/>
    <x v="5"/>
    <n v="-2000"/>
    <x v="1"/>
    <x v="0"/>
    <x v="41"/>
    <x v="5"/>
    <x v="0"/>
    <x v="0"/>
    <x v="5"/>
    <x v="0"/>
  </r>
  <r>
    <x v="0"/>
    <x v="0"/>
    <n v="2239196811"/>
    <x v="6"/>
    <n v="5150"/>
    <x v="1"/>
    <x v="0"/>
    <x v="41"/>
    <x v="6"/>
    <x v="0"/>
    <x v="0"/>
    <x v="5"/>
    <x v="0"/>
  </r>
  <r>
    <x v="0"/>
    <x v="0"/>
    <n v="2239196812"/>
    <x v="2"/>
    <n v="9100"/>
    <x v="1"/>
    <x v="0"/>
    <x v="41"/>
    <x v="2"/>
    <x v="0"/>
    <x v="0"/>
    <x v="2"/>
    <x v="0"/>
  </r>
  <r>
    <x v="0"/>
    <x v="0"/>
    <n v="2239196812"/>
    <x v="7"/>
    <n v="3900"/>
    <x v="1"/>
    <x v="0"/>
    <x v="41"/>
    <x v="7"/>
    <x v="0"/>
    <x v="0"/>
    <x v="1"/>
    <x v="0"/>
  </r>
  <r>
    <x v="0"/>
    <x v="0"/>
    <n v="2239196813"/>
    <x v="3"/>
    <n v="54340"/>
    <x v="1"/>
    <x v="0"/>
    <x v="41"/>
    <x v="3"/>
    <x v="0"/>
    <x v="0"/>
    <x v="3"/>
    <x v="0"/>
  </r>
  <r>
    <x v="0"/>
    <x v="0"/>
    <n v="2239196814"/>
    <x v="2"/>
    <n v="39490"/>
    <x v="1"/>
    <x v="0"/>
    <x v="41"/>
    <x v="2"/>
    <x v="0"/>
    <x v="0"/>
    <x v="2"/>
    <x v="0"/>
  </r>
  <r>
    <x v="0"/>
    <x v="0"/>
    <n v="2239196815"/>
    <x v="2"/>
    <n v="9500"/>
    <x v="1"/>
    <x v="0"/>
    <x v="41"/>
    <x v="2"/>
    <x v="0"/>
    <x v="0"/>
    <x v="2"/>
    <x v="0"/>
  </r>
  <r>
    <x v="0"/>
    <x v="0"/>
    <n v="2239196816"/>
    <x v="5"/>
    <n v="-6100"/>
    <x v="1"/>
    <x v="0"/>
    <x v="41"/>
    <x v="5"/>
    <x v="0"/>
    <x v="0"/>
    <x v="5"/>
    <x v="0"/>
  </r>
  <r>
    <x v="0"/>
    <x v="0"/>
    <n v="2239196816"/>
    <x v="4"/>
    <n v="10500"/>
    <x v="1"/>
    <x v="0"/>
    <x v="41"/>
    <x v="4"/>
    <x v="0"/>
    <x v="0"/>
    <x v="4"/>
    <x v="0"/>
  </r>
  <r>
    <x v="0"/>
    <x v="0"/>
    <n v="2239196817"/>
    <x v="2"/>
    <n v="34900"/>
    <x v="1"/>
    <x v="0"/>
    <x v="41"/>
    <x v="2"/>
    <x v="0"/>
    <x v="0"/>
    <x v="2"/>
    <x v="0"/>
  </r>
  <r>
    <x v="0"/>
    <x v="0"/>
    <n v="2239196818"/>
    <x v="2"/>
    <n v="4400"/>
    <x v="1"/>
    <x v="0"/>
    <x v="41"/>
    <x v="2"/>
    <x v="0"/>
    <x v="0"/>
    <x v="2"/>
    <x v="0"/>
  </r>
  <r>
    <x v="0"/>
    <x v="0"/>
    <n v="2239196819"/>
    <x v="6"/>
    <n v="2000"/>
    <x v="1"/>
    <x v="0"/>
    <x v="41"/>
    <x v="6"/>
    <x v="0"/>
    <x v="0"/>
    <x v="5"/>
    <x v="0"/>
  </r>
  <r>
    <x v="0"/>
    <x v="0"/>
    <n v="2239196820"/>
    <x v="2"/>
    <n v="1000"/>
    <x v="1"/>
    <x v="0"/>
    <x v="41"/>
    <x v="2"/>
    <x v="0"/>
    <x v="0"/>
    <x v="2"/>
    <x v="0"/>
  </r>
  <r>
    <x v="0"/>
    <x v="0"/>
    <n v="2239196821"/>
    <x v="2"/>
    <n v="12232"/>
    <x v="1"/>
    <x v="0"/>
    <x v="41"/>
    <x v="2"/>
    <x v="0"/>
    <x v="0"/>
    <x v="2"/>
    <x v="0"/>
  </r>
  <r>
    <x v="0"/>
    <x v="0"/>
    <n v="2239196821"/>
    <x v="7"/>
    <n v="2780"/>
    <x v="1"/>
    <x v="0"/>
    <x v="41"/>
    <x v="7"/>
    <x v="0"/>
    <x v="0"/>
    <x v="1"/>
    <x v="0"/>
  </r>
  <r>
    <x v="0"/>
    <x v="0"/>
    <n v="2239196822"/>
    <x v="2"/>
    <n v="24640"/>
    <x v="1"/>
    <x v="0"/>
    <x v="41"/>
    <x v="2"/>
    <x v="0"/>
    <x v="0"/>
    <x v="2"/>
    <x v="0"/>
  </r>
  <r>
    <x v="0"/>
    <x v="0"/>
    <n v="2239196823"/>
    <x v="2"/>
    <n v="17100"/>
    <x v="1"/>
    <x v="0"/>
    <x v="41"/>
    <x v="2"/>
    <x v="0"/>
    <x v="0"/>
    <x v="2"/>
    <x v="0"/>
  </r>
  <r>
    <x v="0"/>
    <x v="0"/>
    <n v="2239196824"/>
    <x v="3"/>
    <n v="29040"/>
    <x v="1"/>
    <x v="0"/>
    <x v="41"/>
    <x v="3"/>
    <x v="0"/>
    <x v="0"/>
    <x v="3"/>
    <x v="0"/>
  </r>
  <r>
    <x v="0"/>
    <x v="0"/>
    <n v="2239196826"/>
    <x v="1"/>
    <n v="1050"/>
    <x v="1"/>
    <x v="0"/>
    <x v="41"/>
    <x v="1"/>
    <x v="0"/>
    <x v="0"/>
    <x v="1"/>
    <x v="0"/>
  </r>
  <r>
    <x v="0"/>
    <x v="0"/>
    <n v="2239196827"/>
    <x v="2"/>
    <n v="2000"/>
    <x v="1"/>
    <x v="0"/>
    <x v="41"/>
    <x v="2"/>
    <x v="0"/>
    <x v="0"/>
    <x v="2"/>
    <x v="0"/>
  </r>
  <r>
    <x v="0"/>
    <x v="0"/>
    <n v="2239196828"/>
    <x v="6"/>
    <n v="2000"/>
    <x v="1"/>
    <x v="0"/>
    <x v="41"/>
    <x v="6"/>
    <x v="0"/>
    <x v="0"/>
    <x v="5"/>
    <x v="0"/>
  </r>
  <r>
    <x v="0"/>
    <x v="0"/>
    <n v="2239196829"/>
    <x v="2"/>
    <n v="10900"/>
    <x v="1"/>
    <x v="0"/>
    <x v="41"/>
    <x v="2"/>
    <x v="0"/>
    <x v="0"/>
    <x v="2"/>
    <x v="0"/>
  </r>
  <r>
    <x v="0"/>
    <x v="0"/>
    <n v="2239196830"/>
    <x v="2"/>
    <n v="11520"/>
    <x v="1"/>
    <x v="0"/>
    <x v="41"/>
    <x v="2"/>
    <x v="0"/>
    <x v="0"/>
    <x v="2"/>
    <x v="0"/>
  </r>
  <r>
    <x v="0"/>
    <x v="0"/>
    <n v="2239196831"/>
    <x v="5"/>
    <n v="-4500"/>
    <x v="1"/>
    <x v="0"/>
    <x v="41"/>
    <x v="5"/>
    <x v="0"/>
    <x v="0"/>
    <x v="5"/>
    <x v="0"/>
  </r>
  <r>
    <x v="0"/>
    <x v="0"/>
    <n v="2239196831"/>
    <x v="4"/>
    <n v="10100"/>
    <x v="1"/>
    <x v="0"/>
    <x v="41"/>
    <x v="4"/>
    <x v="0"/>
    <x v="0"/>
    <x v="4"/>
    <x v="0"/>
  </r>
  <r>
    <x v="0"/>
    <x v="0"/>
    <n v="2239196832"/>
    <x v="2"/>
    <n v="8250"/>
    <x v="1"/>
    <x v="0"/>
    <x v="41"/>
    <x v="2"/>
    <x v="0"/>
    <x v="0"/>
    <x v="2"/>
    <x v="0"/>
  </r>
  <r>
    <x v="0"/>
    <x v="0"/>
    <n v="2239196834"/>
    <x v="5"/>
    <n v="-4000"/>
    <x v="1"/>
    <x v="0"/>
    <x v="41"/>
    <x v="5"/>
    <x v="0"/>
    <x v="0"/>
    <x v="5"/>
    <x v="0"/>
  </r>
  <r>
    <x v="0"/>
    <x v="0"/>
    <n v="2239196834"/>
    <x v="6"/>
    <n v="5000"/>
    <x v="1"/>
    <x v="0"/>
    <x v="41"/>
    <x v="6"/>
    <x v="0"/>
    <x v="0"/>
    <x v="5"/>
    <x v="0"/>
  </r>
  <r>
    <x v="0"/>
    <x v="0"/>
    <n v="2239196835"/>
    <x v="1"/>
    <n v="2700"/>
    <x v="1"/>
    <x v="0"/>
    <x v="41"/>
    <x v="1"/>
    <x v="0"/>
    <x v="0"/>
    <x v="1"/>
    <x v="0"/>
  </r>
  <r>
    <x v="0"/>
    <x v="0"/>
    <n v="2239196836"/>
    <x v="2"/>
    <n v="10450"/>
    <x v="1"/>
    <x v="0"/>
    <x v="41"/>
    <x v="2"/>
    <x v="0"/>
    <x v="0"/>
    <x v="2"/>
    <x v="0"/>
  </r>
  <r>
    <x v="0"/>
    <x v="0"/>
    <n v="2239196837"/>
    <x v="6"/>
    <n v="2000"/>
    <x v="1"/>
    <x v="0"/>
    <x v="41"/>
    <x v="6"/>
    <x v="0"/>
    <x v="0"/>
    <x v="5"/>
    <x v="0"/>
  </r>
  <r>
    <x v="0"/>
    <x v="0"/>
    <n v="2239196838"/>
    <x v="2"/>
    <n v="19690"/>
    <x v="1"/>
    <x v="0"/>
    <x v="41"/>
    <x v="2"/>
    <x v="0"/>
    <x v="0"/>
    <x v="2"/>
    <x v="0"/>
  </r>
  <r>
    <x v="0"/>
    <x v="0"/>
    <n v="2239196839"/>
    <x v="5"/>
    <n v="-3650"/>
    <x v="1"/>
    <x v="0"/>
    <x v="41"/>
    <x v="5"/>
    <x v="0"/>
    <x v="0"/>
    <x v="5"/>
    <x v="0"/>
  </r>
  <r>
    <x v="0"/>
    <x v="0"/>
    <n v="2239196839"/>
    <x v="6"/>
    <n v="30000"/>
    <x v="1"/>
    <x v="0"/>
    <x v="41"/>
    <x v="6"/>
    <x v="0"/>
    <x v="0"/>
    <x v="5"/>
    <x v="0"/>
  </r>
  <r>
    <x v="0"/>
    <x v="0"/>
    <n v="2239196840"/>
    <x v="2"/>
    <n v="4774"/>
    <x v="1"/>
    <x v="0"/>
    <x v="41"/>
    <x v="2"/>
    <x v="0"/>
    <x v="0"/>
    <x v="2"/>
    <x v="0"/>
  </r>
  <r>
    <x v="0"/>
    <x v="0"/>
    <n v="2239196841"/>
    <x v="2"/>
    <n v="16400"/>
    <x v="1"/>
    <x v="0"/>
    <x v="41"/>
    <x v="2"/>
    <x v="0"/>
    <x v="0"/>
    <x v="2"/>
    <x v="0"/>
  </r>
  <r>
    <x v="0"/>
    <x v="0"/>
    <n v="2239196842"/>
    <x v="5"/>
    <n v="-5000"/>
    <x v="1"/>
    <x v="0"/>
    <x v="41"/>
    <x v="5"/>
    <x v="0"/>
    <x v="0"/>
    <x v="5"/>
    <x v="0"/>
  </r>
  <r>
    <x v="0"/>
    <x v="0"/>
    <n v="2239196842"/>
    <x v="4"/>
    <n v="10700"/>
    <x v="1"/>
    <x v="0"/>
    <x v="41"/>
    <x v="4"/>
    <x v="0"/>
    <x v="0"/>
    <x v="4"/>
    <x v="0"/>
  </r>
  <r>
    <x v="0"/>
    <x v="0"/>
    <n v="2239196844"/>
    <x v="2"/>
    <n v="20570"/>
    <x v="1"/>
    <x v="0"/>
    <x v="41"/>
    <x v="2"/>
    <x v="0"/>
    <x v="0"/>
    <x v="2"/>
    <x v="0"/>
  </r>
  <r>
    <x v="0"/>
    <x v="0"/>
    <n v="2239196845"/>
    <x v="1"/>
    <n v="6300"/>
    <x v="1"/>
    <x v="0"/>
    <x v="41"/>
    <x v="1"/>
    <x v="0"/>
    <x v="0"/>
    <x v="1"/>
    <x v="0"/>
  </r>
  <r>
    <x v="0"/>
    <x v="0"/>
    <n v="2239196846"/>
    <x v="6"/>
    <n v="1000"/>
    <x v="1"/>
    <x v="0"/>
    <x v="41"/>
    <x v="6"/>
    <x v="0"/>
    <x v="0"/>
    <x v="5"/>
    <x v="0"/>
  </r>
  <r>
    <x v="0"/>
    <x v="0"/>
    <n v="2239196847"/>
    <x v="2"/>
    <n v="19800"/>
    <x v="1"/>
    <x v="0"/>
    <x v="41"/>
    <x v="2"/>
    <x v="0"/>
    <x v="0"/>
    <x v="2"/>
    <x v="0"/>
  </r>
  <r>
    <x v="0"/>
    <x v="0"/>
    <n v="2239196848"/>
    <x v="5"/>
    <n v="-4500"/>
    <x v="1"/>
    <x v="0"/>
    <x v="41"/>
    <x v="5"/>
    <x v="0"/>
    <x v="0"/>
    <x v="5"/>
    <x v="0"/>
  </r>
  <r>
    <x v="0"/>
    <x v="0"/>
    <n v="2239196848"/>
    <x v="4"/>
    <n v="10200"/>
    <x v="1"/>
    <x v="0"/>
    <x v="41"/>
    <x v="4"/>
    <x v="0"/>
    <x v="0"/>
    <x v="4"/>
    <x v="0"/>
  </r>
  <r>
    <x v="0"/>
    <x v="0"/>
    <n v="2239196849"/>
    <x v="2"/>
    <n v="68750"/>
    <x v="1"/>
    <x v="0"/>
    <x v="41"/>
    <x v="2"/>
    <x v="0"/>
    <x v="0"/>
    <x v="2"/>
    <x v="0"/>
  </r>
  <r>
    <x v="0"/>
    <x v="0"/>
    <n v="2239196850"/>
    <x v="2"/>
    <n v="5200"/>
    <x v="1"/>
    <x v="0"/>
    <x v="41"/>
    <x v="2"/>
    <x v="0"/>
    <x v="0"/>
    <x v="2"/>
    <x v="0"/>
  </r>
  <r>
    <x v="0"/>
    <x v="0"/>
    <n v="2239196850"/>
    <x v="7"/>
    <n v="1300"/>
    <x v="1"/>
    <x v="0"/>
    <x v="41"/>
    <x v="7"/>
    <x v="0"/>
    <x v="0"/>
    <x v="1"/>
    <x v="0"/>
  </r>
  <r>
    <x v="0"/>
    <x v="0"/>
    <n v="2239196851"/>
    <x v="5"/>
    <n v="-5000"/>
    <x v="1"/>
    <x v="0"/>
    <x v="41"/>
    <x v="5"/>
    <x v="0"/>
    <x v="0"/>
    <x v="5"/>
    <x v="0"/>
  </r>
  <r>
    <x v="0"/>
    <x v="0"/>
    <n v="2239196851"/>
    <x v="4"/>
    <n v="10300"/>
    <x v="1"/>
    <x v="0"/>
    <x v="41"/>
    <x v="4"/>
    <x v="0"/>
    <x v="0"/>
    <x v="4"/>
    <x v="0"/>
  </r>
  <r>
    <x v="0"/>
    <x v="0"/>
    <n v="2239196852"/>
    <x v="5"/>
    <n v="-5000"/>
    <x v="1"/>
    <x v="0"/>
    <x v="41"/>
    <x v="5"/>
    <x v="0"/>
    <x v="0"/>
    <x v="5"/>
    <x v="0"/>
  </r>
  <r>
    <x v="0"/>
    <x v="0"/>
    <n v="2239196852"/>
    <x v="6"/>
    <n v="20000"/>
    <x v="1"/>
    <x v="0"/>
    <x v="41"/>
    <x v="6"/>
    <x v="0"/>
    <x v="0"/>
    <x v="5"/>
    <x v="0"/>
  </r>
  <r>
    <x v="0"/>
    <x v="0"/>
    <n v="2239196853"/>
    <x v="5"/>
    <n v="-3070"/>
    <x v="1"/>
    <x v="0"/>
    <x v="41"/>
    <x v="5"/>
    <x v="0"/>
    <x v="0"/>
    <x v="5"/>
    <x v="0"/>
  </r>
  <r>
    <x v="0"/>
    <x v="0"/>
    <n v="2239196853"/>
    <x v="6"/>
    <n v="10000"/>
    <x v="1"/>
    <x v="0"/>
    <x v="41"/>
    <x v="6"/>
    <x v="0"/>
    <x v="0"/>
    <x v="5"/>
    <x v="0"/>
  </r>
  <r>
    <x v="0"/>
    <x v="0"/>
    <n v="2239196856"/>
    <x v="2"/>
    <n v="6500"/>
    <x v="1"/>
    <x v="0"/>
    <x v="41"/>
    <x v="2"/>
    <x v="0"/>
    <x v="0"/>
    <x v="2"/>
    <x v="0"/>
  </r>
  <r>
    <x v="0"/>
    <x v="0"/>
    <n v="2239196857"/>
    <x v="2"/>
    <n v="10472"/>
    <x v="1"/>
    <x v="0"/>
    <x v="41"/>
    <x v="2"/>
    <x v="0"/>
    <x v="0"/>
    <x v="2"/>
    <x v="0"/>
  </r>
  <r>
    <x v="0"/>
    <x v="0"/>
    <n v="2239196857"/>
    <x v="7"/>
    <n v="2180"/>
    <x v="1"/>
    <x v="0"/>
    <x v="41"/>
    <x v="7"/>
    <x v="0"/>
    <x v="0"/>
    <x v="1"/>
    <x v="0"/>
  </r>
  <r>
    <x v="0"/>
    <x v="0"/>
    <n v="2239196859"/>
    <x v="4"/>
    <n v="4600"/>
    <x v="1"/>
    <x v="0"/>
    <x v="41"/>
    <x v="4"/>
    <x v="0"/>
    <x v="0"/>
    <x v="4"/>
    <x v="0"/>
  </r>
  <r>
    <x v="0"/>
    <x v="0"/>
    <n v="2239196861"/>
    <x v="5"/>
    <n v="-14000"/>
    <x v="1"/>
    <x v="0"/>
    <x v="41"/>
    <x v="5"/>
    <x v="0"/>
    <x v="0"/>
    <x v="5"/>
    <x v="0"/>
  </r>
  <r>
    <x v="0"/>
    <x v="0"/>
    <n v="2239196861"/>
    <x v="6"/>
    <n v="20000"/>
    <x v="1"/>
    <x v="0"/>
    <x v="41"/>
    <x v="6"/>
    <x v="0"/>
    <x v="0"/>
    <x v="5"/>
    <x v="0"/>
  </r>
  <r>
    <x v="0"/>
    <x v="0"/>
    <n v="2239196862"/>
    <x v="2"/>
    <n v="2200"/>
    <x v="1"/>
    <x v="0"/>
    <x v="41"/>
    <x v="2"/>
    <x v="0"/>
    <x v="0"/>
    <x v="2"/>
    <x v="0"/>
  </r>
  <r>
    <x v="0"/>
    <x v="0"/>
    <n v="2239196863"/>
    <x v="2"/>
    <n v="1000"/>
    <x v="1"/>
    <x v="0"/>
    <x v="41"/>
    <x v="2"/>
    <x v="0"/>
    <x v="0"/>
    <x v="2"/>
    <x v="0"/>
  </r>
  <r>
    <x v="0"/>
    <x v="0"/>
    <n v="2239196864"/>
    <x v="5"/>
    <n v="-4000"/>
    <x v="1"/>
    <x v="0"/>
    <x v="41"/>
    <x v="5"/>
    <x v="0"/>
    <x v="0"/>
    <x v="5"/>
    <x v="0"/>
  </r>
  <r>
    <x v="0"/>
    <x v="0"/>
    <n v="2239196864"/>
    <x v="6"/>
    <n v="20000"/>
    <x v="1"/>
    <x v="0"/>
    <x v="41"/>
    <x v="6"/>
    <x v="0"/>
    <x v="0"/>
    <x v="5"/>
    <x v="0"/>
  </r>
  <r>
    <x v="0"/>
    <x v="0"/>
    <n v="2239196865"/>
    <x v="5"/>
    <n v="-8000"/>
    <x v="1"/>
    <x v="0"/>
    <x v="41"/>
    <x v="5"/>
    <x v="0"/>
    <x v="0"/>
    <x v="5"/>
    <x v="0"/>
  </r>
  <r>
    <x v="0"/>
    <x v="0"/>
    <n v="2239196865"/>
    <x v="6"/>
    <n v="10000"/>
    <x v="1"/>
    <x v="0"/>
    <x v="41"/>
    <x v="6"/>
    <x v="0"/>
    <x v="0"/>
    <x v="5"/>
    <x v="0"/>
  </r>
  <r>
    <x v="0"/>
    <x v="0"/>
    <n v="2239196866"/>
    <x v="6"/>
    <n v="2000"/>
    <x v="1"/>
    <x v="0"/>
    <x v="41"/>
    <x v="6"/>
    <x v="0"/>
    <x v="0"/>
    <x v="5"/>
    <x v="0"/>
  </r>
  <r>
    <x v="0"/>
    <x v="0"/>
    <n v="2239196868"/>
    <x v="6"/>
    <n v="2000"/>
    <x v="1"/>
    <x v="0"/>
    <x v="41"/>
    <x v="6"/>
    <x v="0"/>
    <x v="0"/>
    <x v="5"/>
    <x v="0"/>
  </r>
  <r>
    <x v="0"/>
    <x v="0"/>
    <n v="2239196869"/>
    <x v="3"/>
    <n v="8250"/>
    <x v="1"/>
    <x v="0"/>
    <x v="41"/>
    <x v="3"/>
    <x v="0"/>
    <x v="0"/>
    <x v="3"/>
    <x v="0"/>
  </r>
  <r>
    <x v="0"/>
    <x v="0"/>
    <n v="2239196871"/>
    <x v="3"/>
    <n v="3300"/>
    <x v="1"/>
    <x v="0"/>
    <x v="41"/>
    <x v="3"/>
    <x v="0"/>
    <x v="0"/>
    <x v="3"/>
    <x v="0"/>
  </r>
  <r>
    <x v="0"/>
    <x v="0"/>
    <n v="2239196872"/>
    <x v="2"/>
    <n v="9900"/>
    <x v="1"/>
    <x v="0"/>
    <x v="41"/>
    <x v="2"/>
    <x v="0"/>
    <x v="0"/>
    <x v="2"/>
    <x v="0"/>
  </r>
  <r>
    <x v="0"/>
    <x v="0"/>
    <n v="2239196873"/>
    <x v="2"/>
    <n v="3500"/>
    <x v="1"/>
    <x v="0"/>
    <x v="41"/>
    <x v="2"/>
    <x v="0"/>
    <x v="0"/>
    <x v="2"/>
    <x v="0"/>
  </r>
  <r>
    <x v="0"/>
    <x v="0"/>
    <n v="2239196874"/>
    <x v="5"/>
    <n v="-700"/>
    <x v="1"/>
    <x v="0"/>
    <x v="41"/>
    <x v="5"/>
    <x v="0"/>
    <x v="0"/>
    <x v="5"/>
    <x v="0"/>
  </r>
  <r>
    <x v="0"/>
    <x v="0"/>
    <n v="2239196874"/>
    <x v="4"/>
    <n v="6000"/>
    <x v="1"/>
    <x v="0"/>
    <x v="41"/>
    <x v="4"/>
    <x v="0"/>
    <x v="0"/>
    <x v="4"/>
    <x v="0"/>
  </r>
  <r>
    <x v="0"/>
    <x v="0"/>
    <n v="2239196875"/>
    <x v="2"/>
    <n v="11550"/>
    <x v="1"/>
    <x v="0"/>
    <x v="41"/>
    <x v="2"/>
    <x v="0"/>
    <x v="0"/>
    <x v="2"/>
    <x v="0"/>
  </r>
  <r>
    <x v="0"/>
    <x v="0"/>
    <n v="2239196876"/>
    <x v="2"/>
    <n v="11990"/>
    <x v="1"/>
    <x v="0"/>
    <x v="41"/>
    <x v="2"/>
    <x v="0"/>
    <x v="0"/>
    <x v="2"/>
    <x v="0"/>
  </r>
  <r>
    <x v="0"/>
    <x v="0"/>
    <n v="2239196879"/>
    <x v="2"/>
    <n v="2200"/>
    <x v="1"/>
    <x v="0"/>
    <x v="41"/>
    <x v="2"/>
    <x v="0"/>
    <x v="0"/>
    <x v="2"/>
    <x v="0"/>
  </r>
  <r>
    <x v="0"/>
    <x v="0"/>
    <n v="2239196880"/>
    <x v="5"/>
    <n v="-7500"/>
    <x v="1"/>
    <x v="0"/>
    <x v="41"/>
    <x v="5"/>
    <x v="0"/>
    <x v="0"/>
    <x v="5"/>
    <x v="0"/>
  </r>
  <r>
    <x v="0"/>
    <x v="0"/>
    <n v="2239196880"/>
    <x v="6"/>
    <n v="10000"/>
    <x v="1"/>
    <x v="0"/>
    <x v="41"/>
    <x v="6"/>
    <x v="0"/>
    <x v="0"/>
    <x v="5"/>
    <x v="0"/>
  </r>
  <r>
    <x v="0"/>
    <x v="0"/>
    <n v="2239196881"/>
    <x v="2"/>
    <n v="31240"/>
    <x v="1"/>
    <x v="0"/>
    <x v="41"/>
    <x v="2"/>
    <x v="0"/>
    <x v="0"/>
    <x v="2"/>
    <x v="0"/>
  </r>
  <r>
    <x v="0"/>
    <x v="0"/>
    <n v="2239196882"/>
    <x v="3"/>
    <n v="6000"/>
    <x v="1"/>
    <x v="0"/>
    <x v="41"/>
    <x v="3"/>
    <x v="0"/>
    <x v="0"/>
    <x v="3"/>
    <x v="0"/>
  </r>
  <r>
    <x v="0"/>
    <x v="0"/>
    <n v="2239196884"/>
    <x v="2"/>
    <n v="6500"/>
    <x v="1"/>
    <x v="0"/>
    <x v="41"/>
    <x v="2"/>
    <x v="0"/>
    <x v="0"/>
    <x v="2"/>
    <x v="0"/>
  </r>
  <r>
    <x v="0"/>
    <x v="0"/>
    <n v="2239196885"/>
    <x v="6"/>
    <n v="1000"/>
    <x v="1"/>
    <x v="0"/>
    <x v="41"/>
    <x v="6"/>
    <x v="0"/>
    <x v="0"/>
    <x v="5"/>
    <x v="0"/>
  </r>
  <r>
    <x v="0"/>
    <x v="0"/>
    <n v="2239196887"/>
    <x v="5"/>
    <n v="-2000"/>
    <x v="1"/>
    <x v="0"/>
    <x v="41"/>
    <x v="5"/>
    <x v="0"/>
    <x v="0"/>
    <x v="5"/>
    <x v="0"/>
  </r>
  <r>
    <x v="0"/>
    <x v="0"/>
    <n v="2239196887"/>
    <x v="6"/>
    <n v="15000"/>
    <x v="1"/>
    <x v="0"/>
    <x v="41"/>
    <x v="6"/>
    <x v="0"/>
    <x v="0"/>
    <x v="5"/>
    <x v="0"/>
  </r>
  <r>
    <x v="0"/>
    <x v="0"/>
    <n v="2239196888"/>
    <x v="3"/>
    <n v="9900"/>
    <x v="1"/>
    <x v="0"/>
    <x v="41"/>
    <x v="3"/>
    <x v="0"/>
    <x v="0"/>
    <x v="3"/>
    <x v="0"/>
  </r>
  <r>
    <x v="0"/>
    <x v="0"/>
    <n v="2239196889"/>
    <x v="5"/>
    <n v="-7000"/>
    <x v="1"/>
    <x v="0"/>
    <x v="41"/>
    <x v="5"/>
    <x v="0"/>
    <x v="0"/>
    <x v="5"/>
    <x v="0"/>
  </r>
  <r>
    <x v="0"/>
    <x v="0"/>
    <n v="2239196889"/>
    <x v="6"/>
    <n v="10000"/>
    <x v="1"/>
    <x v="0"/>
    <x v="41"/>
    <x v="6"/>
    <x v="0"/>
    <x v="0"/>
    <x v="5"/>
    <x v="0"/>
  </r>
  <r>
    <x v="0"/>
    <x v="0"/>
    <n v="2239196890"/>
    <x v="2"/>
    <n v="13200"/>
    <x v="1"/>
    <x v="0"/>
    <x v="41"/>
    <x v="2"/>
    <x v="0"/>
    <x v="0"/>
    <x v="2"/>
    <x v="0"/>
  </r>
  <r>
    <x v="0"/>
    <x v="0"/>
    <n v="2239196891"/>
    <x v="6"/>
    <n v="3000"/>
    <x v="1"/>
    <x v="0"/>
    <x v="41"/>
    <x v="6"/>
    <x v="0"/>
    <x v="0"/>
    <x v="5"/>
    <x v="0"/>
  </r>
  <r>
    <x v="0"/>
    <x v="0"/>
    <n v="2239196892"/>
    <x v="2"/>
    <n v="11000"/>
    <x v="1"/>
    <x v="0"/>
    <x v="41"/>
    <x v="2"/>
    <x v="0"/>
    <x v="0"/>
    <x v="2"/>
    <x v="0"/>
  </r>
  <r>
    <x v="0"/>
    <x v="0"/>
    <n v="2239196893"/>
    <x v="2"/>
    <n v="3300"/>
    <x v="1"/>
    <x v="0"/>
    <x v="41"/>
    <x v="2"/>
    <x v="0"/>
    <x v="0"/>
    <x v="2"/>
    <x v="0"/>
  </r>
  <r>
    <x v="0"/>
    <x v="0"/>
    <n v="2239196894"/>
    <x v="2"/>
    <n v="14300"/>
    <x v="1"/>
    <x v="0"/>
    <x v="41"/>
    <x v="2"/>
    <x v="0"/>
    <x v="0"/>
    <x v="2"/>
    <x v="0"/>
  </r>
  <r>
    <x v="0"/>
    <x v="0"/>
    <n v="2239196895"/>
    <x v="5"/>
    <n v="-7500"/>
    <x v="1"/>
    <x v="0"/>
    <x v="41"/>
    <x v="5"/>
    <x v="0"/>
    <x v="0"/>
    <x v="5"/>
    <x v="0"/>
  </r>
  <r>
    <x v="0"/>
    <x v="0"/>
    <n v="2239196895"/>
    <x v="6"/>
    <n v="20000"/>
    <x v="1"/>
    <x v="0"/>
    <x v="41"/>
    <x v="6"/>
    <x v="0"/>
    <x v="0"/>
    <x v="5"/>
    <x v="0"/>
  </r>
  <r>
    <x v="0"/>
    <x v="0"/>
    <n v="2239196896"/>
    <x v="1"/>
    <n v="9200"/>
    <x v="1"/>
    <x v="0"/>
    <x v="41"/>
    <x v="1"/>
    <x v="0"/>
    <x v="0"/>
    <x v="1"/>
    <x v="0"/>
  </r>
  <r>
    <x v="0"/>
    <x v="0"/>
    <n v="2239196898"/>
    <x v="2"/>
    <n v="10890"/>
    <x v="1"/>
    <x v="0"/>
    <x v="41"/>
    <x v="2"/>
    <x v="0"/>
    <x v="0"/>
    <x v="2"/>
    <x v="0"/>
  </r>
  <r>
    <x v="0"/>
    <x v="0"/>
    <n v="2239196899"/>
    <x v="3"/>
    <n v="7040"/>
    <x v="1"/>
    <x v="0"/>
    <x v="41"/>
    <x v="3"/>
    <x v="0"/>
    <x v="0"/>
    <x v="3"/>
    <x v="0"/>
  </r>
  <r>
    <x v="0"/>
    <x v="0"/>
    <n v="2239196900"/>
    <x v="2"/>
    <n v="27390"/>
    <x v="1"/>
    <x v="0"/>
    <x v="41"/>
    <x v="2"/>
    <x v="0"/>
    <x v="0"/>
    <x v="2"/>
    <x v="0"/>
  </r>
  <r>
    <x v="0"/>
    <x v="0"/>
    <n v="2239196901"/>
    <x v="2"/>
    <n v="6500"/>
    <x v="1"/>
    <x v="0"/>
    <x v="41"/>
    <x v="2"/>
    <x v="0"/>
    <x v="0"/>
    <x v="2"/>
    <x v="0"/>
  </r>
  <r>
    <x v="0"/>
    <x v="0"/>
    <n v="2239196902"/>
    <x v="2"/>
    <n v="43340"/>
    <x v="1"/>
    <x v="0"/>
    <x v="41"/>
    <x v="2"/>
    <x v="0"/>
    <x v="0"/>
    <x v="2"/>
    <x v="0"/>
  </r>
  <r>
    <x v="0"/>
    <x v="0"/>
    <n v="2239196903"/>
    <x v="2"/>
    <n v="21450"/>
    <x v="1"/>
    <x v="0"/>
    <x v="41"/>
    <x v="2"/>
    <x v="0"/>
    <x v="0"/>
    <x v="2"/>
    <x v="0"/>
  </r>
  <r>
    <x v="0"/>
    <x v="0"/>
    <n v="2239196904"/>
    <x v="5"/>
    <n v="-3500"/>
    <x v="1"/>
    <x v="0"/>
    <x v="41"/>
    <x v="5"/>
    <x v="0"/>
    <x v="0"/>
    <x v="5"/>
    <x v="0"/>
  </r>
  <r>
    <x v="0"/>
    <x v="0"/>
    <n v="2239196904"/>
    <x v="6"/>
    <n v="10000"/>
    <x v="1"/>
    <x v="0"/>
    <x v="41"/>
    <x v="6"/>
    <x v="0"/>
    <x v="0"/>
    <x v="5"/>
    <x v="0"/>
  </r>
  <r>
    <x v="0"/>
    <x v="0"/>
    <n v="2239196906"/>
    <x v="3"/>
    <n v="12300"/>
    <x v="1"/>
    <x v="0"/>
    <x v="41"/>
    <x v="3"/>
    <x v="0"/>
    <x v="0"/>
    <x v="3"/>
    <x v="0"/>
  </r>
  <r>
    <x v="0"/>
    <x v="0"/>
    <n v="2239196907"/>
    <x v="2"/>
    <n v="17600"/>
    <x v="1"/>
    <x v="0"/>
    <x v="41"/>
    <x v="2"/>
    <x v="0"/>
    <x v="0"/>
    <x v="2"/>
    <x v="0"/>
  </r>
  <r>
    <x v="0"/>
    <x v="0"/>
    <n v="2239196908"/>
    <x v="5"/>
    <n v="-4000"/>
    <x v="1"/>
    <x v="0"/>
    <x v="41"/>
    <x v="5"/>
    <x v="0"/>
    <x v="0"/>
    <x v="5"/>
    <x v="0"/>
  </r>
  <r>
    <x v="0"/>
    <x v="0"/>
    <n v="2239196908"/>
    <x v="6"/>
    <n v="5000"/>
    <x v="1"/>
    <x v="0"/>
    <x v="41"/>
    <x v="6"/>
    <x v="0"/>
    <x v="0"/>
    <x v="5"/>
    <x v="0"/>
  </r>
  <r>
    <x v="0"/>
    <x v="0"/>
    <n v="2239196911"/>
    <x v="5"/>
    <n v="-2500"/>
    <x v="1"/>
    <x v="0"/>
    <x v="41"/>
    <x v="5"/>
    <x v="0"/>
    <x v="0"/>
    <x v="5"/>
    <x v="0"/>
  </r>
  <r>
    <x v="0"/>
    <x v="0"/>
    <n v="2239196911"/>
    <x v="6"/>
    <n v="10000"/>
    <x v="1"/>
    <x v="0"/>
    <x v="41"/>
    <x v="6"/>
    <x v="0"/>
    <x v="0"/>
    <x v="5"/>
    <x v="0"/>
  </r>
  <r>
    <x v="0"/>
    <x v="0"/>
    <n v="2239196912"/>
    <x v="6"/>
    <n v="2000"/>
    <x v="1"/>
    <x v="0"/>
    <x v="41"/>
    <x v="6"/>
    <x v="0"/>
    <x v="0"/>
    <x v="5"/>
    <x v="0"/>
  </r>
  <r>
    <x v="0"/>
    <x v="0"/>
    <n v="2239196913"/>
    <x v="3"/>
    <n v="11550"/>
    <x v="1"/>
    <x v="0"/>
    <x v="41"/>
    <x v="3"/>
    <x v="0"/>
    <x v="0"/>
    <x v="3"/>
    <x v="0"/>
  </r>
  <r>
    <x v="0"/>
    <x v="0"/>
    <n v="2239196914"/>
    <x v="3"/>
    <n v="4180"/>
    <x v="1"/>
    <x v="0"/>
    <x v="41"/>
    <x v="3"/>
    <x v="0"/>
    <x v="0"/>
    <x v="3"/>
    <x v="0"/>
  </r>
  <r>
    <x v="0"/>
    <x v="0"/>
    <n v="2239196915"/>
    <x v="2"/>
    <n v="13000"/>
    <x v="1"/>
    <x v="0"/>
    <x v="41"/>
    <x v="2"/>
    <x v="0"/>
    <x v="0"/>
    <x v="2"/>
    <x v="0"/>
  </r>
  <r>
    <x v="0"/>
    <x v="0"/>
    <n v="2239196916"/>
    <x v="3"/>
    <n v="24090"/>
    <x v="1"/>
    <x v="0"/>
    <x v="41"/>
    <x v="3"/>
    <x v="0"/>
    <x v="0"/>
    <x v="3"/>
    <x v="0"/>
  </r>
  <r>
    <x v="0"/>
    <x v="0"/>
    <n v="2239196917"/>
    <x v="5"/>
    <n v="-10500"/>
    <x v="1"/>
    <x v="0"/>
    <x v="41"/>
    <x v="5"/>
    <x v="0"/>
    <x v="0"/>
    <x v="5"/>
    <x v="0"/>
  </r>
  <r>
    <x v="0"/>
    <x v="0"/>
    <n v="2239196917"/>
    <x v="6"/>
    <n v="20000"/>
    <x v="1"/>
    <x v="0"/>
    <x v="41"/>
    <x v="6"/>
    <x v="0"/>
    <x v="0"/>
    <x v="5"/>
    <x v="0"/>
  </r>
  <r>
    <x v="0"/>
    <x v="0"/>
    <n v="2239196918"/>
    <x v="2"/>
    <n v="4960"/>
    <x v="1"/>
    <x v="0"/>
    <x v="41"/>
    <x v="2"/>
    <x v="0"/>
    <x v="0"/>
    <x v="2"/>
    <x v="0"/>
  </r>
  <r>
    <x v="0"/>
    <x v="0"/>
    <n v="2239196920"/>
    <x v="2"/>
    <n v="19800"/>
    <x v="1"/>
    <x v="0"/>
    <x v="41"/>
    <x v="2"/>
    <x v="0"/>
    <x v="0"/>
    <x v="2"/>
    <x v="0"/>
  </r>
  <r>
    <x v="0"/>
    <x v="0"/>
    <n v="2239196921"/>
    <x v="5"/>
    <n v="-5500"/>
    <x v="1"/>
    <x v="0"/>
    <x v="41"/>
    <x v="5"/>
    <x v="0"/>
    <x v="0"/>
    <x v="5"/>
    <x v="0"/>
  </r>
  <r>
    <x v="0"/>
    <x v="0"/>
    <n v="2239196921"/>
    <x v="6"/>
    <n v="15000"/>
    <x v="1"/>
    <x v="0"/>
    <x v="41"/>
    <x v="6"/>
    <x v="0"/>
    <x v="0"/>
    <x v="5"/>
    <x v="0"/>
  </r>
  <r>
    <x v="0"/>
    <x v="0"/>
    <n v="2239196922"/>
    <x v="2"/>
    <n v="6500"/>
    <x v="1"/>
    <x v="0"/>
    <x v="41"/>
    <x v="2"/>
    <x v="0"/>
    <x v="0"/>
    <x v="2"/>
    <x v="0"/>
  </r>
  <r>
    <x v="0"/>
    <x v="0"/>
    <n v="2239196923"/>
    <x v="2"/>
    <n v="15000"/>
    <x v="1"/>
    <x v="0"/>
    <x v="41"/>
    <x v="2"/>
    <x v="0"/>
    <x v="0"/>
    <x v="2"/>
    <x v="0"/>
  </r>
  <r>
    <x v="0"/>
    <x v="0"/>
    <n v="2239196924"/>
    <x v="2"/>
    <n v="17600"/>
    <x v="1"/>
    <x v="0"/>
    <x v="41"/>
    <x v="2"/>
    <x v="0"/>
    <x v="0"/>
    <x v="2"/>
    <x v="0"/>
  </r>
  <r>
    <x v="0"/>
    <x v="0"/>
    <n v="2239196925"/>
    <x v="2"/>
    <n v="4500"/>
    <x v="1"/>
    <x v="0"/>
    <x v="41"/>
    <x v="2"/>
    <x v="0"/>
    <x v="0"/>
    <x v="2"/>
    <x v="0"/>
  </r>
  <r>
    <x v="0"/>
    <x v="0"/>
    <n v="2239196926"/>
    <x v="3"/>
    <n v="11500"/>
    <x v="1"/>
    <x v="0"/>
    <x v="41"/>
    <x v="3"/>
    <x v="0"/>
    <x v="0"/>
    <x v="3"/>
    <x v="0"/>
  </r>
  <r>
    <x v="0"/>
    <x v="0"/>
    <n v="2239196928"/>
    <x v="3"/>
    <n v="4000"/>
    <x v="1"/>
    <x v="0"/>
    <x v="41"/>
    <x v="3"/>
    <x v="0"/>
    <x v="0"/>
    <x v="3"/>
    <x v="0"/>
  </r>
  <r>
    <x v="0"/>
    <x v="0"/>
    <n v="2239196930"/>
    <x v="2"/>
    <n v="22990"/>
    <x v="1"/>
    <x v="0"/>
    <x v="41"/>
    <x v="2"/>
    <x v="0"/>
    <x v="0"/>
    <x v="2"/>
    <x v="0"/>
  </r>
  <r>
    <x v="0"/>
    <x v="0"/>
    <n v="2239196931"/>
    <x v="3"/>
    <n v="7500"/>
    <x v="1"/>
    <x v="0"/>
    <x v="41"/>
    <x v="3"/>
    <x v="0"/>
    <x v="0"/>
    <x v="3"/>
    <x v="0"/>
  </r>
  <r>
    <x v="0"/>
    <x v="0"/>
    <n v="2239196932"/>
    <x v="5"/>
    <n v="-2500"/>
    <x v="1"/>
    <x v="0"/>
    <x v="41"/>
    <x v="5"/>
    <x v="0"/>
    <x v="0"/>
    <x v="5"/>
    <x v="0"/>
  </r>
  <r>
    <x v="0"/>
    <x v="0"/>
    <n v="2239196932"/>
    <x v="6"/>
    <n v="10000"/>
    <x v="1"/>
    <x v="0"/>
    <x v="41"/>
    <x v="6"/>
    <x v="0"/>
    <x v="0"/>
    <x v="5"/>
    <x v="0"/>
  </r>
  <r>
    <x v="0"/>
    <x v="0"/>
    <n v="2239196933"/>
    <x v="3"/>
    <n v="3000"/>
    <x v="1"/>
    <x v="0"/>
    <x v="41"/>
    <x v="3"/>
    <x v="0"/>
    <x v="0"/>
    <x v="3"/>
    <x v="0"/>
  </r>
  <r>
    <x v="0"/>
    <x v="0"/>
    <n v="2239196934"/>
    <x v="3"/>
    <n v="20000"/>
    <x v="1"/>
    <x v="0"/>
    <x v="41"/>
    <x v="3"/>
    <x v="0"/>
    <x v="0"/>
    <x v="3"/>
    <x v="0"/>
  </r>
  <r>
    <x v="0"/>
    <x v="0"/>
    <n v="2239196935"/>
    <x v="2"/>
    <n v="6600"/>
    <x v="1"/>
    <x v="0"/>
    <x v="41"/>
    <x v="2"/>
    <x v="0"/>
    <x v="0"/>
    <x v="2"/>
    <x v="0"/>
  </r>
  <r>
    <x v="0"/>
    <x v="0"/>
    <n v="2239196936"/>
    <x v="5"/>
    <n v="-300"/>
    <x v="1"/>
    <x v="0"/>
    <x v="41"/>
    <x v="5"/>
    <x v="0"/>
    <x v="0"/>
    <x v="5"/>
    <x v="0"/>
  </r>
  <r>
    <x v="0"/>
    <x v="0"/>
    <n v="2239196936"/>
    <x v="4"/>
    <n v="6000"/>
    <x v="1"/>
    <x v="0"/>
    <x v="41"/>
    <x v="4"/>
    <x v="0"/>
    <x v="0"/>
    <x v="4"/>
    <x v="0"/>
  </r>
  <r>
    <x v="0"/>
    <x v="0"/>
    <n v="2239196937"/>
    <x v="2"/>
    <n v="24750"/>
    <x v="1"/>
    <x v="0"/>
    <x v="41"/>
    <x v="2"/>
    <x v="0"/>
    <x v="0"/>
    <x v="2"/>
    <x v="0"/>
  </r>
  <r>
    <x v="0"/>
    <x v="0"/>
    <n v="2239196939"/>
    <x v="2"/>
    <n v="7000"/>
    <x v="1"/>
    <x v="0"/>
    <x v="41"/>
    <x v="2"/>
    <x v="0"/>
    <x v="0"/>
    <x v="2"/>
    <x v="0"/>
  </r>
  <r>
    <x v="0"/>
    <x v="0"/>
    <n v="2239196940"/>
    <x v="2"/>
    <n v="9000"/>
    <x v="1"/>
    <x v="0"/>
    <x v="41"/>
    <x v="2"/>
    <x v="0"/>
    <x v="0"/>
    <x v="2"/>
    <x v="0"/>
  </r>
  <r>
    <x v="0"/>
    <x v="0"/>
    <n v="2239196941"/>
    <x v="3"/>
    <n v="19074"/>
    <x v="1"/>
    <x v="0"/>
    <x v="41"/>
    <x v="3"/>
    <x v="0"/>
    <x v="0"/>
    <x v="3"/>
    <x v="0"/>
  </r>
  <r>
    <x v="0"/>
    <x v="0"/>
    <n v="2239196942"/>
    <x v="5"/>
    <n v="-9500"/>
    <x v="1"/>
    <x v="0"/>
    <x v="41"/>
    <x v="5"/>
    <x v="0"/>
    <x v="0"/>
    <x v="5"/>
    <x v="0"/>
  </r>
  <r>
    <x v="0"/>
    <x v="0"/>
    <n v="2239196942"/>
    <x v="6"/>
    <n v="20000"/>
    <x v="1"/>
    <x v="0"/>
    <x v="41"/>
    <x v="6"/>
    <x v="0"/>
    <x v="0"/>
    <x v="5"/>
    <x v="0"/>
  </r>
  <r>
    <x v="0"/>
    <x v="0"/>
    <n v="2239196943"/>
    <x v="4"/>
    <n v="4400"/>
    <x v="1"/>
    <x v="0"/>
    <x v="41"/>
    <x v="4"/>
    <x v="0"/>
    <x v="0"/>
    <x v="4"/>
    <x v="0"/>
  </r>
  <r>
    <x v="0"/>
    <x v="0"/>
    <n v="2239196944"/>
    <x v="2"/>
    <n v="16500"/>
    <x v="1"/>
    <x v="0"/>
    <x v="41"/>
    <x v="2"/>
    <x v="0"/>
    <x v="0"/>
    <x v="2"/>
    <x v="0"/>
  </r>
  <r>
    <x v="0"/>
    <x v="0"/>
    <n v="2239196945"/>
    <x v="2"/>
    <n v="7700"/>
    <x v="1"/>
    <x v="0"/>
    <x v="41"/>
    <x v="2"/>
    <x v="0"/>
    <x v="0"/>
    <x v="2"/>
    <x v="0"/>
  </r>
  <r>
    <x v="0"/>
    <x v="0"/>
    <n v="2239196946"/>
    <x v="2"/>
    <n v="6500"/>
    <x v="1"/>
    <x v="0"/>
    <x v="41"/>
    <x v="2"/>
    <x v="0"/>
    <x v="0"/>
    <x v="2"/>
    <x v="0"/>
  </r>
  <r>
    <x v="0"/>
    <x v="0"/>
    <n v="2239196947"/>
    <x v="2"/>
    <n v="38500"/>
    <x v="1"/>
    <x v="0"/>
    <x v="41"/>
    <x v="2"/>
    <x v="0"/>
    <x v="0"/>
    <x v="2"/>
    <x v="0"/>
  </r>
  <r>
    <x v="0"/>
    <x v="0"/>
    <n v="2239196948"/>
    <x v="5"/>
    <n v="-1000"/>
    <x v="1"/>
    <x v="0"/>
    <x v="41"/>
    <x v="5"/>
    <x v="0"/>
    <x v="0"/>
    <x v="5"/>
    <x v="0"/>
  </r>
  <r>
    <x v="0"/>
    <x v="0"/>
    <n v="2239196948"/>
    <x v="6"/>
    <n v="7000"/>
    <x v="1"/>
    <x v="0"/>
    <x v="41"/>
    <x v="6"/>
    <x v="0"/>
    <x v="0"/>
    <x v="5"/>
    <x v="0"/>
  </r>
  <r>
    <x v="0"/>
    <x v="0"/>
    <n v="2239196949"/>
    <x v="1"/>
    <n v="4500"/>
    <x v="1"/>
    <x v="0"/>
    <x v="41"/>
    <x v="1"/>
    <x v="0"/>
    <x v="0"/>
    <x v="1"/>
    <x v="0"/>
  </r>
  <r>
    <x v="0"/>
    <x v="0"/>
    <n v="2239196950"/>
    <x v="2"/>
    <n v="26000"/>
    <x v="1"/>
    <x v="0"/>
    <x v="41"/>
    <x v="2"/>
    <x v="0"/>
    <x v="0"/>
    <x v="2"/>
    <x v="0"/>
  </r>
  <r>
    <x v="0"/>
    <x v="0"/>
    <n v="2239196951"/>
    <x v="5"/>
    <n v="-5000"/>
    <x v="1"/>
    <x v="0"/>
    <x v="41"/>
    <x v="5"/>
    <x v="0"/>
    <x v="0"/>
    <x v="5"/>
    <x v="0"/>
  </r>
  <r>
    <x v="0"/>
    <x v="0"/>
    <n v="2239196951"/>
    <x v="6"/>
    <n v="20000"/>
    <x v="1"/>
    <x v="0"/>
    <x v="41"/>
    <x v="6"/>
    <x v="0"/>
    <x v="0"/>
    <x v="5"/>
    <x v="0"/>
  </r>
  <r>
    <x v="0"/>
    <x v="0"/>
    <n v="2239196952"/>
    <x v="3"/>
    <n v="5200"/>
    <x v="1"/>
    <x v="0"/>
    <x v="41"/>
    <x v="3"/>
    <x v="0"/>
    <x v="0"/>
    <x v="3"/>
    <x v="0"/>
  </r>
  <r>
    <x v="0"/>
    <x v="0"/>
    <n v="2239196952"/>
    <x v="7"/>
    <n v="1300"/>
    <x v="1"/>
    <x v="0"/>
    <x v="41"/>
    <x v="7"/>
    <x v="0"/>
    <x v="0"/>
    <x v="1"/>
    <x v="0"/>
  </r>
  <r>
    <x v="0"/>
    <x v="0"/>
    <n v="2239196953"/>
    <x v="2"/>
    <n v="5200"/>
    <x v="1"/>
    <x v="0"/>
    <x v="41"/>
    <x v="2"/>
    <x v="0"/>
    <x v="0"/>
    <x v="2"/>
    <x v="0"/>
  </r>
  <r>
    <x v="0"/>
    <x v="0"/>
    <n v="2239196953"/>
    <x v="7"/>
    <n v="1300"/>
    <x v="1"/>
    <x v="0"/>
    <x v="41"/>
    <x v="7"/>
    <x v="0"/>
    <x v="0"/>
    <x v="1"/>
    <x v="0"/>
  </r>
  <r>
    <x v="0"/>
    <x v="0"/>
    <n v="2239196954"/>
    <x v="5"/>
    <n v="-5000"/>
    <x v="1"/>
    <x v="0"/>
    <x v="41"/>
    <x v="5"/>
    <x v="0"/>
    <x v="0"/>
    <x v="5"/>
    <x v="0"/>
  </r>
  <r>
    <x v="0"/>
    <x v="0"/>
    <n v="2239196954"/>
    <x v="4"/>
    <n v="10300"/>
    <x v="1"/>
    <x v="0"/>
    <x v="41"/>
    <x v="4"/>
    <x v="0"/>
    <x v="0"/>
    <x v="4"/>
    <x v="0"/>
  </r>
  <r>
    <x v="0"/>
    <x v="0"/>
    <n v="2239196955"/>
    <x v="5"/>
    <n v="-2900"/>
    <x v="1"/>
    <x v="0"/>
    <x v="41"/>
    <x v="5"/>
    <x v="0"/>
    <x v="0"/>
    <x v="5"/>
    <x v="0"/>
  </r>
  <r>
    <x v="0"/>
    <x v="0"/>
    <n v="2239196955"/>
    <x v="6"/>
    <n v="20000"/>
    <x v="1"/>
    <x v="0"/>
    <x v="41"/>
    <x v="6"/>
    <x v="0"/>
    <x v="0"/>
    <x v="5"/>
    <x v="0"/>
  </r>
  <r>
    <x v="0"/>
    <x v="0"/>
    <n v="2239196956"/>
    <x v="2"/>
    <n v="17600"/>
    <x v="1"/>
    <x v="0"/>
    <x v="41"/>
    <x v="2"/>
    <x v="0"/>
    <x v="0"/>
    <x v="2"/>
    <x v="0"/>
  </r>
  <r>
    <x v="0"/>
    <x v="0"/>
    <n v="2239196958"/>
    <x v="2"/>
    <n v="13000"/>
    <x v="1"/>
    <x v="0"/>
    <x v="41"/>
    <x v="2"/>
    <x v="0"/>
    <x v="0"/>
    <x v="2"/>
    <x v="0"/>
  </r>
  <r>
    <x v="0"/>
    <x v="0"/>
    <n v="2239196959"/>
    <x v="2"/>
    <n v="24200"/>
    <x v="1"/>
    <x v="0"/>
    <x v="41"/>
    <x v="2"/>
    <x v="0"/>
    <x v="0"/>
    <x v="2"/>
    <x v="0"/>
  </r>
  <r>
    <x v="0"/>
    <x v="0"/>
    <n v="2239196960"/>
    <x v="5"/>
    <n v="-6000"/>
    <x v="1"/>
    <x v="0"/>
    <x v="41"/>
    <x v="5"/>
    <x v="0"/>
    <x v="0"/>
    <x v="5"/>
    <x v="0"/>
  </r>
  <r>
    <x v="0"/>
    <x v="0"/>
    <n v="2239196960"/>
    <x v="6"/>
    <n v="10000"/>
    <x v="1"/>
    <x v="0"/>
    <x v="41"/>
    <x v="6"/>
    <x v="0"/>
    <x v="0"/>
    <x v="5"/>
    <x v="0"/>
  </r>
  <r>
    <x v="0"/>
    <x v="0"/>
    <n v="2239196962"/>
    <x v="4"/>
    <n v="5300"/>
    <x v="1"/>
    <x v="0"/>
    <x v="41"/>
    <x v="4"/>
    <x v="0"/>
    <x v="0"/>
    <x v="4"/>
    <x v="0"/>
  </r>
  <r>
    <x v="0"/>
    <x v="0"/>
    <n v="2239196963"/>
    <x v="5"/>
    <n v="-7000"/>
    <x v="1"/>
    <x v="0"/>
    <x v="41"/>
    <x v="5"/>
    <x v="0"/>
    <x v="0"/>
    <x v="5"/>
    <x v="0"/>
  </r>
  <r>
    <x v="0"/>
    <x v="0"/>
    <n v="2239196963"/>
    <x v="6"/>
    <n v="20500"/>
    <x v="1"/>
    <x v="0"/>
    <x v="41"/>
    <x v="6"/>
    <x v="0"/>
    <x v="0"/>
    <x v="5"/>
    <x v="0"/>
  </r>
  <r>
    <x v="0"/>
    <x v="0"/>
    <n v="2239196964"/>
    <x v="2"/>
    <n v="15950"/>
    <x v="1"/>
    <x v="0"/>
    <x v="41"/>
    <x v="2"/>
    <x v="0"/>
    <x v="0"/>
    <x v="2"/>
    <x v="0"/>
  </r>
  <r>
    <x v="0"/>
    <x v="0"/>
    <n v="2239196965"/>
    <x v="4"/>
    <n v="5300"/>
    <x v="1"/>
    <x v="0"/>
    <x v="41"/>
    <x v="4"/>
    <x v="0"/>
    <x v="0"/>
    <x v="4"/>
    <x v="0"/>
  </r>
  <r>
    <x v="0"/>
    <x v="0"/>
    <n v="2239196966"/>
    <x v="3"/>
    <n v="45500"/>
    <x v="1"/>
    <x v="0"/>
    <x v="41"/>
    <x v="3"/>
    <x v="0"/>
    <x v="0"/>
    <x v="3"/>
    <x v="0"/>
  </r>
  <r>
    <x v="0"/>
    <x v="0"/>
    <n v="2239196967"/>
    <x v="3"/>
    <n v="13984"/>
    <x v="1"/>
    <x v="0"/>
    <x v="41"/>
    <x v="3"/>
    <x v="0"/>
    <x v="0"/>
    <x v="3"/>
    <x v="0"/>
  </r>
  <r>
    <x v="0"/>
    <x v="0"/>
    <n v="2239196968"/>
    <x v="2"/>
    <n v="13000"/>
    <x v="1"/>
    <x v="0"/>
    <x v="41"/>
    <x v="2"/>
    <x v="0"/>
    <x v="0"/>
    <x v="2"/>
    <x v="0"/>
  </r>
  <r>
    <x v="0"/>
    <x v="0"/>
    <n v="2239196970"/>
    <x v="2"/>
    <n v="6500"/>
    <x v="1"/>
    <x v="0"/>
    <x v="41"/>
    <x v="2"/>
    <x v="0"/>
    <x v="0"/>
    <x v="2"/>
    <x v="0"/>
  </r>
  <r>
    <x v="0"/>
    <x v="0"/>
    <n v="2239196972"/>
    <x v="5"/>
    <n v="-8600"/>
    <x v="1"/>
    <x v="0"/>
    <x v="41"/>
    <x v="5"/>
    <x v="0"/>
    <x v="0"/>
    <x v="5"/>
    <x v="0"/>
  </r>
  <r>
    <x v="0"/>
    <x v="0"/>
    <n v="2239196972"/>
    <x v="4"/>
    <n v="20000"/>
    <x v="1"/>
    <x v="0"/>
    <x v="41"/>
    <x v="4"/>
    <x v="0"/>
    <x v="0"/>
    <x v="4"/>
    <x v="0"/>
  </r>
  <r>
    <x v="0"/>
    <x v="0"/>
    <n v="2239196973"/>
    <x v="2"/>
    <n v="19500"/>
    <x v="1"/>
    <x v="0"/>
    <x v="41"/>
    <x v="2"/>
    <x v="0"/>
    <x v="0"/>
    <x v="2"/>
    <x v="0"/>
  </r>
  <r>
    <x v="0"/>
    <x v="0"/>
    <n v="2239196974"/>
    <x v="7"/>
    <n v="2600"/>
    <x v="1"/>
    <x v="0"/>
    <x v="41"/>
    <x v="7"/>
    <x v="0"/>
    <x v="0"/>
    <x v="1"/>
    <x v="0"/>
  </r>
  <r>
    <x v="0"/>
    <x v="0"/>
    <n v="2239196976"/>
    <x v="3"/>
    <n v="5200"/>
    <x v="1"/>
    <x v="0"/>
    <x v="41"/>
    <x v="3"/>
    <x v="0"/>
    <x v="0"/>
    <x v="3"/>
    <x v="0"/>
  </r>
  <r>
    <x v="0"/>
    <x v="0"/>
    <n v="2239196976"/>
    <x v="7"/>
    <n v="1300"/>
    <x v="1"/>
    <x v="0"/>
    <x v="41"/>
    <x v="7"/>
    <x v="0"/>
    <x v="0"/>
    <x v="1"/>
    <x v="0"/>
  </r>
  <r>
    <x v="0"/>
    <x v="0"/>
    <n v="2239196977"/>
    <x v="5"/>
    <n v="-16200"/>
    <x v="1"/>
    <x v="0"/>
    <x v="41"/>
    <x v="5"/>
    <x v="0"/>
    <x v="0"/>
    <x v="5"/>
    <x v="0"/>
  </r>
  <r>
    <x v="0"/>
    <x v="0"/>
    <n v="2239196977"/>
    <x v="6"/>
    <n v="20000"/>
    <x v="1"/>
    <x v="0"/>
    <x v="41"/>
    <x v="6"/>
    <x v="0"/>
    <x v="0"/>
    <x v="5"/>
    <x v="0"/>
  </r>
  <r>
    <x v="0"/>
    <x v="0"/>
    <n v="2239196978"/>
    <x v="5"/>
    <n v="-4700"/>
    <x v="1"/>
    <x v="0"/>
    <x v="41"/>
    <x v="5"/>
    <x v="0"/>
    <x v="0"/>
    <x v="5"/>
    <x v="0"/>
  </r>
  <r>
    <x v="0"/>
    <x v="0"/>
    <n v="2239196978"/>
    <x v="4"/>
    <n v="10000"/>
    <x v="1"/>
    <x v="0"/>
    <x v="41"/>
    <x v="4"/>
    <x v="0"/>
    <x v="0"/>
    <x v="4"/>
    <x v="0"/>
  </r>
  <r>
    <x v="0"/>
    <x v="0"/>
    <n v="2239196979"/>
    <x v="2"/>
    <n v="6000"/>
    <x v="1"/>
    <x v="0"/>
    <x v="41"/>
    <x v="2"/>
    <x v="0"/>
    <x v="0"/>
    <x v="2"/>
    <x v="0"/>
  </r>
  <r>
    <x v="0"/>
    <x v="0"/>
    <n v="2239196980"/>
    <x v="2"/>
    <n v="14300"/>
    <x v="1"/>
    <x v="0"/>
    <x v="41"/>
    <x v="2"/>
    <x v="0"/>
    <x v="0"/>
    <x v="2"/>
    <x v="0"/>
  </r>
  <r>
    <x v="0"/>
    <x v="0"/>
    <n v="2239196981"/>
    <x v="2"/>
    <n v="5720"/>
    <x v="1"/>
    <x v="0"/>
    <x v="41"/>
    <x v="2"/>
    <x v="0"/>
    <x v="0"/>
    <x v="2"/>
    <x v="0"/>
  </r>
  <r>
    <x v="0"/>
    <x v="0"/>
    <n v="2239196981"/>
    <x v="7"/>
    <n v="1300"/>
    <x v="1"/>
    <x v="0"/>
    <x v="41"/>
    <x v="7"/>
    <x v="0"/>
    <x v="0"/>
    <x v="1"/>
    <x v="0"/>
  </r>
  <r>
    <x v="0"/>
    <x v="0"/>
    <n v="2239196982"/>
    <x v="2"/>
    <n v="12100"/>
    <x v="1"/>
    <x v="0"/>
    <x v="41"/>
    <x v="2"/>
    <x v="0"/>
    <x v="0"/>
    <x v="2"/>
    <x v="0"/>
  </r>
  <r>
    <x v="0"/>
    <x v="0"/>
    <n v="2239196983"/>
    <x v="2"/>
    <n v="15000"/>
    <x v="1"/>
    <x v="0"/>
    <x v="41"/>
    <x v="2"/>
    <x v="0"/>
    <x v="0"/>
    <x v="2"/>
    <x v="0"/>
  </r>
  <r>
    <x v="0"/>
    <x v="0"/>
    <n v="2239196984"/>
    <x v="2"/>
    <n v="16786"/>
    <x v="1"/>
    <x v="0"/>
    <x v="41"/>
    <x v="2"/>
    <x v="0"/>
    <x v="0"/>
    <x v="2"/>
    <x v="0"/>
  </r>
  <r>
    <x v="0"/>
    <x v="0"/>
    <n v="2239196984"/>
    <x v="7"/>
    <n v="6540"/>
    <x v="1"/>
    <x v="0"/>
    <x v="41"/>
    <x v="7"/>
    <x v="0"/>
    <x v="0"/>
    <x v="1"/>
    <x v="0"/>
  </r>
  <r>
    <x v="0"/>
    <x v="0"/>
    <n v="2239196985"/>
    <x v="5"/>
    <n v="-4700"/>
    <x v="1"/>
    <x v="0"/>
    <x v="41"/>
    <x v="5"/>
    <x v="0"/>
    <x v="0"/>
    <x v="5"/>
    <x v="0"/>
  </r>
  <r>
    <x v="0"/>
    <x v="0"/>
    <n v="2239196985"/>
    <x v="4"/>
    <n v="10000"/>
    <x v="1"/>
    <x v="0"/>
    <x v="41"/>
    <x v="4"/>
    <x v="0"/>
    <x v="0"/>
    <x v="4"/>
    <x v="0"/>
  </r>
  <r>
    <x v="0"/>
    <x v="0"/>
    <n v="2239196986"/>
    <x v="5"/>
    <n v="-1250"/>
    <x v="1"/>
    <x v="0"/>
    <x v="41"/>
    <x v="5"/>
    <x v="0"/>
    <x v="0"/>
    <x v="5"/>
    <x v="0"/>
  </r>
  <r>
    <x v="0"/>
    <x v="0"/>
    <n v="2239196986"/>
    <x v="6"/>
    <n v="10000"/>
    <x v="1"/>
    <x v="0"/>
    <x v="41"/>
    <x v="6"/>
    <x v="0"/>
    <x v="0"/>
    <x v="5"/>
    <x v="0"/>
  </r>
  <r>
    <x v="0"/>
    <x v="0"/>
    <n v="2239196987"/>
    <x v="4"/>
    <n v="5600"/>
    <x v="1"/>
    <x v="0"/>
    <x v="41"/>
    <x v="4"/>
    <x v="0"/>
    <x v="0"/>
    <x v="4"/>
    <x v="0"/>
  </r>
  <r>
    <x v="0"/>
    <x v="0"/>
    <n v="2239196989"/>
    <x v="2"/>
    <n v="24640"/>
    <x v="1"/>
    <x v="0"/>
    <x v="41"/>
    <x v="2"/>
    <x v="0"/>
    <x v="0"/>
    <x v="2"/>
    <x v="0"/>
  </r>
  <r>
    <x v="0"/>
    <x v="0"/>
    <n v="2239196990"/>
    <x v="2"/>
    <n v="14000"/>
    <x v="1"/>
    <x v="0"/>
    <x v="41"/>
    <x v="2"/>
    <x v="0"/>
    <x v="0"/>
    <x v="2"/>
    <x v="0"/>
  </r>
  <r>
    <x v="0"/>
    <x v="0"/>
    <n v="2239196991"/>
    <x v="2"/>
    <n v="18700"/>
    <x v="1"/>
    <x v="0"/>
    <x v="41"/>
    <x v="2"/>
    <x v="0"/>
    <x v="0"/>
    <x v="2"/>
    <x v="0"/>
  </r>
  <r>
    <x v="0"/>
    <x v="0"/>
    <n v="2239196992"/>
    <x v="2"/>
    <n v="7150"/>
    <x v="1"/>
    <x v="0"/>
    <x v="41"/>
    <x v="2"/>
    <x v="0"/>
    <x v="0"/>
    <x v="2"/>
    <x v="0"/>
  </r>
  <r>
    <x v="0"/>
    <x v="0"/>
    <n v="2239196993"/>
    <x v="4"/>
    <n v="5300"/>
    <x v="1"/>
    <x v="0"/>
    <x v="41"/>
    <x v="4"/>
    <x v="0"/>
    <x v="0"/>
    <x v="4"/>
    <x v="0"/>
  </r>
  <r>
    <x v="0"/>
    <x v="0"/>
    <n v="2239196994"/>
    <x v="2"/>
    <n v="16000"/>
    <x v="1"/>
    <x v="0"/>
    <x v="41"/>
    <x v="2"/>
    <x v="0"/>
    <x v="0"/>
    <x v="2"/>
    <x v="0"/>
  </r>
  <r>
    <x v="0"/>
    <x v="0"/>
    <n v="2239196995"/>
    <x v="2"/>
    <n v="9900"/>
    <x v="1"/>
    <x v="0"/>
    <x v="41"/>
    <x v="2"/>
    <x v="0"/>
    <x v="0"/>
    <x v="2"/>
    <x v="0"/>
  </r>
  <r>
    <x v="0"/>
    <x v="0"/>
    <n v="2239196996"/>
    <x v="1"/>
    <n v="5400"/>
    <x v="1"/>
    <x v="0"/>
    <x v="41"/>
    <x v="1"/>
    <x v="0"/>
    <x v="0"/>
    <x v="1"/>
    <x v="0"/>
  </r>
  <r>
    <x v="0"/>
    <x v="0"/>
    <n v="2239196998"/>
    <x v="2"/>
    <n v="17600"/>
    <x v="1"/>
    <x v="0"/>
    <x v="41"/>
    <x v="2"/>
    <x v="0"/>
    <x v="0"/>
    <x v="2"/>
    <x v="0"/>
  </r>
  <r>
    <x v="0"/>
    <x v="0"/>
    <n v="2239196999"/>
    <x v="5"/>
    <n v="-6000"/>
    <x v="1"/>
    <x v="0"/>
    <x v="41"/>
    <x v="5"/>
    <x v="0"/>
    <x v="0"/>
    <x v="5"/>
    <x v="0"/>
  </r>
  <r>
    <x v="0"/>
    <x v="0"/>
    <n v="2239196999"/>
    <x v="6"/>
    <n v="10500"/>
    <x v="1"/>
    <x v="0"/>
    <x v="41"/>
    <x v="6"/>
    <x v="0"/>
    <x v="0"/>
    <x v="5"/>
    <x v="0"/>
  </r>
  <r>
    <x v="0"/>
    <x v="0"/>
    <n v="2239197000"/>
    <x v="3"/>
    <n v="7150"/>
    <x v="1"/>
    <x v="0"/>
    <x v="41"/>
    <x v="3"/>
    <x v="0"/>
    <x v="0"/>
    <x v="3"/>
    <x v="0"/>
  </r>
  <r>
    <x v="0"/>
    <x v="0"/>
    <n v="2239197001"/>
    <x v="5"/>
    <n v="-10550"/>
    <x v="1"/>
    <x v="0"/>
    <x v="41"/>
    <x v="5"/>
    <x v="0"/>
    <x v="0"/>
    <x v="5"/>
    <x v="0"/>
  </r>
  <r>
    <x v="0"/>
    <x v="0"/>
    <n v="2239197001"/>
    <x v="6"/>
    <n v="20000"/>
    <x v="1"/>
    <x v="0"/>
    <x v="41"/>
    <x v="6"/>
    <x v="0"/>
    <x v="0"/>
    <x v="5"/>
    <x v="0"/>
  </r>
  <r>
    <x v="0"/>
    <x v="0"/>
    <n v="2239197002"/>
    <x v="2"/>
    <n v="8250"/>
    <x v="1"/>
    <x v="0"/>
    <x v="41"/>
    <x v="2"/>
    <x v="0"/>
    <x v="0"/>
    <x v="2"/>
    <x v="0"/>
  </r>
  <r>
    <x v="0"/>
    <x v="0"/>
    <n v="2239197003"/>
    <x v="4"/>
    <n v="5600"/>
    <x v="1"/>
    <x v="0"/>
    <x v="41"/>
    <x v="4"/>
    <x v="0"/>
    <x v="0"/>
    <x v="4"/>
    <x v="0"/>
  </r>
  <r>
    <x v="0"/>
    <x v="0"/>
    <n v="2239197004"/>
    <x v="2"/>
    <n v="7150"/>
    <x v="1"/>
    <x v="0"/>
    <x v="41"/>
    <x v="2"/>
    <x v="0"/>
    <x v="0"/>
    <x v="2"/>
    <x v="0"/>
  </r>
  <r>
    <x v="0"/>
    <x v="0"/>
    <n v="2239197005"/>
    <x v="2"/>
    <n v="8800"/>
    <x v="1"/>
    <x v="0"/>
    <x v="41"/>
    <x v="2"/>
    <x v="0"/>
    <x v="0"/>
    <x v="2"/>
    <x v="0"/>
  </r>
  <r>
    <x v="0"/>
    <x v="0"/>
    <n v="2239197006"/>
    <x v="5"/>
    <n v="-400"/>
    <x v="1"/>
    <x v="0"/>
    <x v="41"/>
    <x v="5"/>
    <x v="0"/>
    <x v="0"/>
    <x v="5"/>
    <x v="0"/>
  </r>
  <r>
    <x v="0"/>
    <x v="0"/>
    <n v="2239197006"/>
    <x v="4"/>
    <n v="6000"/>
    <x v="1"/>
    <x v="0"/>
    <x v="41"/>
    <x v="4"/>
    <x v="0"/>
    <x v="0"/>
    <x v="4"/>
    <x v="0"/>
  </r>
  <r>
    <x v="0"/>
    <x v="0"/>
    <n v="2239197007"/>
    <x v="2"/>
    <n v="13000"/>
    <x v="1"/>
    <x v="0"/>
    <x v="41"/>
    <x v="2"/>
    <x v="0"/>
    <x v="0"/>
    <x v="2"/>
    <x v="0"/>
  </r>
  <r>
    <x v="0"/>
    <x v="0"/>
    <n v="2239197009"/>
    <x v="2"/>
    <n v="13200"/>
    <x v="1"/>
    <x v="0"/>
    <x v="41"/>
    <x v="2"/>
    <x v="0"/>
    <x v="0"/>
    <x v="2"/>
    <x v="0"/>
  </r>
  <r>
    <x v="0"/>
    <x v="0"/>
    <n v="2239197011"/>
    <x v="3"/>
    <n v="5200"/>
    <x v="1"/>
    <x v="0"/>
    <x v="41"/>
    <x v="3"/>
    <x v="0"/>
    <x v="0"/>
    <x v="3"/>
    <x v="0"/>
  </r>
  <r>
    <x v="0"/>
    <x v="0"/>
    <n v="2239197011"/>
    <x v="7"/>
    <n v="1300"/>
    <x v="1"/>
    <x v="0"/>
    <x v="41"/>
    <x v="7"/>
    <x v="0"/>
    <x v="0"/>
    <x v="1"/>
    <x v="0"/>
  </r>
  <r>
    <x v="0"/>
    <x v="0"/>
    <n v="2239197012"/>
    <x v="7"/>
    <n v="2600"/>
    <x v="1"/>
    <x v="0"/>
    <x v="41"/>
    <x v="7"/>
    <x v="0"/>
    <x v="0"/>
    <x v="1"/>
    <x v="0"/>
  </r>
  <r>
    <x v="0"/>
    <x v="0"/>
    <n v="2239197013"/>
    <x v="1"/>
    <n v="3750"/>
    <x v="1"/>
    <x v="0"/>
    <x v="41"/>
    <x v="1"/>
    <x v="0"/>
    <x v="0"/>
    <x v="1"/>
    <x v="0"/>
  </r>
  <r>
    <x v="0"/>
    <x v="0"/>
    <n v="2239197014"/>
    <x v="2"/>
    <n v="15000"/>
    <x v="1"/>
    <x v="0"/>
    <x v="41"/>
    <x v="2"/>
    <x v="0"/>
    <x v="0"/>
    <x v="2"/>
    <x v="0"/>
  </r>
  <r>
    <x v="0"/>
    <x v="0"/>
    <n v="2239197015"/>
    <x v="2"/>
    <n v="4774"/>
    <x v="1"/>
    <x v="0"/>
    <x v="41"/>
    <x v="2"/>
    <x v="0"/>
    <x v="0"/>
    <x v="2"/>
    <x v="0"/>
  </r>
  <r>
    <x v="0"/>
    <x v="0"/>
    <n v="2239197016"/>
    <x v="1"/>
    <n v="6750"/>
    <x v="1"/>
    <x v="0"/>
    <x v="41"/>
    <x v="1"/>
    <x v="0"/>
    <x v="0"/>
    <x v="1"/>
    <x v="0"/>
  </r>
  <r>
    <x v="0"/>
    <x v="0"/>
    <n v="2239197017"/>
    <x v="2"/>
    <n v="13000"/>
    <x v="1"/>
    <x v="0"/>
    <x v="41"/>
    <x v="2"/>
    <x v="0"/>
    <x v="0"/>
    <x v="2"/>
    <x v="0"/>
  </r>
  <r>
    <x v="0"/>
    <x v="0"/>
    <n v="2239197019"/>
    <x v="1"/>
    <n v="1800"/>
    <x v="1"/>
    <x v="0"/>
    <x v="41"/>
    <x v="1"/>
    <x v="0"/>
    <x v="0"/>
    <x v="1"/>
    <x v="0"/>
  </r>
  <r>
    <x v="0"/>
    <x v="0"/>
    <n v="2239197020"/>
    <x v="5"/>
    <n v="-9500"/>
    <x v="1"/>
    <x v="0"/>
    <x v="41"/>
    <x v="5"/>
    <x v="0"/>
    <x v="0"/>
    <x v="5"/>
    <x v="0"/>
  </r>
  <r>
    <x v="0"/>
    <x v="0"/>
    <n v="2239197020"/>
    <x v="6"/>
    <n v="20000"/>
    <x v="1"/>
    <x v="0"/>
    <x v="41"/>
    <x v="6"/>
    <x v="0"/>
    <x v="0"/>
    <x v="5"/>
    <x v="0"/>
  </r>
  <r>
    <x v="0"/>
    <x v="0"/>
    <n v="2239197021"/>
    <x v="2"/>
    <n v="14300"/>
    <x v="1"/>
    <x v="0"/>
    <x v="41"/>
    <x v="2"/>
    <x v="0"/>
    <x v="0"/>
    <x v="2"/>
    <x v="0"/>
  </r>
  <r>
    <x v="0"/>
    <x v="0"/>
    <n v="2239197022"/>
    <x v="2"/>
    <n v="19250"/>
    <x v="1"/>
    <x v="0"/>
    <x v="41"/>
    <x v="2"/>
    <x v="0"/>
    <x v="0"/>
    <x v="2"/>
    <x v="0"/>
  </r>
  <r>
    <x v="0"/>
    <x v="0"/>
    <n v="2239197023"/>
    <x v="5"/>
    <n v="-7000"/>
    <x v="1"/>
    <x v="0"/>
    <x v="41"/>
    <x v="5"/>
    <x v="0"/>
    <x v="0"/>
    <x v="5"/>
    <x v="0"/>
  </r>
  <r>
    <x v="0"/>
    <x v="0"/>
    <n v="2239197023"/>
    <x v="6"/>
    <n v="10150"/>
    <x v="1"/>
    <x v="0"/>
    <x v="41"/>
    <x v="6"/>
    <x v="0"/>
    <x v="0"/>
    <x v="5"/>
    <x v="0"/>
  </r>
  <r>
    <x v="0"/>
    <x v="0"/>
    <n v="2239197024"/>
    <x v="2"/>
    <n v="22500"/>
    <x v="1"/>
    <x v="0"/>
    <x v="41"/>
    <x v="2"/>
    <x v="0"/>
    <x v="0"/>
    <x v="2"/>
    <x v="0"/>
  </r>
  <r>
    <x v="0"/>
    <x v="0"/>
    <n v="2239197025"/>
    <x v="1"/>
    <n v="8750"/>
    <x v="1"/>
    <x v="0"/>
    <x v="41"/>
    <x v="1"/>
    <x v="0"/>
    <x v="0"/>
    <x v="1"/>
    <x v="0"/>
  </r>
  <r>
    <x v="0"/>
    <x v="0"/>
    <n v="2239197026"/>
    <x v="2"/>
    <n v="7700"/>
    <x v="1"/>
    <x v="0"/>
    <x v="41"/>
    <x v="2"/>
    <x v="0"/>
    <x v="0"/>
    <x v="2"/>
    <x v="0"/>
  </r>
  <r>
    <x v="0"/>
    <x v="0"/>
    <n v="2239197030"/>
    <x v="5"/>
    <n v="-760"/>
    <x v="1"/>
    <x v="0"/>
    <x v="41"/>
    <x v="5"/>
    <x v="0"/>
    <x v="0"/>
    <x v="5"/>
    <x v="0"/>
  </r>
  <r>
    <x v="0"/>
    <x v="0"/>
    <n v="2239197030"/>
    <x v="6"/>
    <n v="25000"/>
    <x v="1"/>
    <x v="0"/>
    <x v="41"/>
    <x v="6"/>
    <x v="0"/>
    <x v="0"/>
    <x v="5"/>
    <x v="0"/>
  </r>
  <r>
    <x v="0"/>
    <x v="0"/>
    <n v="2239197033"/>
    <x v="2"/>
    <n v="19250"/>
    <x v="1"/>
    <x v="0"/>
    <x v="41"/>
    <x v="2"/>
    <x v="0"/>
    <x v="0"/>
    <x v="2"/>
    <x v="0"/>
  </r>
  <r>
    <x v="0"/>
    <x v="0"/>
    <n v="2239197035"/>
    <x v="2"/>
    <n v="11990"/>
    <x v="1"/>
    <x v="0"/>
    <x v="41"/>
    <x v="2"/>
    <x v="0"/>
    <x v="0"/>
    <x v="2"/>
    <x v="0"/>
  </r>
  <r>
    <x v="0"/>
    <x v="0"/>
    <n v="2239197036"/>
    <x v="2"/>
    <n v="15000"/>
    <x v="1"/>
    <x v="0"/>
    <x v="41"/>
    <x v="2"/>
    <x v="0"/>
    <x v="0"/>
    <x v="2"/>
    <x v="0"/>
  </r>
  <r>
    <x v="0"/>
    <x v="0"/>
    <n v="2239197037"/>
    <x v="7"/>
    <n v="1900"/>
    <x v="1"/>
    <x v="0"/>
    <x v="41"/>
    <x v="7"/>
    <x v="0"/>
    <x v="0"/>
    <x v="1"/>
    <x v="0"/>
  </r>
  <r>
    <x v="0"/>
    <x v="0"/>
    <n v="2239197038"/>
    <x v="2"/>
    <n v="6500"/>
    <x v="1"/>
    <x v="0"/>
    <x v="41"/>
    <x v="2"/>
    <x v="0"/>
    <x v="0"/>
    <x v="2"/>
    <x v="0"/>
  </r>
  <r>
    <x v="0"/>
    <x v="0"/>
    <n v="2239197039"/>
    <x v="1"/>
    <n v="44670"/>
    <x v="1"/>
    <x v="0"/>
    <x v="41"/>
    <x v="1"/>
    <x v="0"/>
    <x v="0"/>
    <x v="1"/>
    <x v="0"/>
  </r>
  <r>
    <x v="0"/>
    <x v="0"/>
    <n v="2239197041"/>
    <x v="2"/>
    <n v="6000"/>
    <x v="1"/>
    <x v="0"/>
    <x v="41"/>
    <x v="2"/>
    <x v="0"/>
    <x v="0"/>
    <x v="2"/>
    <x v="0"/>
  </r>
  <r>
    <x v="0"/>
    <x v="0"/>
    <n v="2239197042"/>
    <x v="2"/>
    <n v="38830"/>
    <x v="1"/>
    <x v="0"/>
    <x v="41"/>
    <x v="2"/>
    <x v="0"/>
    <x v="0"/>
    <x v="2"/>
    <x v="0"/>
  </r>
  <r>
    <x v="0"/>
    <x v="0"/>
    <n v="2239197043"/>
    <x v="2"/>
    <n v="11000"/>
    <x v="1"/>
    <x v="0"/>
    <x v="41"/>
    <x v="2"/>
    <x v="0"/>
    <x v="0"/>
    <x v="2"/>
    <x v="0"/>
  </r>
  <r>
    <x v="0"/>
    <x v="0"/>
    <n v="2239197044"/>
    <x v="2"/>
    <n v="14300"/>
    <x v="1"/>
    <x v="0"/>
    <x v="41"/>
    <x v="2"/>
    <x v="0"/>
    <x v="0"/>
    <x v="2"/>
    <x v="0"/>
  </r>
  <r>
    <x v="0"/>
    <x v="0"/>
    <n v="2239197045"/>
    <x v="2"/>
    <n v="12100"/>
    <x v="1"/>
    <x v="0"/>
    <x v="41"/>
    <x v="2"/>
    <x v="0"/>
    <x v="0"/>
    <x v="2"/>
    <x v="0"/>
  </r>
  <r>
    <x v="0"/>
    <x v="0"/>
    <n v="2239197046"/>
    <x v="2"/>
    <n v="5720"/>
    <x v="1"/>
    <x v="0"/>
    <x v="41"/>
    <x v="2"/>
    <x v="0"/>
    <x v="0"/>
    <x v="2"/>
    <x v="0"/>
  </r>
  <r>
    <x v="0"/>
    <x v="0"/>
    <n v="2239197046"/>
    <x v="7"/>
    <n v="1300"/>
    <x v="1"/>
    <x v="0"/>
    <x v="41"/>
    <x v="7"/>
    <x v="0"/>
    <x v="0"/>
    <x v="1"/>
    <x v="0"/>
  </r>
  <r>
    <x v="0"/>
    <x v="0"/>
    <n v="2239197047"/>
    <x v="2"/>
    <n v="13000"/>
    <x v="1"/>
    <x v="0"/>
    <x v="41"/>
    <x v="2"/>
    <x v="0"/>
    <x v="0"/>
    <x v="2"/>
    <x v="0"/>
  </r>
  <r>
    <x v="0"/>
    <x v="0"/>
    <n v="2239197048"/>
    <x v="4"/>
    <n v="5600"/>
    <x v="1"/>
    <x v="0"/>
    <x v="41"/>
    <x v="4"/>
    <x v="0"/>
    <x v="0"/>
    <x v="4"/>
    <x v="0"/>
  </r>
  <r>
    <x v="0"/>
    <x v="0"/>
    <n v="2239197049"/>
    <x v="2"/>
    <n v="10450"/>
    <x v="1"/>
    <x v="0"/>
    <x v="41"/>
    <x v="2"/>
    <x v="0"/>
    <x v="0"/>
    <x v="2"/>
    <x v="0"/>
  </r>
  <r>
    <x v="0"/>
    <x v="0"/>
    <n v="2239197050"/>
    <x v="5"/>
    <n v="-4300"/>
    <x v="1"/>
    <x v="0"/>
    <x v="41"/>
    <x v="5"/>
    <x v="0"/>
    <x v="0"/>
    <x v="5"/>
    <x v="0"/>
  </r>
  <r>
    <x v="0"/>
    <x v="0"/>
    <n v="2239197050"/>
    <x v="4"/>
    <n v="10000"/>
    <x v="1"/>
    <x v="0"/>
    <x v="41"/>
    <x v="4"/>
    <x v="0"/>
    <x v="0"/>
    <x v="4"/>
    <x v="0"/>
  </r>
  <r>
    <x v="0"/>
    <x v="0"/>
    <n v="2239197053"/>
    <x v="5"/>
    <n v="-2000"/>
    <x v="1"/>
    <x v="0"/>
    <x v="41"/>
    <x v="5"/>
    <x v="0"/>
    <x v="0"/>
    <x v="5"/>
    <x v="0"/>
  </r>
  <r>
    <x v="0"/>
    <x v="0"/>
    <n v="2239197053"/>
    <x v="6"/>
    <n v="5150"/>
    <x v="1"/>
    <x v="0"/>
    <x v="41"/>
    <x v="6"/>
    <x v="0"/>
    <x v="0"/>
    <x v="5"/>
    <x v="0"/>
  </r>
  <r>
    <x v="0"/>
    <x v="0"/>
    <n v="2239197054"/>
    <x v="2"/>
    <n v="13000"/>
    <x v="1"/>
    <x v="0"/>
    <x v="41"/>
    <x v="2"/>
    <x v="0"/>
    <x v="0"/>
    <x v="2"/>
    <x v="0"/>
  </r>
  <r>
    <x v="0"/>
    <x v="0"/>
    <n v="2239197055"/>
    <x v="2"/>
    <n v="8000"/>
    <x v="1"/>
    <x v="0"/>
    <x v="41"/>
    <x v="2"/>
    <x v="0"/>
    <x v="0"/>
    <x v="2"/>
    <x v="0"/>
  </r>
  <r>
    <x v="0"/>
    <x v="0"/>
    <n v="2239197056"/>
    <x v="2"/>
    <n v="6000"/>
    <x v="1"/>
    <x v="0"/>
    <x v="41"/>
    <x v="2"/>
    <x v="0"/>
    <x v="0"/>
    <x v="2"/>
    <x v="0"/>
  </r>
  <r>
    <x v="0"/>
    <x v="0"/>
    <n v="2239197057"/>
    <x v="5"/>
    <n v="-690"/>
    <x v="1"/>
    <x v="0"/>
    <x v="41"/>
    <x v="5"/>
    <x v="0"/>
    <x v="0"/>
    <x v="5"/>
    <x v="0"/>
  </r>
  <r>
    <x v="0"/>
    <x v="0"/>
    <n v="2239197057"/>
    <x v="6"/>
    <n v="10000"/>
    <x v="1"/>
    <x v="0"/>
    <x v="41"/>
    <x v="6"/>
    <x v="0"/>
    <x v="0"/>
    <x v="5"/>
    <x v="0"/>
  </r>
  <r>
    <x v="0"/>
    <x v="0"/>
    <n v="2239197058"/>
    <x v="2"/>
    <n v="20350"/>
    <x v="1"/>
    <x v="0"/>
    <x v="41"/>
    <x v="2"/>
    <x v="0"/>
    <x v="0"/>
    <x v="2"/>
    <x v="0"/>
  </r>
  <r>
    <x v="0"/>
    <x v="0"/>
    <n v="2239197060"/>
    <x v="2"/>
    <n v="10450"/>
    <x v="1"/>
    <x v="0"/>
    <x v="41"/>
    <x v="2"/>
    <x v="0"/>
    <x v="0"/>
    <x v="2"/>
    <x v="0"/>
  </r>
  <r>
    <x v="0"/>
    <x v="0"/>
    <n v="2239197061"/>
    <x v="2"/>
    <n v="23650"/>
    <x v="1"/>
    <x v="0"/>
    <x v="41"/>
    <x v="2"/>
    <x v="0"/>
    <x v="0"/>
    <x v="2"/>
    <x v="0"/>
  </r>
  <r>
    <x v="0"/>
    <x v="0"/>
    <n v="2239197062"/>
    <x v="5"/>
    <n v="-2400"/>
    <x v="1"/>
    <x v="0"/>
    <x v="41"/>
    <x v="5"/>
    <x v="0"/>
    <x v="0"/>
    <x v="5"/>
    <x v="0"/>
  </r>
  <r>
    <x v="0"/>
    <x v="0"/>
    <n v="2239197062"/>
    <x v="6"/>
    <n v="10000"/>
    <x v="1"/>
    <x v="0"/>
    <x v="41"/>
    <x v="6"/>
    <x v="0"/>
    <x v="0"/>
    <x v="5"/>
    <x v="0"/>
  </r>
  <r>
    <x v="0"/>
    <x v="0"/>
    <n v="2239197064"/>
    <x v="6"/>
    <n v="3000"/>
    <x v="1"/>
    <x v="0"/>
    <x v="41"/>
    <x v="6"/>
    <x v="0"/>
    <x v="0"/>
    <x v="5"/>
    <x v="0"/>
  </r>
  <r>
    <x v="0"/>
    <x v="0"/>
    <n v="2239197065"/>
    <x v="5"/>
    <n v="-2480"/>
    <x v="1"/>
    <x v="0"/>
    <x v="41"/>
    <x v="5"/>
    <x v="0"/>
    <x v="0"/>
    <x v="5"/>
    <x v="0"/>
  </r>
  <r>
    <x v="0"/>
    <x v="0"/>
    <n v="2239197065"/>
    <x v="6"/>
    <n v="20000"/>
    <x v="1"/>
    <x v="0"/>
    <x v="41"/>
    <x v="6"/>
    <x v="0"/>
    <x v="0"/>
    <x v="5"/>
    <x v="0"/>
  </r>
  <r>
    <x v="0"/>
    <x v="0"/>
    <n v="2239197066"/>
    <x v="2"/>
    <n v="18700"/>
    <x v="1"/>
    <x v="0"/>
    <x v="41"/>
    <x v="2"/>
    <x v="0"/>
    <x v="0"/>
    <x v="2"/>
    <x v="0"/>
  </r>
  <r>
    <x v="0"/>
    <x v="0"/>
    <n v="2239197067"/>
    <x v="4"/>
    <n v="5300"/>
    <x v="1"/>
    <x v="0"/>
    <x v="41"/>
    <x v="4"/>
    <x v="0"/>
    <x v="0"/>
    <x v="4"/>
    <x v="0"/>
  </r>
  <r>
    <x v="0"/>
    <x v="0"/>
    <n v="2239197068"/>
    <x v="4"/>
    <n v="600"/>
    <x v="1"/>
    <x v="0"/>
    <x v="41"/>
    <x v="4"/>
    <x v="0"/>
    <x v="0"/>
    <x v="4"/>
    <x v="0"/>
  </r>
  <r>
    <x v="0"/>
    <x v="0"/>
    <n v="2239197069"/>
    <x v="5"/>
    <n v="-400"/>
    <x v="1"/>
    <x v="0"/>
    <x v="41"/>
    <x v="5"/>
    <x v="0"/>
    <x v="0"/>
    <x v="5"/>
    <x v="0"/>
  </r>
  <r>
    <x v="0"/>
    <x v="0"/>
    <n v="2239197069"/>
    <x v="4"/>
    <n v="6000"/>
    <x v="1"/>
    <x v="0"/>
    <x v="41"/>
    <x v="4"/>
    <x v="0"/>
    <x v="0"/>
    <x v="4"/>
    <x v="0"/>
  </r>
  <r>
    <x v="0"/>
    <x v="0"/>
    <n v="2239197070"/>
    <x v="5"/>
    <n v="-1100"/>
    <x v="1"/>
    <x v="0"/>
    <x v="41"/>
    <x v="5"/>
    <x v="0"/>
    <x v="0"/>
    <x v="5"/>
    <x v="0"/>
  </r>
  <r>
    <x v="0"/>
    <x v="0"/>
    <n v="2239197070"/>
    <x v="6"/>
    <n v="5000"/>
    <x v="1"/>
    <x v="0"/>
    <x v="41"/>
    <x v="6"/>
    <x v="0"/>
    <x v="0"/>
    <x v="5"/>
    <x v="0"/>
  </r>
  <r>
    <x v="0"/>
    <x v="0"/>
    <n v="2239197071"/>
    <x v="2"/>
    <n v="6000"/>
    <x v="1"/>
    <x v="0"/>
    <x v="41"/>
    <x v="2"/>
    <x v="0"/>
    <x v="0"/>
    <x v="2"/>
    <x v="0"/>
  </r>
  <r>
    <x v="0"/>
    <x v="0"/>
    <n v="2239197072"/>
    <x v="5"/>
    <n v="-15000"/>
    <x v="1"/>
    <x v="0"/>
    <x v="41"/>
    <x v="5"/>
    <x v="0"/>
    <x v="0"/>
    <x v="5"/>
    <x v="0"/>
  </r>
  <r>
    <x v="0"/>
    <x v="0"/>
    <n v="2239197072"/>
    <x v="4"/>
    <n v="20300"/>
    <x v="1"/>
    <x v="0"/>
    <x v="41"/>
    <x v="4"/>
    <x v="0"/>
    <x v="0"/>
    <x v="4"/>
    <x v="0"/>
  </r>
  <r>
    <x v="0"/>
    <x v="0"/>
    <n v="2239197073"/>
    <x v="1"/>
    <n v="24070"/>
    <x v="1"/>
    <x v="0"/>
    <x v="41"/>
    <x v="1"/>
    <x v="0"/>
    <x v="0"/>
    <x v="1"/>
    <x v="0"/>
  </r>
  <r>
    <x v="0"/>
    <x v="0"/>
    <n v="2239197074"/>
    <x v="1"/>
    <n v="9000"/>
    <x v="1"/>
    <x v="0"/>
    <x v="41"/>
    <x v="1"/>
    <x v="0"/>
    <x v="0"/>
    <x v="1"/>
    <x v="0"/>
  </r>
  <r>
    <x v="0"/>
    <x v="0"/>
    <n v="2239197075"/>
    <x v="1"/>
    <n v="2250"/>
    <x v="1"/>
    <x v="0"/>
    <x v="41"/>
    <x v="1"/>
    <x v="0"/>
    <x v="0"/>
    <x v="1"/>
    <x v="0"/>
  </r>
  <r>
    <x v="0"/>
    <x v="0"/>
    <n v="2239197076"/>
    <x v="1"/>
    <n v="15700"/>
    <x v="1"/>
    <x v="0"/>
    <x v="41"/>
    <x v="1"/>
    <x v="0"/>
    <x v="0"/>
    <x v="1"/>
    <x v="0"/>
  </r>
  <r>
    <x v="0"/>
    <x v="0"/>
    <n v="2239203165"/>
    <x v="1"/>
    <n v="900"/>
    <x v="1"/>
    <x v="0"/>
    <x v="42"/>
    <x v="1"/>
    <x v="0"/>
    <x v="0"/>
    <x v="1"/>
    <x v="0"/>
  </r>
  <r>
    <x v="0"/>
    <x v="0"/>
    <n v="2239203166"/>
    <x v="1"/>
    <n v="18510"/>
    <x v="1"/>
    <x v="0"/>
    <x v="42"/>
    <x v="1"/>
    <x v="0"/>
    <x v="0"/>
    <x v="1"/>
    <x v="0"/>
  </r>
  <r>
    <x v="0"/>
    <x v="0"/>
    <n v="2239203167"/>
    <x v="0"/>
    <n v="11850"/>
    <x v="1"/>
    <x v="0"/>
    <x v="42"/>
    <x v="0"/>
    <x v="0"/>
    <x v="0"/>
    <x v="0"/>
    <x v="0"/>
  </r>
  <r>
    <x v="0"/>
    <x v="0"/>
    <n v="2239203170"/>
    <x v="0"/>
    <n v="6300"/>
    <x v="1"/>
    <x v="0"/>
    <x v="42"/>
    <x v="0"/>
    <x v="0"/>
    <x v="0"/>
    <x v="0"/>
    <x v="0"/>
  </r>
  <r>
    <x v="0"/>
    <x v="0"/>
    <n v="2239203171"/>
    <x v="0"/>
    <n v="13700"/>
    <x v="1"/>
    <x v="0"/>
    <x v="42"/>
    <x v="0"/>
    <x v="0"/>
    <x v="0"/>
    <x v="0"/>
    <x v="0"/>
  </r>
  <r>
    <x v="0"/>
    <x v="0"/>
    <n v="2239203172"/>
    <x v="0"/>
    <n v="2250"/>
    <x v="1"/>
    <x v="0"/>
    <x v="42"/>
    <x v="0"/>
    <x v="0"/>
    <x v="0"/>
    <x v="0"/>
    <x v="0"/>
  </r>
  <r>
    <x v="0"/>
    <x v="0"/>
    <n v="2239203173"/>
    <x v="0"/>
    <n v="7400"/>
    <x v="1"/>
    <x v="0"/>
    <x v="42"/>
    <x v="0"/>
    <x v="0"/>
    <x v="0"/>
    <x v="0"/>
    <x v="0"/>
  </r>
  <r>
    <x v="0"/>
    <x v="0"/>
    <n v="2239203174"/>
    <x v="0"/>
    <n v="3000"/>
    <x v="1"/>
    <x v="0"/>
    <x v="42"/>
    <x v="0"/>
    <x v="0"/>
    <x v="0"/>
    <x v="0"/>
    <x v="0"/>
  </r>
  <r>
    <x v="0"/>
    <x v="0"/>
    <n v="2239203175"/>
    <x v="0"/>
    <n v="4770"/>
    <x v="1"/>
    <x v="0"/>
    <x v="42"/>
    <x v="0"/>
    <x v="0"/>
    <x v="0"/>
    <x v="0"/>
    <x v="0"/>
  </r>
  <r>
    <x v="0"/>
    <x v="0"/>
    <n v="2239203176"/>
    <x v="0"/>
    <n v="10500"/>
    <x v="1"/>
    <x v="0"/>
    <x v="42"/>
    <x v="0"/>
    <x v="0"/>
    <x v="0"/>
    <x v="0"/>
    <x v="0"/>
  </r>
  <r>
    <x v="0"/>
    <x v="0"/>
    <n v="2239203177"/>
    <x v="0"/>
    <n v="600"/>
    <x v="1"/>
    <x v="0"/>
    <x v="42"/>
    <x v="0"/>
    <x v="0"/>
    <x v="0"/>
    <x v="0"/>
    <x v="0"/>
  </r>
  <r>
    <x v="0"/>
    <x v="0"/>
    <n v="2239203178"/>
    <x v="0"/>
    <n v="2250"/>
    <x v="1"/>
    <x v="0"/>
    <x v="42"/>
    <x v="0"/>
    <x v="0"/>
    <x v="0"/>
    <x v="0"/>
    <x v="0"/>
  </r>
  <r>
    <x v="0"/>
    <x v="0"/>
    <n v="2239203179"/>
    <x v="1"/>
    <n v="6300"/>
    <x v="1"/>
    <x v="0"/>
    <x v="42"/>
    <x v="1"/>
    <x v="0"/>
    <x v="0"/>
    <x v="1"/>
    <x v="0"/>
  </r>
  <r>
    <x v="0"/>
    <x v="0"/>
    <n v="2239203180"/>
    <x v="0"/>
    <n v="6500"/>
    <x v="1"/>
    <x v="0"/>
    <x v="42"/>
    <x v="0"/>
    <x v="0"/>
    <x v="0"/>
    <x v="0"/>
    <x v="0"/>
  </r>
  <r>
    <x v="0"/>
    <x v="0"/>
    <n v="2239203181"/>
    <x v="1"/>
    <n v="5400"/>
    <x v="1"/>
    <x v="0"/>
    <x v="42"/>
    <x v="1"/>
    <x v="0"/>
    <x v="0"/>
    <x v="1"/>
    <x v="0"/>
  </r>
  <r>
    <x v="0"/>
    <x v="0"/>
    <n v="2239203182"/>
    <x v="0"/>
    <n v="3000"/>
    <x v="1"/>
    <x v="0"/>
    <x v="42"/>
    <x v="0"/>
    <x v="0"/>
    <x v="0"/>
    <x v="0"/>
    <x v="0"/>
  </r>
  <r>
    <x v="0"/>
    <x v="0"/>
    <n v="2239203183"/>
    <x v="1"/>
    <n v="3720"/>
    <x v="1"/>
    <x v="0"/>
    <x v="42"/>
    <x v="1"/>
    <x v="0"/>
    <x v="0"/>
    <x v="1"/>
    <x v="0"/>
  </r>
  <r>
    <x v="0"/>
    <x v="0"/>
    <n v="2239203184"/>
    <x v="0"/>
    <n v="124600"/>
    <x v="1"/>
    <x v="0"/>
    <x v="42"/>
    <x v="0"/>
    <x v="0"/>
    <x v="0"/>
    <x v="0"/>
    <x v="0"/>
  </r>
  <r>
    <x v="0"/>
    <x v="0"/>
    <n v="2239203185"/>
    <x v="1"/>
    <n v="28030"/>
    <x v="1"/>
    <x v="0"/>
    <x v="42"/>
    <x v="1"/>
    <x v="0"/>
    <x v="0"/>
    <x v="1"/>
    <x v="0"/>
  </r>
  <r>
    <x v="0"/>
    <x v="0"/>
    <n v="2239203186"/>
    <x v="1"/>
    <n v="20640"/>
    <x v="1"/>
    <x v="0"/>
    <x v="42"/>
    <x v="1"/>
    <x v="0"/>
    <x v="0"/>
    <x v="1"/>
    <x v="0"/>
  </r>
  <r>
    <x v="0"/>
    <x v="0"/>
    <n v="2239203187"/>
    <x v="1"/>
    <n v="35990"/>
    <x v="1"/>
    <x v="0"/>
    <x v="42"/>
    <x v="1"/>
    <x v="0"/>
    <x v="0"/>
    <x v="1"/>
    <x v="0"/>
  </r>
  <r>
    <x v="0"/>
    <x v="0"/>
    <n v="2239203188"/>
    <x v="1"/>
    <n v="42060"/>
    <x v="1"/>
    <x v="0"/>
    <x v="42"/>
    <x v="1"/>
    <x v="0"/>
    <x v="0"/>
    <x v="1"/>
    <x v="0"/>
  </r>
  <r>
    <x v="0"/>
    <x v="0"/>
    <n v="2239203189"/>
    <x v="1"/>
    <n v="11400"/>
    <x v="1"/>
    <x v="0"/>
    <x v="42"/>
    <x v="1"/>
    <x v="0"/>
    <x v="0"/>
    <x v="1"/>
    <x v="0"/>
  </r>
  <r>
    <x v="0"/>
    <x v="0"/>
    <n v="2239203190"/>
    <x v="0"/>
    <n v="7500"/>
    <x v="1"/>
    <x v="0"/>
    <x v="42"/>
    <x v="0"/>
    <x v="0"/>
    <x v="0"/>
    <x v="0"/>
    <x v="0"/>
  </r>
  <r>
    <x v="0"/>
    <x v="0"/>
    <n v="2239203191"/>
    <x v="1"/>
    <n v="65860"/>
    <x v="1"/>
    <x v="0"/>
    <x v="42"/>
    <x v="1"/>
    <x v="0"/>
    <x v="0"/>
    <x v="1"/>
    <x v="0"/>
  </r>
  <r>
    <x v="0"/>
    <x v="0"/>
    <n v="2239203192"/>
    <x v="0"/>
    <n v="10350"/>
    <x v="1"/>
    <x v="0"/>
    <x v="42"/>
    <x v="0"/>
    <x v="0"/>
    <x v="0"/>
    <x v="0"/>
    <x v="0"/>
  </r>
  <r>
    <x v="0"/>
    <x v="0"/>
    <n v="2239203193"/>
    <x v="0"/>
    <n v="9000"/>
    <x v="1"/>
    <x v="0"/>
    <x v="42"/>
    <x v="0"/>
    <x v="0"/>
    <x v="0"/>
    <x v="0"/>
    <x v="0"/>
  </r>
  <r>
    <x v="0"/>
    <x v="0"/>
    <n v="2239203194"/>
    <x v="1"/>
    <n v="27690"/>
    <x v="1"/>
    <x v="0"/>
    <x v="42"/>
    <x v="1"/>
    <x v="0"/>
    <x v="0"/>
    <x v="1"/>
    <x v="0"/>
  </r>
  <r>
    <x v="0"/>
    <x v="0"/>
    <n v="2239203195"/>
    <x v="1"/>
    <n v="20400"/>
    <x v="1"/>
    <x v="0"/>
    <x v="42"/>
    <x v="1"/>
    <x v="0"/>
    <x v="0"/>
    <x v="1"/>
    <x v="0"/>
  </r>
  <r>
    <x v="0"/>
    <x v="0"/>
    <n v="2239203196"/>
    <x v="0"/>
    <n v="11450"/>
    <x v="1"/>
    <x v="0"/>
    <x v="42"/>
    <x v="0"/>
    <x v="0"/>
    <x v="0"/>
    <x v="0"/>
    <x v="0"/>
  </r>
  <r>
    <x v="0"/>
    <x v="0"/>
    <n v="2239203197"/>
    <x v="1"/>
    <n v="11220"/>
    <x v="1"/>
    <x v="0"/>
    <x v="42"/>
    <x v="1"/>
    <x v="0"/>
    <x v="0"/>
    <x v="1"/>
    <x v="0"/>
  </r>
  <r>
    <x v="0"/>
    <x v="0"/>
    <n v="2239203198"/>
    <x v="0"/>
    <n v="11000"/>
    <x v="1"/>
    <x v="0"/>
    <x v="42"/>
    <x v="0"/>
    <x v="0"/>
    <x v="0"/>
    <x v="0"/>
    <x v="0"/>
  </r>
  <r>
    <x v="0"/>
    <x v="0"/>
    <n v="2239203201"/>
    <x v="0"/>
    <n v="17700"/>
    <x v="1"/>
    <x v="0"/>
    <x v="42"/>
    <x v="0"/>
    <x v="0"/>
    <x v="0"/>
    <x v="0"/>
    <x v="0"/>
  </r>
  <r>
    <x v="0"/>
    <x v="0"/>
    <n v="2239203202"/>
    <x v="0"/>
    <n v="900"/>
    <x v="1"/>
    <x v="0"/>
    <x v="42"/>
    <x v="0"/>
    <x v="0"/>
    <x v="0"/>
    <x v="0"/>
    <x v="0"/>
  </r>
  <r>
    <x v="0"/>
    <x v="0"/>
    <n v="2239203203"/>
    <x v="1"/>
    <n v="1050"/>
    <x v="1"/>
    <x v="0"/>
    <x v="42"/>
    <x v="1"/>
    <x v="0"/>
    <x v="0"/>
    <x v="1"/>
    <x v="0"/>
  </r>
  <r>
    <x v="0"/>
    <x v="0"/>
    <n v="2239203204"/>
    <x v="1"/>
    <n v="13700"/>
    <x v="1"/>
    <x v="0"/>
    <x v="42"/>
    <x v="1"/>
    <x v="0"/>
    <x v="0"/>
    <x v="1"/>
    <x v="0"/>
  </r>
  <r>
    <x v="0"/>
    <x v="0"/>
    <n v="2239203206"/>
    <x v="1"/>
    <n v="13500"/>
    <x v="1"/>
    <x v="0"/>
    <x v="42"/>
    <x v="1"/>
    <x v="0"/>
    <x v="0"/>
    <x v="1"/>
    <x v="0"/>
  </r>
  <r>
    <x v="0"/>
    <x v="0"/>
    <n v="2239203207"/>
    <x v="1"/>
    <n v="25290"/>
    <x v="1"/>
    <x v="0"/>
    <x v="42"/>
    <x v="1"/>
    <x v="0"/>
    <x v="0"/>
    <x v="1"/>
    <x v="0"/>
  </r>
  <r>
    <x v="0"/>
    <x v="0"/>
    <n v="2239203208"/>
    <x v="0"/>
    <n v="12600"/>
    <x v="1"/>
    <x v="0"/>
    <x v="42"/>
    <x v="0"/>
    <x v="0"/>
    <x v="0"/>
    <x v="0"/>
    <x v="0"/>
  </r>
  <r>
    <x v="0"/>
    <x v="0"/>
    <n v="2239203209"/>
    <x v="1"/>
    <n v="7470"/>
    <x v="1"/>
    <x v="0"/>
    <x v="42"/>
    <x v="1"/>
    <x v="0"/>
    <x v="0"/>
    <x v="1"/>
    <x v="0"/>
  </r>
  <r>
    <x v="0"/>
    <x v="0"/>
    <n v="2239203210"/>
    <x v="1"/>
    <n v="31540"/>
    <x v="1"/>
    <x v="0"/>
    <x v="42"/>
    <x v="1"/>
    <x v="0"/>
    <x v="0"/>
    <x v="1"/>
    <x v="0"/>
  </r>
  <r>
    <x v="0"/>
    <x v="0"/>
    <n v="2239203211"/>
    <x v="0"/>
    <n v="21450"/>
    <x v="1"/>
    <x v="0"/>
    <x v="42"/>
    <x v="0"/>
    <x v="0"/>
    <x v="0"/>
    <x v="0"/>
    <x v="0"/>
  </r>
  <r>
    <x v="0"/>
    <x v="0"/>
    <n v="2239203212"/>
    <x v="0"/>
    <n v="4500"/>
    <x v="1"/>
    <x v="0"/>
    <x v="42"/>
    <x v="0"/>
    <x v="0"/>
    <x v="0"/>
    <x v="0"/>
    <x v="0"/>
  </r>
  <r>
    <x v="0"/>
    <x v="0"/>
    <n v="2239203213"/>
    <x v="0"/>
    <n v="2700"/>
    <x v="1"/>
    <x v="0"/>
    <x v="42"/>
    <x v="0"/>
    <x v="0"/>
    <x v="0"/>
    <x v="0"/>
    <x v="0"/>
  </r>
  <r>
    <x v="0"/>
    <x v="0"/>
    <n v="2239203214"/>
    <x v="1"/>
    <n v="6500"/>
    <x v="1"/>
    <x v="0"/>
    <x v="42"/>
    <x v="1"/>
    <x v="0"/>
    <x v="0"/>
    <x v="1"/>
    <x v="0"/>
  </r>
  <r>
    <x v="0"/>
    <x v="0"/>
    <n v="2239203215"/>
    <x v="1"/>
    <n v="1140"/>
    <x v="1"/>
    <x v="0"/>
    <x v="42"/>
    <x v="1"/>
    <x v="0"/>
    <x v="0"/>
    <x v="1"/>
    <x v="0"/>
  </r>
  <r>
    <x v="0"/>
    <x v="0"/>
    <n v="2239203216"/>
    <x v="0"/>
    <n v="6000"/>
    <x v="1"/>
    <x v="0"/>
    <x v="42"/>
    <x v="0"/>
    <x v="0"/>
    <x v="0"/>
    <x v="0"/>
    <x v="0"/>
  </r>
  <r>
    <x v="0"/>
    <x v="0"/>
    <n v="2239203217"/>
    <x v="1"/>
    <n v="4500"/>
    <x v="1"/>
    <x v="0"/>
    <x v="42"/>
    <x v="1"/>
    <x v="0"/>
    <x v="0"/>
    <x v="1"/>
    <x v="0"/>
  </r>
  <r>
    <x v="0"/>
    <x v="0"/>
    <n v="2239203218"/>
    <x v="1"/>
    <n v="900"/>
    <x v="1"/>
    <x v="0"/>
    <x v="42"/>
    <x v="1"/>
    <x v="0"/>
    <x v="0"/>
    <x v="1"/>
    <x v="0"/>
  </r>
  <r>
    <x v="0"/>
    <x v="0"/>
    <n v="2239203219"/>
    <x v="1"/>
    <n v="3480"/>
    <x v="1"/>
    <x v="0"/>
    <x v="42"/>
    <x v="1"/>
    <x v="0"/>
    <x v="0"/>
    <x v="1"/>
    <x v="0"/>
  </r>
  <r>
    <x v="0"/>
    <x v="0"/>
    <n v="2239203220"/>
    <x v="1"/>
    <n v="3750"/>
    <x v="1"/>
    <x v="0"/>
    <x v="42"/>
    <x v="1"/>
    <x v="0"/>
    <x v="0"/>
    <x v="1"/>
    <x v="0"/>
  </r>
  <r>
    <x v="0"/>
    <x v="0"/>
    <n v="2239203221"/>
    <x v="1"/>
    <n v="2040"/>
    <x v="1"/>
    <x v="0"/>
    <x v="42"/>
    <x v="1"/>
    <x v="0"/>
    <x v="0"/>
    <x v="1"/>
    <x v="0"/>
  </r>
  <r>
    <x v="0"/>
    <x v="0"/>
    <n v="2239203222"/>
    <x v="1"/>
    <n v="6500"/>
    <x v="1"/>
    <x v="0"/>
    <x v="42"/>
    <x v="1"/>
    <x v="0"/>
    <x v="0"/>
    <x v="1"/>
    <x v="0"/>
  </r>
  <r>
    <x v="0"/>
    <x v="0"/>
    <n v="2239203223"/>
    <x v="1"/>
    <n v="1140"/>
    <x v="1"/>
    <x v="0"/>
    <x v="42"/>
    <x v="1"/>
    <x v="0"/>
    <x v="0"/>
    <x v="1"/>
    <x v="0"/>
  </r>
  <r>
    <x v="0"/>
    <x v="0"/>
    <n v="2239203224"/>
    <x v="1"/>
    <n v="2250"/>
    <x v="1"/>
    <x v="0"/>
    <x v="42"/>
    <x v="1"/>
    <x v="0"/>
    <x v="0"/>
    <x v="1"/>
    <x v="0"/>
  </r>
  <r>
    <x v="0"/>
    <x v="0"/>
    <n v="2239203225"/>
    <x v="1"/>
    <n v="900"/>
    <x v="1"/>
    <x v="0"/>
    <x v="42"/>
    <x v="1"/>
    <x v="0"/>
    <x v="0"/>
    <x v="1"/>
    <x v="0"/>
  </r>
  <r>
    <x v="0"/>
    <x v="0"/>
    <n v="2239203226"/>
    <x v="1"/>
    <n v="6300"/>
    <x v="1"/>
    <x v="0"/>
    <x v="42"/>
    <x v="1"/>
    <x v="0"/>
    <x v="0"/>
    <x v="1"/>
    <x v="0"/>
  </r>
  <r>
    <x v="0"/>
    <x v="0"/>
    <n v="2239203228"/>
    <x v="3"/>
    <n v="3600"/>
    <x v="1"/>
    <x v="0"/>
    <x v="42"/>
    <x v="3"/>
    <x v="0"/>
    <x v="0"/>
    <x v="3"/>
    <x v="0"/>
  </r>
  <r>
    <x v="0"/>
    <x v="0"/>
    <n v="2239203229"/>
    <x v="5"/>
    <n v="-400"/>
    <x v="1"/>
    <x v="0"/>
    <x v="42"/>
    <x v="5"/>
    <x v="0"/>
    <x v="0"/>
    <x v="5"/>
    <x v="0"/>
  </r>
  <r>
    <x v="0"/>
    <x v="0"/>
    <n v="2239203229"/>
    <x v="4"/>
    <n v="5000"/>
    <x v="1"/>
    <x v="0"/>
    <x v="42"/>
    <x v="4"/>
    <x v="0"/>
    <x v="0"/>
    <x v="4"/>
    <x v="0"/>
  </r>
  <r>
    <x v="0"/>
    <x v="0"/>
    <n v="2239203230"/>
    <x v="2"/>
    <n v="48334"/>
    <x v="1"/>
    <x v="0"/>
    <x v="42"/>
    <x v="2"/>
    <x v="0"/>
    <x v="0"/>
    <x v="2"/>
    <x v="0"/>
  </r>
  <r>
    <x v="0"/>
    <x v="0"/>
    <n v="2239203231"/>
    <x v="5"/>
    <n v="-14700"/>
    <x v="1"/>
    <x v="0"/>
    <x v="42"/>
    <x v="5"/>
    <x v="0"/>
    <x v="0"/>
    <x v="5"/>
    <x v="0"/>
  </r>
  <r>
    <x v="0"/>
    <x v="0"/>
    <n v="2239203231"/>
    <x v="4"/>
    <n v="20000"/>
    <x v="1"/>
    <x v="0"/>
    <x v="42"/>
    <x v="4"/>
    <x v="0"/>
    <x v="0"/>
    <x v="4"/>
    <x v="0"/>
  </r>
  <r>
    <x v="0"/>
    <x v="0"/>
    <n v="2239203232"/>
    <x v="5"/>
    <n v="-4000"/>
    <x v="1"/>
    <x v="0"/>
    <x v="42"/>
    <x v="5"/>
    <x v="0"/>
    <x v="0"/>
    <x v="5"/>
    <x v="0"/>
  </r>
  <r>
    <x v="0"/>
    <x v="0"/>
    <n v="2239203232"/>
    <x v="6"/>
    <n v="10000"/>
    <x v="1"/>
    <x v="0"/>
    <x v="42"/>
    <x v="6"/>
    <x v="0"/>
    <x v="0"/>
    <x v="5"/>
    <x v="0"/>
  </r>
  <r>
    <x v="0"/>
    <x v="0"/>
    <n v="2239203233"/>
    <x v="5"/>
    <n v="-2000"/>
    <x v="1"/>
    <x v="0"/>
    <x v="42"/>
    <x v="5"/>
    <x v="0"/>
    <x v="0"/>
    <x v="5"/>
    <x v="0"/>
  </r>
  <r>
    <x v="0"/>
    <x v="0"/>
    <n v="2239203233"/>
    <x v="6"/>
    <n v="20000"/>
    <x v="1"/>
    <x v="0"/>
    <x v="42"/>
    <x v="6"/>
    <x v="0"/>
    <x v="0"/>
    <x v="5"/>
    <x v="0"/>
  </r>
  <r>
    <x v="0"/>
    <x v="0"/>
    <n v="2239203235"/>
    <x v="2"/>
    <n v="8250"/>
    <x v="1"/>
    <x v="0"/>
    <x v="42"/>
    <x v="2"/>
    <x v="0"/>
    <x v="0"/>
    <x v="2"/>
    <x v="0"/>
  </r>
  <r>
    <x v="0"/>
    <x v="0"/>
    <n v="2239203236"/>
    <x v="5"/>
    <n v="-6000"/>
    <x v="1"/>
    <x v="0"/>
    <x v="42"/>
    <x v="5"/>
    <x v="0"/>
    <x v="0"/>
    <x v="5"/>
    <x v="0"/>
  </r>
  <r>
    <x v="0"/>
    <x v="0"/>
    <n v="2239203236"/>
    <x v="6"/>
    <n v="10000"/>
    <x v="1"/>
    <x v="0"/>
    <x v="42"/>
    <x v="6"/>
    <x v="0"/>
    <x v="0"/>
    <x v="5"/>
    <x v="0"/>
  </r>
  <r>
    <x v="0"/>
    <x v="0"/>
    <n v="2239203237"/>
    <x v="5"/>
    <n v="-5000"/>
    <x v="1"/>
    <x v="0"/>
    <x v="42"/>
    <x v="5"/>
    <x v="0"/>
    <x v="0"/>
    <x v="5"/>
    <x v="0"/>
  </r>
  <r>
    <x v="0"/>
    <x v="0"/>
    <n v="2239203237"/>
    <x v="4"/>
    <n v="10000"/>
    <x v="1"/>
    <x v="0"/>
    <x v="42"/>
    <x v="4"/>
    <x v="0"/>
    <x v="0"/>
    <x v="4"/>
    <x v="0"/>
  </r>
  <r>
    <x v="0"/>
    <x v="0"/>
    <n v="2239203238"/>
    <x v="2"/>
    <n v="5850"/>
    <x v="1"/>
    <x v="0"/>
    <x v="42"/>
    <x v="2"/>
    <x v="0"/>
    <x v="0"/>
    <x v="2"/>
    <x v="0"/>
  </r>
  <r>
    <x v="0"/>
    <x v="0"/>
    <n v="2239203238"/>
    <x v="7"/>
    <n v="650"/>
    <x v="1"/>
    <x v="0"/>
    <x v="42"/>
    <x v="7"/>
    <x v="0"/>
    <x v="0"/>
    <x v="1"/>
    <x v="0"/>
  </r>
  <r>
    <x v="0"/>
    <x v="0"/>
    <n v="2239203239"/>
    <x v="2"/>
    <n v="21890"/>
    <x v="1"/>
    <x v="0"/>
    <x v="42"/>
    <x v="2"/>
    <x v="0"/>
    <x v="0"/>
    <x v="2"/>
    <x v="0"/>
  </r>
  <r>
    <x v="0"/>
    <x v="0"/>
    <n v="2239203240"/>
    <x v="1"/>
    <n v="3450"/>
    <x v="1"/>
    <x v="0"/>
    <x v="42"/>
    <x v="1"/>
    <x v="0"/>
    <x v="0"/>
    <x v="1"/>
    <x v="0"/>
  </r>
  <r>
    <x v="0"/>
    <x v="0"/>
    <n v="2239203241"/>
    <x v="2"/>
    <n v="26900"/>
    <x v="1"/>
    <x v="0"/>
    <x v="42"/>
    <x v="2"/>
    <x v="0"/>
    <x v="0"/>
    <x v="2"/>
    <x v="0"/>
  </r>
  <r>
    <x v="0"/>
    <x v="0"/>
    <n v="2239203243"/>
    <x v="5"/>
    <n v="-2000"/>
    <x v="1"/>
    <x v="0"/>
    <x v="42"/>
    <x v="5"/>
    <x v="0"/>
    <x v="0"/>
    <x v="5"/>
    <x v="0"/>
  </r>
  <r>
    <x v="0"/>
    <x v="0"/>
    <n v="2239203243"/>
    <x v="6"/>
    <n v="10000"/>
    <x v="1"/>
    <x v="0"/>
    <x v="42"/>
    <x v="6"/>
    <x v="0"/>
    <x v="0"/>
    <x v="5"/>
    <x v="0"/>
  </r>
  <r>
    <x v="0"/>
    <x v="0"/>
    <n v="2239203244"/>
    <x v="6"/>
    <n v="6000"/>
    <x v="1"/>
    <x v="0"/>
    <x v="42"/>
    <x v="6"/>
    <x v="0"/>
    <x v="0"/>
    <x v="5"/>
    <x v="0"/>
  </r>
  <r>
    <x v="0"/>
    <x v="0"/>
    <n v="2239203245"/>
    <x v="5"/>
    <n v="-4300"/>
    <x v="1"/>
    <x v="0"/>
    <x v="42"/>
    <x v="5"/>
    <x v="0"/>
    <x v="0"/>
    <x v="5"/>
    <x v="0"/>
  </r>
  <r>
    <x v="0"/>
    <x v="0"/>
    <n v="2239203245"/>
    <x v="4"/>
    <n v="10000"/>
    <x v="1"/>
    <x v="0"/>
    <x v="42"/>
    <x v="4"/>
    <x v="0"/>
    <x v="0"/>
    <x v="4"/>
    <x v="0"/>
  </r>
  <r>
    <x v="0"/>
    <x v="0"/>
    <n v="2239203246"/>
    <x v="6"/>
    <n v="1000"/>
    <x v="1"/>
    <x v="0"/>
    <x v="42"/>
    <x v="6"/>
    <x v="0"/>
    <x v="0"/>
    <x v="5"/>
    <x v="0"/>
  </r>
  <r>
    <x v="0"/>
    <x v="0"/>
    <n v="2239203248"/>
    <x v="2"/>
    <n v="22000"/>
    <x v="1"/>
    <x v="0"/>
    <x v="42"/>
    <x v="2"/>
    <x v="0"/>
    <x v="0"/>
    <x v="2"/>
    <x v="0"/>
  </r>
  <r>
    <x v="0"/>
    <x v="0"/>
    <n v="2239203249"/>
    <x v="5"/>
    <n v="-4700"/>
    <x v="1"/>
    <x v="0"/>
    <x v="42"/>
    <x v="5"/>
    <x v="0"/>
    <x v="0"/>
    <x v="5"/>
    <x v="0"/>
  </r>
  <r>
    <x v="0"/>
    <x v="0"/>
    <n v="2239203249"/>
    <x v="6"/>
    <n v="20000"/>
    <x v="1"/>
    <x v="0"/>
    <x v="42"/>
    <x v="6"/>
    <x v="0"/>
    <x v="0"/>
    <x v="5"/>
    <x v="0"/>
  </r>
  <r>
    <x v="0"/>
    <x v="0"/>
    <n v="2239203250"/>
    <x v="2"/>
    <n v="12320"/>
    <x v="1"/>
    <x v="0"/>
    <x v="42"/>
    <x v="2"/>
    <x v="0"/>
    <x v="0"/>
    <x v="2"/>
    <x v="0"/>
  </r>
  <r>
    <x v="0"/>
    <x v="0"/>
    <n v="2239203251"/>
    <x v="2"/>
    <n v="16863"/>
    <x v="1"/>
    <x v="0"/>
    <x v="42"/>
    <x v="2"/>
    <x v="0"/>
    <x v="0"/>
    <x v="2"/>
    <x v="0"/>
  </r>
  <r>
    <x v="0"/>
    <x v="0"/>
    <n v="2239203252"/>
    <x v="2"/>
    <n v="109920"/>
    <x v="1"/>
    <x v="0"/>
    <x v="42"/>
    <x v="2"/>
    <x v="0"/>
    <x v="0"/>
    <x v="2"/>
    <x v="0"/>
  </r>
  <r>
    <x v="0"/>
    <x v="0"/>
    <n v="2239203253"/>
    <x v="5"/>
    <n v="-9000"/>
    <x v="1"/>
    <x v="0"/>
    <x v="42"/>
    <x v="5"/>
    <x v="0"/>
    <x v="0"/>
    <x v="5"/>
    <x v="0"/>
  </r>
  <r>
    <x v="0"/>
    <x v="0"/>
    <n v="2239203253"/>
    <x v="6"/>
    <n v="10000"/>
    <x v="1"/>
    <x v="0"/>
    <x v="42"/>
    <x v="6"/>
    <x v="0"/>
    <x v="0"/>
    <x v="5"/>
    <x v="0"/>
  </r>
  <r>
    <x v="0"/>
    <x v="0"/>
    <n v="2239203255"/>
    <x v="2"/>
    <n v="9900"/>
    <x v="1"/>
    <x v="0"/>
    <x v="42"/>
    <x v="2"/>
    <x v="0"/>
    <x v="0"/>
    <x v="2"/>
    <x v="0"/>
  </r>
  <r>
    <x v="0"/>
    <x v="0"/>
    <n v="2239203256"/>
    <x v="2"/>
    <n v="33990"/>
    <x v="1"/>
    <x v="0"/>
    <x v="42"/>
    <x v="2"/>
    <x v="0"/>
    <x v="0"/>
    <x v="2"/>
    <x v="0"/>
  </r>
  <r>
    <x v="0"/>
    <x v="0"/>
    <n v="2239203257"/>
    <x v="1"/>
    <n v="43890"/>
    <x v="1"/>
    <x v="0"/>
    <x v="42"/>
    <x v="1"/>
    <x v="0"/>
    <x v="0"/>
    <x v="1"/>
    <x v="0"/>
  </r>
  <r>
    <x v="0"/>
    <x v="0"/>
    <n v="2239203259"/>
    <x v="5"/>
    <n v="-2600"/>
    <x v="1"/>
    <x v="0"/>
    <x v="42"/>
    <x v="5"/>
    <x v="0"/>
    <x v="0"/>
    <x v="5"/>
    <x v="0"/>
  </r>
  <r>
    <x v="0"/>
    <x v="0"/>
    <n v="2239203259"/>
    <x v="6"/>
    <n v="5000"/>
    <x v="1"/>
    <x v="0"/>
    <x v="42"/>
    <x v="6"/>
    <x v="0"/>
    <x v="0"/>
    <x v="5"/>
    <x v="0"/>
  </r>
  <r>
    <x v="0"/>
    <x v="0"/>
    <n v="2239203260"/>
    <x v="5"/>
    <n v="-4400"/>
    <x v="1"/>
    <x v="0"/>
    <x v="42"/>
    <x v="5"/>
    <x v="0"/>
    <x v="0"/>
    <x v="5"/>
    <x v="0"/>
  </r>
  <r>
    <x v="0"/>
    <x v="0"/>
    <n v="2239203260"/>
    <x v="4"/>
    <n v="10000"/>
    <x v="1"/>
    <x v="0"/>
    <x v="42"/>
    <x v="4"/>
    <x v="0"/>
    <x v="0"/>
    <x v="4"/>
    <x v="0"/>
  </r>
  <r>
    <x v="0"/>
    <x v="0"/>
    <n v="2239203261"/>
    <x v="6"/>
    <n v="1000"/>
    <x v="1"/>
    <x v="0"/>
    <x v="42"/>
    <x v="6"/>
    <x v="0"/>
    <x v="0"/>
    <x v="5"/>
    <x v="0"/>
  </r>
  <r>
    <x v="0"/>
    <x v="0"/>
    <n v="2239203262"/>
    <x v="2"/>
    <n v="1000"/>
    <x v="1"/>
    <x v="0"/>
    <x v="42"/>
    <x v="2"/>
    <x v="0"/>
    <x v="0"/>
    <x v="2"/>
    <x v="0"/>
  </r>
  <r>
    <x v="0"/>
    <x v="0"/>
    <n v="2239203263"/>
    <x v="2"/>
    <n v="7106"/>
    <x v="1"/>
    <x v="0"/>
    <x v="42"/>
    <x v="2"/>
    <x v="0"/>
    <x v="0"/>
    <x v="2"/>
    <x v="0"/>
  </r>
  <r>
    <x v="0"/>
    <x v="0"/>
    <n v="2239203264"/>
    <x v="6"/>
    <n v="1000"/>
    <x v="1"/>
    <x v="0"/>
    <x v="42"/>
    <x v="6"/>
    <x v="0"/>
    <x v="0"/>
    <x v="5"/>
    <x v="0"/>
  </r>
  <r>
    <x v="0"/>
    <x v="0"/>
    <n v="2239203265"/>
    <x v="1"/>
    <n v="24050"/>
    <x v="1"/>
    <x v="0"/>
    <x v="42"/>
    <x v="1"/>
    <x v="0"/>
    <x v="0"/>
    <x v="1"/>
    <x v="0"/>
  </r>
  <r>
    <x v="0"/>
    <x v="0"/>
    <n v="2239203266"/>
    <x v="2"/>
    <n v="13500"/>
    <x v="1"/>
    <x v="0"/>
    <x v="42"/>
    <x v="2"/>
    <x v="0"/>
    <x v="0"/>
    <x v="2"/>
    <x v="0"/>
  </r>
  <r>
    <x v="0"/>
    <x v="0"/>
    <n v="2239203267"/>
    <x v="1"/>
    <n v="4500"/>
    <x v="1"/>
    <x v="0"/>
    <x v="42"/>
    <x v="1"/>
    <x v="0"/>
    <x v="0"/>
    <x v="1"/>
    <x v="0"/>
  </r>
  <r>
    <x v="0"/>
    <x v="0"/>
    <n v="2239203268"/>
    <x v="3"/>
    <n v="8250"/>
    <x v="1"/>
    <x v="0"/>
    <x v="42"/>
    <x v="3"/>
    <x v="0"/>
    <x v="0"/>
    <x v="3"/>
    <x v="0"/>
  </r>
  <r>
    <x v="0"/>
    <x v="0"/>
    <n v="2239203269"/>
    <x v="3"/>
    <n v="88440"/>
    <x v="1"/>
    <x v="0"/>
    <x v="42"/>
    <x v="3"/>
    <x v="0"/>
    <x v="0"/>
    <x v="3"/>
    <x v="0"/>
  </r>
  <r>
    <x v="0"/>
    <x v="0"/>
    <n v="2239203270"/>
    <x v="5"/>
    <n v="-2000"/>
    <x v="1"/>
    <x v="0"/>
    <x v="42"/>
    <x v="5"/>
    <x v="0"/>
    <x v="0"/>
    <x v="5"/>
    <x v="0"/>
  </r>
  <r>
    <x v="0"/>
    <x v="0"/>
    <n v="2239203270"/>
    <x v="6"/>
    <n v="10500"/>
    <x v="1"/>
    <x v="0"/>
    <x v="42"/>
    <x v="6"/>
    <x v="0"/>
    <x v="0"/>
    <x v="5"/>
    <x v="0"/>
  </r>
  <r>
    <x v="0"/>
    <x v="0"/>
    <n v="2239203271"/>
    <x v="3"/>
    <n v="2200"/>
    <x v="1"/>
    <x v="0"/>
    <x v="42"/>
    <x v="3"/>
    <x v="0"/>
    <x v="0"/>
    <x v="3"/>
    <x v="0"/>
  </r>
  <r>
    <x v="0"/>
    <x v="0"/>
    <n v="2239203273"/>
    <x v="1"/>
    <n v="4500"/>
    <x v="1"/>
    <x v="0"/>
    <x v="42"/>
    <x v="1"/>
    <x v="0"/>
    <x v="0"/>
    <x v="1"/>
    <x v="0"/>
  </r>
  <r>
    <x v="0"/>
    <x v="0"/>
    <n v="2239203274"/>
    <x v="1"/>
    <n v="28990"/>
    <x v="1"/>
    <x v="0"/>
    <x v="42"/>
    <x v="1"/>
    <x v="0"/>
    <x v="0"/>
    <x v="1"/>
    <x v="0"/>
  </r>
  <r>
    <x v="0"/>
    <x v="0"/>
    <n v="2239203275"/>
    <x v="4"/>
    <n v="5300"/>
    <x v="1"/>
    <x v="0"/>
    <x v="42"/>
    <x v="4"/>
    <x v="0"/>
    <x v="0"/>
    <x v="4"/>
    <x v="0"/>
  </r>
  <r>
    <x v="0"/>
    <x v="0"/>
    <n v="2239203276"/>
    <x v="3"/>
    <n v="14000"/>
    <x v="1"/>
    <x v="0"/>
    <x v="42"/>
    <x v="3"/>
    <x v="0"/>
    <x v="0"/>
    <x v="3"/>
    <x v="0"/>
  </r>
  <r>
    <x v="0"/>
    <x v="0"/>
    <n v="2239203277"/>
    <x v="3"/>
    <n v="55900"/>
    <x v="1"/>
    <x v="0"/>
    <x v="42"/>
    <x v="3"/>
    <x v="0"/>
    <x v="0"/>
    <x v="3"/>
    <x v="0"/>
  </r>
  <r>
    <x v="0"/>
    <x v="0"/>
    <n v="2239203278"/>
    <x v="6"/>
    <n v="2000"/>
    <x v="1"/>
    <x v="0"/>
    <x v="42"/>
    <x v="6"/>
    <x v="0"/>
    <x v="0"/>
    <x v="5"/>
    <x v="0"/>
  </r>
  <r>
    <x v="0"/>
    <x v="0"/>
    <n v="2239203279"/>
    <x v="5"/>
    <n v="-9000"/>
    <x v="1"/>
    <x v="0"/>
    <x v="42"/>
    <x v="5"/>
    <x v="0"/>
    <x v="0"/>
    <x v="5"/>
    <x v="0"/>
  </r>
  <r>
    <x v="0"/>
    <x v="0"/>
    <n v="2239203279"/>
    <x v="6"/>
    <n v="10000"/>
    <x v="1"/>
    <x v="0"/>
    <x v="42"/>
    <x v="6"/>
    <x v="0"/>
    <x v="0"/>
    <x v="5"/>
    <x v="0"/>
  </r>
  <r>
    <x v="0"/>
    <x v="0"/>
    <n v="2239203280"/>
    <x v="6"/>
    <n v="2000"/>
    <x v="1"/>
    <x v="0"/>
    <x v="42"/>
    <x v="6"/>
    <x v="0"/>
    <x v="0"/>
    <x v="5"/>
    <x v="0"/>
  </r>
  <r>
    <x v="0"/>
    <x v="0"/>
    <n v="2239203281"/>
    <x v="2"/>
    <n v="6600"/>
    <x v="1"/>
    <x v="0"/>
    <x v="42"/>
    <x v="2"/>
    <x v="0"/>
    <x v="0"/>
    <x v="2"/>
    <x v="0"/>
  </r>
  <r>
    <x v="0"/>
    <x v="0"/>
    <n v="2239203282"/>
    <x v="2"/>
    <n v="6600"/>
    <x v="1"/>
    <x v="0"/>
    <x v="42"/>
    <x v="2"/>
    <x v="0"/>
    <x v="0"/>
    <x v="2"/>
    <x v="0"/>
  </r>
  <r>
    <x v="0"/>
    <x v="0"/>
    <n v="2239203283"/>
    <x v="5"/>
    <n v="-7800"/>
    <x v="1"/>
    <x v="0"/>
    <x v="42"/>
    <x v="5"/>
    <x v="0"/>
    <x v="0"/>
    <x v="5"/>
    <x v="0"/>
  </r>
  <r>
    <x v="0"/>
    <x v="0"/>
    <n v="2239203283"/>
    <x v="6"/>
    <n v="65000"/>
    <x v="1"/>
    <x v="0"/>
    <x v="42"/>
    <x v="6"/>
    <x v="0"/>
    <x v="0"/>
    <x v="5"/>
    <x v="0"/>
  </r>
  <r>
    <x v="0"/>
    <x v="0"/>
    <n v="2239203284"/>
    <x v="3"/>
    <n v="76340"/>
    <x v="1"/>
    <x v="0"/>
    <x v="42"/>
    <x v="3"/>
    <x v="0"/>
    <x v="0"/>
    <x v="3"/>
    <x v="0"/>
  </r>
  <r>
    <x v="0"/>
    <x v="0"/>
    <n v="2239203285"/>
    <x v="5"/>
    <n v="-8000"/>
    <x v="1"/>
    <x v="0"/>
    <x v="42"/>
    <x v="5"/>
    <x v="0"/>
    <x v="0"/>
    <x v="5"/>
    <x v="0"/>
  </r>
  <r>
    <x v="0"/>
    <x v="0"/>
    <n v="2239203285"/>
    <x v="6"/>
    <n v="10000"/>
    <x v="1"/>
    <x v="0"/>
    <x v="42"/>
    <x v="6"/>
    <x v="0"/>
    <x v="0"/>
    <x v="5"/>
    <x v="0"/>
  </r>
  <r>
    <x v="0"/>
    <x v="0"/>
    <n v="2239203286"/>
    <x v="2"/>
    <n v="30580"/>
    <x v="1"/>
    <x v="0"/>
    <x v="42"/>
    <x v="2"/>
    <x v="0"/>
    <x v="0"/>
    <x v="2"/>
    <x v="0"/>
  </r>
  <r>
    <x v="0"/>
    <x v="0"/>
    <n v="2239203287"/>
    <x v="2"/>
    <n v="61490"/>
    <x v="1"/>
    <x v="0"/>
    <x v="42"/>
    <x v="2"/>
    <x v="0"/>
    <x v="0"/>
    <x v="2"/>
    <x v="0"/>
  </r>
  <r>
    <x v="0"/>
    <x v="0"/>
    <n v="2239203288"/>
    <x v="3"/>
    <n v="7920"/>
    <x v="1"/>
    <x v="0"/>
    <x v="42"/>
    <x v="3"/>
    <x v="0"/>
    <x v="0"/>
    <x v="3"/>
    <x v="0"/>
  </r>
  <r>
    <x v="0"/>
    <x v="0"/>
    <n v="2239203289"/>
    <x v="5"/>
    <n v="-4000"/>
    <x v="1"/>
    <x v="0"/>
    <x v="42"/>
    <x v="5"/>
    <x v="0"/>
    <x v="0"/>
    <x v="5"/>
    <x v="0"/>
  </r>
  <r>
    <x v="0"/>
    <x v="0"/>
    <n v="2239203289"/>
    <x v="6"/>
    <n v="5000"/>
    <x v="1"/>
    <x v="0"/>
    <x v="42"/>
    <x v="6"/>
    <x v="0"/>
    <x v="0"/>
    <x v="5"/>
    <x v="0"/>
  </r>
  <r>
    <x v="0"/>
    <x v="0"/>
    <n v="2239203290"/>
    <x v="3"/>
    <n v="34320"/>
    <x v="1"/>
    <x v="0"/>
    <x v="42"/>
    <x v="3"/>
    <x v="0"/>
    <x v="0"/>
    <x v="3"/>
    <x v="0"/>
  </r>
  <r>
    <x v="0"/>
    <x v="0"/>
    <n v="2239203291"/>
    <x v="5"/>
    <n v="-12500"/>
    <x v="1"/>
    <x v="0"/>
    <x v="42"/>
    <x v="5"/>
    <x v="0"/>
    <x v="0"/>
    <x v="5"/>
    <x v="0"/>
  </r>
  <r>
    <x v="0"/>
    <x v="0"/>
    <n v="2239203291"/>
    <x v="6"/>
    <n v="20000"/>
    <x v="1"/>
    <x v="0"/>
    <x v="42"/>
    <x v="6"/>
    <x v="0"/>
    <x v="0"/>
    <x v="5"/>
    <x v="0"/>
  </r>
  <r>
    <x v="0"/>
    <x v="0"/>
    <n v="2239203292"/>
    <x v="8"/>
    <n v="13200"/>
    <x v="1"/>
    <x v="0"/>
    <x v="42"/>
    <x v="8"/>
    <x v="0"/>
    <x v="0"/>
    <x v="3"/>
    <x v="0"/>
  </r>
  <r>
    <x v="0"/>
    <x v="0"/>
    <n v="2239203293"/>
    <x v="2"/>
    <n v="31790"/>
    <x v="1"/>
    <x v="0"/>
    <x v="42"/>
    <x v="2"/>
    <x v="0"/>
    <x v="0"/>
    <x v="2"/>
    <x v="0"/>
  </r>
  <r>
    <x v="0"/>
    <x v="0"/>
    <n v="2239203294"/>
    <x v="5"/>
    <n v="-3500"/>
    <x v="1"/>
    <x v="0"/>
    <x v="42"/>
    <x v="5"/>
    <x v="0"/>
    <x v="0"/>
    <x v="5"/>
    <x v="0"/>
  </r>
  <r>
    <x v="0"/>
    <x v="0"/>
    <n v="2239203294"/>
    <x v="6"/>
    <n v="10000"/>
    <x v="1"/>
    <x v="0"/>
    <x v="42"/>
    <x v="6"/>
    <x v="0"/>
    <x v="0"/>
    <x v="5"/>
    <x v="0"/>
  </r>
  <r>
    <x v="0"/>
    <x v="0"/>
    <n v="2239203296"/>
    <x v="3"/>
    <n v="8250"/>
    <x v="1"/>
    <x v="0"/>
    <x v="42"/>
    <x v="3"/>
    <x v="0"/>
    <x v="0"/>
    <x v="3"/>
    <x v="0"/>
  </r>
  <r>
    <x v="0"/>
    <x v="0"/>
    <n v="2239203297"/>
    <x v="5"/>
    <n v="-9000"/>
    <x v="1"/>
    <x v="0"/>
    <x v="42"/>
    <x v="5"/>
    <x v="0"/>
    <x v="0"/>
    <x v="5"/>
    <x v="0"/>
  </r>
  <r>
    <x v="0"/>
    <x v="0"/>
    <n v="2239203297"/>
    <x v="6"/>
    <n v="10000"/>
    <x v="1"/>
    <x v="0"/>
    <x v="42"/>
    <x v="6"/>
    <x v="0"/>
    <x v="0"/>
    <x v="5"/>
    <x v="0"/>
  </r>
  <r>
    <x v="0"/>
    <x v="0"/>
    <n v="2239203299"/>
    <x v="2"/>
    <n v="6500"/>
    <x v="1"/>
    <x v="0"/>
    <x v="42"/>
    <x v="2"/>
    <x v="0"/>
    <x v="0"/>
    <x v="2"/>
    <x v="0"/>
  </r>
  <r>
    <x v="0"/>
    <x v="0"/>
    <n v="2239203301"/>
    <x v="2"/>
    <n v="50490"/>
    <x v="1"/>
    <x v="0"/>
    <x v="42"/>
    <x v="2"/>
    <x v="0"/>
    <x v="0"/>
    <x v="2"/>
    <x v="0"/>
  </r>
  <r>
    <x v="0"/>
    <x v="0"/>
    <n v="2239203302"/>
    <x v="5"/>
    <n v="-2000"/>
    <x v="1"/>
    <x v="0"/>
    <x v="42"/>
    <x v="5"/>
    <x v="0"/>
    <x v="0"/>
    <x v="5"/>
    <x v="0"/>
  </r>
  <r>
    <x v="0"/>
    <x v="0"/>
    <n v="2239203302"/>
    <x v="6"/>
    <n v="5000"/>
    <x v="1"/>
    <x v="0"/>
    <x v="42"/>
    <x v="6"/>
    <x v="0"/>
    <x v="0"/>
    <x v="5"/>
    <x v="0"/>
  </r>
  <r>
    <x v="0"/>
    <x v="0"/>
    <n v="2239203303"/>
    <x v="2"/>
    <n v="59290"/>
    <x v="1"/>
    <x v="0"/>
    <x v="42"/>
    <x v="2"/>
    <x v="0"/>
    <x v="0"/>
    <x v="2"/>
    <x v="0"/>
  </r>
  <r>
    <x v="0"/>
    <x v="0"/>
    <n v="2239203305"/>
    <x v="2"/>
    <n v="6000"/>
    <x v="1"/>
    <x v="0"/>
    <x v="42"/>
    <x v="2"/>
    <x v="0"/>
    <x v="0"/>
    <x v="2"/>
    <x v="0"/>
  </r>
  <r>
    <x v="0"/>
    <x v="0"/>
    <n v="2239203306"/>
    <x v="2"/>
    <n v="7500"/>
    <x v="1"/>
    <x v="0"/>
    <x v="42"/>
    <x v="2"/>
    <x v="0"/>
    <x v="0"/>
    <x v="2"/>
    <x v="0"/>
  </r>
  <r>
    <x v="0"/>
    <x v="0"/>
    <n v="2239203307"/>
    <x v="2"/>
    <n v="48290"/>
    <x v="1"/>
    <x v="0"/>
    <x v="42"/>
    <x v="2"/>
    <x v="0"/>
    <x v="0"/>
    <x v="2"/>
    <x v="0"/>
  </r>
  <r>
    <x v="0"/>
    <x v="0"/>
    <n v="2239203308"/>
    <x v="2"/>
    <n v="4000"/>
    <x v="1"/>
    <x v="0"/>
    <x v="42"/>
    <x v="2"/>
    <x v="0"/>
    <x v="0"/>
    <x v="2"/>
    <x v="0"/>
  </r>
  <r>
    <x v="0"/>
    <x v="0"/>
    <n v="2239203309"/>
    <x v="5"/>
    <n v="-15400"/>
    <x v="1"/>
    <x v="0"/>
    <x v="42"/>
    <x v="5"/>
    <x v="0"/>
    <x v="0"/>
    <x v="5"/>
    <x v="0"/>
  </r>
  <r>
    <x v="0"/>
    <x v="0"/>
    <n v="2239203309"/>
    <x v="4"/>
    <n v="20000"/>
    <x v="1"/>
    <x v="0"/>
    <x v="42"/>
    <x v="4"/>
    <x v="0"/>
    <x v="0"/>
    <x v="4"/>
    <x v="0"/>
  </r>
  <r>
    <x v="0"/>
    <x v="0"/>
    <n v="2239203310"/>
    <x v="2"/>
    <n v="11858"/>
    <x v="1"/>
    <x v="0"/>
    <x v="42"/>
    <x v="2"/>
    <x v="0"/>
    <x v="0"/>
    <x v="2"/>
    <x v="0"/>
  </r>
  <r>
    <x v="0"/>
    <x v="0"/>
    <n v="2239203311"/>
    <x v="2"/>
    <n v="4950"/>
    <x v="1"/>
    <x v="0"/>
    <x v="42"/>
    <x v="2"/>
    <x v="0"/>
    <x v="0"/>
    <x v="2"/>
    <x v="0"/>
  </r>
  <r>
    <x v="0"/>
    <x v="0"/>
    <n v="2239203312"/>
    <x v="5"/>
    <n v="-1600"/>
    <x v="1"/>
    <x v="0"/>
    <x v="42"/>
    <x v="5"/>
    <x v="0"/>
    <x v="0"/>
    <x v="5"/>
    <x v="0"/>
  </r>
  <r>
    <x v="0"/>
    <x v="0"/>
    <n v="2239203312"/>
    <x v="6"/>
    <n v="10000"/>
    <x v="1"/>
    <x v="0"/>
    <x v="42"/>
    <x v="6"/>
    <x v="0"/>
    <x v="0"/>
    <x v="5"/>
    <x v="0"/>
  </r>
  <r>
    <x v="0"/>
    <x v="0"/>
    <n v="2239203313"/>
    <x v="3"/>
    <n v="52000"/>
    <x v="1"/>
    <x v="0"/>
    <x v="42"/>
    <x v="3"/>
    <x v="0"/>
    <x v="0"/>
    <x v="3"/>
    <x v="0"/>
  </r>
  <r>
    <x v="0"/>
    <x v="0"/>
    <n v="2239203316"/>
    <x v="2"/>
    <n v="3000"/>
    <x v="1"/>
    <x v="0"/>
    <x v="42"/>
    <x v="2"/>
    <x v="0"/>
    <x v="0"/>
    <x v="2"/>
    <x v="0"/>
  </r>
  <r>
    <x v="0"/>
    <x v="0"/>
    <n v="2239203317"/>
    <x v="5"/>
    <n v="-15400"/>
    <x v="1"/>
    <x v="0"/>
    <x v="42"/>
    <x v="5"/>
    <x v="0"/>
    <x v="0"/>
    <x v="5"/>
    <x v="0"/>
  </r>
  <r>
    <x v="0"/>
    <x v="0"/>
    <n v="2239203317"/>
    <x v="4"/>
    <n v="20000"/>
    <x v="1"/>
    <x v="0"/>
    <x v="42"/>
    <x v="4"/>
    <x v="0"/>
    <x v="0"/>
    <x v="4"/>
    <x v="0"/>
  </r>
  <r>
    <x v="0"/>
    <x v="0"/>
    <n v="2239203318"/>
    <x v="3"/>
    <n v="16280"/>
    <x v="1"/>
    <x v="0"/>
    <x v="42"/>
    <x v="3"/>
    <x v="0"/>
    <x v="0"/>
    <x v="3"/>
    <x v="0"/>
  </r>
  <r>
    <x v="0"/>
    <x v="0"/>
    <n v="2239203319"/>
    <x v="3"/>
    <n v="37026"/>
    <x v="1"/>
    <x v="0"/>
    <x v="42"/>
    <x v="3"/>
    <x v="0"/>
    <x v="0"/>
    <x v="3"/>
    <x v="0"/>
  </r>
  <r>
    <x v="0"/>
    <x v="0"/>
    <n v="2239203320"/>
    <x v="5"/>
    <n v="-4800"/>
    <x v="1"/>
    <x v="0"/>
    <x v="42"/>
    <x v="5"/>
    <x v="0"/>
    <x v="0"/>
    <x v="5"/>
    <x v="0"/>
  </r>
  <r>
    <x v="0"/>
    <x v="0"/>
    <n v="2239203320"/>
    <x v="6"/>
    <n v="10000"/>
    <x v="1"/>
    <x v="0"/>
    <x v="42"/>
    <x v="6"/>
    <x v="0"/>
    <x v="0"/>
    <x v="5"/>
    <x v="0"/>
  </r>
  <r>
    <x v="0"/>
    <x v="0"/>
    <n v="2239203320"/>
    <x v="7"/>
    <n v="1300"/>
    <x v="1"/>
    <x v="0"/>
    <x v="42"/>
    <x v="7"/>
    <x v="0"/>
    <x v="0"/>
    <x v="1"/>
    <x v="0"/>
  </r>
  <r>
    <x v="0"/>
    <x v="0"/>
    <n v="2239203321"/>
    <x v="5"/>
    <n v="-200"/>
    <x v="1"/>
    <x v="0"/>
    <x v="42"/>
    <x v="5"/>
    <x v="0"/>
    <x v="0"/>
    <x v="5"/>
    <x v="0"/>
  </r>
  <r>
    <x v="0"/>
    <x v="0"/>
    <n v="2239203321"/>
    <x v="4"/>
    <n v="4800"/>
    <x v="1"/>
    <x v="0"/>
    <x v="42"/>
    <x v="4"/>
    <x v="0"/>
    <x v="0"/>
    <x v="4"/>
    <x v="0"/>
  </r>
  <r>
    <x v="0"/>
    <x v="0"/>
    <n v="2239203322"/>
    <x v="2"/>
    <n v="27940"/>
    <x v="1"/>
    <x v="0"/>
    <x v="42"/>
    <x v="2"/>
    <x v="0"/>
    <x v="0"/>
    <x v="2"/>
    <x v="0"/>
  </r>
  <r>
    <x v="0"/>
    <x v="0"/>
    <n v="2239203323"/>
    <x v="2"/>
    <n v="24035"/>
    <x v="1"/>
    <x v="0"/>
    <x v="42"/>
    <x v="2"/>
    <x v="0"/>
    <x v="0"/>
    <x v="2"/>
    <x v="0"/>
  </r>
  <r>
    <x v="0"/>
    <x v="0"/>
    <n v="2239203324"/>
    <x v="2"/>
    <n v="6600"/>
    <x v="1"/>
    <x v="0"/>
    <x v="42"/>
    <x v="2"/>
    <x v="0"/>
    <x v="0"/>
    <x v="2"/>
    <x v="0"/>
  </r>
  <r>
    <x v="0"/>
    <x v="0"/>
    <n v="2239203325"/>
    <x v="2"/>
    <n v="36652"/>
    <x v="1"/>
    <x v="0"/>
    <x v="42"/>
    <x v="2"/>
    <x v="0"/>
    <x v="0"/>
    <x v="2"/>
    <x v="0"/>
  </r>
  <r>
    <x v="0"/>
    <x v="0"/>
    <n v="2239203326"/>
    <x v="5"/>
    <n v="-5000"/>
    <x v="1"/>
    <x v="0"/>
    <x v="42"/>
    <x v="5"/>
    <x v="0"/>
    <x v="0"/>
    <x v="5"/>
    <x v="0"/>
  </r>
  <r>
    <x v="0"/>
    <x v="0"/>
    <n v="2239203326"/>
    <x v="4"/>
    <n v="10700"/>
    <x v="1"/>
    <x v="0"/>
    <x v="42"/>
    <x v="4"/>
    <x v="0"/>
    <x v="0"/>
    <x v="4"/>
    <x v="0"/>
  </r>
  <r>
    <x v="0"/>
    <x v="0"/>
    <n v="2239203327"/>
    <x v="6"/>
    <n v="6000"/>
    <x v="1"/>
    <x v="0"/>
    <x v="42"/>
    <x v="6"/>
    <x v="0"/>
    <x v="0"/>
    <x v="5"/>
    <x v="0"/>
  </r>
  <r>
    <x v="0"/>
    <x v="0"/>
    <n v="2239203328"/>
    <x v="2"/>
    <n v="42790"/>
    <x v="1"/>
    <x v="0"/>
    <x v="42"/>
    <x v="2"/>
    <x v="0"/>
    <x v="0"/>
    <x v="2"/>
    <x v="0"/>
  </r>
  <r>
    <x v="0"/>
    <x v="0"/>
    <n v="2239203329"/>
    <x v="2"/>
    <n v="51480"/>
    <x v="1"/>
    <x v="0"/>
    <x v="42"/>
    <x v="2"/>
    <x v="0"/>
    <x v="0"/>
    <x v="2"/>
    <x v="0"/>
  </r>
  <r>
    <x v="0"/>
    <x v="0"/>
    <n v="2239203330"/>
    <x v="2"/>
    <n v="69740"/>
    <x v="1"/>
    <x v="0"/>
    <x v="42"/>
    <x v="2"/>
    <x v="0"/>
    <x v="0"/>
    <x v="2"/>
    <x v="0"/>
  </r>
  <r>
    <x v="0"/>
    <x v="0"/>
    <n v="2239203331"/>
    <x v="5"/>
    <n v="-6000"/>
    <x v="1"/>
    <x v="0"/>
    <x v="42"/>
    <x v="5"/>
    <x v="0"/>
    <x v="0"/>
    <x v="5"/>
    <x v="0"/>
  </r>
  <r>
    <x v="0"/>
    <x v="0"/>
    <n v="2239203331"/>
    <x v="6"/>
    <n v="20000"/>
    <x v="1"/>
    <x v="0"/>
    <x v="42"/>
    <x v="6"/>
    <x v="0"/>
    <x v="0"/>
    <x v="5"/>
    <x v="0"/>
  </r>
  <r>
    <x v="0"/>
    <x v="0"/>
    <n v="2239203332"/>
    <x v="2"/>
    <n v="4180"/>
    <x v="1"/>
    <x v="0"/>
    <x v="42"/>
    <x v="2"/>
    <x v="0"/>
    <x v="0"/>
    <x v="2"/>
    <x v="0"/>
  </r>
  <r>
    <x v="0"/>
    <x v="0"/>
    <n v="2239203333"/>
    <x v="1"/>
    <n v="17470"/>
    <x v="1"/>
    <x v="0"/>
    <x v="42"/>
    <x v="1"/>
    <x v="0"/>
    <x v="0"/>
    <x v="1"/>
    <x v="0"/>
  </r>
  <r>
    <x v="0"/>
    <x v="0"/>
    <n v="2239203335"/>
    <x v="2"/>
    <n v="30140"/>
    <x v="1"/>
    <x v="0"/>
    <x v="42"/>
    <x v="2"/>
    <x v="0"/>
    <x v="0"/>
    <x v="2"/>
    <x v="0"/>
  </r>
  <r>
    <x v="0"/>
    <x v="0"/>
    <n v="2239203336"/>
    <x v="5"/>
    <n v="-4400"/>
    <x v="1"/>
    <x v="0"/>
    <x v="42"/>
    <x v="5"/>
    <x v="0"/>
    <x v="0"/>
    <x v="5"/>
    <x v="0"/>
  </r>
  <r>
    <x v="0"/>
    <x v="0"/>
    <n v="2239203336"/>
    <x v="4"/>
    <n v="10000"/>
    <x v="1"/>
    <x v="0"/>
    <x v="42"/>
    <x v="4"/>
    <x v="0"/>
    <x v="0"/>
    <x v="4"/>
    <x v="0"/>
  </r>
  <r>
    <x v="0"/>
    <x v="0"/>
    <n v="2239203337"/>
    <x v="5"/>
    <n v="-3500"/>
    <x v="1"/>
    <x v="0"/>
    <x v="42"/>
    <x v="5"/>
    <x v="0"/>
    <x v="0"/>
    <x v="5"/>
    <x v="0"/>
  </r>
  <r>
    <x v="0"/>
    <x v="0"/>
    <n v="2239203337"/>
    <x v="6"/>
    <n v="7000"/>
    <x v="1"/>
    <x v="0"/>
    <x v="42"/>
    <x v="6"/>
    <x v="0"/>
    <x v="0"/>
    <x v="5"/>
    <x v="0"/>
  </r>
  <r>
    <x v="0"/>
    <x v="0"/>
    <n v="2239203338"/>
    <x v="5"/>
    <n v="-7000"/>
    <x v="1"/>
    <x v="0"/>
    <x v="42"/>
    <x v="5"/>
    <x v="0"/>
    <x v="0"/>
    <x v="5"/>
    <x v="0"/>
  </r>
  <r>
    <x v="0"/>
    <x v="0"/>
    <n v="2239203338"/>
    <x v="6"/>
    <n v="10000"/>
    <x v="1"/>
    <x v="0"/>
    <x v="42"/>
    <x v="6"/>
    <x v="0"/>
    <x v="0"/>
    <x v="5"/>
    <x v="0"/>
  </r>
  <r>
    <x v="0"/>
    <x v="0"/>
    <n v="2239203339"/>
    <x v="2"/>
    <n v="6500"/>
    <x v="1"/>
    <x v="0"/>
    <x v="42"/>
    <x v="2"/>
    <x v="0"/>
    <x v="0"/>
    <x v="2"/>
    <x v="0"/>
  </r>
  <r>
    <x v="0"/>
    <x v="0"/>
    <n v="2239203340"/>
    <x v="2"/>
    <n v="12430"/>
    <x v="1"/>
    <x v="0"/>
    <x v="42"/>
    <x v="2"/>
    <x v="0"/>
    <x v="0"/>
    <x v="2"/>
    <x v="0"/>
  </r>
  <r>
    <x v="0"/>
    <x v="0"/>
    <n v="2239203341"/>
    <x v="2"/>
    <n v="19140"/>
    <x v="1"/>
    <x v="0"/>
    <x v="42"/>
    <x v="2"/>
    <x v="0"/>
    <x v="0"/>
    <x v="2"/>
    <x v="0"/>
  </r>
  <r>
    <x v="0"/>
    <x v="0"/>
    <n v="2239203342"/>
    <x v="2"/>
    <n v="20900"/>
    <x v="1"/>
    <x v="0"/>
    <x v="42"/>
    <x v="2"/>
    <x v="0"/>
    <x v="0"/>
    <x v="2"/>
    <x v="0"/>
  </r>
  <r>
    <x v="0"/>
    <x v="0"/>
    <n v="2239203343"/>
    <x v="5"/>
    <n v="-2000"/>
    <x v="1"/>
    <x v="0"/>
    <x v="42"/>
    <x v="5"/>
    <x v="0"/>
    <x v="0"/>
    <x v="5"/>
    <x v="0"/>
  </r>
  <r>
    <x v="0"/>
    <x v="0"/>
    <n v="2239203343"/>
    <x v="6"/>
    <n v="5000"/>
    <x v="1"/>
    <x v="0"/>
    <x v="42"/>
    <x v="6"/>
    <x v="0"/>
    <x v="0"/>
    <x v="5"/>
    <x v="0"/>
  </r>
  <r>
    <x v="0"/>
    <x v="0"/>
    <n v="2239203344"/>
    <x v="2"/>
    <n v="87230"/>
    <x v="1"/>
    <x v="0"/>
    <x v="42"/>
    <x v="2"/>
    <x v="0"/>
    <x v="0"/>
    <x v="2"/>
    <x v="0"/>
  </r>
  <r>
    <x v="0"/>
    <x v="0"/>
    <n v="2239203345"/>
    <x v="5"/>
    <n v="-500"/>
    <x v="1"/>
    <x v="0"/>
    <x v="42"/>
    <x v="5"/>
    <x v="0"/>
    <x v="0"/>
    <x v="5"/>
    <x v="0"/>
  </r>
  <r>
    <x v="0"/>
    <x v="0"/>
    <n v="2239203345"/>
    <x v="6"/>
    <n v="7000"/>
    <x v="1"/>
    <x v="0"/>
    <x v="42"/>
    <x v="6"/>
    <x v="0"/>
    <x v="0"/>
    <x v="5"/>
    <x v="0"/>
  </r>
  <r>
    <x v="0"/>
    <x v="0"/>
    <n v="2239203346"/>
    <x v="2"/>
    <n v="12100"/>
    <x v="1"/>
    <x v="0"/>
    <x v="42"/>
    <x v="2"/>
    <x v="0"/>
    <x v="0"/>
    <x v="2"/>
    <x v="0"/>
  </r>
  <r>
    <x v="0"/>
    <x v="0"/>
    <n v="2239203347"/>
    <x v="2"/>
    <n v="33990"/>
    <x v="1"/>
    <x v="0"/>
    <x v="42"/>
    <x v="2"/>
    <x v="0"/>
    <x v="0"/>
    <x v="2"/>
    <x v="0"/>
  </r>
  <r>
    <x v="0"/>
    <x v="0"/>
    <n v="2239203348"/>
    <x v="5"/>
    <n v="-15000"/>
    <x v="1"/>
    <x v="0"/>
    <x v="42"/>
    <x v="5"/>
    <x v="0"/>
    <x v="0"/>
    <x v="5"/>
    <x v="0"/>
  </r>
  <r>
    <x v="0"/>
    <x v="0"/>
    <n v="2239203348"/>
    <x v="4"/>
    <n v="20000"/>
    <x v="1"/>
    <x v="0"/>
    <x v="42"/>
    <x v="4"/>
    <x v="0"/>
    <x v="0"/>
    <x v="4"/>
    <x v="0"/>
  </r>
  <r>
    <x v="0"/>
    <x v="0"/>
    <n v="2239203349"/>
    <x v="2"/>
    <n v="14000"/>
    <x v="1"/>
    <x v="0"/>
    <x v="42"/>
    <x v="2"/>
    <x v="0"/>
    <x v="0"/>
    <x v="2"/>
    <x v="0"/>
  </r>
  <r>
    <x v="0"/>
    <x v="0"/>
    <n v="2239203350"/>
    <x v="3"/>
    <n v="19800"/>
    <x v="1"/>
    <x v="0"/>
    <x v="42"/>
    <x v="3"/>
    <x v="0"/>
    <x v="0"/>
    <x v="3"/>
    <x v="0"/>
  </r>
  <r>
    <x v="0"/>
    <x v="0"/>
    <n v="2239203351"/>
    <x v="1"/>
    <n v="2100"/>
    <x v="1"/>
    <x v="0"/>
    <x v="42"/>
    <x v="1"/>
    <x v="0"/>
    <x v="0"/>
    <x v="1"/>
    <x v="0"/>
  </r>
  <r>
    <x v="0"/>
    <x v="0"/>
    <n v="2239203352"/>
    <x v="1"/>
    <n v="37520"/>
    <x v="1"/>
    <x v="0"/>
    <x v="42"/>
    <x v="1"/>
    <x v="0"/>
    <x v="0"/>
    <x v="1"/>
    <x v="0"/>
  </r>
  <r>
    <x v="0"/>
    <x v="0"/>
    <n v="2239203353"/>
    <x v="2"/>
    <n v="6000"/>
    <x v="1"/>
    <x v="0"/>
    <x v="42"/>
    <x v="2"/>
    <x v="0"/>
    <x v="0"/>
    <x v="2"/>
    <x v="0"/>
  </r>
  <r>
    <x v="0"/>
    <x v="0"/>
    <n v="2239203354"/>
    <x v="4"/>
    <n v="4600"/>
    <x v="1"/>
    <x v="0"/>
    <x v="42"/>
    <x v="4"/>
    <x v="0"/>
    <x v="0"/>
    <x v="4"/>
    <x v="0"/>
  </r>
  <r>
    <x v="0"/>
    <x v="0"/>
    <n v="2239203355"/>
    <x v="2"/>
    <n v="18480"/>
    <x v="1"/>
    <x v="0"/>
    <x v="42"/>
    <x v="2"/>
    <x v="0"/>
    <x v="0"/>
    <x v="2"/>
    <x v="0"/>
  </r>
  <r>
    <x v="0"/>
    <x v="0"/>
    <n v="2239203356"/>
    <x v="6"/>
    <n v="10320"/>
    <x v="1"/>
    <x v="0"/>
    <x v="42"/>
    <x v="6"/>
    <x v="0"/>
    <x v="0"/>
    <x v="5"/>
    <x v="0"/>
  </r>
  <r>
    <x v="0"/>
    <x v="0"/>
    <n v="2239203357"/>
    <x v="2"/>
    <n v="4500"/>
    <x v="1"/>
    <x v="0"/>
    <x v="42"/>
    <x v="2"/>
    <x v="0"/>
    <x v="0"/>
    <x v="2"/>
    <x v="0"/>
  </r>
  <r>
    <x v="0"/>
    <x v="0"/>
    <n v="2239203358"/>
    <x v="2"/>
    <n v="15000"/>
    <x v="1"/>
    <x v="0"/>
    <x v="42"/>
    <x v="2"/>
    <x v="0"/>
    <x v="0"/>
    <x v="2"/>
    <x v="0"/>
  </r>
  <r>
    <x v="0"/>
    <x v="0"/>
    <n v="2239203359"/>
    <x v="6"/>
    <n v="5850"/>
    <x v="1"/>
    <x v="0"/>
    <x v="42"/>
    <x v="6"/>
    <x v="0"/>
    <x v="0"/>
    <x v="5"/>
    <x v="0"/>
  </r>
  <r>
    <x v="0"/>
    <x v="0"/>
    <n v="2239203359"/>
    <x v="7"/>
    <n v="650"/>
    <x v="1"/>
    <x v="0"/>
    <x v="42"/>
    <x v="7"/>
    <x v="0"/>
    <x v="0"/>
    <x v="1"/>
    <x v="0"/>
  </r>
  <r>
    <x v="0"/>
    <x v="0"/>
    <n v="2239203360"/>
    <x v="5"/>
    <n v="-4300"/>
    <x v="1"/>
    <x v="0"/>
    <x v="42"/>
    <x v="5"/>
    <x v="0"/>
    <x v="0"/>
    <x v="5"/>
    <x v="0"/>
  </r>
  <r>
    <x v="0"/>
    <x v="0"/>
    <n v="2239203360"/>
    <x v="4"/>
    <n v="10000"/>
    <x v="1"/>
    <x v="0"/>
    <x v="42"/>
    <x v="4"/>
    <x v="0"/>
    <x v="0"/>
    <x v="4"/>
    <x v="0"/>
  </r>
  <r>
    <x v="0"/>
    <x v="0"/>
    <n v="2239203361"/>
    <x v="2"/>
    <n v="6500"/>
    <x v="1"/>
    <x v="0"/>
    <x v="42"/>
    <x v="2"/>
    <x v="0"/>
    <x v="0"/>
    <x v="2"/>
    <x v="0"/>
  </r>
  <r>
    <x v="0"/>
    <x v="0"/>
    <n v="2239203362"/>
    <x v="3"/>
    <n v="9500"/>
    <x v="1"/>
    <x v="0"/>
    <x v="42"/>
    <x v="3"/>
    <x v="0"/>
    <x v="0"/>
    <x v="3"/>
    <x v="0"/>
  </r>
  <r>
    <x v="0"/>
    <x v="0"/>
    <n v="2239203363"/>
    <x v="2"/>
    <n v="63580"/>
    <x v="1"/>
    <x v="0"/>
    <x v="42"/>
    <x v="2"/>
    <x v="0"/>
    <x v="0"/>
    <x v="2"/>
    <x v="0"/>
  </r>
  <r>
    <x v="0"/>
    <x v="0"/>
    <n v="2239203364"/>
    <x v="5"/>
    <n v="-3500"/>
    <x v="1"/>
    <x v="0"/>
    <x v="42"/>
    <x v="5"/>
    <x v="0"/>
    <x v="0"/>
    <x v="5"/>
    <x v="0"/>
  </r>
  <r>
    <x v="0"/>
    <x v="0"/>
    <n v="2239203364"/>
    <x v="6"/>
    <n v="10000"/>
    <x v="1"/>
    <x v="0"/>
    <x v="42"/>
    <x v="6"/>
    <x v="0"/>
    <x v="0"/>
    <x v="5"/>
    <x v="0"/>
  </r>
  <r>
    <x v="0"/>
    <x v="0"/>
    <n v="2239203365"/>
    <x v="5"/>
    <n v="-100"/>
    <x v="1"/>
    <x v="0"/>
    <x v="42"/>
    <x v="5"/>
    <x v="0"/>
    <x v="0"/>
    <x v="5"/>
    <x v="0"/>
  </r>
  <r>
    <x v="0"/>
    <x v="0"/>
    <n v="2239203365"/>
    <x v="6"/>
    <n v="25000"/>
    <x v="1"/>
    <x v="0"/>
    <x v="42"/>
    <x v="6"/>
    <x v="0"/>
    <x v="0"/>
    <x v="5"/>
    <x v="0"/>
  </r>
  <r>
    <x v="0"/>
    <x v="0"/>
    <n v="2239203366"/>
    <x v="5"/>
    <n v="-3900"/>
    <x v="1"/>
    <x v="0"/>
    <x v="42"/>
    <x v="5"/>
    <x v="0"/>
    <x v="0"/>
    <x v="5"/>
    <x v="0"/>
  </r>
  <r>
    <x v="0"/>
    <x v="0"/>
    <n v="2239203366"/>
    <x v="6"/>
    <n v="45000"/>
    <x v="1"/>
    <x v="0"/>
    <x v="42"/>
    <x v="6"/>
    <x v="0"/>
    <x v="0"/>
    <x v="5"/>
    <x v="0"/>
  </r>
  <r>
    <x v="0"/>
    <x v="0"/>
    <n v="2239203367"/>
    <x v="5"/>
    <n v="-3700"/>
    <x v="1"/>
    <x v="0"/>
    <x v="42"/>
    <x v="5"/>
    <x v="0"/>
    <x v="0"/>
    <x v="5"/>
    <x v="0"/>
  </r>
  <r>
    <x v="0"/>
    <x v="0"/>
    <n v="2239203367"/>
    <x v="6"/>
    <n v="10000"/>
    <x v="1"/>
    <x v="0"/>
    <x v="42"/>
    <x v="6"/>
    <x v="0"/>
    <x v="0"/>
    <x v="5"/>
    <x v="0"/>
  </r>
  <r>
    <x v="0"/>
    <x v="0"/>
    <n v="2239203367"/>
    <x v="7"/>
    <n v="700"/>
    <x v="1"/>
    <x v="0"/>
    <x v="42"/>
    <x v="7"/>
    <x v="0"/>
    <x v="0"/>
    <x v="1"/>
    <x v="0"/>
  </r>
  <r>
    <x v="0"/>
    <x v="0"/>
    <n v="2239203369"/>
    <x v="2"/>
    <n v="53020"/>
    <x v="1"/>
    <x v="0"/>
    <x v="42"/>
    <x v="2"/>
    <x v="0"/>
    <x v="0"/>
    <x v="2"/>
    <x v="0"/>
  </r>
  <r>
    <x v="0"/>
    <x v="0"/>
    <n v="2239203370"/>
    <x v="2"/>
    <n v="10500"/>
    <x v="1"/>
    <x v="0"/>
    <x v="42"/>
    <x v="2"/>
    <x v="0"/>
    <x v="0"/>
    <x v="2"/>
    <x v="0"/>
  </r>
  <r>
    <x v="0"/>
    <x v="0"/>
    <n v="2239203371"/>
    <x v="5"/>
    <n v="-500"/>
    <x v="1"/>
    <x v="0"/>
    <x v="42"/>
    <x v="5"/>
    <x v="0"/>
    <x v="0"/>
    <x v="5"/>
    <x v="0"/>
  </r>
  <r>
    <x v="0"/>
    <x v="0"/>
    <n v="2239203371"/>
    <x v="6"/>
    <n v="10000"/>
    <x v="1"/>
    <x v="0"/>
    <x v="42"/>
    <x v="6"/>
    <x v="0"/>
    <x v="0"/>
    <x v="5"/>
    <x v="0"/>
  </r>
  <r>
    <x v="0"/>
    <x v="0"/>
    <n v="2239203372"/>
    <x v="3"/>
    <n v="18000"/>
    <x v="1"/>
    <x v="0"/>
    <x v="42"/>
    <x v="3"/>
    <x v="0"/>
    <x v="0"/>
    <x v="3"/>
    <x v="0"/>
  </r>
  <r>
    <x v="0"/>
    <x v="0"/>
    <n v="2239203373"/>
    <x v="2"/>
    <n v="23100"/>
    <x v="1"/>
    <x v="0"/>
    <x v="42"/>
    <x v="2"/>
    <x v="0"/>
    <x v="0"/>
    <x v="2"/>
    <x v="0"/>
  </r>
  <r>
    <x v="0"/>
    <x v="0"/>
    <n v="2239203374"/>
    <x v="2"/>
    <n v="3000"/>
    <x v="1"/>
    <x v="0"/>
    <x v="42"/>
    <x v="2"/>
    <x v="0"/>
    <x v="0"/>
    <x v="2"/>
    <x v="0"/>
  </r>
  <r>
    <x v="0"/>
    <x v="0"/>
    <n v="2239203375"/>
    <x v="6"/>
    <n v="6000"/>
    <x v="1"/>
    <x v="0"/>
    <x v="42"/>
    <x v="6"/>
    <x v="0"/>
    <x v="0"/>
    <x v="5"/>
    <x v="0"/>
  </r>
  <r>
    <x v="0"/>
    <x v="0"/>
    <n v="2239203376"/>
    <x v="6"/>
    <n v="21000"/>
    <x v="1"/>
    <x v="0"/>
    <x v="42"/>
    <x v="6"/>
    <x v="0"/>
    <x v="0"/>
    <x v="5"/>
    <x v="0"/>
  </r>
  <r>
    <x v="0"/>
    <x v="0"/>
    <n v="2239203377"/>
    <x v="2"/>
    <n v="15000"/>
    <x v="1"/>
    <x v="0"/>
    <x v="42"/>
    <x v="2"/>
    <x v="0"/>
    <x v="0"/>
    <x v="2"/>
    <x v="0"/>
  </r>
  <r>
    <x v="0"/>
    <x v="0"/>
    <n v="2239203378"/>
    <x v="5"/>
    <n v="-3000"/>
    <x v="1"/>
    <x v="0"/>
    <x v="42"/>
    <x v="5"/>
    <x v="0"/>
    <x v="0"/>
    <x v="5"/>
    <x v="0"/>
  </r>
  <r>
    <x v="0"/>
    <x v="0"/>
    <n v="2239203378"/>
    <x v="6"/>
    <n v="10000"/>
    <x v="1"/>
    <x v="0"/>
    <x v="42"/>
    <x v="6"/>
    <x v="0"/>
    <x v="0"/>
    <x v="5"/>
    <x v="0"/>
  </r>
  <r>
    <x v="0"/>
    <x v="0"/>
    <n v="2239203379"/>
    <x v="5"/>
    <n v="-3500"/>
    <x v="1"/>
    <x v="0"/>
    <x v="42"/>
    <x v="5"/>
    <x v="0"/>
    <x v="0"/>
    <x v="5"/>
    <x v="0"/>
  </r>
  <r>
    <x v="0"/>
    <x v="0"/>
    <n v="2239203379"/>
    <x v="6"/>
    <n v="10000"/>
    <x v="1"/>
    <x v="0"/>
    <x v="42"/>
    <x v="6"/>
    <x v="0"/>
    <x v="0"/>
    <x v="5"/>
    <x v="0"/>
  </r>
  <r>
    <x v="0"/>
    <x v="0"/>
    <n v="2239203380"/>
    <x v="2"/>
    <n v="8250"/>
    <x v="1"/>
    <x v="0"/>
    <x v="42"/>
    <x v="2"/>
    <x v="0"/>
    <x v="0"/>
    <x v="2"/>
    <x v="0"/>
  </r>
  <r>
    <x v="0"/>
    <x v="0"/>
    <n v="2239203382"/>
    <x v="5"/>
    <n v="-1000"/>
    <x v="1"/>
    <x v="0"/>
    <x v="42"/>
    <x v="5"/>
    <x v="0"/>
    <x v="0"/>
    <x v="5"/>
    <x v="0"/>
  </r>
  <r>
    <x v="0"/>
    <x v="0"/>
    <n v="2239203382"/>
    <x v="6"/>
    <n v="5000"/>
    <x v="1"/>
    <x v="0"/>
    <x v="42"/>
    <x v="6"/>
    <x v="0"/>
    <x v="0"/>
    <x v="5"/>
    <x v="0"/>
  </r>
  <r>
    <x v="0"/>
    <x v="0"/>
    <n v="2239203383"/>
    <x v="1"/>
    <n v="1140"/>
    <x v="1"/>
    <x v="0"/>
    <x v="42"/>
    <x v="1"/>
    <x v="0"/>
    <x v="0"/>
    <x v="1"/>
    <x v="0"/>
  </r>
  <r>
    <x v="0"/>
    <x v="0"/>
    <n v="2239203384"/>
    <x v="5"/>
    <n v="-16100"/>
    <x v="1"/>
    <x v="0"/>
    <x v="42"/>
    <x v="5"/>
    <x v="0"/>
    <x v="0"/>
    <x v="5"/>
    <x v="0"/>
  </r>
  <r>
    <x v="0"/>
    <x v="0"/>
    <n v="2239203384"/>
    <x v="4"/>
    <n v="20500"/>
    <x v="1"/>
    <x v="0"/>
    <x v="42"/>
    <x v="4"/>
    <x v="0"/>
    <x v="0"/>
    <x v="4"/>
    <x v="0"/>
  </r>
  <r>
    <x v="0"/>
    <x v="0"/>
    <n v="2239203385"/>
    <x v="5"/>
    <n v="-100"/>
    <x v="1"/>
    <x v="0"/>
    <x v="42"/>
    <x v="5"/>
    <x v="0"/>
    <x v="0"/>
    <x v="5"/>
    <x v="0"/>
  </r>
  <r>
    <x v="0"/>
    <x v="0"/>
    <n v="2239203385"/>
    <x v="6"/>
    <n v="30500"/>
    <x v="1"/>
    <x v="0"/>
    <x v="42"/>
    <x v="6"/>
    <x v="0"/>
    <x v="0"/>
    <x v="5"/>
    <x v="0"/>
  </r>
  <r>
    <x v="0"/>
    <x v="0"/>
    <n v="2239203386"/>
    <x v="3"/>
    <n v="9500"/>
    <x v="1"/>
    <x v="0"/>
    <x v="42"/>
    <x v="3"/>
    <x v="0"/>
    <x v="0"/>
    <x v="3"/>
    <x v="0"/>
  </r>
  <r>
    <x v="0"/>
    <x v="0"/>
    <n v="2239203387"/>
    <x v="1"/>
    <n v="2970"/>
    <x v="1"/>
    <x v="0"/>
    <x v="42"/>
    <x v="1"/>
    <x v="0"/>
    <x v="0"/>
    <x v="1"/>
    <x v="0"/>
  </r>
  <r>
    <x v="0"/>
    <x v="0"/>
    <n v="2239203388"/>
    <x v="2"/>
    <n v="8250"/>
    <x v="1"/>
    <x v="0"/>
    <x v="42"/>
    <x v="2"/>
    <x v="0"/>
    <x v="0"/>
    <x v="2"/>
    <x v="0"/>
  </r>
  <r>
    <x v="0"/>
    <x v="0"/>
    <n v="2239203389"/>
    <x v="1"/>
    <n v="25890"/>
    <x v="1"/>
    <x v="0"/>
    <x v="42"/>
    <x v="1"/>
    <x v="0"/>
    <x v="0"/>
    <x v="1"/>
    <x v="0"/>
  </r>
  <r>
    <x v="0"/>
    <x v="0"/>
    <n v="2239203390"/>
    <x v="2"/>
    <n v="8250"/>
    <x v="1"/>
    <x v="0"/>
    <x v="42"/>
    <x v="2"/>
    <x v="0"/>
    <x v="0"/>
    <x v="2"/>
    <x v="0"/>
  </r>
  <r>
    <x v="0"/>
    <x v="0"/>
    <n v="2239203392"/>
    <x v="2"/>
    <n v="12100"/>
    <x v="1"/>
    <x v="0"/>
    <x v="42"/>
    <x v="2"/>
    <x v="0"/>
    <x v="0"/>
    <x v="2"/>
    <x v="0"/>
  </r>
  <r>
    <x v="0"/>
    <x v="0"/>
    <n v="2239203393"/>
    <x v="2"/>
    <n v="6000"/>
    <x v="1"/>
    <x v="0"/>
    <x v="42"/>
    <x v="2"/>
    <x v="0"/>
    <x v="0"/>
    <x v="2"/>
    <x v="0"/>
  </r>
  <r>
    <x v="0"/>
    <x v="0"/>
    <n v="2239203394"/>
    <x v="2"/>
    <n v="6000"/>
    <x v="1"/>
    <x v="0"/>
    <x v="42"/>
    <x v="2"/>
    <x v="0"/>
    <x v="0"/>
    <x v="2"/>
    <x v="0"/>
  </r>
  <r>
    <x v="0"/>
    <x v="0"/>
    <n v="2239203395"/>
    <x v="2"/>
    <n v="39120"/>
    <x v="1"/>
    <x v="0"/>
    <x v="42"/>
    <x v="2"/>
    <x v="0"/>
    <x v="0"/>
    <x v="2"/>
    <x v="0"/>
  </r>
  <r>
    <x v="0"/>
    <x v="0"/>
    <n v="2239203396"/>
    <x v="5"/>
    <n v="-4400"/>
    <x v="1"/>
    <x v="0"/>
    <x v="42"/>
    <x v="5"/>
    <x v="0"/>
    <x v="0"/>
    <x v="5"/>
    <x v="0"/>
  </r>
  <r>
    <x v="0"/>
    <x v="0"/>
    <n v="2239203396"/>
    <x v="4"/>
    <n v="10000"/>
    <x v="1"/>
    <x v="0"/>
    <x v="42"/>
    <x v="4"/>
    <x v="0"/>
    <x v="0"/>
    <x v="4"/>
    <x v="0"/>
  </r>
  <r>
    <x v="0"/>
    <x v="0"/>
    <n v="2239203397"/>
    <x v="2"/>
    <n v="18700"/>
    <x v="1"/>
    <x v="0"/>
    <x v="42"/>
    <x v="2"/>
    <x v="0"/>
    <x v="0"/>
    <x v="2"/>
    <x v="0"/>
  </r>
  <r>
    <x v="0"/>
    <x v="0"/>
    <n v="2239203398"/>
    <x v="2"/>
    <n v="8250"/>
    <x v="1"/>
    <x v="0"/>
    <x v="42"/>
    <x v="2"/>
    <x v="0"/>
    <x v="0"/>
    <x v="2"/>
    <x v="0"/>
  </r>
  <r>
    <x v="0"/>
    <x v="0"/>
    <n v="2239203400"/>
    <x v="5"/>
    <n v="-12160"/>
    <x v="1"/>
    <x v="0"/>
    <x v="42"/>
    <x v="5"/>
    <x v="0"/>
    <x v="0"/>
    <x v="5"/>
    <x v="0"/>
  </r>
  <r>
    <x v="0"/>
    <x v="0"/>
    <n v="2239203400"/>
    <x v="6"/>
    <n v="20000"/>
    <x v="1"/>
    <x v="0"/>
    <x v="42"/>
    <x v="6"/>
    <x v="0"/>
    <x v="0"/>
    <x v="5"/>
    <x v="0"/>
  </r>
  <r>
    <x v="0"/>
    <x v="0"/>
    <n v="2239203401"/>
    <x v="3"/>
    <n v="31790"/>
    <x v="1"/>
    <x v="0"/>
    <x v="42"/>
    <x v="3"/>
    <x v="0"/>
    <x v="0"/>
    <x v="3"/>
    <x v="0"/>
  </r>
  <r>
    <x v="0"/>
    <x v="0"/>
    <n v="2239203402"/>
    <x v="5"/>
    <n v="-500"/>
    <x v="1"/>
    <x v="0"/>
    <x v="42"/>
    <x v="5"/>
    <x v="0"/>
    <x v="0"/>
    <x v="5"/>
    <x v="0"/>
  </r>
  <r>
    <x v="0"/>
    <x v="0"/>
    <n v="2239203402"/>
    <x v="6"/>
    <n v="10000"/>
    <x v="1"/>
    <x v="0"/>
    <x v="42"/>
    <x v="6"/>
    <x v="0"/>
    <x v="0"/>
    <x v="5"/>
    <x v="0"/>
  </r>
  <r>
    <x v="0"/>
    <x v="0"/>
    <n v="2239203403"/>
    <x v="2"/>
    <n v="6500"/>
    <x v="1"/>
    <x v="0"/>
    <x v="42"/>
    <x v="2"/>
    <x v="0"/>
    <x v="0"/>
    <x v="2"/>
    <x v="0"/>
  </r>
  <r>
    <x v="0"/>
    <x v="0"/>
    <n v="2239203404"/>
    <x v="2"/>
    <n v="22770"/>
    <x v="1"/>
    <x v="0"/>
    <x v="42"/>
    <x v="2"/>
    <x v="0"/>
    <x v="0"/>
    <x v="2"/>
    <x v="0"/>
  </r>
  <r>
    <x v="0"/>
    <x v="0"/>
    <n v="2239203405"/>
    <x v="5"/>
    <n v="-3660"/>
    <x v="1"/>
    <x v="0"/>
    <x v="42"/>
    <x v="5"/>
    <x v="0"/>
    <x v="0"/>
    <x v="5"/>
    <x v="0"/>
  </r>
  <r>
    <x v="0"/>
    <x v="0"/>
    <n v="2239203405"/>
    <x v="6"/>
    <n v="15000"/>
    <x v="1"/>
    <x v="0"/>
    <x v="42"/>
    <x v="6"/>
    <x v="0"/>
    <x v="0"/>
    <x v="5"/>
    <x v="0"/>
  </r>
  <r>
    <x v="0"/>
    <x v="0"/>
    <n v="2239203406"/>
    <x v="2"/>
    <n v="6000"/>
    <x v="1"/>
    <x v="0"/>
    <x v="42"/>
    <x v="2"/>
    <x v="0"/>
    <x v="0"/>
    <x v="2"/>
    <x v="0"/>
  </r>
  <r>
    <x v="0"/>
    <x v="0"/>
    <n v="2239203407"/>
    <x v="1"/>
    <n v="1050"/>
    <x v="1"/>
    <x v="0"/>
    <x v="42"/>
    <x v="1"/>
    <x v="0"/>
    <x v="0"/>
    <x v="1"/>
    <x v="0"/>
  </r>
  <r>
    <x v="0"/>
    <x v="0"/>
    <n v="2239203408"/>
    <x v="5"/>
    <n v="-500"/>
    <x v="1"/>
    <x v="0"/>
    <x v="42"/>
    <x v="5"/>
    <x v="0"/>
    <x v="0"/>
    <x v="5"/>
    <x v="0"/>
  </r>
  <r>
    <x v="0"/>
    <x v="0"/>
    <n v="2239203408"/>
    <x v="6"/>
    <n v="5000"/>
    <x v="1"/>
    <x v="0"/>
    <x v="42"/>
    <x v="6"/>
    <x v="0"/>
    <x v="0"/>
    <x v="5"/>
    <x v="0"/>
  </r>
  <r>
    <x v="0"/>
    <x v="0"/>
    <n v="2239203409"/>
    <x v="5"/>
    <n v="-700"/>
    <x v="1"/>
    <x v="0"/>
    <x v="42"/>
    <x v="5"/>
    <x v="0"/>
    <x v="0"/>
    <x v="5"/>
    <x v="0"/>
  </r>
  <r>
    <x v="0"/>
    <x v="0"/>
    <n v="2239203409"/>
    <x v="6"/>
    <n v="42000"/>
    <x v="1"/>
    <x v="0"/>
    <x v="42"/>
    <x v="6"/>
    <x v="0"/>
    <x v="0"/>
    <x v="5"/>
    <x v="0"/>
  </r>
  <r>
    <x v="0"/>
    <x v="0"/>
    <n v="2239203410"/>
    <x v="2"/>
    <n v="20900"/>
    <x v="1"/>
    <x v="0"/>
    <x v="42"/>
    <x v="2"/>
    <x v="0"/>
    <x v="0"/>
    <x v="2"/>
    <x v="0"/>
  </r>
  <r>
    <x v="0"/>
    <x v="0"/>
    <n v="2239203411"/>
    <x v="2"/>
    <n v="10890"/>
    <x v="1"/>
    <x v="0"/>
    <x v="42"/>
    <x v="2"/>
    <x v="0"/>
    <x v="0"/>
    <x v="2"/>
    <x v="0"/>
  </r>
  <r>
    <x v="0"/>
    <x v="0"/>
    <n v="2239203412"/>
    <x v="2"/>
    <n v="11000"/>
    <x v="1"/>
    <x v="0"/>
    <x v="42"/>
    <x v="2"/>
    <x v="0"/>
    <x v="0"/>
    <x v="2"/>
    <x v="0"/>
  </r>
  <r>
    <x v="0"/>
    <x v="0"/>
    <n v="2239203413"/>
    <x v="2"/>
    <n v="6600"/>
    <x v="1"/>
    <x v="0"/>
    <x v="42"/>
    <x v="2"/>
    <x v="0"/>
    <x v="0"/>
    <x v="2"/>
    <x v="0"/>
  </r>
  <r>
    <x v="0"/>
    <x v="0"/>
    <n v="2239203414"/>
    <x v="5"/>
    <n v="-13500"/>
    <x v="1"/>
    <x v="0"/>
    <x v="42"/>
    <x v="5"/>
    <x v="0"/>
    <x v="0"/>
    <x v="5"/>
    <x v="0"/>
  </r>
  <r>
    <x v="0"/>
    <x v="0"/>
    <n v="2239203414"/>
    <x v="6"/>
    <n v="20000"/>
    <x v="1"/>
    <x v="0"/>
    <x v="42"/>
    <x v="6"/>
    <x v="0"/>
    <x v="0"/>
    <x v="5"/>
    <x v="0"/>
  </r>
  <r>
    <x v="0"/>
    <x v="0"/>
    <n v="2239203416"/>
    <x v="5"/>
    <n v="-2100"/>
    <x v="1"/>
    <x v="0"/>
    <x v="42"/>
    <x v="5"/>
    <x v="0"/>
    <x v="0"/>
    <x v="5"/>
    <x v="0"/>
  </r>
  <r>
    <x v="0"/>
    <x v="0"/>
    <n v="2239203416"/>
    <x v="6"/>
    <n v="20000"/>
    <x v="1"/>
    <x v="0"/>
    <x v="42"/>
    <x v="6"/>
    <x v="0"/>
    <x v="0"/>
    <x v="5"/>
    <x v="0"/>
  </r>
  <r>
    <x v="0"/>
    <x v="0"/>
    <n v="2239203418"/>
    <x v="2"/>
    <n v="22550"/>
    <x v="1"/>
    <x v="0"/>
    <x v="42"/>
    <x v="2"/>
    <x v="0"/>
    <x v="0"/>
    <x v="2"/>
    <x v="0"/>
  </r>
  <r>
    <x v="0"/>
    <x v="0"/>
    <n v="2239203419"/>
    <x v="2"/>
    <n v="4400"/>
    <x v="1"/>
    <x v="0"/>
    <x v="42"/>
    <x v="2"/>
    <x v="0"/>
    <x v="0"/>
    <x v="2"/>
    <x v="0"/>
  </r>
  <r>
    <x v="0"/>
    <x v="0"/>
    <n v="2239203420"/>
    <x v="5"/>
    <n v="-700"/>
    <x v="1"/>
    <x v="0"/>
    <x v="42"/>
    <x v="5"/>
    <x v="0"/>
    <x v="0"/>
    <x v="5"/>
    <x v="0"/>
  </r>
  <r>
    <x v="0"/>
    <x v="0"/>
    <n v="2239203420"/>
    <x v="4"/>
    <n v="6000"/>
    <x v="1"/>
    <x v="0"/>
    <x v="42"/>
    <x v="4"/>
    <x v="0"/>
    <x v="0"/>
    <x v="4"/>
    <x v="0"/>
  </r>
  <r>
    <x v="0"/>
    <x v="0"/>
    <n v="2239203422"/>
    <x v="5"/>
    <n v="-1000"/>
    <x v="1"/>
    <x v="0"/>
    <x v="42"/>
    <x v="5"/>
    <x v="0"/>
    <x v="0"/>
    <x v="5"/>
    <x v="0"/>
  </r>
  <r>
    <x v="0"/>
    <x v="0"/>
    <n v="2239203422"/>
    <x v="6"/>
    <n v="5550"/>
    <x v="1"/>
    <x v="0"/>
    <x v="42"/>
    <x v="6"/>
    <x v="0"/>
    <x v="0"/>
    <x v="5"/>
    <x v="0"/>
  </r>
  <r>
    <x v="0"/>
    <x v="0"/>
    <n v="2239203422"/>
    <x v="7"/>
    <n v="1950"/>
    <x v="1"/>
    <x v="0"/>
    <x v="42"/>
    <x v="7"/>
    <x v="0"/>
    <x v="0"/>
    <x v="1"/>
    <x v="0"/>
  </r>
  <r>
    <x v="0"/>
    <x v="0"/>
    <n v="2239203423"/>
    <x v="2"/>
    <n v="7500"/>
    <x v="1"/>
    <x v="0"/>
    <x v="42"/>
    <x v="2"/>
    <x v="0"/>
    <x v="0"/>
    <x v="2"/>
    <x v="0"/>
  </r>
  <r>
    <x v="0"/>
    <x v="0"/>
    <n v="2239203424"/>
    <x v="1"/>
    <n v="900"/>
    <x v="1"/>
    <x v="0"/>
    <x v="42"/>
    <x v="1"/>
    <x v="0"/>
    <x v="0"/>
    <x v="1"/>
    <x v="0"/>
  </r>
  <r>
    <x v="0"/>
    <x v="0"/>
    <n v="2239203425"/>
    <x v="5"/>
    <n v="-200"/>
    <x v="1"/>
    <x v="0"/>
    <x v="42"/>
    <x v="5"/>
    <x v="0"/>
    <x v="0"/>
    <x v="5"/>
    <x v="0"/>
  </r>
  <r>
    <x v="0"/>
    <x v="0"/>
    <n v="2239203425"/>
    <x v="6"/>
    <n v="6000"/>
    <x v="1"/>
    <x v="0"/>
    <x v="42"/>
    <x v="6"/>
    <x v="0"/>
    <x v="0"/>
    <x v="5"/>
    <x v="0"/>
  </r>
  <r>
    <x v="0"/>
    <x v="0"/>
    <n v="2239205771"/>
    <x v="1"/>
    <n v="3750"/>
    <x v="1"/>
    <x v="0"/>
    <x v="43"/>
    <x v="1"/>
    <x v="0"/>
    <x v="0"/>
    <x v="1"/>
    <x v="0"/>
  </r>
  <r>
    <x v="0"/>
    <x v="0"/>
    <n v="2239205772"/>
    <x v="1"/>
    <n v="1800"/>
    <x v="1"/>
    <x v="0"/>
    <x v="43"/>
    <x v="1"/>
    <x v="0"/>
    <x v="0"/>
    <x v="1"/>
    <x v="0"/>
  </r>
  <r>
    <x v="0"/>
    <x v="0"/>
    <n v="2239205773"/>
    <x v="1"/>
    <n v="60900"/>
    <x v="1"/>
    <x v="0"/>
    <x v="43"/>
    <x v="1"/>
    <x v="0"/>
    <x v="0"/>
    <x v="1"/>
    <x v="0"/>
  </r>
  <r>
    <x v="0"/>
    <x v="0"/>
    <n v="2239205774"/>
    <x v="1"/>
    <n v="15450"/>
    <x v="1"/>
    <x v="0"/>
    <x v="43"/>
    <x v="1"/>
    <x v="0"/>
    <x v="0"/>
    <x v="1"/>
    <x v="0"/>
  </r>
  <r>
    <x v="0"/>
    <x v="0"/>
    <n v="2239205775"/>
    <x v="1"/>
    <n v="1800"/>
    <x v="1"/>
    <x v="0"/>
    <x v="43"/>
    <x v="1"/>
    <x v="0"/>
    <x v="0"/>
    <x v="1"/>
    <x v="0"/>
  </r>
  <r>
    <x v="0"/>
    <x v="0"/>
    <n v="2239205776"/>
    <x v="1"/>
    <n v="1140"/>
    <x v="1"/>
    <x v="0"/>
    <x v="43"/>
    <x v="1"/>
    <x v="0"/>
    <x v="0"/>
    <x v="1"/>
    <x v="0"/>
  </r>
  <r>
    <x v="0"/>
    <x v="0"/>
    <n v="2239205777"/>
    <x v="1"/>
    <n v="12600"/>
    <x v="1"/>
    <x v="0"/>
    <x v="43"/>
    <x v="1"/>
    <x v="0"/>
    <x v="0"/>
    <x v="1"/>
    <x v="0"/>
  </r>
  <r>
    <x v="0"/>
    <x v="0"/>
    <n v="2239205778"/>
    <x v="5"/>
    <n v="-400"/>
    <x v="1"/>
    <x v="0"/>
    <x v="43"/>
    <x v="5"/>
    <x v="0"/>
    <x v="0"/>
    <x v="5"/>
    <x v="0"/>
  </r>
  <r>
    <x v="0"/>
    <x v="0"/>
    <n v="2239205778"/>
    <x v="4"/>
    <n v="5000"/>
    <x v="1"/>
    <x v="0"/>
    <x v="43"/>
    <x v="4"/>
    <x v="0"/>
    <x v="0"/>
    <x v="4"/>
    <x v="0"/>
  </r>
  <r>
    <x v="0"/>
    <x v="0"/>
    <n v="2239205780"/>
    <x v="5"/>
    <n v="-5100"/>
    <x v="1"/>
    <x v="0"/>
    <x v="43"/>
    <x v="5"/>
    <x v="0"/>
    <x v="0"/>
    <x v="5"/>
    <x v="0"/>
  </r>
  <r>
    <x v="0"/>
    <x v="0"/>
    <n v="2239205780"/>
    <x v="6"/>
    <n v="10000"/>
    <x v="1"/>
    <x v="0"/>
    <x v="43"/>
    <x v="6"/>
    <x v="0"/>
    <x v="0"/>
    <x v="5"/>
    <x v="0"/>
  </r>
  <r>
    <x v="0"/>
    <x v="0"/>
    <n v="2239205781"/>
    <x v="5"/>
    <n v="-500"/>
    <x v="1"/>
    <x v="0"/>
    <x v="43"/>
    <x v="5"/>
    <x v="0"/>
    <x v="0"/>
    <x v="5"/>
    <x v="0"/>
  </r>
  <r>
    <x v="0"/>
    <x v="0"/>
    <n v="2239205781"/>
    <x v="6"/>
    <n v="5000"/>
    <x v="1"/>
    <x v="0"/>
    <x v="43"/>
    <x v="6"/>
    <x v="0"/>
    <x v="0"/>
    <x v="5"/>
    <x v="0"/>
  </r>
  <r>
    <x v="0"/>
    <x v="0"/>
    <n v="2239205783"/>
    <x v="5"/>
    <n v="-10000"/>
    <x v="1"/>
    <x v="0"/>
    <x v="43"/>
    <x v="5"/>
    <x v="0"/>
    <x v="0"/>
    <x v="5"/>
    <x v="0"/>
  </r>
  <r>
    <x v="0"/>
    <x v="0"/>
    <n v="2239205783"/>
    <x v="6"/>
    <n v="20000"/>
    <x v="1"/>
    <x v="0"/>
    <x v="43"/>
    <x v="6"/>
    <x v="0"/>
    <x v="0"/>
    <x v="5"/>
    <x v="0"/>
  </r>
  <r>
    <x v="0"/>
    <x v="0"/>
    <n v="2239205784"/>
    <x v="2"/>
    <n v="5390"/>
    <x v="1"/>
    <x v="0"/>
    <x v="43"/>
    <x v="2"/>
    <x v="0"/>
    <x v="0"/>
    <x v="2"/>
    <x v="0"/>
  </r>
  <r>
    <x v="0"/>
    <x v="0"/>
    <n v="2239205785"/>
    <x v="2"/>
    <n v="6600"/>
    <x v="1"/>
    <x v="0"/>
    <x v="43"/>
    <x v="2"/>
    <x v="0"/>
    <x v="0"/>
    <x v="2"/>
    <x v="0"/>
  </r>
  <r>
    <x v="0"/>
    <x v="0"/>
    <n v="2239205786"/>
    <x v="5"/>
    <n v="-400"/>
    <x v="1"/>
    <x v="0"/>
    <x v="43"/>
    <x v="5"/>
    <x v="0"/>
    <x v="0"/>
    <x v="5"/>
    <x v="0"/>
  </r>
  <r>
    <x v="0"/>
    <x v="0"/>
    <n v="2239205786"/>
    <x v="4"/>
    <n v="5000"/>
    <x v="1"/>
    <x v="0"/>
    <x v="43"/>
    <x v="4"/>
    <x v="0"/>
    <x v="0"/>
    <x v="4"/>
    <x v="0"/>
  </r>
  <r>
    <x v="0"/>
    <x v="0"/>
    <n v="2239205787"/>
    <x v="2"/>
    <n v="4400"/>
    <x v="1"/>
    <x v="0"/>
    <x v="43"/>
    <x v="2"/>
    <x v="0"/>
    <x v="0"/>
    <x v="2"/>
    <x v="0"/>
  </r>
  <r>
    <x v="0"/>
    <x v="0"/>
    <n v="2239205788"/>
    <x v="2"/>
    <n v="12000"/>
    <x v="1"/>
    <x v="0"/>
    <x v="43"/>
    <x v="2"/>
    <x v="0"/>
    <x v="0"/>
    <x v="2"/>
    <x v="0"/>
  </r>
  <r>
    <x v="0"/>
    <x v="0"/>
    <n v="2239205789"/>
    <x v="2"/>
    <n v="6400"/>
    <x v="1"/>
    <x v="0"/>
    <x v="43"/>
    <x v="2"/>
    <x v="0"/>
    <x v="0"/>
    <x v="2"/>
    <x v="0"/>
  </r>
  <r>
    <x v="0"/>
    <x v="0"/>
    <n v="2239205790"/>
    <x v="5"/>
    <n v="-400"/>
    <x v="1"/>
    <x v="0"/>
    <x v="43"/>
    <x v="5"/>
    <x v="0"/>
    <x v="0"/>
    <x v="5"/>
    <x v="0"/>
  </r>
  <r>
    <x v="0"/>
    <x v="0"/>
    <n v="2239205790"/>
    <x v="4"/>
    <n v="6000"/>
    <x v="1"/>
    <x v="0"/>
    <x v="43"/>
    <x v="4"/>
    <x v="0"/>
    <x v="0"/>
    <x v="4"/>
    <x v="0"/>
  </r>
  <r>
    <x v="0"/>
    <x v="0"/>
    <n v="2239205791"/>
    <x v="5"/>
    <n v="-16000"/>
    <x v="1"/>
    <x v="0"/>
    <x v="43"/>
    <x v="5"/>
    <x v="0"/>
    <x v="0"/>
    <x v="5"/>
    <x v="0"/>
  </r>
  <r>
    <x v="0"/>
    <x v="0"/>
    <n v="2239205791"/>
    <x v="6"/>
    <n v="20000"/>
    <x v="1"/>
    <x v="0"/>
    <x v="43"/>
    <x v="6"/>
    <x v="0"/>
    <x v="0"/>
    <x v="5"/>
    <x v="0"/>
  </r>
  <r>
    <x v="0"/>
    <x v="0"/>
    <n v="2239205792"/>
    <x v="6"/>
    <n v="2000"/>
    <x v="1"/>
    <x v="0"/>
    <x v="43"/>
    <x v="6"/>
    <x v="0"/>
    <x v="0"/>
    <x v="5"/>
    <x v="0"/>
  </r>
  <r>
    <x v="0"/>
    <x v="0"/>
    <n v="2239205793"/>
    <x v="2"/>
    <n v="11000"/>
    <x v="1"/>
    <x v="0"/>
    <x v="43"/>
    <x v="2"/>
    <x v="0"/>
    <x v="0"/>
    <x v="2"/>
    <x v="0"/>
  </r>
  <r>
    <x v="0"/>
    <x v="0"/>
    <n v="2239205794"/>
    <x v="2"/>
    <n v="9000"/>
    <x v="1"/>
    <x v="0"/>
    <x v="43"/>
    <x v="2"/>
    <x v="0"/>
    <x v="0"/>
    <x v="2"/>
    <x v="0"/>
  </r>
  <r>
    <x v="0"/>
    <x v="0"/>
    <n v="2239205795"/>
    <x v="5"/>
    <n v="-1200"/>
    <x v="1"/>
    <x v="0"/>
    <x v="43"/>
    <x v="5"/>
    <x v="0"/>
    <x v="0"/>
    <x v="5"/>
    <x v="0"/>
  </r>
  <r>
    <x v="0"/>
    <x v="0"/>
    <n v="2239205795"/>
    <x v="6"/>
    <n v="5000"/>
    <x v="1"/>
    <x v="0"/>
    <x v="43"/>
    <x v="6"/>
    <x v="0"/>
    <x v="0"/>
    <x v="5"/>
    <x v="0"/>
  </r>
  <r>
    <x v="0"/>
    <x v="0"/>
    <n v="2239205796"/>
    <x v="6"/>
    <n v="4500"/>
    <x v="1"/>
    <x v="0"/>
    <x v="43"/>
    <x v="6"/>
    <x v="0"/>
    <x v="0"/>
    <x v="5"/>
    <x v="0"/>
  </r>
  <r>
    <x v="0"/>
    <x v="0"/>
    <n v="2239205797"/>
    <x v="3"/>
    <n v="13410"/>
    <x v="1"/>
    <x v="0"/>
    <x v="43"/>
    <x v="3"/>
    <x v="0"/>
    <x v="0"/>
    <x v="3"/>
    <x v="0"/>
  </r>
  <r>
    <x v="0"/>
    <x v="0"/>
    <n v="2239205798"/>
    <x v="3"/>
    <n v="54890"/>
    <x v="1"/>
    <x v="0"/>
    <x v="43"/>
    <x v="3"/>
    <x v="0"/>
    <x v="0"/>
    <x v="3"/>
    <x v="0"/>
  </r>
  <r>
    <x v="0"/>
    <x v="0"/>
    <n v="2239205800"/>
    <x v="3"/>
    <n v="6270"/>
    <x v="1"/>
    <x v="0"/>
    <x v="43"/>
    <x v="3"/>
    <x v="0"/>
    <x v="0"/>
    <x v="3"/>
    <x v="0"/>
  </r>
  <r>
    <x v="0"/>
    <x v="0"/>
    <n v="2239205801"/>
    <x v="3"/>
    <n v="21098"/>
    <x v="1"/>
    <x v="0"/>
    <x v="43"/>
    <x v="3"/>
    <x v="0"/>
    <x v="0"/>
    <x v="3"/>
    <x v="0"/>
  </r>
  <r>
    <x v="0"/>
    <x v="0"/>
    <n v="2239205802"/>
    <x v="3"/>
    <n v="16390"/>
    <x v="1"/>
    <x v="0"/>
    <x v="43"/>
    <x v="3"/>
    <x v="0"/>
    <x v="0"/>
    <x v="3"/>
    <x v="0"/>
  </r>
  <r>
    <x v="0"/>
    <x v="0"/>
    <n v="2239205804"/>
    <x v="1"/>
    <n v="900"/>
    <x v="1"/>
    <x v="0"/>
    <x v="43"/>
    <x v="1"/>
    <x v="0"/>
    <x v="0"/>
    <x v="1"/>
    <x v="0"/>
  </r>
  <r>
    <x v="0"/>
    <x v="0"/>
    <n v="2239205805"/>
    <x v="5"/>
    <n v="-16000"/>
    <x v="1"/>
    <x v="0"/>
    <x v="43"/>
    <x v="5"/>
    <x v="0"/>
    <x v="0"/>
    <x v="5"/>
    <x v="0"/>
  </r>
  <r>
    <x v="0"/>
    <x v="0"/>
    <n v="2239205805"/>
    <x v="6"/>
    <n v="20000"/>
    <x v="1"/>
    <x v="0"/>
    <x v="43"/>
    <x v="6"/>
    <x v="0"/>
    <x v="0"/>
    <x v="5"/>
    <x v="0"/>
  </r>
  <r>
    <x v="0"/>
    <x v="0"/>
    <n v="2239205806"/>
    <x v="5"/>
    <n v="-2000"/>
    <x v="1"/>
    <x v="0"/>
    <x v="43"/>
    <x v="5"/>
    <x v="0"/>
    <x v="0"/>
    <x v="5"/>
    <x v="0"/>
  </r>
  <r>
    <x v="0"/>
    <x v="0"/>
    <n v="2239205806"/>
    <x v="6"/>
    <n v="15000"/>
    <x v="1"/>
    <x v="0"/>
    <x v="43"/>
    <x v="6"/>
    <x v="0"/>
    <x v="0"/>
    <x v="5"/>
    <x v="0"/>
  </r>
  <r>
    <x v="0"/>
    <x v="0"/>
    <n v="2239205808"/>
    <x v="5"/>
    <n v="-1000"/>
    <x v="1"/>
    <x v="0"/>
    <x v="43"/>
    <x v="5"/>
    <x v="0"/>
    <x v="0"/>
    <x v="5"/>
    <x v="0"/>
  </r>
  <r>
    <x v="0"/>
    <x v="0"/>
    <n v="2239205808"/>
    <x v="6"/>
    <n v="5000"/>
    <x v="1"/>
    <x v="0"/>
    <x v="43"/>
    <x v="6"/>
    <x v="0"/>
    <x v="0"/>
    <x v="5"/>
    <x v="0"/>
  </r>
  <r>
    <x v="0"/>
    <x v="0"/>
    <n v="2239205809"/>
    <x v="5"/>
    <n v="-7200"/>
    <x v="1"/>
    <x v="0"/>
    <x v="43"/>
    <x v="5"/>
    <x v="0"/>
    <x v="0"/>
    <x v="5"/>
    <x v="0"/>
  </r>
  <r>
    <x v="0"/>
    <x v="0"/>
    <n v="2239205809"/>
    <x v="6"/>
    <n v="10000"/>
    <x v="1"/>
    <x v="0"/>
    <x v="43"/>
    <x v="6"/>
    <x v="0"/>
    <x v="0"/>
    <x v="5"/>
    <x v="0"/>
  </r>
  <r>
    <x v="0"/>
    <x v="0"/>
    <n v="2239205810"/>
    <x v="6"/>
    <n v="2000"/>
    <x v="1"/>
    <x v="0"/>
    <x v="43"/>
    <x v="6"/>
    <x v="0"/>
    <x v="0"/>
    <x v="5"/>
    <x v="0"/>
  </r>
  <r>
    <x v="0"/>
    <x v="0"/>
    <n v="2239205811"/>
    <x v="6"/>
    <n v="6000"/>
    <x v="1"/>
    <x v="0"/>
    <x v="43"/>
    <x v="6"/>
    <x v="0"/>
    <x v="0"/>
    <x v="5"/>
    <x v="0"/>
  </r>
  <r>
    <x v="0"/>
    <x v="0"/>
    <n v="2239205812"/>
    <x v="2"/>
    <n v="4000"/>
    <x v="1"/>
    <x v="0"/>
    <x v="43"/>
    <x v="2"/>
    <x v="0"/>
    <x v="0"/>
    <x v="2"/>
    <x v="0"/>
  </r>
  <r>
    <x v="0"/>
    <x v="0"/>
    <n v="2239205813"/>
    <x v="1"/>
    <n v="1140"/>
    <x v="1"/>
    <x v="0"/>
    <x v="43"/>
    <x v="1"/>
    <x v="0"/>
    <x v="0"/>
    <x v="1"/>
    <x v="0"/>
  </r>
  <r>
    <x v="0"/>
    <x v="0"/>
    <n v="2239205814"/>
    <x v="2"/>
    <n v="3300"/>
    <x v="1"/>
    <x v="0"/>
    <x v="43"/>
    <x v="2"/>
    <x v="0"/>
    <x v="0"/>
    <x v="2"/>
    <x v="0"/>
  </r>
  <r>
    <x v="0"/>
    <x v="0"/>
    <n v="2239205815"/>
    <x v="5"/>
    <n v="-200"/>
    <x v="1"/>
    <x v="0"/>
    <x v="43"/>
    <x v="5"/>
    <x v="0"/>
    <x v="0"/>
    <x v="5"/>
    <x v="0"/>
  </r>
  <r>
    <x v="0"/>
    <x v="0"/>
    <n v="2239205815"/>
    <x v="6"/>
    <n v="7000"/>
    <x v="1"/>
    <x v="0"/>
    <x v="43"/>
    <x v="6"/>
    <x v="0"/>
    <x v="0"/>
    <x v="5"/>
    <x v="0"/>
  </r>
  <r>
    <x v="0"/>
    <x v="0"/>
    <n v="2239205816"/>
    <x v="5"/>
    <n v="-16200"/>
    <x v="1"/>
    <x v="0"/>
    <x v="43"/>
    <x v="5"/>
    <x v="0"/>
    <x v="0"/>
    <x v="5"/>
    <x v="0"/>
  </r>
  <r>
    <x v="0"/>
    <x v="0"/>
    <n v="2239205816"/>
    <x v="6"/>
    <n v="20000"/>
    <x v="1"/>
    <x v="0"/>
    <x v="43"/>
    <x v="6"/>
    <x v="0"/>
    <x v="0"/>
    <x v="5"/>
    <x v="0"/>
  </r>
  <r>
    <x v="0"/>
    <x v="0"/>
    <n v="2239205817"/>
    <x v="2"/>
    <n v="3300"/>
    <x v="1"/>
    <x v="0"/>
    <x v="43"/>
    <x v="2"/>
    <x v="0"/>
    <x v="0"/>
    <x v="2"/>
    <x v="0"/>
  </r>
  <r>
    <x v="0"/>
    <x v="0"/>
    <n v="2239205818"/>
    <x v="3"/>
    <n v="31183"/>
    <x v="1"/>
    <x v="0"/>
    <x v="43"/>
    <x v="3"/>
    <x v="0"/>
    <x v="0"/>
    <x v="3"/>
    <x v="0"/>
  </r>
  <r>
    <x v="0"/>
    <x v="0"/>
    <n v="2239205819"/>
    <x v="2"/>
    <n v="15070"/>
    <x v="1"/>
    <x v="0"/>
    <x v="43"/>
    <x v="2"/>
    <x v="0"/>
    <x v="0"/>
    <x v="2"/>
    <x v="0"/>
  </r>
  <r>
    <x v="0"/>
    <x v="0"/>
    <n v="2239205820"/>
    <x v="5"/>
    <n v="-3000"/>
    <x v="1"/>
    <x v="0"/>
    <x v="43"/>
    <x v="5"/>
    <x v="0"/>
    <x v="0"/>
    <x v="5"/>
    <x v="0"/>
  </r>
  <r>
    <x v="0"/>
    <x v="0"/>
    <n v="2239205820"/>
    <x v="6"/>
    <n v="5000"/>
    <x v="1"/>
    <x v="0"/>
    <x v="43"/>
    <x v="6"/>
    <x v="0"/>
    <x v="0"/>
    <x v="5"/>
    <x v="0"/>
  </r>
  <r>
    <x v="0"/>
    <x v="0"/>
    <n v="2239205821"/>
    <x v="5"/>
    <n v="-5940"/>
    <x v="1"/>
    <x v="0"/>
    <x v="43"/>
    <x v="5"/>
    <x v="0"/>
    <x v="0"/>
    <x v="5"/>
    <x v="0"/>
  </r>
  <r>
    <x v="0"/>
    <x v="0"/>
    <n v="2239205821"/>
    <x v="6"/>
    <n v="10000"/>
    <x v="1"/>
    <x v="0"/>
    <x v="43"/>
    <x v="6"/>
    <x v="0"/>
    <x v="0"/>
    <x v="5"/>
    <x v="0"/>
  </r>
  <r>
    <x v="0"/>
    <x v="0"/>
    <n v="2239205822"/>
    <x v="5"/>
    <n v="-500"/>
    <x v="1"/>
    <x v="0"/>
    <x v="43"/>
    <x v="5"/>
    <x v="0"/>
    <x v="0"/>
    <x v="5"/>
    <x v="0"/>
  </r>
  <r>
    <x v="0"/>
    <x v="0"/>
    <n v="2239205822"/>
    <x v="4"/>
    <n v="5100"/>
    <x v="1"/>
    <x v="0"/>
    <x v="43"/>
    <x v="4"/>
    <x v="0"/>
    <x v="0"/>
    <x v="4"/>
    <x v="0"/>
  </r>
  <r>
    <x v="0"/>
    <x v="0"/>
    <n v="2239205823"/>
    <x v="2"/>
    <n v="5500"/>
    <x v="1"/>
    <x v="0"/>
    <x v="43"/>
    <x v="2"/>
    <x v="0"/>
    <x v="0"/>
    <x v="2"/>
    <x v="0"/>
  </r>
  <r>
    <x v="0"/>
    <x v="0"/>
    <n v="2239205824"/>
    <x v="2"/>
    <n v="11880"/>
    <x v="1"/>
    <x v="0"/>
    <x v="43"/>
    <x v="2"/>
    <x v="0"/>
    <x v="0"/>
    <x v="2"/>
    <x v="0"/>
  </r>
  <r>
    <x v="0"/>
    <x v="0"/>
    <n v="2239205825"/>
    <x v="2"/>
    <n v="3800"/>
    <x v="1"/>
    <x v="0"/>
    <x v="43"/>
    <x v="2"/>
    <x v="0"/>
    <x v="0"/>
    <x v="2"/>
    <x v="0"/>
  </r>
  <r>
    <x v="0"/>
    <x v="0"/>
    <n v="2239205826"/>
    <x v="2"/>
    <n v="15114"/>
    <x v="1"/>
    <x v="0"/>
    <x v="43"/>
    <x v="2"/>
    <x v="0"/>
    <x v="0"/>
    <x v="2"/>
    <x v="0"/>
  </r>
  <r>
    <x v="0"/>
    <x v="0"/>
    <n v="2239205827"/>
    <x v="4"/>
    <n v="4400"/>
    <x v="1"/>
    <x v="0"/>
    <x v="43"/>
    <x v="4"/>
    <x v="0"/>
    <x v="0"/>
    <x v="4"/>
    <x v="0"/>
  </r>
  <r>
    <x v="0"/>
    <x v="0"/>
    <n v="2239205828"/>
    <x v="3"/>
    <n v="35000"/>
    <x v="1"/>
    <x v="0"/>
    <x v="43"/>
    <x v="3"/>
    <x v="0"/>
    <x v="0"/>
    <x v="3"/>
    <x v="0"/>
  </r>
  <r>
    <x v="0"/>
    <x v="0"/>
    <n v="2239205829"/>
    <x v="6"/>
    <n v="4000"/>
    <x v="1"/>
    <x v="0"/>
    <x v="43"/>
    <x v="6"/>
    <x v="0"/>
    <x v="0"/>
    <x v="5"/>
    <x v="0"/>
  </r>
  <r>
    <x v="0"/>
    <x v="0"/>
    <n v="2239205830"/>
    <x v="2"/>
    <n v="4400"/>
    <x v="1"/>
    <x v="0"/>
    <x v="43"/>
    <x v="2"/>
    <x v="0"/>
    <x v="0"/>
    <x v="2"/>
    <x v="0"/>
  </r>
  <r>
    <x v="0"/>
    <x v="0"/>
    <n v="2239205831"/>
    <x v="8"/>
    <n v="10450"/>
    <x v="1"/>
    <x v="0"/>
    <x v="43"/>
    <x v="8"/>
    <x v="0"/>
    <x v="0"/>
    <x v="3"/>
    <x v="0"/>
  </r>
  <r>
    <x v="0"/>
    <x v="0"/>
    <n v="2239205832"/>
    <x v="5"/>
    <n v="-5400"/>
    <x v="1"/>
    <x v="0"/>
    <x v="43"/>
    <x v="5"/>
    <x v="0"/>
    <x v="0"/>
    <x v="5"/>
    <x v="0"/>
  </r>
  <r>
    <x v="0"/>
    <x v="0"/>
    <n v="2239205832"/>
    <x v="4"/>
    <n v="10000"/>
    <x v="1"/>
    <x v="0"/>
    <x v="43"/>
    <x v="4"/>
    <x v="0"/>
    <x v="0"/>
    <x v="4"/>
    <x v="0"/>
  </r>
  <r>
    <x v="0"/>
    <x v="0"/>
    <n v="2239205833"/>
    <x v="6"/>
    <n v="3000"/>
    <x v="1"/>
    <x v="0"/>
    <x v="43"/>
    <x v="6"/>
    <x v="0"/>
    <x v="0"/>
    <x v="5"/>
    <x v="0"/>
  </r>
  <r>
    <x v="0"/>
    <x v="0"/>
    <n v="2239205834"/>
    <x v="5"/>
    <n v="-500"/>
    <x v="1"/>
    <x v="0"/>
    <x v="43"/>
    <x v="5"/>
    <x v="0"/>
    <x v="0"/>
    <x v="5"/>
    <x v="0"/>
  </r>
  <r>
    <x v="0"/>
    <x v="0"/>
    <n v="2239205834"/>
    <x v="6"/>
    <n v="7000"/>
    <x v="1"/>
    <x v="0"/>
    <x v="43"/>
    <x v="6"/>
    <x v="0"/>
    <x v="0"/>
    <x v="5"/>
    <x v="0"/>
  </r>
  <r>
    <x v="0"/>
    <x v="0"/>
    <n v="2239205836"/>
    <x v="3"/>
    <n v="26290"/>
    <x v="1"/>
    <x v="0"/>
    <x v="43"/>
    <x v="3"/>
    <x v="0"/>
    <x v="0"/>
    <x v="3"/>
    <x v="0"/>
  </r>
  <r>
    <x v="0"/>
    <x v="0"/>
    <n v="2239205837"/>
    <x v="2"/>
    <n v="3300"/>
    <x v="1"/>
    <x v="0"/>
    <x v="43"/>
    <x v="2"/>
    <x v="0"/>
    <x v="0"/>
    <x v="2"/>
    <x v="0"/>
  </r>
  <r>
    <x v="0"/>
    <x v="0"/>
    <n v="2239205838"/>
    <x v="3"/>
    <n v="26532"/>
    <x v="1"/>
    <x v="0"/>
    <x v="43"/>
    <x v="3"/>
    <x v="0"/>
    <x v="0"/>
    <x v="3"/>
    <x v="0"/>
  </r>
  <r>
    <x v="0"/>
    <x v="0"/>
    <n v="2239205838"/>
    <x v="7"/>
    <n v="2680"/>
    <x v="1"/>
    <x v="0"/>
    <x v="43"/>
    <x v="7"/>
    <x v="0"/>
    <x v="0"/>
    <x v="1"/>
    <x v="0"/>
  </r>
  <r>
    <x v="0"/>
    <x v="0"/>
    <n v="2239205839"/>
    <x v="2"/>
    <n v="43780"/>
    <x v="1"/>
    <x v="0"/>
    <x v="43"/>
    <x v="2"/>
    <x v="0"/>
    <x v="0"/>
    <x v="2"/>
    <x v="0"/>
  </r>
  <r>
    <x v="0"/>
    <x v="0"/>
    <n v="2239205841"/>
    <x v="5"/>
    <n v="-1500"/>
    <x v="1"/>
    <x v="0"/>
    <x v="43"/>
    <x v="5"/>
    <x v="0"/>
    <x v="0"/>
    <x v="5"/>
    <x v="0"/>
  </r>
  <r>
    <x v="0"/>
    <x v="0"/>
    <n v="2239205841"/>
    <x v="6"/>
    <n v="20000"/>
    <x v="1"/>
    <x v="0"/>
    <x v="43"/>
    <x v="6"/>
    <x v="0"/>
    <x v="0"/>
    <x v="5"/>
    <x v="0"/>
  </r>
  <r>
    <x v="0"/>
    <x v="0"/>
    <n v="2239205842"/>
    <x v="2"/>
    <n v="7623"/>
    <x v="1"/>
    <x v="0"/>
    <x v="43"/>
    <x v="2"/>
    <x v="0"/>
    <x v="0"/>
    <x v="2"/>
    <x v="0"/>
  </r>
  <r>
    <x v="0"/>
    <x v="0"/>
    <n v="2239205843"/>
    <x v="2"/>
    <n v="11000"/>
    <x v="1"/>
    <x v="0"/>
    <x v="43"/>
    <x v="2"/>
    <x v="0"/>
    <x v="0"/>
    <x v="2"/>
    <x v="0"/>
  </r>
  <r>
    <x v="0"/>
    <x v="0"/>
    <n v="2239205844"/>
    <x v="5"/>
    <n v="-4000"/>
    <x v="1"/>
    <x v="0"/>
    <x v="43"/>
    <x v="5"/>
    <x v="0"/>
    <x v="0"/>
    <x v="5"/>
    <x v="0"/>
  </r>
  <r>
    <x v="0"/>
    <x v="0"/>
    <n v="2239205844"/>
    <x v="6"/>
    <n v="10000"/>
    <x v="1"/>
    <x v="0"/>
    <x v="43"/>
    <x v="6"/>
    <x v="0"/>
    <x v="0"/>
    <x v="5"/>
    <x v="0"/>
  </r>
  <r>
    <x v="0"/>
    <x v="0"/>
    <n v="2239205846"/>
    <x v="3"/>
    <n v="30580"/>
    <x v="1"/>
    <x v="0"/>
    <x v="43"/>
    <x v="3"/>
    <x v="0"/>
    <x v="0"/>
    <x v="3"/>
    <x v="0"/>
  </r>
  <r>
    <x v="0"/>
    <x v="0"/>
    <n v="2239205847"/>
    <x v="2"/>
    <n v="7000"/>
    <x v="1"/>
    <x v="0"/>
    <x v="43"/>
    <x v="2"/>
    <x v="0"/>
    <x v="0"/>
    <x v="2"/>
    <x v="0"/>
  </r>
  <r>
    <x v="0"/>
    <x v="0"/>
    <n v="2239205848"/>
    <x v="8"/>
    <n v="2200"/>
    <x v="1"/>
    <x v="0"/>
    <x v="43"/>
    <x v="8"/>
    <x v="0"/>
    <x v="0"/>
    <x v="3"/>
    <x v="0"/>
  </r>
  <r>
    <x v="0"/>
    <x v="0"/>
    <n v="2239205849"/>
    <x v="4"/>
    <n v="5000"/>
    <x v="1"/>
    <x v="0"/>
    <x v="43"/>
    <x v="4"/>
    <x v="0"/>
    <x v="0"/>
    <x v="4"/>
    <x v="0"/>
  </r>
  <r>
    <x v="0"/>
    <x v="0"/>
    <n v="2239205851"/>
    <x v="5"/>
    <n v="-6100"/>
    <x v="1"/>
    <x v="0"/>
    <x v="43"/>
    <x v="5"/>
    <x v="0"/>
    <x v="0"/>
    <x v="5"/>
    <x v="0"/>
  </r>
  <r>
    <x v="0"/>
    <x v="0"/>
    <n v="2239205851"/>
    <x v="6"/>
    <n v="20000"/>
    <x v="1"/>
    <x v="0"/>
    <x v="43"/>
    <x v="6"/>
    <x v="0"/>
    <x v="0"/>
    <x v="5"/>
    <x v="0"/>
  </r>
  <r>
    <x v="0"/>
    <x v="0"/>
    <n v="2239205852"/>
    <x v="5"/>
    <n v="-40"/>
    <x v="1"/>
    <x v="0"/>
    <x v="43"/>
    <x v="5"/>
    <x v="0"/>
    <x v="0"/>
    <x v="5"/>
    <x v="0"/>
  </r>
  <r>
    <x v="0"/>
    <x v="0"/>
    <n v="2239205852"/>
    <x v="6"/>
    <n v="10000"/>
    <x v="1"/>
    <x v="0"/>
    <x v="43"/>
    <x v="6"/>
    <x v="0"/>
    <x v="0"/>
    <x v="5"/>
    <x v="0"/>
  </r>
  <r>
    <x v="0"/>
    <x v="0"/>
    <n v="2239205853"/>
    <x v="5"/>
    <n v="-2800"/>
    <x v="1"/>
    <x v="0"/>
    <x v="43"/>
    <x v="5"/>
    <x v="0"/>
    <x v="0"/>
    <x v="5"/>
    <x v="0"/>
  </r>
  <r>
    <x v="0"/>
    <x v="0"/>
    <n v="2239205853"/>
    <x v="6"/>
    <n v="10000"/>
    <x v="1"/>
    <x v="0"/>
    <x v="43"/>
    <x v="6"/>
    <x v="0"/>
    <x v="0"/>
    <x v="5"/>
    <x v="0"/>
  </r>
  <r>
    <x v="0"/>
    <x v="0"/>
    <n v="2239205854"/>
    <x v="8"/>
    <n v="12870"/>
    <x v="1"/>
    <x v="0"/>
    <x v="43"/>
    <x v="8"/>
    <x v="0"/>
    <x v="0"/>
    <x v="3"/>
    <x v="0"/>
  </r>
  <r>
    <x v="0"/>
    <x v="0"/>
    <n v="2239205855"/>
    <x v="5"/>
    <n v="-1500"/>
    <x v="1"/>
    <x v="0"/>
    <x v="43"/>
    <x v="5"/>
    <x v="0"/>
    <x v="0"/>
    <x v="5"/>
    <x v="0"/>
  </r>
  <r>
    <x v="0"/>
    <x v="0"/>
    <n v="2239205855"/>
    <x v="6"/>
    <n v="5000"/>
    <x v="1"/>
    <x v="0"/>
    <x v="43"/>
    <x v="6"/>
    <x v="0"/>
    <x v="0"/>
    <x v="5"/>
    <x v="0"/>
  </r>
  <r>
    <x v="0"/>
    <x v="0"/>
    <n v="2239205856"/>
    <x v="2"/>
    <n v="15290"/>
    <x v="1"/>
    <x v="0"/>
    <x v="43"/>
    <x v="2"/>
    <x v="0"/>
    <x v="0"/>
    <x v="2"/>
    <x v="0"/>
  </r>
  <r>
    <x v="0"/>
    <x v="0"/>
    <n v="2239205857"/>
    <x v="5"/>
    <n v="-600"/>
    <x v="1"/>
    <x v="0"/>
    <x v="43"/>
    <x v="5"/>
    <x v="0"/>
    <x v="0"/>
    <x v="5"/>
    <x v="0"/>
  </r>
  <r>
    <x v="0"/>
    <x v="0"/>
    <n v="2239205857"/>
    <x v="4"/>
    <n v="5000"/>
    <x v="1"/>
    <x v="0"/>
    <x v="43"/>
    <x v="4"/>
    <x v="0"/>
    <x v="0"/>
    <x v="4"/>
    <x v="0"/>
  </r>
  <r>
    <x v="0"/>
    <x v="0"/>
    <n v="2239205858"/>
    <x v="4"/>
    <n v="4600"/>
    <x v="1"/>
    <x v="0"/>
    <x v="43"/>
    <x v="4"/>
    <x v="0"/>
    <x v="0"/>
    <x v="4"/>
    <x v="0"/>
  </r>
  <r>
    <x v="0"/>
    <x v="0"/>
    <n v="2239205859"/>
    <x v="3"/>
    <n v="16632"/>
    <x v="1"/>
    <x v="0"/>
    <x v="43"/>
    <x v="3"/>
    <x v="0"/>
    <x v="0"/>
    <x v="3"/>
    <x v="0"/>
  </r>
  <r>
    <x v="0"/>
    <x v="0"/>
    <n v="2239205860"/>
    <x v="5"/>
    <n v="-5400"/>
    <x v="1"/>
    <x v="0"/>
    <x v="43"/>
    <x v="5"/>
    <x v="0"/>
    <x v="0"/>
    <x v="5"/>
    <x v="0"/>
  </r>
  <r>
    <x v="0"/>
    <x v="0"/>
    <n v="2239205860"/>
    <x v="4"/>
    <n v="10000"/>
    <x v="1"/>
    <x v="0"/>
    <x v="43"/>
    <x v="4"/>
    <x v="0"/>
    <x v="0"/>
    <x v="4"/>
    <x v="0"/>
  </r>
  <r>
    <x v="0"/>
    <x v="0"/>
    <n v="2239205861"/>
    <x v="2"/>
    <n v="3000"/>
    <x v="1"/>
    <x v="0"/>
    <x v="43"/>
    <x v="2"/>
    <x v="0"/>
    <x v="0"/>
    <x v="2"/>
    <x v="0"/>
  </r>
  <r>
    <x v="0"/>
    <x v="0"/>
    <n v="2239205863"/>
    <x v="5"/>
    <n v="-17000"/>
    <x v="1"/>
    <x v="0"/>
    <x v="43"/>
    <x v="5"/>
    <x v="0"/>
    <x v="0"/>
    <x v="5"/>
    <x v="0"/>
  </r>
  <r>
    <x v="0"/>
    <x v="0"/>
    <n v="2239205863"/>
    <x v="6"/>
    <n v="20000"/>
    <x v="1"/>
    <x v="0"/>
    <x v="43"/>
    <x v="6"/>
    <x v="0"/>
    <x v="0"/>
    <x v="5"/>
    <x v="0"/>
  </r>
  <r>
    <x v="0"/>
    <x v="0"/>
    <n v="2239205864"/>
    <x v="5"/>
    <n v="-5500"/>
    <x v="1"/>
    <x v="0"/>
    <x v="43"/>
    <x v="5"/>
    <x v="0"/>
    <x v="0"/>
    <x v="5"/>
    <x v="0"/>
  </r>
  <r>
    <x v="0"/>
    <x v="0"/>
    <n v="2239205864"/>
    <x v="6"/>
    <n v="10000"/>
    <x v="1"/>
    <x v="0"/>
    <x v="43"/>
    <x v="6"/>
    <x v="0"/>
    <x v="0"/>
    <x v="5"/>
    <x v="0"/>
  </r>
  <r>
    <x v="0"/>
    <x v="0"/>
    <n v="2239205865"/>
    <x v="5"/>
    <n v="-2000"/>
    <x v="1"/>
    <x v="0"/>
    <x v="43"/>
    <x v="5"/>
    <x v="0"/>
    <x v="0"/>
    <x v="5"/>
    <x v="0"/>
  </r>
  <r>
    <x v="0"/>
    <x v="0"/>
    <n v="2239205865"/>
    <x v="6"/>
    <n v="5000"/>
    <x v="1"/>
    <x v="0"/>
    <x v="43"/>
    <x v="6"/>
    <x v="0"/>
    <x v="0"/>
    <x v="5"/>
    <x v="0"/>
  </r>
  <r>
    <x v="0"/>
    <x v="0"/>
    <n v="2239205866"/>
    <x v="5"/>
    <n v="-500"/>
    <x v="1"/>
    <x v="0"/>
    <x v="43"/>
    <x v="5"/>
    <x v="0"/>
    <x v="0"/>
    <x v="5"/>
    <x v="0"/>
  </r>
  <r>
    <x v="0"/>
    <x v="0"/>
    <n v="2239205866"/>
    <x v="6"/>
    <n v="5000"/>
    <x v="1"/>
    <x v="0"/>
    <x v="43"/>
    <x v="6"/>
    <x v="0"/>
    <x v="0"/>
    <x v="5"/>
    <x v="0"/>
  </r>
  <r>
    <x v="0"/>
    <x v="0"/>
    <n v="2239205870"/>
    <x v="5"/>
    <n v="-15000"/>
    <x v="1"/>
    <x v="0"/>
    <x v="43"/>
    <x v="5"/>
    <x v="0"/>
    <x v="0"/>
    <x v="5"/>
    <x v="0"/>
  </r>
  <r>
    <x v="0"/>
    <x v="0"/>
    <n v="2239205870"/>
    <x v="4"/>
    <n v="20000"/>
    <x v="1"/>
    <x v="0"/>
    <x v="43"/>
    <x v="4"/>
    <x v="0"/>
    <x v="0"/>
    <x v="4"/>
    <x v="0"/>
  </r>
  <r>
    <x v="0"/>
    <x v="0"/>
    <n v="2239205871"/>
    <x v="5"/>
    <n v="-1200"/>
    <x v="1"/>
    <x v="0"/>
    <x v="43"/>
    <x v="5"/>
    <x v="0"/>
    <x v="0"/>
    <x v="5"/>
    <x v="0"/>
  </r>
  <r>
    <x v="0"/>
    <x v="0"/>
    <n v="2239205871"/>
    <x v="6"/>
    <n v="5000"/>
    <x v="1"/>
    <x v="0"/>
    <x v="43"/>
    <x v="6"/>
    <x v="0"/>
    <x v="0"/>
    <x v="5"/>
    <x v="0"/>
  </r>
  <r>
    <x v="0"/>
    <x v="0"/>
    <n v="2239205872"/>
    <x v="4"/>
    <n v="5300"/>
    <x v="1"/>
    <x v="0"/>
    <x v="43"/>
    <x v="4"/>
    <x v="0"/>
    <x v="0"/>
    <x v="4"/>
    <x v="0"/>
  </r>
  <r>
    <x v="0"/>
    <x v="0"/>
    <n v="2239205873"/>
    <x v="1"/>
    <n v="1140"/>
    <x v="1"/>
    <x v="0"/>
    <x v="43"/>
    <x v="1"/>
    <x v="0"/>
    <x v="0"/>
    <x v="1"/>
    <x v="0"/>
  </r>
  <r>
    <x v="0"/>
    <x v="0"/>
    <n v="2239205874"/>
    <x v="5"/>
    <n v="-14000"/>
    <x v="1"/>
    <x v="0"/>
    <x v="43"/>
    <x v="5"/>
    <x v="0"/>
    <x v="0"/>
    <x v="5"/>
    <x v="0"/>
  </r>
  <r>
    <x v="0"/>
    <x v="0"/>
    <n v="2239205874"/>
    <x v="6"/>
    <n v="20000"/>
    <x v="1"/>
    <x v="0"/>
    <x v="43"/>
    <x v="6"/>
    <x v="0"/>
    <x v="0"/>
    <x v="5"/>
    <x v="0"/>
  </r>
  <r>
    <x v="0"/>
    <x v="0"/>
    <n v="2239207623"/>
    <x v="3"/>
    <n v="7084"/>
    <x v="1"/>
    <x v="0"/>
    <x v="44"/>
    <x v="3"/>
    <x v="0"/>
    <x v="0"/>
    <x v="3"/>
    <x v="0"/>
  </r>
  <r>
    <x v="0"/>
    <x v="0"/>
    <n v="2239207625"/>
    <x v="6"/>
    <n v="3150"/>
    <x v="1"/>
    <x v="0"/>
    <x v="44"/>
    <x v="6"/>
    <x v="0"/>
    <x v="0"/>
    <x v="5"/>
    <x v="0"/>
  </r>
  <r>
    <x v="0"/>
    <x v="0"/>
    <n v="2239207625"/>
    <x v="7"/>
    <n v="1350"/>
    <x v="1"/>
    <x v="0"/>
    <x v="44"/>
    <x v="7"/>
    <x v="0"/>
    <x v="0"/>
    <x v="1"/>
    <x v="0"/>
  </r>
  <r>
    <x v="0"/>
    <x v="0"/>
    <n v="2239207627"/>
    <x v="6"/>
    <n v="4500"/>
    <x v="1"/>
    <x v="0"/>
    <x v="44"/>
    <x v="6"/>
    <x v="0"/>
    <x v="0"/>
    <x v="5"/>
    <x v="0"/>
  </r>
  <r>
    <x v="0"/>
    <x v="0"/>
    <n v="2239207629"/>
    <x v="6"/>
    <n v="4500"/>
    <x v="1"/>
    <x v="0"/>
    <x v="44"/>
    <x v="6"/>
    <x v="0"/>
    <x v="0"/>
    <x v="5"/>
    <x v="0"/>
  </r>
  <r>
    <x v="0"/>
    <x v="0"/>
    <n v="2239207630"/>
    <x v="6"/>
    <n v="4500"/>
    <x v="1"/>
    <x v="0"/>
    <x v="44"/>
    <x v="6"/>
    <x v="0"/>
    <x v="0"/>
    <x v="5"/>
    <x v="0"/>
  </r>
  <r>
    <x v="0"/>
    <x v="0"/>
    <n v="2239207632"/>
    <x v="2"/>
    <n v="3000"/>
    <x v="1"/>
    <x v="0"/>
    <x v="44"/>
    <x v="2"/>
    <x v="0"/>
    <x v="0"/>
    <x v="2"/>
    <x v="0"/>
  </r>
  <r>
    <x v="0"/>
    <x v="0"/>
    <n v="2239207634"/>
    <x v="6"/>
    <n v="4500"/>
    <x v="1"/>
    <x v="0"/>
    <x v="44"/>
    <x v="6"/>
    <x v="0"/>
    <x v="0"/>
    <x v="5"/>
    <x v="0"/>
  </r>
  <r>
    <x v="0"/>
    <x v="0"/>
    <n v="2239207637"/>
    <x v="6"/>
    <n v="4500"/>
    <x v="1"/>
    <x v="0"/>
    <x v="44"/>
    <x v="6"/>
    <x v="0"/>
    <x v="0"/>
    <x v="5"/>
    <x v="0"/>
  </r>
  <r>
    <x v="0"/>
    <x v="0"/>
    <n v="2239207638"/>
    <x v="6"/>
    <n v="4500"/>
    <x v="1"/>
    <x v="0"/>
    <x v="44"/>
    <x v="6"/>
    <x v="0"/>
    <x v="0"/>
    <x v="5"/>
    <x v="0"/>
  </r>
  <r>
    <x v="0"/>
    <x v="0"/>
    <n v="2239207640"/>
    <x v="4"/>
    <n v="10900"/>
    <x v="1"/>
    <x v="0"/>
    <x v="44"/>
    <x v="4"/>
    <x v="0"/>
    <x v="0"/>
    <x v="4"/>
    <x v="0"/>
  </r>
  <r>
    <x v="0"/>
    <x v="0"/>
    <n v="2239207642"/>
    <x v="5"/>
    <n v="-50"/>
    <x v="1"/>
    <x v="0"/>
    <x v="44"/>
    <x v="5"/>
    <x v="0"/>
    <x v="0"/>
    <x v="5"/>
    <x v="0"/>
  </r>
  <r>
    <x v="0"/>
    <x v="0"/>
    <n v="2239207642"/>
    <x v="6"/>
    <n v="3800"/>
    <x v="1"/>
    <x v="0"/>
    <x v="44"/>
    <x v="6"/>
    <x v="0"/>
    <x v="0"/>
    <x v="5"/>
    <x v="0"/>
  </r>
  <r>
    <x v="0"/>
    <x v="0"/>
    <n v="2239207643"/>
    <x v="5"/>
    <n v="-1200"/>
    <x v="1"/>
    <x v="0"/>
    <x v="44"/>
    <x v="5"/>
    <x v="0"/>
    <x v="0"/>
    <x v="5"/>
    <x v="0"/>
  </r>
  <r>
    <x v="0"/>
    <x v="0"/>
    <n v="2239207643"/>
    <x v="4"/>
    <n v="10000"/>
    <x v="1"/>
    <x v="0"/>
    <x v="44"/>
    <x v="4"/>
    <x v="0"/>
    <x v="0"/>
    <x v="4"/>
    <x v="0"/>
  </r>
  <r>
    <x v="0"/>
    <x v="0"/>
    <n v="2239207644"/>
    <x v="5"/>
    <n v="-4750"/>
    <x v="1"/>
    <x v="0"/>
    <x v="44"/>
    <x v="5"/>
    <x v="0"/>
    <x v="0"/>
    <x v="5"/>
    <x v="0"/>
  </r>
  <r>
    <x v="0"/>
    <x v="0"/>
    <n v="2239207644"/>
    <x v="6"/>
    <n v="10000"/>
    <x v="1"/>
    <x v="0"/>
    <x v="44"/>
    <x v="6"/>
    <x v="0"/>
    <x v="0"/>
    <x v="5"/>
    <x v="0"/>
  </r>
  <r>
    <x v="0"/>
    <x v="0"/>
    <n v="2239207645"/>
    <x v="5"/>
    <n v="-300"/>
    <x v="1"/>
    <x v="0"/>
    <x v="44"/>
    <x v="5"/>
    <x v="0"/>
    <x v="0"/>
    <x v="5"/>
    <x v="0"/>
  </r>
  <r>
    <x v="0"/>
    <x v="0"/>
    <n v="2239207645"/>
    <x v="6"/>
    <n v="22000"/>
    <x v="1"/>
    <x v="0"/>
    <x v="44"/>
    <x v="6"/>
    <x v="0"/>
    <x v="0"/>
    <x v="5"/>
    <x v="0"/>
  </r>
  <r>
    <x v="0"/>
    <x v="0"/>
    <n v="2239207646"/>
    <x v="5"/>
    <n v="-2550"/>
    <x v="1"/>
    <x v="0"/>
    <x v="44"/>
    <x v="5"/>
    <x v="0"/>
    <x v="0"/>
    <x v="5"/>
    <x v="0"/>
  </r>
  <r>
    <x v="0"/>
    <x v="0"/>
    <n v="2239207646"/>
    <x v="6"/>
    <n v="20000"/>
    <x v="1"/>
    <x v="0"/>
    <x v="44"/>
    <x v="6"/>
    <x v="0"/>
    <x v="0"/>
    <x v="5"/>
    <x v="0"/>
  </r>
  <r>
    <x v="0"/>
    <x v="0"/>
    <n v="2239207647"/>
    <x v="5"/>
    <n v="-500"/>
    <x v="1"/>
    <x v="0"/>
    <x v="44"/>
    <x v="5"/>
    <x v="0"/>
    <x v="0"/>
    <x v="5"/>
    <x v="0"/>
  </r>
  <r>
    <x v="0"/>
    <x v="0"/>
    <n v="2239207647"/>
    <x v="6"/>
    <n v="2000"/>
    <x v="1"/>
    <x v="0"/>
    <x v="44"/>
    <x v="6"/>
    <x v="0"/>
    <x v="0"/>
    <x v="5"/>
    <x v="0"/>
  </r>
  <r>
    <x v="0"/>
    <x v="0"/>
    <n v="2239207648"/>
    <x v="5"/>
    <n v="-5250"/>
    <x v="1"/>
    <x v="0"/>
    <x v="44"/>
    <x v="5"/>
    <x v="0"/>
    <x v="0"/>
    <x v="5"/>
    <x v="0"/>
  </r>
  <r>
    <x v="0"/>
    <x v="0"/>
    <n v="2239207648"/>
    <x v="6"/>
    <n v="10000"/>
    <x v="1"/>
    <x v="0"/>
    <x v="44"/>
    <x v="6"/>
    <x v="0"/>
    <x v="0"/>
    <x v="5"/>
    <x v="0"/>
  </r>
  <r>
    <x v="0"/>
    <x v="0"/>
    <n v="2239207648"/>
    <x v="7"/>
    <n v="4750"/>
    <x v="1"/>
    <x v="0"/>
    <x v="44"/>
    <x v="7"/>
    <x v="0"/>
    <x v="0"/>
    <x v="1"/>
    <x v="0"/>
  </r>
  <r>
    <x v="0"/>
    <x v="0"/>
    <n v="2239207649"/>
    <x v="5"/>
    <n v="-400"/>
    <x v="1"/>
    <x v="0"/>
    <x v="44"/>
    <x v="5"/>
    <x v="0"/>
    <x v="0"/>
    <x v="5"/>
    <x v="0"/>
  </r>
  <r>
    <x v="0"/>
    <x v="0"/>
    <n v="2239207649"/>
    <x v="4"/>
    <n v="5000"/>
    <x v="1"/>
    <x v="0"/>
    <x v="44"/>
    <x v="4"/>
    <x v="0"/>
    <x v="0"/>
    <x v="4"/>
    <x v="0"/>
  </r>
  <r>
    <x v="0"/>
    <x v="0"/>
    <n v="2239207651"/>
    <x v="5"/>
    <n v="-8500"/>
    <x v="1"/>
    <x v="0"/>
    <x v="44"/>
    <x v="5"/>
    <x v="0"/>
    <x v="0"/>
    <x v="5"/>
    <x v="0"/>
  </r>
  <r>
    <x v="0"/>
    <x v="0"/>
    <n v="2239207651"/>
    <x v="6"/>
    <n v="10000"/>
    <x v="1"/>
    <x v="0"/>
    <x v="44"/>
    <x v="6"/>
    <x v="0"/>
    <x v="0"/>
    <x v="5"/>
    <x v="0"/>
  </r>
  <r>
    <x v="0"/>
    <x v="0"/>
    <n v="2239207653"/>
    <x v="2"/>
    <n v="24640"/>
    <x v="1"/>
    <x v="0"/>
    <x v="44"/>
    <x v="2"/>
    <x v="0"/>
    <x v="0"/>
    <x v="2"/>
    <x v="0"/>
  </r>
  <r>
    <x v="0"/>
    <x v="0"/>
    <n v="2239207654"/>
    <x v="6"/>
    <n v="4000"/>
    <x v="1"/>
    <x v="0"/>
    <x v="44"/>
    <x v="6"/>
    <x v="0"/>
    <x v="0"/>
    <x v="5"/>
    <x v="0"/>
  </r>
  <r>
    <x v="0"/>
    <x v="0"/>
    <n v="2239207655"/>
    <x v="2"/>
    <n v="6500"/>
    <x v="1"/>
    <x v="0"/>
    <x v="44"/>
    <x v="2"/>
    <x v="0"/>
    <x v="0"/>
    <x v="2"/>
    <x v="0"/>
  </r>
  <r>
    <x v="0"/>
    <x v="0"/>
    <n v="2239207656"/>
    <x v="6"/>
    <n v="3750"/>
    <x v="1"/>
    <x v="0"/>
    <x v="44"/>
    <x v="6"/>
    <x v="0"/>
    <x v="0"/>
    <x v="5"/>
    <x v="0"/>
  </r>
  <r>
    <x v="0"/>
    <x v="0"/>
    <n v="2239207657"/>
    <x v="5"/>
    <n v="-4550"/>
    <x v="1"/>
    <x v="0"/>
    <x v="44"/>
    <x v="5"/>
    <x v="0"/>
    <x v="0"/>
    <x v="5"/>
    <x v="0"/>
  </r>
  <r>
    <x v="0"/>
    <x v="0"/>
    <n v="2239207657"/>
    <x v="6"/>
    <n v="20000"/>
    <x v="1"/>
    <x v="0"/>
    <x v="44"/>
    <x v="6"/>
    <x v="0"/>
    <x v="0"/>
    <x v="5"/>
    <x v="0"/>
  </r>
  <r>
    <x v="0"/>
    <x v="0"/>
    <n v="2239207659"/>
    <x v="5"/>
    <n v="-6000"/>
    <x v="1"/>
    <x v="0"/>
    <x v="44"/>
    <x v="5"/>
    <x v="0"/>
    <x v="0"/>
    <x v="5"/>
    <x v="0"/>
  </r>
  <r>
    <x v="0"/>
    <x v="0"/>
    <n v="2239207659"/>
    <x v="6"/>
    <n v="10500"/>
    <x v="1"/>
    <x v="0"/>
    <x v="44"/>
    <x v="6"/>
    <x v="0"/>
    <x v="0"/>
    <x v="5"/>
    <x v="0"/>
  </r>
  <r>
    <x v="0"/>
    <x v="0"/>
    <n v="2239207660"/>
    <x v="5"/>
    <n v="-300"/>
    <x v="1"/>
    <x v="0"/>
    <x v="44"/>
    <x v="5"/>
    <x v="0"/>
    <x v="0"/>
    <x v="5"/>
    <x v="0"/>
  </r>
  <r>
    <x v="0"/>
    <x v="0"/>
    <n v="2239207660"/>
    <x v="6"/>
    <n v="3000"/>
    <x v="1"/>
    <x v="0"/>
    <x v="44"/>
    <x v="6"/>
    <x v="0"/>
    <x v="0"/>
    <x v="5"/>
    <x v="0"/>
  </r>
  <r>
    <x v="0"/>
    <x v="0"/>
    <n v="2239207661"/>
    <x v="5"/>
    <n v="-4000"/>
    <x v="1"/>
    <x v="0"/>
    <x v="44"/>
    <x v="5"/>
    <x v="0"/>
    <x v="0"/>
    <x v="5"/>
    <x v="0"/>
  </r>
  <r>
    <x v="0"/>
    <x v="0"/>
    <n v="2239207661"/>
    <x v="6"/>
    <n v="10000"/>
    <x v="1"/>
    <x v="0"/>
    <x v="44"/>
    <x v="6"/>
    <x v="0"/>
    <x v="0"/>
    <x v="5"/>
    <x v="0"/>
  </r>
  <r>
    <x v="0"/>
    <x v="0"/>
    <n v="2239207663"/>
    <x v="2"/>
    <n v="3300"/>
    <x v="1"/>
    <x v="0"/>
    <x v="44"/>
    <x v="2"/>
    <x v="0"/>
    <x v="0"/>
    <x v="2"/>
    <x v="0"/>
  </r>
  <r>
    <x v="0"/>
    <x v="0"/>
    <n v="2239207664"/>
    <x v="5"/>
    <n v="-300"/>
    <x v="1"/>
    <x v="0"/>
    <x v="44"/>
    <x v="5"/>
    <x v="0"/>
    <x v="0"/>
    <x v="5"/>
    <x v="0"/>
  </r>
  <r>
    <x v="0"/>
    <x v="0"/>
    <n v="2239207664"/>
    <x v="4"/>
    <n v="6000"/>
    <x v="1"/>
    <x v="0"/>
    <x v="44"/>
    <x v="4"/>
    <x v="0"/>
    <x v="0"/>
    <x v="4"/>
    <x v="0"/>
  </r>
  <r>
    <x v="0"/>
    <x v="0"/>
    <n v="2239207665"/>
    <x v="5"/>
    <n v="-5400"/>
    <x v="1"/>
    <x v="0"/>
    <x v="44"/>
    <x v="5"/>
    <x v="0"/>
    <x v="0"/>
    <x v="5"/>
    <x v="0"/>
  </r>
  <r>
    <x v="0"/>
    <x v="0"/>
    <n v="2239207665"/>
    <x v="4"/>
    <n v="10000"/>
    <x v="1"/>
    <x v="0"/>
    <x v="44"/>
    <x v="4"/>
    <x v="0"/>
    <x v="0"/>
    <x v="4"/>
    <x v="0"/>
  </r>
  <r>
    <x v="0"/>
    <x v="0"/>
    <n v="2239207667"/>
    <x v="5"/>
    <n v="-1200"/>
    <x v="1"/>
    <x v="0"/>
    <x v="44"/>
    <x v="5"/>
    <x v="0"/>
    <x v="0"/>
    <x v="5"/>
    <x v="0"/>
  </r>
  <r>
    <x v="0"/>
    <x v="0"/>
    <n v="2239207667"/>
    <x v="6"/>
    <n v="5000"/>
    <x v="1"/>
    <x v="0"/>
    <x v="44"/>
    <x v="6"/>
    <x v="0"/>
    <x v="0"/>
    <x v="5"/>
    <x v="0"/>
  </r>
  <r>
    <x v="0"/>
    <x v="0"/>
    <n v="2239207668"/>
    <x v="2"/>
    <n v="34518"/>
    <x v="1"/>
    <x v="0"/>
    <x v="44"/>
    <x v="2"/>
    <x v="0"/>
    <x v="0"/>
    <x v="2"/>
    <x v="0"/>
  </r>
  <r>
    <x v="0"/>
    <x v="0"/>
    <n v="2239207671"/>
    <x v="6"/>
    <n v="6000"/>
    <x v="1"/>
    <x v="0"/>
    <x v="44"/>
    <x v="6"/>
    <x v="0"/>
    <x v="0"/>
    <x v="5"/>
    <x v="0"/>
  </r>
  <r>
    <x v="0"/>
    <x v="0"/>
    <n v="2239207672"/>
    <x v="2"/>
    <n v="16500"/>
    <x v="1"/>
    <x v="0"/>
    <x v="44"/>
    <x v="2"/>
    <x v="0"/>
    <x v="0"/>
    <x v="2"/>
    <x v="0"/>
  </r>
  <r>
    <x v="0"/>
    <x v="0"/>
    <n v="2239207673"/>
    <x v="5"/>
    <n v="-11200"/>
    <x v="1"/>
    <x v="0"/>
    <x v="44"/>
    <x v="5"/>
    <x v="0"/>
    <x v="0"/>
    <x v="5"/>
    <x v="0"/>
  </r>
  <r>
    <x v="0"/>
    <x v="0"/>
    <n v="2239207673"/>
    <x v="4"/>
    <n v="20000"/>
    <x v="1"/>
    <x v="0"/>
    <x v="44"/>
    <x v="4"/>
    <x v="0"/>
    <x v="0"/>
    <x v="4"/>
    <x v="0"/>
  </r>
  <r>
    <x v="0"/>
    <x v="0"/>
    <n v="2239207674"/>
    <x v="5"/>
    <n v="-8000"/>
    <x v="1"/>
    <x v="0"/>
    <x v="44"/>
    <x v="5"/>
    <x v="0"/>
    <x v="0"/>
    <x v="5"/>
    <x v="0"/>
  </r>
  <r>
    <x v="0"/>
    <x v="0"/>
    <n v="2239207674"/>
    <x v="6"/>
    <n v="10660"/>
    <x v="1"/>
    <x v="0"/>
    <x v="44"/>
    <x v="6"/>
    <x v="0"/>
    <x v="0"/>
    <x v="5"/>
    <x v="0"/>
  </r>
  <r>
    <x v="0"/>
    <x v="0"/>
    <n v="2239207675"/>
    <x v="5"/>
    <n v="-10"/>
    <x v="1"/>
    <x v="0"/>
    <x v="44"/>
    <x v="5"/>
    <x v="0"/>
    <x v="0"/>
    <x v="5"/>
    <x v="0"/>
  </r>
  <r>
    <x v="0"/>
    <x v="0"/>
    <n v="2239207675"/>
    <x v="6"/>
    <n v="3050"/>
    <x v="1"/>
    <x v="0"/>
    <x v="44"/>
    <x v="6"/>
    <x v="0"/>
    <x v="0"/>
    <x v="5"/>
    <x v="0"/>
  </r>
  <r>
    <x v="0"/>
    <x v="0"/>
    <n v="2239207676"/>
    <x v="5"/>
    <n v="-5400"/>
    <x v="1"/>
    <x v="0"/>
    <x v="44"/>
    <x v="5"/>
    <x v="0"/>
    <x v="0"/>
    <x v="5"/>
    <x v="0"/>
  </r>
  <r>
    <x v="0"/>
    <x v="0"/>
    <n v="2239207676"/>
    <x v="4"/>
    <n v="10000"/>
    <x v="1"/>
    <x v="0"/>
    <x v="44"/>
    <x v="4"/>
    <x v="0"/>
    <x v="0"/>
    <x v="4"/>
    <x v="0"/>
  </r>
  <r>
    <x v="0"/>
    <x v="0"/>
    <n v="2239207677"/>
    <x v="5"/>
    <n v="-2000"/>
    <x v="1"/>
    <x v="0"/>
    <x v="44"/>
    <x v="5"/>
    <x v="0"/>
    <x v="0"/>
    <x v="5"/>
    <x v="0"/>
  </r>
  <r>
    <x v="0"/>
    <x v="0"/>
    <n v="2239207677"/>
    <x v="6"/>
    <n v="5150"/>
    <x v="1"/>
    <x v="0"/>
    <x v="44"/>
    <x v="6"/>
    <x v="0"/>
    <x v="0"/>
    <x v="5"/>
    <x v="0"/>
  </r>
  <r>
    <x v="0"/>
    <x v="0"/>
    <n v="2239207678"/>
    <x v="5"/>
    <n v="-5400"/>
    <x v="1"/>
    <x v="0"/>
    <x v="44"/>
    <x v="5"/>
    <x v="0"/>
    <x v="0"/>
    <x v="5"/>
    <x v="0"/>
  </r>
  <r>
    <x v="0"/>
    <x v="0"/>
    <n v="2239207678"/>
    <x v="4"/>
    <n v="10000"/>
    <x v="1"/>
    <x v="0"/>
    <x v="44"/>
    <x v="4"/>
    <x v="0"/>
    <x v="0"/>
    <x v="4"/>
    <x v="0"/>
  </r>
  <r>
    <x v="0"/>
    <x v="0"/>
    <n v="2239207679"/>
    <x v="5"/>
    <n v="-200"/>
    <x v="1"/>
    <x v="0"/>
    <x v="44"/>
    <x v="5"/>
    <x v="0"/>
    <x v="0"/>
    <x v="5"/>
    <x v="0"/>
  </r>
  <r>
    <x v="0"/>
    <x v="0"/>
    <n v="2239207679"/>
    <x v="6"/>
    <n v="40000"/>
    <x v="1"/>
    <x v="0"/>
    <x v="44"/>
    <x v="6"/>
    <x v="0"/>
    <x v="0"/>
    <x v="5"/>
    <x v="0"/>
  </r>
  <r>
    <x v="0"/>
    <x v="0"/>
    <n v="2239207680"/>
    <x v="5"/>
    <n v="-200"/>
    <x v="1"/>
    <x v="0"/>
    <x v="44"/>
    <x v="5"/>
    <x v="0"/>
    <x v="0"/>
    <x v="5"/>
    <x v="0"/>
  </r>
  <r>
    <x v="0"/>
    <x v="0"/>
    <n v="2239207680"/>
    <x v="6"/>
    <n v="10000"/>
    <x v="1"/>
    <x v="0"/>
    <x v="44"/>
    <x v="6"/>
    <x v="0"/>
    <x v="0"/>
    <x v="5"/>
    <x v="0"/>
  </r>
  <r>
    <x v="0"/>
    <x v="0"/>
    <n v="2239207681"/>
    <x v="6"/>
    <n v="3150"/>
    <x v="1"/>
    <x v="0"/>
    <x v="44"/>
    <x v="6"/>
    <x v="0"/>
    <x v="0"/>
    <x v="5"/>
    <x v="0"/>
  </r>
  <r>
    <x v="0"/>
    <x v="0"/>
    <n v="2239207682"/>
    <x v="5"/>
    <n v="-400"/>
    <x v="1"/>
    <x v="0"/>
    <x v="44"/>
    <x v="5"/>
    <x v="0"/>
    <x v="0"/>
    <x v="5"/>
    <x v="0"/>
  </r>
  <r>
    <x v="0"/>
    <x v="0"/>
    <n v="2239207682"/>
    <x v="4"/>
    <n v="5000"/>
    <x v="1"/>
    <x v="0"/>
    <x v="44"/>
    <x v="4"/>
    <x v="0"/>
    <x v="0"/>
    <x v="4"/>
    <x v="0"/>
  </r>
  <r>
    <x v="0"/>
    <x v="0"/>
    <n v="2239207684"/>
    <x v="5"/>
    <n v="-14000"/>
    <x v="1"/>
    <x v="0"/>
    <x v="44"/>
    <x v="5"/>
    <x v="0"/>
    <x v="0"/>
    <x v="5"/>
    <x v="0"/>
  </r>
  <r>
    <x v="0"/>
    <x v="0"/>
    <n v="2239207684"/>
    <x v="6"/>
    <n v="20000"/>
    <x v="1"/>
    <x v="0"/>
    <x v="44"/>
    <x v="6"/>
    <x v="0"/>
    <x v="0"/>
    <x v="5"/>
    <x v="0"/>
  </r>
  <r>
    <x v="0"/>
    <x v="0"/>
    <n v="2239207685"/>
    <x v="2"/>
    <n v="14000"/>
    <x v="1"/>
    <x v="0"/>
    <x v="44"/>
    <x v="2"/>
    <x v="0"/>
    <x v="0"/>
    <x v="2"/>
    <x v="0"/>
  </r>
  <r>
    <x v="0"/>
    <x v="0"/>
    <n v="2239207687"/>
    <x v="7"/>
    <n v="1300"/>
    <x v="1"/>
    <x v="0"/>
    <x v="44"/>
    <x v="7"/>
    <x v="0"/>
    <x v="0"/>
    <x v="1"/>
    <x v="0"/>
  </r>
  <r>
    <x v="0"/>
    <x v="0"/>
    <n v="2239207688"/>
    <x v="6"/>
    <n v="7000"/>
    <x v="1"/>
    <x v="0"/>
    <x v="44"/>
    <x v="6"/>
    <x v="0"/>
    <x v="0"/>
    <x v="5"/>
    <x v="0"/>
  </r>
  <r>
    <x v="0"/>
    <x v="0"/>
    <n v="2239209773"/>
    <x v="1"/>
    <n v="26790"/>
    <x v="1"/>
    <x v="0"/>
    <x v="45"/>
    <x v="1"/>
    <x v="0"/>
    <x v="0"/>
    <x v="1"/>
    <x v="0"/>
  </r>
  <r>
    <x v="0"/>
    <x v="0"/>
    <n v="2239209774"/>
    <x v="1"/>
    <n v="9990"/>
    <x v="1"/>
    <x v="0"/>
    <x v="45"/>
    <x v="1"/>
    <x v="0"/>
    <x v="0"/>
    <x v="1"/>
    <x v="0"/>
  </r>
  <r>
    <x v="0"/>
    <x v="0"/>
    <n v="2239209775"/>
    <x v="1"/>
    <n v="2250"/>
    <x v="1"/>
    <x v="0"/>
    <x v="45"/>
    <x v="1"/>
    <x v="0"/>
    <x v="0"/>
    <x v="1"/>
    <x v="0"/>
  </r>
  <r>
    <x v="0"/>
    <x v="0"/>
    <n v="2239209776"/>
    <x v="1"/>
    <n v="900"/>
    <x v="1"/>
    <x v="0"/>
    <x v="45"/>
    <x v="1"/>
    <x v="0"/>
    <x v="0"/>
    <x v="1"/>
    <x v="0"/>
  </r>
  <r>
    <x v="0"/>
    <x v="0"/>
    <n v="2239209777"/>
    <x v="1"/>
    <n v="900"/>
    <x v="1"/>
    <x v="0"/>
    <x v="45"/>
    <x v="1"/>
    <x v="0"/>
    <x v="0"/>
    <x v="1"/>
    <x v="0"/>
  </r>
  <r>
    <x v="0"/>
    <x v="0"/>
    <n v="2239209778"/>
    <x v="1"/>
    <n v="2250"/>
    <x v="1"/>
    <x v="0"/>
    <x v="45"/>
    <x v="1"/>
    <x v="0"/>
    <x v="0"/>
    <x v="1"/>
    <x v="0"/>
  </r>
  <r>
    <x v="0"/>
    <x v="0"/>
    <n v="2239209779"/>
    <x v="1"/>
    <n v="900"/>
    <x v="1"/>
    <x v="0"/>
    <x v="45"/>
    <x v="1"/>
    <x v="0"/>
    <x v="0"/>
    <x v="1"/>
    <x v="0"/>
  </r>
  <r>
    <x v="0"/>
    <x v="0"/>
    <n v="2239209780"/>
    <x v="1"/>
    <n v="1200"/>
    <x v="1"/>
    <x v="0"/>
    <x v="45"/>
    <x v="1"/>
    <x v="0"/>
    <x v="0"/>
    <x v="1"/>
    <x v="0"/>
  </r>
  <r>
    <x v="0"/>
    <x v="0"/>
    <n v="2239209781"/>
    <x v="1"/>
    <n v="900"/>
    <x v="1"/>
    <x v="0"/>
    <x v="45"/>
    <x v="1"/>
    <x v="0"/>
    <x v="0"/>
    <x v="1"/>
    <x v="0"/>
  </r>
  <r>
    <x v="0"/>
    <x v="0"/>
    <n v="2239209782"/>
    <x v="1"/>
    <n v="1800"/>
    <x v="1"/>
    <x v="0"/>
    <x v="45"/>
    <x v="1"/>
    <x v="0"/>
    <x v="0"/>
    <x v="1"/>
    <x v="0"/>
  </r>
  <r>
    <x v="0"/>
    <x v="0"/>
    <n v="2239209783"/>
    <x v="1"/>
    <n v="1800"/>
    <x v="1"/>
    <x v="0"/>
    <x v="45"/>
    <x v="1"/>
    <x v="0"/>
    <x v="0"/>
    <x v="1"/>
    <x v="0"/>
  </r>
  <r>
    <x v="0"/>
    <x v="0"/>
    <n v="2239209784"/>
    <x v="1"/>
    <n v="6500"/>
    <x v="1"/>
    <x v="0"/>
    <x v="45"/>
    <x v="1"/>
    <x v="0"/>
    <x v="0"/>
    <x v="1"/>
    <x v="0"/>
  </r>
  <r>
    <x v="0"/>
    <x v="0"/>
    <n v="2239209785"/>
    <x v="1"/>
    <n v="5490"/>
    <x v="1"/>
    <x v="0"/>
    <x v="45"/>
    <x v="1"/>
    <x v="0"/>
    <x v="0"/>
    <x v="1"/>
    <x v="0"/>
  </r>
  <r>
    <x v="0"/>
    <x v="0"/>
    <n v="2239209786"/>
    <x v="1"/>
    <n v="2850"/>
    <x v="1"/>
    <x v="0"/>
    <x v="45"/>
    <x v="1"/>
    <x v="0"/>
    <x v="0"/>
    <x v="1"/>
    <x v="0"/>
  </r>
  <r>
    <x v="0"/>
    <x v="0"/>
    <n v="2239209787"/>
    <x v="1"/>
    <n v="2850"/>
    <x v="1"/>
    <x v="0"/>
    <x v="45"/>
    <x v="1"/>
    <x v="0"/>
    <x v="0"/>
    <x v="1"/>
    <x v="0"/>
  </r>
  <r>
    <x v="0"/>
    <x v="0"/>
    <n v="2239209788"/>
    <x v="1"/>
    <n v="25570"/>
    <x v="1"/>
    <x v="0"/>
    <x v="45"/>
    <x v="1"/>
    <x v="0"/>
    <x v="0"/>
    <x v="1"/>
    <x v="0"/>
  </r>
  <r>
    <x v="0"/>
    <x v="0"/>
    <n v="2239209789"/>
    <x v="1"/>
    <n v="1140"/>
    <x v="1"/>
    <x v="0"/>
    <x v="45"/>
    <x v="1"/>
    <x v="0"/>
    <x v="0"/>
    <x v="1"/>
    <x v="0"/>
  </r>
  <r>
    <x v="0"/>
    <x v="0"/>
    <n v="2239209790"/>
    <x v="1"/>
    <n v="14100"/>
    <x v="1"/>
    <x v="0"/>
    <x v="45"/>
    <x v="1"/>
    <x v="0"/>
    <x v="0"/>
    <x v="1"/>
    <x v="0"/>
  </r>
  <r>
    <x v="0"/>
    <x v="0"/>
    <n v="2239209791"/>
    <x v="1"/>
    <n v="2850"/>
    <x v="1"/>
    <x v="0"/>
    <x v="45"/>
    <x v="1"/>
    <x v="0"/>
    <x v="0"/>
    <x v="1"/>
    <x v="0"/>
  </r>
  <r>
    <x v="0"/>
    <x v="0"/>
    <n v="2239209792"/>
    <x v="1"/>
    <n v="6720"/>
    <x v="1"/>
    <x v="0"/>
    <x v="45"/>
    <x v="1"/>
    <x v="0"/>
    <x v="0"/>
    <x v="1"/>
    <x v="0"/>
  </r>
  <r>
    <x v="0"/>
    <x v="0"/>
    <n v="2239209793"/>
    <x v="1"/>
    <n v="1350"/>
    <x v="1"/>
    <x v="0"/>
    <x v="45"/>
    <x v="1"/>
    <x v="0"/>
    <x v="0"/>
    <x v="1"/>
    <x v="0"/>
  </r>
  <r>
    <x v="0"/>
    <x v="0"/>
    <n v="2239209794"/>
    <x v="1"/>
    <n v="34370"/>
    <x v="1"/>
    <x v="0"/>
    <x v="45"/>
    <x v="1"/>
    <x v="0"/>
    <x v="0"/>
    <x v="1"/>
    <x v="0"/>
  </r>
  <r>
    <x v="0"/>
    <x v="0"/>
    <n v="2239209795"/>
    <x v="1"/>
    <n v="5670"/>
    <x v="1"/>
    <x v="0"/>
    <x v="45"/>
    <x v="1"/>
    <x v="0"/>
    <x v="0"/>
    <x v="1"/>
    <x v="0"/>
  </r>
  <r>
    <x v="0"/>
    <x v="0"/>
    <n v="2239209796"/>
    <x v="1"/>
    <n v="1350"/>
    <x v="1"/>
    <x v="0"/>
    <x v="45"/>
    <x v="1"/>
    <x v="0"/>
    <x v="0"/>
    <x v="1"/>
    <x v="0"/>
  </r>
  <r>
    <x v="0"/>
    <x v="0"/>
    <n v="2239209797"/>
    <x v="1"/>
    <n v="6300"/>
    <x v="1"/>
    <x v="0"/>
    <x v="45"/>
    <x v="1"/>
    <x v="0"/>
    <x v="0"/>
    <x v="1"/>
    <x v="0"/>
  </r>
  <r>
    <x v="0"/>
    <x v="0"/>
    <n v="2239209798"/>
    <x v="1"/>
    <n v="19000"/>
    <x v="1"/>
    <x v="0"/>
    <x v="45"/>
    <x v="1"/>
    <x v="0"/>
    <x v="0"/>
    <x v="1"/>
    <x v="0"/>
  </r>
  <r>
    <x v="0"/>
    <x v="0"/>
    <n v="2239209799"/>
    <x v="1"/>
    <n v="34580"/>
    <x v="1"/>
    <x v="0"/>
    <x v="45"/>
    <x v="1"/>
    <x v="0"/>
    <x v="0"/>
    <x v="1"/>
    <x v="0"/>
  </r>
  <r>
    <x v="0"/>
    <x v="0"/>
    <n v="2239209800"/>
    <x v="1"/>
    <n v="26270"/>
    <x v="1"/>
    <x v="0"/>
    <x v="45"/>
    <x v="1"/>
    <x v="0"/>
    <x v="0"/>
    <x v="1"/>
    <x v="0"/>
  </r>
  <r>
    <x v="0"/>
    <x v="0"/>
    <n v="2239209801"/>
    <x v="1"/>
    <n v="1140"/>
    <x v="1"/>
    <x v="0"/>
    <x v="45"/>
    <x v="1"/>
    <x v="0"/>
    <x v="0"/>
    <x v="1"/>
    <x v="0"/>
  </r>
  <r>
    <x v="0"/>
    <x v="0"/>
    <n v="2239209802"/>
    <x v="1"/>
    <n v="900"/>
    <x v="1"/>
    <x v="0"/>
    <x v="45"/>
    <x v="1"/>
    <x v="0"/>
    <x v="0"/>
    <x v="1"/>
    <x v="0"/>
  </r>
  <r>
    <x v="0"/>
    <x v="0"/>
    <n v="2239209803"/>
    <x v="1"/>
    <n v="2550"/>
    <x v="1"/>
    <x v="0"/>
    <x v="45"/>
    <x v="1"/>
    <x v="0"/>
    <x v="0"/>
    <x v="1"/>
    <x v="0"/>
  </r>
  <r>
    <x v="0"/>
    <x v="0"/>
    <n v="2239209804"/>
    <x v="1"/>
    <n v="1800"/>
    <x v="1"/>
    <x v="0"/>
    <x v="45"/>
    <x v="1"/>
    <x v="0"/>
    <x v="0"/>
    <x v="1"/>
    <x v="0"/>
  </r>
  <r>
    <x v="0"/>
    <x v="0"/>
    <n v="2239209805"/>
    <x v="1"/>
    <n v="1140"/>
    <x v="1"/>
    <x v="0"/>
    <x v="45"/>
    <x v="1"/>
    <x v="0"/>
    <x v="0"/>
    <x v="1"/>
    <x v="0"/>
  </r>
  <r>
    <x v="0"/>
    <x v="0"/>
    <n v="2239209806"/>
    <x v="1"/>
    <n v="1950"/>
    <x v="1"/>
    <x v="0"/>
    <x v="45"/>
    <x v="1"/>
    <x v="0"/>
    <x v="0"/>
    <x v="1"/>
    <x v="0"/>
  </r>
  <r>
    <x v="0"/>
    <x v="0"/>
    <n v="2239209807"/>
    <x v="1"/>
    <n v="600"/>
    <x v="1"/>
    <x v="0"/>
    <x v="45"/>
    <x v="1"/>
    <x v="0"/>
    <x v="0"/>
    <x v="1"/>
    <x v="0"/>
  </r>
  <r>
    <x v="0"/>
    <x v="0"/>
    <n v="2239209808"/>
    <x v="1"/>
    <n v="1740"/>
    <x v="1"/>
    <x v="0"/>
    <x v="45"/>
    <x v="1"/>
    <x v="0"/>
    <x v="0"/>
    <x v="1"/>
    <x v="0"/>
  </r>
  <r>
    <x v="0"/>
    <x v="0"/>
    <n v="2239209809"/>
    <x v="1"/>
    <n v="900"/>
    <x v="1"/>
    <x v="0"/>
    <x v="45"/>
    <x v="1"/>
    <x v="0"/>
    <x v="0"/>
    <x v="1"/>
    <x v="0"/>
  </r>
  <r>
    <x v="0"/>
    <x v="0"/>
    <n v="2239209810"/>
    <x v="1"/>
    <n v="1350"/>
    <x v="1"/>
    <x v="0"/>
    <x v="45"/>
    <x v="1"/>
    <x v="0"/>
    <x v="0"/>
    <x v="1"/>
    <x v="0"/>
  </r>
  <r>
    <x v="0"/>
    <x v="0"/>
    <n v="2239209811"/>
    <x v="1"/>
    <n v="1140"/>
    <x v="1"/>
    <x v="0"/>
    <x v="45"/>
    <x v="1"/>
    <x v="0"/>
    <x v="0"/>
    <x v="1"/>
    <x v="0"/>
  </r>
  <r>
    <x v="0"/>
    <x v="0"/>
    <n v="2239209812"/>
    <x v="1"/>
    <n v="3000"/>
    <x v="1"/>
    <x v="0"/>
    <x v="45"/>
    <x v="1"/>
    <x v="0"/>
    <x v="0"/>
    <x v="1"/>
    <x v="0"/>
  </r>
  <r>
    <x v="0"/>
    <x v="0"/>
    <n v="2239209813"/>
    <x v="1"/>
    <n v="1350"/>
    <x v="1"/>
    <x v="0"/>
    <x v="45"/>
    <x v="1"/>
    <x v="0"/>
    <x v="0"/>
    <x v="1"/>
    <x v="0"/>
  </r>
  <r>
    <x v="0"/>
    <x v="0"/>
    <n v="2239209814"/>
    <x v="1"/>
    <n v="1440"/>
    <x v="1"/>
    <x v="0"/>
    <x v="45"/>
    <x v="1"/>
    <x v="0"/>
    <x v="0"/>
    <x v="1"/>
    <x v="0"/>
  </r>
  <r>
    <x v="0"/>
    <x v="0"/>
    <n v="2239209815"/>
    <x v="1"/>
    <n v="11000"/>
    <x v="1"/>
    <x v="0"/>
    <x v="45"/>
    <x v="1"/>
    <x v="0"/>
    <x v="0"/>
    <x v="1"/>
    <x v="0"/>
  </r>
  <r>
    <x v="0"/>
    <x v="0"/>
    <n v="2239209816"/>
    <x v="1"/>
    <n v="900"/>
    <x v="1"/>
    <x v="0"/>
    <x v="45"/>
    <x v="1"/>
    <x v="0"/>
    <x v="0"/>
    <x v="1"/>
    <x v="0"/>
  </r>
  <r>
    <x v="0"/>
    <x v="0"/>
    <n v="2239209817"/>
    <x v="1"/>
    <n v="26240"/>
    <x v="1"/>
    <x v="0"/>
    <x v="45"/>
    <x v="1"/>
    <x v="0"/>
    <x v="0"/>
    <x v="1"/>
    <x v="0"/>
  </r>
  <r>
    <x v="0"/>
    <x v="0"/>
    <n v="2239209818"/>
    <x v="1"/>
    <n v="2040"/>
    <x v="1"/>
    <x v="0"/>
    <x v="45"/>
    <x v="1"/>
    <x v="0"/>
    <x v="0"/>
    <x v="1"/>
    <x v="0"/>
  </r>
  <r>
    <x v="0"/>
    <x v="0"/>
    <n v="2239209819"/>
    <x v="1"/>
    <n v="37470"/>
    <x v="1"/>
    <x v="0"/>
    <x v="45"/>
    <x v="1"/>
    <x v="0"/>
    <x v="0"/>
    <x v="1"/>
    <x v="0"/>
  </r>
  <r>
    <x v="0"/>
    <x v="0"/>
    <n v="2239209820"/>
    <x v="1"/>
    <n v="3750"/>
    <x v="1"/>
    <x v="0"/>
    <x v="45"/>
    <x v="1"/>
    <x v="0"/>
    <x v="0"/>
    <x v="1"/>
    <x v="0"/>
  </r>
  <r>
    <x v="0"/>
    <x v="0"/>
    <n v="2239209821"/>
    <x v="1"/>
    <n v="72800"/>
    <x v="1"/>
    <x v="0"/>
    <x v="45"/>
    <x v="1"/>
    <x v="0"/>
    <x v="0"/>
    <x v="1"/>
    <x v="0"/>
  </r>
  <r>
    <x v="0"/>
    <x v="0"/>
    <n v="2239209822"/>
    <x v="1"/>
    <n v="900"/>
    <x v="1"/>
    <x v="0"/>
    <x v="45"/>
    <x v="1"/>
    <x v="0"/>
    <x v="0"/>
    <x v="1"/>
    <x v="0"/>
  </r>
  <r>
    <x v="0"/>
    <x v="0"/>
    <n v="2239209823"/>
    <x v="1"/>
    <n v="1200"/>
    <x v="1"/>
    <x v="0"/>
    <x v="45"/>
    <x v="1"/>
    <x v="0"/>
    <x v="0"/>
    <x v="1"/>
    <x v="0"/>
  </r>
  <r>
    <x v="0"/>
    <x v="0"/>
    <n v="2239209824"/>
    <x v="1"/>
    <n v="1200"/>
    <x v="1"/>
    <x v="0"/>
    <x v="45"/>
    <x v="1"/>
    <x v="0"/>
    <x v="0"/>
    <x v="1"/>
    <x v="0"/>
  </r>
  <r>
    <x v="0"/>
    <x v="0"/>
    <n v="2239209825"/>
    <x v="1"/>
    <n v="3480"/>
    <x v="1"/>
    <x v="0"/>
    <x v="45"/>
    <x v="1"/>
    <x v="0"/>
    <x v="0"/>
    <x v="1"/>
    <x v="0"/>
  </r>
  <r>
    <x v="0"/>
    <x v="0"/>
    <n v="2239209826"/>
    <x v="1"/>
    <n v="2250"/>
    <x v="1"/>
    <x v="0"/>
    <x v="45"/>
    <x v="1"/>
    <x v="0"/>
    <x v="0"/>
    <x v="1"/>
    <x v="0"/>
  </r>
  <r>
    <x v="0"/>
    <x v="0"/>
    <n v="2239209827"/>
    <x v="1"/>
    <n v="600"/>
    <x v="1"/>
    <x v="0"/>
    <x v="45"/>
    <x v="1"/>
    <x v="0"/>
    <x v="0"/>
    <x v="1"/>
    <x v="0"/>
  </r>
  <r>
    <x v="0"/>
    <x v="0"/>
    <n v="2239209828"/>
    <x v="1"/>
    <n v="4500"/>
    <x v="1"/>
    <x v="0"/>
    <x v="45"/>
    <x v="1"/>
    <x v="0"/>
    <x v="0"/>
    <x v="1"/>
    <x v="0"/>
  </r>
  <r>
    <x v="0"/>
    <x v="0"/>
    <n v="2239209829"/>
    <x v="1"/>
    <n v="1050"/>
    <x v="1"/>
    <x v="0"/>
    <x v="45"/>
    <x v="1"/>
    <x v="0"/>
    <x v="0"/>
    <x v="1"/>
    <x v="0"/>
  </r>
  <r>
    <x v="0"/>
    <x v="0"/>
    <n v="2239209831"/>
    <x v="2"/>
    <n v="7084"/>
    <x v="1"/>
    <x v="0"/>
    <x v="45"/>
    <x v="2"/>
    <x v="0"/>
    <x v="0"/>
    <x v="2"/>
    <x v="0"/>
  </r>
  <r>
    <x v="0"/>
    <x v="0"/>
    <n v="2239209832"/>
    <x v="2"/>
    <n v="72864"/>
    <x v="1"/>
    <x v="0"/>
    <x v="45"/>
    <x v="2"/>
    <x v="0"/>
    <x v="0"/>
    <x v="2"/>
    <x v="0"/>
  </r>
  <r>
    <x v="0"/>
    <x v="0"/>
    <n v="2239209833"/>
    <x v="5"/>
    <n v="-2120"/>
    <x v="1"/>
    <x v="0"/>
    <x v="45"/>
    <x v="5"/>
    <x v="0"/>
    <x v="0"/>
    <x v="5"/>
    <x v="0"/>
  </r>
  <r>
    <x v="0"/>
    <x v="0"/>
    <n v="2239209833"/>
    <x v="6"/>
    <n v="15000"/>
    <x v="1"/>
    <x v="0"/>
    <x v="45"/>
    <x v="6"/>
    <x v="0"/>
    <x v="0"/>
    <x v="5"/>
    <x v="0"/>
  </r>
  <r>
    <x v="0"/>
    <x v="0"/>
    <n v="2239209835"/>
    <x v="1"/>
    <n v="1140"/>
    <x v="1"/>
    <x v="0"/>
    <x v="45"/>
    <x v="1"/>
    <x v="0"/>
    <x v="0"/>
    <x v="1"/>
    <x v="0"/>
  </r>
  <r>
    <x v="0"/>
    <x v="0"/>
    <n v="2239209836"/>
    <x v="1"/>
    <n v="2940"/>
    <x v="1"/>
    <x v="0"/>
    <x v="45"/>
    <x v="1"/>
    <x v="0"/>
    <x v="0"/>
    <x v="1"/>
    <x v="0"/>
  </r>
  <r>
    <x v="0"/>
    <x v="0"/>
    <n v="2239209837"/>
    <x v="1"/>
    <n v="900"/>
    <x v="1"/>
    <x v="0"/>
    <x v="45"/>
    <x v="1"/>
    <x v="0"/>
    <x v="0"/>
    <x v="1"/>
    <x v="0"/>
  </r>
  <r>
    <x v="0"/>
    <x v="0"/>
    <n v="2239209839"/>
    <x v="2"/>
    <n v="11500"/>
    <x v="1"/>
    <x v="0"/>
    <x v="45"/>
    <x v="2"/>
    <x v="0"/>
    <x v="0"/>
    <x v="2"/>
    <x v="0"/>
  </r>
  <r>
    <x v="0"/>
    <x v="0"/>
    <n v="2239209840"/>
    <x v="4"/>
    <n v="5700"/>
    <x v="1"/>
    <x v="0"/>
    <x v="45"/>
    <x v="4"/>
    <x v="0"/>
    <x v="0"/>
    <x v="4"/>
    <x v="0"/>
  </r>
  <r>
    <x v="0"/>
    <x v="0"/>
    <n v="2239209841"/>
    <x v="1"/>
    <n v="1140"/>
    <x v="1"/>
    <x v="0"/>
    <x v="45"/>
    <x v="1"/>
    <x v="0"/>
    <x v="0"/>
    <x v="1"/>
    <x v="0"/>
  </r>
  <r>
    <x v="0"/>
    <x v="0"/>
    <n v="2239209843"/>
    <x v="5"/>
    <n v="-9000"/>
    <x v="1"/>
    <x v="0"/>
    <x v="45"/>
    <x v="5"/>
    <x v="0"/>
    <x v="0"/>
    <x v="5"/>
    <x v="0"/>
  </r>
  <r>
    <x v="0"/>
    <x v="0"/>
    <n v="2239209843"/>
    <x v="4"/>
    <n v="14600"/>
    <x v="1"/>
    <x v="0"/>
    <x v="45"/>
    <x v="4"/>
    <x v="0"/>
    <x v="0"/>
    <x v="4"/>
    <x v="0"/>
  </r>
  <r>
    <x v="0"/>
    <x v="0"/>
    <n v="2239209844"/>
    <x v="2"/>
    <n v="6600"/>
    <x v="1"/>
    <x v="0"/>
    <x v="45"/>
    <x v="2"/>
    <x v="0"/>
    <x v="0"/>
    <x v="2"/>
    <x v="0"/>
  </r>
  <r>
    <x v="0"/>
    <x v="0"/>
    <n v="2239209845"/>
    <x v="1"/>
    <n v="8370"/>
    <x v="1"/>
    <x v="0"/>
    <x v="45"/>
    <x v="1"/>
    <x v="0"/>
    <x v="0"/>
    <x v="1"/>
    <x v="0"/>
  </r>
  <r>
    <x v="0"/>
    <x v="0"/>
    <n v="2239209846"/>
    <x v="2"/>
    <n v="2880"/>
    <x v="1"/>
    <x v="0"/>
    <x v="45"/>
    <x v="2"/>
    <x v="0"/>
    <x v="0"/>
    <x v="2"/>
    <x v="0"/>
  </r>
  <r>
    <x v="0"/>
    <x v="0"/>
    <n v="2239209847"/>
    <x v="2"/>
    <n v="9000"/>
    <x v="1"/>
    <x v="0"/>
    <x v="45"/>
    <x v="2"/>
    <x v="0"/>
    <x v="0"/>
    <x v="2"/>
    <x v="0"/>
  </r>
  <r>
    <x v="0"/>
    <x v="0"/>
    <n v="2239209847"/>
    <x v="7"/>
    <n v="1500"/>
    <x v="1"/>
    <x v="0"/>
    <x v="45"/>
    <x v="7"/>
    <x v="0"/>
    <x v="0"/>
    <x v="1"/>
    <x v="0"/>
  </r>
  <r>
    <x v="0"/>
    <x v="0"/>
    <n v="2239209848"/>
    <x v="2"/>
    <n v="2500"/>
    <x v="1"/>
    <x v="0"/>
    <x v="45"/>
    <x v="2"/>
    <x v="0"/>
    <x v="0"/>
    <x v="2"/>
    <x v="0"/>
  </r>
  <r>
    <x v="0"/>
    <x v="0"/>
    <n v="2239209849"/>
    <x v="6"/>
    <n v="1000"/>
    <x v="1"/>
    <x v="0"/>
    <x v="45"/>
    <x v="6"/>
    <x v="0"/>
    <x v="0"/>
    <x v="5"/>
    <x v="0"/>
  </r>
  <r>
    <x v="0"/>
    <x v="0"/>
    <n v="2239209850"/>
    <x v="1"/>
    <n v="1140"/>
    <x v="1"/>
    <x v="0"/>
    <x v="45"/>
    <x v="1"/>
    <x v="0"/>
    <x v="0"/>
    <x v="1"/>
    <x v="0"/>
  </r>
  <r>
    <x v="0"/>
    <x v="0"/>
    <n v="2239209851"/>
    <x v="2"/>
    <n v="24650"/>
    <x v="1"/>
    <x v="0"/>
    <x v="45"/>
    <x v="2"/>
    <x v="0"/>
    <x v="0"/>
    <x v="2"/>
    <x v="0"/>
  </r>
  <r>
    <x v="0"/>
    <x v="0"/>
    <n v="2239209852"/>
    <x v="2"/>
    <n v="65505"/>
    <x v="1"/>
    <x v="0"/>
    <x v="45"/>
    <x v="2"/>
    <x v="0"/>
    <x v="0"/>
    <x v="2"/>
    <x v="0"/>
  </r>
  <r>
    <x v="0"/>
    <x v="0"/>
    <n v="2239209854"/>
    <x v="2"/>
    <n v="20845"/>
    <x v="1"/>
    <x v="0"/>
    <x v="45"/>
    <x v="2"/>
    <x v="0"/>
    <x v="0"/>
    <x v="2"/>
    <x v="0"/>
  </r>
  <r>
    <x v="0"/>
    <x v="0"/>
    <n v="2239209855"/>
    <x v="2"/>
    <n v="36190"/>
    <x v="1"/>
    <x v="0"/>
    <x v="45"/>
    <x v="2"/>
    <x v="0"/>
    <x v="0"/>
    <x v="2"/>
    <x v="0"/>
  </r>
  <r>
    <x v="0"/>
    <x v="0"/>
    <n v="2239209856"/>
    <x v="5"/>
    <n v="-4400"/>
    <x v="1"/>
    <x v="0"/>
    <x v="45"/>
    <x v="5"/>
    <x v="0"/>
    <x v="0"/>
    <x v="5"/>
    <x v="0"/>
  </r>
  <r>
    <x v="0"/>
    <x v="0"/>
    <n v="2239209856"/>
    <x v="4"/>
    <n v="10000"/>
    <x v="1"/>
    <x v="0"/>
    <x v="45"/>
    <x v="4"/>
    <x v="0"/>
    <x v="0"/>
    <x v="4"/>
    <x v="0"/>
  </r>
  <r>
    <x v="0"/>
    <x v="0"/>
    <n v="2239209857"/>
    <x v="2"/>
    <n v="6875"/>
    <x v="1"/>
    <x v="0"/>
    <x v="45"/>
    <x v="2"/>
    <x v="0"/>
    <x v="0"/>
    <x v="2"/>
    <x v="0"/>
  </r>
  <r>
    <x v="0"/>
    <x v="0"/>
    <n v="2239209858"/>
    <x v="5"/>
    <n v="-5600"/>
    <x v="1"/>
    <x v="0"/>
    <x v="45"/>
    <x v="5"/>
    <x v="0"/>
    <x v="0"/>
    <x v="5"/>
    <x v="0"/>
  </r>
  <r>
    <x v="0"/>
    <x v="0"/>
    <n v="2239209858"/>
    <x v="4"/>
    <n v="10000"/>
    <x v="1"/>
    <x v="0"/>
    <x v="45"/>
    <x v="4"/>
    <x v="0"/>
    <x v="0"/>
    <x v="4"/>
    <x v="0"/>
  </r>
  <r>
    <x v="0"/>
    <x v="0"/>
    <n v="2239209859"/>
    <x v="2"/>
    <n v="4400"/>
    <x v="1"/>
    <x v="0"/>
    <x v="45"/>
    <x v="2"/>
    <x v="0"/>
    <x v="0"/>
    <x v="2"/>
    <x v="0"/>
  </r>
  <r>
    <x v="0"/>
    <x v="0"/>
    <n v="2239209860"/>
    <x v="6"/>
    <n v="1000"/>
    <x v="1"/>
    <x v="0"/>
    <x v="45"/>
    <x v="6"/>
    <x v="0"/>
    <x v="0"/>
    <x v="5"/>
    <x v="0"/>
  </r>
  <r>
    <x v="0"/>
    <x v="0"/>
    <n v="2239209861"/>
    <x v="1"/>
    <n v="8040"/>
    <x v="1"/>
    <x v="0"/>
    <x v="45"/>
    <x v="1"/>
    <x v="0"/>
    <x v="0"/>
    <x v="1"/>
    <x v="0"/>
  </r>
  <r>
    <x v="0"/>
    <x v="0"/>
    <n v="2239209862"/>
    <x v="3"/>
    <n v="70070"/>
    <x v="1"/>
    <x v="0"/>
    <x v="45"/>
    <x v="3"/>
    <x v="0"/>
    <x v="0"/>
    <x v="3"/>
    <x v="0"/>
  </r>
  <r>
    <x v="0"/>
    <x v="0"/>
    <n v="2239209864"/>
    <x v="5"/>
    <n v="-2500"/>
    <x v="1"/>
    <x v="0"/>
    <x v="45"/>
    <x v="5"/>
    <x v="0"/>
    <x v="0"/>
    <x v="5"/>
    <x v="0"/>
  </r>
  <r>
    <x v="0"/>
    <x v="0"/>
    <n v="2239209864"/>
    <x v="6"/>
    <n v="10000"/>
    <x v="1"/>
    <x v="0"/>
    <x v="45"/>
    <x v="6"/>
    <x v="0"/>
    <x v="0"/>
    <x v="5"/>
    <x v="0"/>
  </r>
  <r>
    <x v="0"/>
    <x v="0"/>
    <n v="2239209865"/>
    <x v="5"/>
    <n v="-150"/>
    <x v="1"/>
    <x v="0"/>
    <x v="45"/>
    <x v="5"/>
    <x v="0"/>
    <x v="0"/>
    <x v="5"/>
    <x v="0"/>
  </r>
  <r>
    <x v="0"/>
    <x v="0"/>
    <n v="2239209865"/>
    <x v="6"/>
    <n v="20000"/>
    <x v="1"/>
    <x v="0"/>
    <x v="45"/>
    <x v="6"/>
    <x v="0"/>
    <x v="0"/>
    <x v="5"/>
    <x v="0"/>
  </r>
  <r>
    <x v="0"/>
    <x v="0"/>
    <n v="2239209866"/>
    <x v="5"/>
    <n v="-6800"/>
    <x v="1"/>
    <x v="0"/>
    <x v="45"/>
    <x v="5"/>
    <x v="0"/>
    <x v="0"/>
    <x v="5"/>
    <x v="0"/>
  </r>
  <r>
    <x v="0"/>
    <x v="0"/>
    <n v="2239209866"/>
    <x v="6"/>
    <n v="20000"/>
    <x v="1"/>
    <x v="0"/>
    <x v="45"/>
    <x v="6"/>
    <x v="0"/>
    <x v="0"/>
    <x v="5"/>
    <x v="0"/>
  </r>
  <r>
    <x v="0"/>
    <x v="0"/>
    <n v="2239209867"/>
    <x v="5"/>
    <n v="-3950"/>
    <x v="1"/>
    <x v="0"/>
    <x v="45"/>
    <x v="5"/>
    <x v="0"/>
    <x v="0"/>
    <x v="5"/>
    <x v="0"/>
  </r>
  <r>
    <x v="0"/>
    <x v="0"/>
    <n v="2239209867"/>
    <x v="6"/>
    <n v="120000"/>
    <x v="1"/>
    <x v="0"/>
    <x v="45"/>
    <x v="6"/>
    <x v="0"/>
    <x v="0"/>
    <x v="5"/>
    <x v="0"/>
  </r>
  <r>
    <x v="0"/>
    <x v="0"/>
    <n v="2239209868"/>
    <x v="2"/>
    <n v="12595"/>
    <x v="1"/>
    <x v="0"/>
    <x v="45"/>
    <x v="2"/>
    <x v="0"/>
    <x v="0"/>
    <x v="2"/>
    <x v="0"/>
  </r>
  <r>
    <x v="0"/>
    <x v="0"/>
    <n v="2239209869"/>
    <x v="1"/>
    <n v="7950"/>
    <x v="1"/>
    <x v="0"/>
    <x v="45"/>
    <x v="1"/>
    <x v="0"/>
    <x v="0"/>
    <x v="1"/>
    <x v="0"/>
  </r>
  <r>
    <x v="0"/>
    <x v="0"/>
    <n v="2239209870"/>
    <x v="2"/>
    <n v="46915"/>
    <x v="1"/>
    <x v="0"/>
    <x v="45"/>
    <x v="2"/>
    <x v="0"/>
    <x v="0"/>
    <x v="2"/>
    <x v="0"/>
  </r>
  <r>
    <x v="0"/>
    <x v="0"/>
    <n v="2239209871"/>
    <x v="2"/>
    <n v="3500"/>
    <x v="1"/>
    <x v="0"/>
    <x v="45"/>
    <x v="2"/>
    <x v="0"/>
    <x v="0"/>
    <x v="2"/>
    <x v="0"/>
  </r>
  <r>
    <x v="0"/>
    <x v="0"/>
    <n v="2239209872"/>
    <x v="2"/>
    <n v="21395"/>
    <x v="1"/>
    <x v="0"/>
    <x v="45"/>
    <x v="2"/>
    <x v="0"/>
    <x v="0"/>
    <x v="2"/>
    <x v="0"/>
  </r>
  <r>
    <x v="0"/>
    <x v="0"/>
    <n v="2239209874"/>
    <x v="3"/>
    <n v="13145"/>
    <x v="1"/>
    <x v="0"/>
    <x v="45"/>
    <x v="3"/>
    <x v="0"/>
    <x v="0"/>
    <x v="3"/>
    <x v="0"/>
  </r>
  <r>
    <x v="0"/>
    <x v="0"/>
    <n v="2239209875"/>
    <x v="2"/>
    <n v="44770"/>
    <x v="1"/>
    <x v="0"/>
    <x v="45"/>
    <x v="2"/>
    <x v="0"/>
    <x v="0"/>
    <x v="2"/>
    <x v="0"/>
  </r>
  <r>
    <x v="0"/>
    <x v="0"/>
    <n v="2239209876"/>
    <x v="2"/>
    <n v="33990"/>
    <x v="1"/>
    <x v="0"/>
    <x v="45"/>
    <x v="2"/>
    <x v="0"/>
    <x v="0"/>
    <x v="2"/>
    <x v="0"/>
  </r>
  <r>
    <x v="0"/>
    <x v="0"/>
    <n v="2239209877"/>
    <x v="5"/>
    <n v="-15950"/>
    <x v="1"/>
    <x v="0"/>
    <x v="45"/>
    <x v="5"/>
    <x v="0"/>
    <x v="0"/>
    <x v="5"/>
    <x v="0"/>
  </r>
  <r>
    <x v="0"/>
    <x v="0"/>
    <n v="2239209877"/>
    <x v="6"/>
    <n v="40000"/>
    <x v="1"/>
    <x v="0"/>
    <x v="45"/>
    <x v="6"/>
    <x v="0"/>
    <x v="0"/>
    <x v="5"/>
    <x v="0"/>
  </r>
  <r>
    <x v="0"/>
    <x v="0"/>
    <n v="2239209878"/>
    <x v="5"/>
    <n v="-13500"/>
    <x v="1"/>
    <x v="0"/>
    <x v="45"/>
    <x v="5"/>
    <x v="0"/>
    <x v="0"/>
    <x v="5"/>
    <x v="0"/>
  </r>
  <r>
    <x v="0"/>
    <x v="0"/>
    <n v="2239209878"/>
    <x v="6"/>
    <n v="20000"/>
    <x v="1"/>
    <x v="0"/>
    <x v="45"/>
    <x v="6"/>
    <x v="0"/>
    <x v="0"/>
    <x v="5"/>
    <x v="0"/>
  </r>
  <r>
    <x v="0"/>
    <x v="0"/>
    <n v="2239209880"/>
    <x v="2"/>
    <n v="65230"/>
    <x v="1"/>
    <x v="0"/>
    <x v="45"/>
    <x v="2"/>
    <x v="0"/>
    <x v="0"/>
    <x v="2"/>
    <x v="0"/>
  </r>
  <r>
    <x v="0"/>
    <x v="0"/>
    <n v="2239209881"/>
    <x v="3"/>
    <n v="6000"/>
    <x v="1"/>
    <x v="0"/>
    <x v="45"/>
    <x v="3"/>
    <x v="0"/>
    <x v="0"/>
    <x v="3"/>
    <x v="0"/>
  </r>
  <r>
    <x v="0"/>
    <x v="0"/>
    <n v="2239209882"/>
    <x v="2"/>
    <n v="20570"/>
    <x v="1"/>
    <x v="0"/>
    <x v="45"/>
    <x v="2"/>
    <x v="0"/>
    <x v="0"/>
    <x v="2"/>
    <x v="0"/>
  </r>
  <r>
    <x v="0"/>
    <x v="0"/>
    <n v="2239209882"/>
    <x v="7"/>
    <n v="3250"/>
    <x v="1"/>
    <x v="0"/>
    <x v="45"/>
    <x v="7"/>
    <x v="0"/>
    <x v="0"/>
    <x v="1"/>
    <x v="0"/>
  </r>
  <r>
    <x v="0"/>
    <x v="0"/>
    <n v="2239209883"/>
    <x v="4"/>
    <n v="5000"/>
    <x v="1"/>
    <x v="0"/>
    <x v="45"/>
    <x v="4"/>
    <x v="0"/>
    <x v="0"/>
    <x v="4"/>
    <x v="0"/>
  </r>
  <r>
    <x v="0"/>
    <x v="0"/>
    <n v="2239209884"/>
    <x v="2"/>
    <n v="53680"/>
    <x v="1"/>
    <x v="0"/>
    <x v="45"/>
    <x v="2"/>
    <x v="0"/>
    <x v="0"/>
    <x v="2"/>
    <x v="0"/>
  </r>
  <r>
    <x v="0"/>
    <x v="0"/>
    <n v="2239209886"/>
    <x v="2"/>
    <n v="2500"/>
    <x v="1"/>
    <x v="0"/>
    <x v="45"/>
    <x v="2"/>
    <x v="0"/>
    <x v="0"/>
    <x v="2"/>
    <x v="0"/>
  </r>
  <r>
    <x v="0"/>
    <x v="0"/>
    <n v="2239209887"/>
    <x v="2"/>
    <n v="50490"/>
    <x v="1"/>
    <x v="0"/>
    <x v="45"/>
    <x v="2"/>
    <x v="0"/>
    <x v="0"/>
    <x v="2"/>
    <x v="0"/>
  </r>
  <r>
    <x v="0"/>
    <x v="0"/>
    <n v="2239209889"/>
    <x v="2"/>
    <n v="40535"/>
    <x v="1"/>
    <x v="0"/>
    <x v="45"/>
    <x v="2"/>
    <x v="0"/>
    <x v="0"/>
    <x v="2"/>
    <x v="0"/>
  </r>
  <r>
    <x v="0"/>
    <x v="0"/>
    <n v="2239209891"/>
    <x v="2"/>
    <n v="3750"/>
    <x v="1"/>
    <x v="0"/>
    <x v="45"/>
    <x v="2"/>
    <x v="0"/>
    <x v="0"/>
    <x v="2"/>
    <x v="0"/>
  </r>
  <r>
    <x v="0"/>
    <x v="0"/>
    <n v="2239209893"/>
    <x v="5"/>
    <n v="-3250"/>
    <x v="1"/>
    <x v="0"/>
    <x v="45"/>
    <x v="5"/>
    <x v="0"/>
    <x v="0"/>
    <x v="5"/>
    <x v="0"/>
  </r>
  <r>
    <x v="0"/>
    <x v="0"/>
    <n v="2239209893"/>
    <x v="6"/>
    <n v="5000"/>
    <x v="1"/>
    <x v="0"/>
    <x v="45"/>
    <x v="6"/>
    <x v="0"/>
    <x v="0"/>
    <x v="5"/>
    <x v="0"/>
  </r>
  <r>
    <x v="0"/>
    <x v="0"/>
    <n v="2239209894"/>
    <x v="2"/>
    <n v="15895"/>
    <x v="1"/>
    <x v="0"/>
    <x v="45"/>
    <x v="2"/>
    <x v="0"/>
    <x v="0"/>
    <x v="2"/>
    <x v="0"/>
  </r>
  <r>
    <x v="0"/>
    <x v="0"/>
    <n v="2239209895"/>
    <x v="2"/>
    <n v="24150"/>
    <x v="1"/>
    <x v="0"/>
    <x v="45"/>
    <x v="2"/>
    <x v="0"/>
    <x v="0"/>
    <x v="2"/>
    <x v="0"/>
  </r>
  <r>
    <x v="0"/>
    <x v="0"/>
    <n v="2239209896"/>
    <x v="2"/>
    <n v="8470"/>
    <x v="1"/>
    <x v="0"/>
    <x v="45"/>
    <x v="2"/>
    <x v="0"/>
    <x v="0"/>
    <x v="2"/>
    <x v="0"/>
  </r>
  <r>
    <x v="0"/>
    <x v="0"/>
    <n v="2239209897"/>
    <x v="3"/>
    <n v="16995"/>
    <x v="1"/>
    <x v="0"/>
    <x v="45"/>
    <x v="3"/>
    <x v="0"/>
    <x v="0"/>
    <x v="3"/>
    <x v="0"/>
  </r>
  <r>
    <x v="0"/>
    <x v="0"/>
    <n v="2239209898"/>
    <x v="2"/>
    <n v="1000"/>
    <x v="1"/>
    <x v="0"/>
    <x v="45"/>
    <x v="2"/>
    <x v="0"/>
    <x v="0"/>
    <x v="2"/>
    <x v="0"/>
  </r>
  <r>
    <x v="0"/>
    <x v="0"/>
    <n v="2239209899"/>
    <x v="5"/>
    <n v="-50"/>
    <x v="1"/>
    <x v="0"/>
    <x v="45"/>
    <x v="5"/>
    <x v="0"/>
    <x v="0"/>
    <x v="5"/>
    <x v="0"/>
  </r>
  <r>
    <x v="0"/>
    <x v="0"/>
    <n v="2239209899"/>
    <x v="6"/>
    <n v="2000"/>
    <x v="1"/>
    <x v="0"/>
    <x v="45"/>
    <x v="6"/>
    <x v="0"/>
    <x v="0"/>
    <x v="5"/>
    <x v="0"/>
  </r>
  <r>
    <x v="0"/>
    <x v="0"/>
    <n v="2239209899"/>
    <x v="2"/>
    <n v="48000"/>
    <x v="1"/>
    <x v="0"/>
    <x v="45"/>
    <x v="2"/>
    <x v="0"/>
    <x v="0"/>
    <x v="2"/>
    <x v="0"/>
  </r>
  <r>
    <x v="0"/>
    <x v="0"/>
    <n v="2239209900"/>
    <x v="4"/>
    <n v="5300"/>
    <x v="1"/>
    <x v="0"/>
    <x v="45"/>
    <x v="4"/>
    <x v="0"/>
    <x v="0"/>
    <x v="4"/>
    <x v="0"/>
  </r>
  <r>
    <x v="0"/>
    <x v="0"/>
    <n v="2239209901"/>
    <x v="3"/>
    <n v="14190"/>
    <x v="1"/>
    <x v="0"/>
    <x v="45"/>
    <x v="3"/>
    <x v="0"/>
    <x v="0"/>
    <x v="3"/>
    <x v="0"/>
  </r>
  <r>
    <x v="0"/>
    <x v="0"/>
    <n v="2239209904"/>
    <x v="2"/>
    <n v="11130"/>
    <x v="1"/>
    <x v="0"/>
    <x v="45"/>
    <x v="2"/>
    <x v="0"/>
    <x v="0"/>
    <x v="2"/>
    <x v="0"/>
  </r>
  <r>
    <x v="0"/>
    <x v="0"/>
    <n v="2239209905"/>
    <x v="2"/>
    <n v="1100"/>
    <x v="1"/>
    <x v="0"/>
    <x v="45"/>
    <x v="2"/>
    <x v="0"/>
    <x v="0"/>
    <x v="2"/>
    <x v="0"/>
  </r>
  <r>
    <x v="0"/>
    <x v="0"/>
    <n v="2239209907"/>
    <x v="5"/>
    <n v="-1000"/>
    <x v="1"/>
    <x v="0"/>
    <x v="45"/>
    <x v="5"/>
    <x v="0"/>
    <x v="0"/>
    <x v="5"/>
    <x v="0"/>
  </r>
  <r>
    <x v="0"/>
    <x v="0"/>
    <n v="2239209907"/>
    <x v="4"/>
    <n v="5400"/>
    <x v="1"/>
    <x v="0"/>
    <x v="45"/>
    <x v="4"/>
    <x v="0"/>
    <x v="0"/>
    <x v="4"/>
    <x v="0"/>
  </r>
  <r>
    <x v="0"/>
    <x v="0"/>
    <n v="2239209908"/>
    <x v="2"/>
    <n v="1000"/>
    <x v="1"/>
    <x v="0"/>
    <x v="45"/>
    <x v="2"/>
    <x v="0"/>
    <x v="0"/>
    <x v="2"/>
    <x v="0"/>
  </r>
  <r>
    <x v="0"/>
    <x v="0"/>
    <n v="2239209909"/>
    <x v="5"/>
    <n v="-9000"/>
    <x v="1"/>
    <x v="0"/>
    <x v="45"/>
    <x v="5"/>
    <x v="0"/>
    <x v="0"/>
    <x v="5"/>
    <x v="0"/>
  </r>
  <r>
    <x v="0"/>
    <x v="0"/>
    <n v="2239209909"/>
    <x v="6"/>
    <n v="10000"/>
    <x v="1"/>
    <x v="0"/>
    <x v="45"/>
    <x v="6"/>
    <x v="0"/>
    <x v="0"/>
    <x v="5"/>
    <x v="0"/>
  </r>
  <r>
    <x v="0"/>
    <x v="0"/>
    <n v="2239209910"/>
    <x v="5"/>
    <n v="-10500"/>
    <x v="1"/>
    <x v="0"/>
    <x v="45"/>
    <x v="5"/>
    <x v="0"/>
    <x v="0"/>
    <x v="5"/>
    <x v="0"/>
  </r>
  <r>
    <x v="0"/>
    <x v="0"/>
    <n v="2239209910"/>
    <x v="6"/>
    <n v="20000"/>
    <x v="1"/>
    <x v="0"/>
    <x v="45"/>
    <x v="6"/>
    <x v="0"/>
    <x v="0"/>
    <x v="5"/>
    <x v="0"/>
  </r>
  <r>
    <x v="0"/>
    <x v="0"/>
    <n v="2239209911"/>
    <x v="2"/>
    <n v="62600"/>
    <x v="1"/>
    <x v="0"/>
    <x v="45"/>
    <x v="2"/>
    <x v="0"/>
    <x v="0"/>
    <x v="2"/>
    <x v="0"/>
  </r>
  <r>
    <x v="0"/>
    <x v="0"/>
    <n v="2239209912"/>
    <x v="2"/>
    <n v="13200"/>
    <x v="1"/>
    <x v="0"/>
    <x v="45"/>
    <x v="2"/>
    <x v="0"/>
    <x v="0"/>
    <x v="2"/>
    <x v="0"/>
  </r>
  <r>
    <x v="0"/>
    <x v="0"/>
    <n v="2239209915"/>
    <x v="5"/>
    <n v="-5500"/>
    <x v="1"/>
    <x v="0"/>
    <x v="45"/>
    <x v="5"/>
    <x v="0"/>
    <x v="0"/>
    <x v="5"/>
    <x v="0"/>
  </r>
  <r>
    <x v="0"/>
    <x v="0"/>
    <n v="2239209915"/>
    <x v="6"/>
    <n v="10000"/>
    <x v="1"/>
    <x v="0"/>
    <x v="45"/>
    <x v="6"/>
    <x v="0"/>
    <x v="0"/>
    <x v="5"/>
    <x v="0"/>
  </r>
  <r>
    <x v="0"/>
    <x v="0"/>
    <n v="2239209916"/>
    <x v="2"/>
    <n v="1000"/>
    <x v="1"/>
    <x v="0"/>
    <x v="45"/>
    <x v="2"/>
    <x v="0"/>
    <x v="0"/>
    <x v="2"/>
    <x v="0"/>
  </r>
  <r>
    <x v="0"/>
    <x v="0"/>
    <n v="2239209917"/>
    <x v="2"/>
    <n v="21945"/>
    <x v="1"/>
    <x v="0"/>
    <x v="45"/>
    <x v="2"/>
    <x v="0"/>
    <x v="0"/>
    <x v="2"/>
    <x v="0"/>
  </r>
  <r>
    <x v="0"/>
    <x v="0"/>
    <n v="2239209918"/>
    <x v="2"/>
    <n v="5500"/>
    <x v="1"/>
    <x v="0"/>
    <x v="45"/>
    <x v="2"/>
    <x v="0"/>
    <x v="0"/>
    <x v="2"/>
    <x v="0"/>
  </r>
  <r>
    <x v="0"/>
    <x v="0"/>
    <n v="2239209921"/>
    <x v="2"/>
    <n v="7000"/>
    <x v="1"/>
    <x v="0"/>
    <x v="45"/>
    <x v="2"/>
    <x v="0"/>
    <x v="0"/>
    <x v="2"/>
    <x v="0"/>
  </r>
  <r>
    <x v="0"/>
    <x v="0"/>
    <n v="2239209922"/>
    <x v="2"/>
    <n v="2000"/>
    <x v="1"/>
    <x v="0"/>
    <x v="45"/>
    <x v="2"/>
    <x v="0"/>
    <x v="0"/>
    <x v="2"/>
    <x v="0"/>
  </r>
  <r>
    <x v="0"/>
    <x v="0"/>
    <n v="2239209923"/>
    <x v="5"/>
    <n v="-7500"/>
    <x v="1"/>
    <x v="0"/>
    <x v="45"/>
    <x v="5"/>
    <x v="0"/>
    <x v="0"/>
    <x v="5"/>
    <x v="0"/>
  </r>
  <r>
    <x v="0"/>
    <x v="0"/>
    <n v="2239209923"/>
    <x v="6"/>
    <n v="10000"/>
    <x v="1"/>
    <x v="0"/>
    <x v="45"/>
    <x v="6"/>
    <x v="0"/>
    <x v="0"/>
    <x v="5"/>
    <x v="0"/>
  </r>
  <r>
    <x v="0"/>
    <x v="0"/>
    <n v="2239209924"/>
    <x v="2"/>
    <n v="3000"/>
    <x v="1"/>
    <x v="0"/>
    <x v="45"/>
    <x v="2"/>
    <x v="0"/>
    <x v="0"/>
    <x v="2"/>
    <x v="0"/>
  </r>
  <r>
    <x v="0"/>
    <x v="0"/>
    <n v="2239209925"/>
    <x v="2"/>
    <n v="6500"/>
    <x v="1"/>
    <x v="0"/>
    <x v="45"/>
    <x v="2"/>
    <x v="0"/>
    <x v="0"/>
    <x v="2"/>
    <x v="0"/>
  </r>
  <r>
    <x v="0"/>
    <x v="0"/>
    <n v="2239209926"/>
    <x v="3"/>
    <n v="8690"/>
    <x v="1"/>
    <x v="0"/>
    <x v="45"/>
    <x v="3"/>
    <x v="0"/>
    <x v="0"/>
    <x v="3"/>
    <x v="0"/>
  </r>
  <r>
    <x v="0"/>
    <x v="0"/>
    <n v="2239209927"/>
    <x v="2"/>
    <n v="24750"/>
    <x v="1"/>
    <x v="0"/>
    <x v="45"/>
    <x v="2"/>
    <x v="0"/>
    <x v="0"/>
    <x v="2"/>
    <x v="0"/>
  </r>
  <r>
    <x v="0"/>
    <x v="0"/>
    <n v="2239209928"/>
    <x v="3"/>
    <n v="73700"/>
    <x v="1"/>
    <x v="0"/>
    <x v="45"/>
    <x v="3"/>
    <x v="0"/>
    <x v="0"/>
    <x v="3"/>
    <x v="0"/>
  </r>
  <r>
    <x v="0"/>
    <x v="0"/>
    <n v="2239209929"/>
    <x v="3"/>
    <n v="40590"/>
    <x v="1"/>
    <x v="0"/>
    <x v="45"/>
    <x v="3"/>
    <x v="0"/>
    <x v="0"/>
    <x v="3"/>
    <x v="0"/>
  </r>
  <r>
    <x v="0"/>
    <x v="0"/>
    <n v="2239209930"/>
    <x v="2"/>
    <n v="21450"/>
    <x v="1"/>
    <x v="0"/>
    <x v="45"/>
    <x v="2"/>
    <x v="0"/>
    <x v="0"/>
    <x v="2"/>
    <x v="0"/>
  </r>
  <r>
    <x v="0"/>
    <x v="0"/>
    <n v="2239209931"/>
    <x v="2"/>
    <n v="8580"/>
    <x v="1"/>
    <x v="0"/>
    <x v="45"/>
    <x v="2"/>
    <x v="0"/>
    <x v="0"/>
    <x v="2"/>
    <x v="0"/>
  </r>
  <r>
    <x v="0"/>
    <x v="0"/>
    <n v="2239209933"/>
    <x v="1"/>
    <n v="900"/>
    <x v="1"/>
    <x v="0"/>
    <x v="45"/>
    <x v="1"/>
    <x v="0"/>
    <x v="0"/>
    <x v="1"/>
    <x v="0"/>
  </r>
  <r>
    <x v="0"/>
    <x v="0"/>
    <n v="2239209935"/>
    <x v="3"/>
    <n v="9900"/>
    <x v="1"/>
    <x v="0"/>
    <x v="45"/>
    <x v="3"/>
    <x v="0"/>
    <x v="0"/>
    <x v="3"/>
    <x v="0"/>
  </r>
  <r>
    <x v="0"/>
    <x v="0"/>
    <n v="2239209936"/>
    <x v="5"/>
    <n v="-5600"/>
    <x v="1"/>
    <x v="0"/>
    <x v="45"/>
    <x v="5"/>
    <x v="0"/>
    <x v="0"/>
    <x v="5"/>
    <x v="0"/>
  </r>
  <r>
    <x v="0"/>
    <x v="0"/>
    <n v="2239209936"/>
    <x v="4"/>
    <n v="10000"/>
    <x v="1"/>
    <x v="0"/>
    <x v="45"/>
    <x v="4"/>
    <x v="0"/>
    <x v="0"/>
    <x v="4"/>
    <x v="0"/>
  </r>
  <r>
    <x v="0"/>
    <x v="0"/>
    <n v="2239209937"/>
    <x v="2"/>
    <n v="11550"/>
    <x v="1"/>
    <x v="0"/>
    <x v="45"/>
    <x v="2"/>
    <x v="0"/>
    <x v="0"/>
    <x v="2"/>
    <x v="0"/>
  </r>
  <r>
    <x v="0"/>
    <x v="0"/>
    <n v="2239209938"/>
    <x v="2"/>
    <n v="10000"/>
    <x v="1"/>
    <x v="0"/>
    <x v="45"/>
    <x v="2"/>
    <x v="0"/>
    <x v="0"/>
    <x v="2"/>
    <x v="0"/>
  </r>
  <r>
    <x v="0"/>
    <x v="0"/>
    <n v="2239209939"/>
    <x v="1"/>
    <n v="3750"/>
    <x v="1"/>
    <x v="0"/>
    <x v="45"/>
    <x v="1"/>
    <x v="0"/>
    <x v="0"/>
    <x v="1"/>
    <x v="0"/>
  </r>
  <r>
    <x v="0"/>
    <x v="0"/>
    <n v="2239209940"/>
    <x v="3"/>
    <n v="28600"/>
    <x v="1"/>
    <x v="0"/>
    <x v="45"/>
    <x v="3"/>
    <x v="0"/>
    <x v="0"/>
    <x v="3"/>
    <x v="0"/>
  </r>
  <r>
    <x v="0"/>
    <x v="0"/>
    <n v="2239209941"/>
    <x v="2"/>
    <n v="14300"/>
    <x v="1"/>
    <x v="0"/>
    <x v="45"/>
    <x v="2"/>
    <x v="0"/>
    <x v="0"/>
    <x v="2"/>
    <x v="0"/>
  </r>
  <r>
    <x v="0"/>
    <x v="0"/>
    <n v="2239209943"/>
    <x v="2"/>
    <n v="7500"/>
    <x v="1"/>
    <x v="0"/>
    <x v="45"/>
    <x v="2"/>
    <x v="0"/>
    <x v="0"/>
    <x v="2"/>
    <x v="0"/>
  </r>
  <r>
    <x v="0"/>
    <x v="0"/>
    <n v="2239209944"/>
    <x v="2"/>
    <n v="3300"/>
    <x v="1"/>
    <x v="0"/>
    <x v="45"/>
    <x v="2"/>
    <x v="0"/>
    <x v="0"/>
    <x v="2"/>
    <x v="0"/>
  </r>
  <r>
    <x v="0"/>
    <x v="0"/>
    <n v="2239209945"/>
    <x v="1"/>
    <n v="49870"/>
    <x v="1"/>
    <x v="0"/>
    <x v="45"/>
    <x v="1"/>
    <x v="0"/>
    <x v="0"/>
    <x v="1"/>
    <x v="0"/>
  </r>
  <r>
    <x v="0"/>
    <x v="0"/>
    <n v="2239209946"/>
    <x v="5"/>
    <n v="-4700"/>
    <x v="1"/>
    <x v="0"/>
    <x v="45"/>
    <x v="5"/>
    <x v="0"/>
    <x v="0"/>
    <x v="5"/>
    <x v="0"/>
  </r>
  <r>
    <x v="0"/>
    <x v="0"/>
    <n v="2239209946"/>
    <x v="4"/>
    <n v="10000"/>
    <x v="1"/>
    <x v="0"/>
    <x v="45"/>
    <x v="4"/>
    <x v="0"/>
    <x v="0"/>
    <x v="4"/>
    <x v="0"/>
  </r>
  <r>
    <x v="0"/>
    <x v="0"/>
    <n v="2239209947"/>
    <x v="2"/>
    <n v="5500"/>
    <x v="1"/>
    <x v="0"/>
    <x v="45"/>
    <x v="2"/>
    <x v="0"/>
    <x v="0"/>
    <x v="2"/>
    <x v="0"/>
  </r>
  <r>
    <x v="0"/>
    <x v="0"/>
    <n v="2239209948"/>
    <x v="5"/>
    <n v="-5000"/>
    <x v="1"/>
    <x v="0"/>
    <x v="45"/>
    <x v="5"/>
    <x v="0"/>
    <x v="0"/>
    <x v="5"/>
    <x v="0"/>
  </r>
  <r>
    <x v="0"/>
    <x v="0"/>
    <n v="2239209948"/>
    <x v="4"/>
    <n v="10300"/>
    <x v="1"/>
    <x v="0"/>
    <x v="45"/>
    <x v="4"/>
    <x v="0"/>
    <x v="0"/>
    <x v="4"/>
    <x v="0"/>
  </r>
  <r>
    <x v="0"/>
    <x v="0"/>
    <n v="2239209949"/>
    <x v="5"/>
    <n v="-100"/>
    <x v="1"/>
    <x v="0"/>
    <x v="45"/>
    <x v="5"/>
    <x v="0"/>
    <x v="0"/>
    <x v="5"/>
    <x v="0"/>
  </r>
  <r>
    <x v="0"/>
    <x v="0"/>
    <n v="2239209949"/>
    <x v="6"/>
    <n v="10000"/>
    <x v="1"/>
    <x v="0"/>
    <x v="45"/>
    <x v="6"/>
    <x v="0"/>
    <x v="0"/>
    <x v="5"/>
    <x v="0"/>
  </r>
  <r>
    <x v="0"/>
    <x v="0"/>
    <n v="2239209951"/>
    <x v="2"/>
    <n v="6000"/>
    <x v="1"/>
    <x v="0"/>
    <x v="45"/>
    <x v="2"/>
    <x v="0"/>
    <x v="0"/>
    <x v="2"/>
    <x v="0"/>
  </r>
  <r>
    <x v="0"/>
    <x v="0"/>
    <n v="2239209952"/>
    <x v="5"/>
    <n v="-1000"/>
    <x v="1"/>
    <x v="0"/>
    <x v="45"/>
    <x v="5"/>
    <x v="0"/>
    <x v="0"/>
    <x v="5"/>
    <x v="0"/>
  </r>
  <r>
    <x v="0"/>
    <x v="0"/>
    <n v="2239209952"/>
    <x v="6"/>
    <n v="10500"/>
    <x v="1"/>
    <x v="0"/>
    <x v="45"/>
    <x v="6"/>
    <x v="0"/>
    <x v="0"/>
    <x v="5"/>
    <x v="0"/>
  </r>
  <r>
    <x v="0"/>
    <x v="0"/>
    <n v="2239209953"/>
    <x v="6"/>
    <n v="5000"/>
    <x v="1"/>
    <x v="0"/>
    <x v="45"/>
    <x v="6"/>
    <x v="0"/>
    <x v="0"/>
    <x v="5"/>
    <x v="0"/>
  </r>
  <r>
    <x v="0"/>
    <x v="0"/>
    <n v="2239209954"/>
    <x v="2"/>
    <n v="9000"/>
    <x v="1"/>
    <x v="0"/>
    <x v="45"/>
    <x v="2"/>
    <x v="0"/>
    <x v="0"/>
    <x v="2"/>
    <x v="0"/>
  </r>
  <r>
    <x v="0"/>
    <x v="0"/>
    <n v="2239209955"/>
    <x v="5"/>
    <n v="-3200"/>
    <x v="1"/>
    <x v="0"/>
    <x v="45"/>
    <x v="5"/>
    <x v="0"/>
    <x v="0"/>
    <x v="5"/>
    <x v="0"/>
  </r>
  <r>
    <x v="0"/>
    <x v="0"/>
    <n v="2239209955"/>
    <x v="6"/>
    <n v="10000"/>
    <x v="1"/>
    <x v="0"/>
    <x v="45"/>
    <x v="6"/>
    <x v="0"/>
    <x v="0"/>
    <x v="5"/>
    <x v="0"/>
  </r>
  <r>
    <x v="0"/>
    <x v="0"/>
    <n v="2239209956"/>
    <x v="5"/>
    <n v="-4700"/>
    <x v="1"/>
    <x v="0"/>
    <x v="45"/>
    <x v="5"/>
    <x v="0"/>
    <x v="0"/>
    <x v="5"/>
    <x v="0"/>
  </r>
  <r>
    <x v="0"/>
    <x v="0"/>
    <n v="2239209956"/>
    <x v="4"/>
    <n v="10000"/>
    <x v="1"/>
    <x v="0"/>
    <x v="45"/>
    <x v="4"/>
    <x v="0"/>
    <x v="0"/>
    <x v="4"/>
    <x v="0"/>
  </r>
  <r>
    <x v="0"/>
    <x v="0"/>
    <n v="2239209957"/>
    <x v="1"/>
    <n v="7170"/>
    <x v="1"/>
    <x v="0"/>
    <x v="45"/>
    <x v="1"/>
    <x v="0"/>
    <x v="0"/>
    <x v="1"/>
    <x v="0"/>
  </r>
  <r>
    <x v="0"/>
    <x v="0"/>
    <n v="2239209958"/>
    <x v="5"/>
    <n v="-300"/>
    <x v="1"/>
    <x v="0"/>
    <x v="45"/>
    <x v="5"/>
    <x v="0"/>
    <x v="0"/>
    <x v="5"/>
    <x v="0"/>
  </r>
  <r>
    <x v="0"/>
    <x v="0"/>
    <n v="2239209958"/>
    <x v="6"/>
    <n v="25000"/>
    <x v="1"/>
    <x v="0"/>
    <x v="45"/>
    <x v="6"/>
    <x v="0"/>
    <x v="0"/>
    <x v="5"/>
    <x v="0"/>
  </r>
  <r>
    <x v="0"/>
    <x v="0"/>
    <n v="2239209959"/>
    <x v="6"/>
    <n v="3000"/>
    <x v="1"/>
    <x v="0"/>
    <x v="45"/>
    <x v="6"/>
    <x v="0"/>
    <x v="0"/>
    <x v="5"/>
    <x v="0"/>
  </r>
  <r>
    <x v="0"/>
    <x v="0"/>
    <n v="2239209960"/>
    <x v="1"/>
    <n v="2850"/>
    <x v="1"/>
    <x v="0"/>
    <x v="45"/>
    <x v="1"/>
    <x v="0"/>
    <x v="0"/>
    <x v="1"/>
    <x v="0"/>
  </r>
  <r>
    <x v="0"/>
    <x v="0"/>
    <n v="2239209961"/>
    <x v="1"/>
    <n v="1140"/>
    <x v="1"/>
    <x v="0"/>
    <x v="45"/>
    <x v="1"/>
    <x v="0"/>
    <x v="0"/>
    <x v="1"/>
    <x v="0"/>
  </r>
  <r>
    <x v="0"/>
    <x v="0"/>
    <n v="2239209963"/>
    <x v="5"/>
    <n v="-400"/>
    <x v="1"/>
    <x v="0"/>
    <x v="45"/>
    <x v="5"/>
    <x v="0"/>
    <x v="0"/>
    <x v="5"/>
    <x v="0"/>
  </r>
  <r>
    <x v="0"/>
    <x v="0"/>
    <n v="2239209963"/>
    <x v="4"/>
    <n v="6000"/>
    <x v="1"/>
    <x v="0"/>
    <x v="45"/>
    <x v="4"/>
    <x v="0"/>
    <x v="0"/>
    <x v="4"/>
    <x v="0"/>
  </r>
  <r>
    <x v="0"/>
    <x v="0"/>
    <n v="2239209964"/>
    <x v="5"/>
    <n v="-3200"/>
    <x v="1"/>
    <x v="0"/>
    <x v="45"/>
    <x v="5"/>
    <x v="0"/>
    <x v="0"/>
    <x v="5"/>
    <x v="0"/>
  </r>
  <r>
    <x v="0"/>
    <x v="0"/>
    <n v="2239209964"/>
    <x v="6"/>
    <n v="15000"/>
    <x v="1"/>
    <x v="0"/>
    <x v="45"/>
    <x v="6"/>
    <x v="0"/>
    <x v="0"/>
    <x v="5"/>
    <x v="0"/>
  </r>
  <r>
    <x v="0"/>
    <x v="0"/>
    <n v="2239209966"/>
    <x v="5"/>
    <n v="-1000"/>
    <x v="1"/>
    <x v="0"/>
    <x v="45"/>
    <x v="5"/>
    <x v="0"/>
    <x v="0"/>
    <x v="5"/>
    <x v="0"/>
  </r>
  <r>
    <x v="0"/>
    <x v="0"/>
    <n v="2239209966"/>
    <x v="6"/>
    <n v="5000"/>
    <x v="1"/>
    <x v="0"/>
    <x v="45"/>
    <x v="6"/>
    <x v="0"/>
    <x v="0"/>
    <x v="5"/>
    <x v="0"/>
  </r>
  <r>
    <x v="0"/>
    <x v="0"/>
    <n v="2239209968"/>
    <x v="5"/>
    <n v="-15400"/>
    <x v="1"/>
    <x v="0"/>
    <x v="45"/>
    <x v="5"/>
    <x v="0"/>
    <x v="0"/>
    <x v="5"/>
    <x v="0"/>
  </r>
  <r>
    <x v="0"/>
    <x v="0"/>
    <n v="2239209968"/>
    <x v="4"/>
    <n v="20000"/>
    <x v="1"/>
    <x v="0"/>
    <x v="45"/>
    <x v="4"/>
    <x v="0"/>
    <x v="0"/>
    <x v="4"/>
    <x v="0"/>
  </r>
  <r>
    <x v="0"/>
    <x v="0"/>
    <n v="2239212914"/>
    <x v="0"/>
    <n v="12870"/>
    <x v="1"/>
    <x v="0"/>
    <x v="10"/>
    <x v="0"/>
    <x v="0"/>
    <x v="0"/>
    <x v="0"/>
    <x v="0"/>
  </r>
  <r>
    <x v="0"/>
    <x v="0"/>
    <n v="2239212915"/>
    <x v="0"/>
    <n v="5400"/>
    <x v="1"/>
    <x v="0"/>
    <x v="10"/>
    <x v="0"/>
    <x v="0"/>
    <x v="0"/>
    <x v="0"/>
    <x v="0"/>
  </r>
  <r>
    <x v="0"/>
    <x v="0"/>
    <n v="2239212916"/>
    <x v="0"/>
    <n v="3150"/>
    <x v="1"/>
    <x v="0"/>
    <x v="10"/>
    <x v="0"/>
    <x v="0"/>
    <x v="0"/>
    <x v="0"/>
    <x v="0"/>
  </r>
  <r>
    <x v="0"/>
    <x v="0"/>
    <n v="2239212917"/>
    <x v="0"/>
    <n v="9450"/>
    <x v="1"/>
    <x v="0"/>
    <x v="10"/>
    <x v="0"/>
    <x v="0"/>
    <x v="0"/>
    <x v="0"/>
    <x v="0"/>
  </r>
  <r>
    <x v="0"/>
    <x v="0"/>
    <n v="2239212918"/>
    <x v="0"/>
    <n v="3000"/>
    <x v="1"/>
    <x v="0"/>
    <x v="10"/>
    <x v="0"/>
    <x v="0"/>
    <x v="0"/>
    <x v="0"/>
    <x v="0"/>
  </r>
  <r>
    <x v="0"/>
    <x v="0"/>
    <n v="2239212919"/>
    <x v="0"/>
    <n v="2400"/>
    <x v="1"/>
    <x v="0"/>
    <x v="10"/>
    <x v="0"/>
    <x v="0"/>
    <x v="0"/>
    <x v="0"/>
    <x v="0"/>
  </r>
  <r>
    <x v="0"/>
    <x v="0"/>
    <n v="2239212920"/>
    <x v="0"/>
    <n v="2400"/>
    <x v="1"/>
    <x v="0"/>
    <x v="10"/>
    <x v="0"/>
    <x v="0"/>
    <x v="0"/>
    <x v="0"/>
    <x v="0"/>
  </r>
  <r>
    <x v="0"/>
    <x v="0"/>
    <n v="2239212921"/>
    <x v="0"/>
    <n v="12000"/>
    <x v="1"/>
    <x v="0"/>
    <x v="10"/>
    <x v="0"/>
    <x v="0"/>
    <x v="0"/>
    <x v="0"/>
    <x v="0"/>
  </r>
  <r>
    <x v="0"/>
    <x v="0"/>
    <n v="2239212922"/>
    <x v="0"/>
    <n v="27340"/>
    <x v="1"/>
    <x v="0"/>
    <x v="10"/>
    <x v="0"/>
    <x v="0"/>
    <x v="0"/>
    <x v="0"/>
    <x v="0"/>
  </r>
  <r>
    <x v="0"/>
    <x v="0"/>
    <n v="2239212923"/>
    <x v="0"/>
    <n v="2250"/>
    <x v="1"/>
    <x v="0"/>
    <x v="10"/>
    <x v="0"/>
    <x v="0"/>
    <x v="0"/>
    <x v="0"/>
    <x v="0"/>
  </r>
  <r>
    <x v="0"/>
    <x v="0"/>
    <n v="2239212924"/>
    <x v="0"/>
    <n v="3000"/>
    <x v="1"/>
    <x v="0"/>
    <x v="10"/>
    <x v="0"/>
    <x v="0"/>
    <x v="0"/>
    <x v="0"/>
    <x v="0"/>
  </r>
  <r>
    <x v="0"/>
    <x v="0"/>
    <n v="2239212925"/>
    <x v="0"/>
    <n v="2850"/>
    <x v="1"/>
    <x v="0"/>
    <x v="10"/>
    <x v="0"/>
    <x v="0"/>
    <x v="0"/>
    <x v="0"/>
    <x v="0"/>
  </r>
  <r>
    <x v="0"/>
    <x v="0"/>
    <n v="2239212926"/>
    <x v="2"/>
    <n v="8360"/>
    <x v="1"/>
    <x v="0"/>
    <x v="10"/>
    <x v="2"/>
    <x v="0"/>
    <x v="0"/>
    <x v="2"/>
    <x v="0"/>
  </r>
  <r>
    <x v="0"/>
    <x v="0"/>
    <n v="2239212929"/>
    <x v="0"/>
    <n v="1800"/>
    <x v="1"/>
    <x v="0"/>
    <x v="10"/>
    <x v="0"/>
    <x v="0"/>
    <x v="0"/>
    <x v="0"/>
    <x v="0"/>
  </r>
  <r>
    <x v="0"/>
    <x v="0"/>
    <n v="2239212930"/>
    <x v="1"/>
    <n v="11850"/>
    <x v="1"/>
    <x v="0"/>
    <x v="10"/>
    <x v="1"/>
    <x v="0"/>
    <x v="0"/>
    <x v="1"/>
    <x v="0"/>
  </r>
  <r>
    <x v="0"/>
    <x v="0"/>
    <n v="2239212931"/>
    <x v="1"/>
    <n v="30510"/>
    <x v="1"/>
    <x v="0"/>
    <x v="10"/>
    <x v="1"/>
    <x v="0"/>
    <x v="0"/>
    <x v="1"/>
    <x v="0"/>
  </r>
  <r>
    <x v="0"/>
    <x v="0"/>
    <n v="2239212932"/>
    <x v="1"/>
    <n v="11500"/>
    <x v="1"/>
    <x v="0"/>
    <x v="10"/>
    <x v="1"/>
    <x v="0"/>
    <x v="0"/>
    <x v="1"/>
    <x v="0"/>
  </r>
  <r>
    <x v="0"/>
    <x v="0"/>
    <n v="2239212934"/>
    <x v="0"/>
    <n v="2250"/>
    <x v="1"/>
    <x v="0"/>
    <x v="10"/>
    <x v="0"/>
    <x v="0"/>
    <x v="0"/>
    <x v="0"/>
    <x v="0"/>
  </r>
  <r>
    <x v="0"/>
    <x v="0"/>
    <n v="2239212935"/>
    <x v="1"/>
    <n v="8520"/>
    <x v="1"/>
    <x v="0"/>
    <x v="10"/>
    <x v="1"/>
    <x v="0"/>
    <x v="0"/>
    <x v="1"/>
    <x v="0"/>
  </r>
  <r>
    <x v="0"/>
    <x v="0"/>
    <n v="2239212937"/>
    <x v="1"/>
    <n v="2250"/>
    <x v="1"/>
    <x v="0"/>
    <x v="10"/>
    <x v="1"/>
    <x v="0"/>
    <x v="0"/>
    <x v="1"/>
    <x v="0"/>
  </r>
  <r>
    <x v="0"/>
    <x v="0"/>
    <n v="2239212938"/>
    <x v="1"/>
    <n v="900"/>
    <x v="1"/>
    <x v="0"/>
    <x v="10"/>
    <x v="1"/>
    <x v="0"/>
    <x v="0"/>
    <x v="1"/>
    <x v="0"/>
  </r>
  <r>
    <x v="0"/>
    <x v="0"/>
    <n v="2239212939"/>
    <x v="1"/>
    <n v="2040"/>
    <x v="1"/>
    <x v="0"/>
    <x v="10"/>
    <x v="1"/>
    <x v="0"/>
    <x v="0"/>
    <x v="1"/>
    <x v="0"/>
  </r>
  <r>
    <x v="0"/>
    <x v="0"/>
    <n v="2239212940"/>
    <x v="1"/>
    <n v="9350"/>
    <x v="1"/>
    <x v="0"/>
    <x v="10"/>
    <x v="1"/>
    <x v="0"/>
    <x v="0"/>
    <x v="1"/>
    <x v="0"/>
  </r>
  <r>
    <x v="0"/>
    <x v="0"/>
    <n v="2239212941"/>
    <x v="1"/>
    <n v="1590"/>
    <x v="1"/>
    <x v="0"/>
    <x v="10"/>
    <x v="1"/>
    <x v="0"/>
    <x v="0"/>
    <x v="1"/>
    <x v="0"/>
  </r>
  <r>
    <x v="0"/>
    <x v="0"/>
    <n v="2239212942"/>
    <x v="1"/>
    <n v="900"/>
    <x v="1"/>
    <x v="0"/>
    <x v="10"/>
    <x v="1"/>
    <x v="0"/>
    <x v="0"/>
    <x v="1"/>
    <x v="0"/>
  </r>
  <r>
    <x v="0"/>
    <x v="0"/>
    <n v="2239212943"/>
    <x v="1"/>
    <n v="900"/>
    <x v="1"/>
    <x v="0"/>
    <x v="10"/>
    <x v="1"/>
    <x v="0"/>
    <x v="0"/>
    <x v="1"/>
    <x v="0"/>
  </r>
  <r>
    <x v="0"/>
    <x v="0"/>
    <n v="2239212945"/>
    <x v="1"/>
    <n v="17640"/>
    <x v="1"/>
    <x v="0"/>
    <x v="10"/>
    <x v="1"/>
    <x v="0"/>
    <x v="0"/>
    <x v="1"/>
    <x v="0"/>
  </r>
  <r>
    <x v="0"/>
    <x v="0"/>
    <n v="2239212948"/>
    <x v="1"/>
    <n v="26760"/>
    <x v="1"/>
    <x v="0"/>
    <x v="10"/>
    <x v="1"/>
    <x v="0"/>
    <x v="0"/>
    <x v="1"/>
    <x v="0"/>
  </r>
  <r>
    <x v="0"/>
    <x v="0"/>
    <n v="2239212949"/>
    <x v="1"/>
    <n v="900"/>
    <x v="1"/>
    <x v="0"/>
    <x v="10"/>
    <x v="1"/>
    <x v="0"/>
    <x v="0"/>
    <x v="1"/>
    <x v="0"/>
  </r>
  <r>
    <x v="0"/>
    <x v="0"/>
    <n v="2239212950"/>
    <x v="1"/>
    <n v="2280"/>
    <x v="1"/>
    <x v="0"/>
    <x v="10"/>
    <x v="1"/>
    <x v="0"/>
    <x v="0"/>
    <x v="1"/>
    <x v="0"/>
  </r>
  <r>
    <x v="0"/>
    <x v="0"/>
    <n v="2239212951"/>
    <x v="1"/>
    <n v="12840"/>
    <x v="1"/>
    <x v="0"/>
    <x v="10"/>
    <x v="1"/>
    <x v="0"/>
    <x v="0"/>
    <x v="1"/>
    <x v="0"/>
  </r>
  <r>
    <x v="0"/>
    <x v="0"/>
    <n v="2239212952"/>
    <x v="1"/>
    <n v="4500"/>
    <x v="1"/>
    <x v="0"/>
    <x v="10"/>
    <x v="1"/>
    <x v="0"/>
    <x v="0"/>
    <x v="1"/>
    <x v="0"/>
  </r>
  <r>
    <x v="0"/>
    <x v="0"/>
    <n v="2239212953"/>
    <x v="0"/>
    <n v="9600"/>
    <x v="1"/>
    <x v="0"/>
    <x v="10"/>
    <x v="0"/>
    <x v="0"/>
    <x v="0"/>
    <x v="0"/>
    <x v="0"/>
  </r>
  <r>
    <x v="0"/>
    <x v="0"/>
    <n v="2239212954"/>
    <x v="1"/>
    <n v="41820"/>
    <x v="1"/>
    <x v="0"/>
    <x v="10"/>
    <x v="1"/>
    <x v="0"/>
    <x v="0"/>
    <x v="1"/>
    <x v="0"/>
  </r>
  <r>
    <x v="0"/>
    <x v="0"/>
    <n v="2239212955"/>
    <x v="1"/>
    <n v="1140"/>
    <x v="1"/>
    <x v="0"/>
    <x v="10"/>
    <x v="1"/>
    <x v="0"/>
    <x v="0"/>
    <x v="1"/>
    <x v="0"/>
  </r>
  <r>
    <x v="0"/>
    <x v="0"/>
    <n v="2239212956"/>
    <x v="1"/>
    <n v="13840"/>
    <x v="1"/>
    <x v="0"/>
    <x v="10"/>
    <x v="1"/>
    <x v="0"/>
    <x v="0"/>
    <x v="1"/>
    <x v="0"/>
  </r>
  <r>
    <x v="0"/>
    <x v="0"/>
    <n v="2239212957"/>
    <x v="1"/>
    <n v="4500"/>
    <x v="1"/>
    <x v="0"/>
    <x v="10"/>
    <x v="1"/>
    <x v="0"/>
    <x v="0"/>
    <x v="1"/>
    <x v="0"/>
  </r>
  <r>
    <x v="0"/>
    <x v="0"/>
    <n v="2239212959"/>
    <x v="0"/>
    <n v="2250"/>
    <x v="1"/>
    <x v="0"/>
    <x v="10"/>
    <x v="0"/>
    <x v="0"/>
    <x v="0"/>
    <x v="0"/>
    <x v="0"/>
  </r>
  <r>
    <x v="0"/>
    <x v="0"/>
    <n v="2239212960"/>
    <x v="1"/>
    <n v="26750"/>
    <x v="1"/>
    <x v="0"/>
    <x v="10"/>
    <x v="1"/>
    <x v="0"/>
    <x v="0"/>
    <x v="1"/>
    <x v="0"/>
  </r>
  <r>
    <x v="0"/>
    <x v="0"/>
    <n v="2239212963"/>
    <x v="2"/>
    <n v="7084"/>
    <x v="1"/>
    <x v="0"/>
    <x v="10"/>
    <x v="2"/>
    <x v="0"/>
    <x v="0"/>
    <x v="2"/>
    <x v="0"/>
  </r>
  <r>
    <x v="0"/>
    <x v="0"/>
    <n v="2239212964"/>
    <x v="1"/>
    <n v="1350"/>
    <x v="1"/>
    <x v="0"/>
    <x v="10"/>
    <x v="1"/>
    <x v="0"/>
    <x v="0"/>
    <x v="1"/>
    <x v="0"/>
  </r>
  <r>
    <x v="0"/>
    <x v="0"/>
    <n v="2239212965"/>
    <x v="1"/>
    <n v="12000"/>
    <x v="1"/>
    <x v="0"/>
    <x v="10"/>
    <x v="1"/>
    <x v="0"/>
    <x v="0"/>
    <x v="1"/>
    <x v="0"/>
  </r>
  <r>
    <x v="0"/>
    <x v="0"/>
    <n v="2239212966"/>
    <x v="4"/>
    <n v="5300"/>
    <x v="1"/>
    <x v="0"/>
    <x v="10"/>
    <x v="4"/>
    <x v="0"/>
    <x v="0"/>
    <x v="4"/>
    <x v="0"/>
  </r>
  <r>
    <x v="0"/>
    <x v="0"/>
    <n v="2239212967"/>
    <x v="1"/>
    <n v="1950"/>
    <x v="1"/>
    <x v="0"/>
    <x v="10"/>
    <x v="1"/>
    <x v="0"/>
    <x v="0"/>
    <x v="1"/>
    <x v="0"/>
  </r>
  <r>
    <x v="0"/>
    <x v="0"/>
    <n v="2239212968"/>
    <x v="5"/>
    <n v="-100"/>
    <x v="1"/>
    <x v="0"/>
    <x v="10"/>
    <x v="5"/>
    <x v="0"/>
    <x v="0"/>
    <x v="5"/>
    <x v="0"/>
  </r>
  <r>
    <x v="0"/>
    <x v="0"/>
    <n v="2239212968"/>
    <x v="4"/>
    <n v="10000"/>
    <x v="1"/>
    <x v="0"/>
    <x v="10"/>
    <x v="4"/>
    <x v="0"/>
    <x v="0"/>
    <x v="4"/>
    <x v="0"/>
  </r>
  <r>
    <x v="0"/>
    <x v="0"/>
    <n v="2239212969"/>
    <x v="2"/>
    <n v="3575"/>
    <x v="1"/>
    <x v="0"/>
    <x v="10"/>
    <x v="2"/>
    <x v="0"/>
    <x v="0"/>
    <x v="2"/>
    <x v="0"/>
  </r>
  <r>
    <x v="0"/>
    <x v="0"/>
    <n v="2239212970"/>
    <x v="1"/>
    <n v="2280"/>
    <x v="1"/>
    <x v="0"/>
    <x v="10"/>
    <x v="1"/>
    <x v="0"/>
    <x v="0"/>
    <x v="1"/>
    <x v="0"/>
  </r>
  <r>
    <x v="0"/>
    <x v="0"/>
    <n v="2239212971"/>
    <x v="5"/>
    <n v="-600"/>
    <x v="1"/>
    <x v="0"/>
    <x v="10"/>
    <x v="5"/>
    <x v="0"/>
    <x v="0"/>
    <x v="5"/>
    <x v="0"/>
  </r>
  <r>
    <x v="0"/>
    <x v="0"/>
    <n v="2239212971"/>
    <x v="4"/>
    <n v="5000"/>
    <x v="1"/>
    <x v="0"/>
    <x v="10"/>
    <x v="4"/>
    <x v="0"/>
    <x v="0"/>
    <x v="4"/>
    <x v="0"/>
  </r>
  <r>
    <x v="0"/>
    <x v="0"/>
    <n v="2239212972"/>
    <x v="1"/>
    <n v="1500"/>
    <x v="1"/>
    <x v="0"/>
    <x v="10"/>
    <x v="1"/>
    <x v="0"/>
    <x v="0"/>
    <x v="1"/>
    <x v="0"/>
  </r>
  <r>
    <x v="0"/>
    <x v="0"/>
    <n v="2239212973"/>
    <x v="1"/>
    <n v="3300"/>
    <x v="1"/>
    <x v="0"/>
    <x v="10"/>
    <x v="1"/>
    <x v="0"/>
    <x v="0"/>
    <x v="1"/>
    <x v="0"/>
  </r>
  <r>
    <x v="0"/>
    <x v="0"/>
    <n v="2239212974"/>
    <x v="2"/>
    <n v="13475"/>
    <x v="1"/>
    <x v="0"/>
    <x v="10"/>
    <x v="2"/>
    <x v="0"/>
    <x v="0"/>
    <x v="2"/>
    <x v="0"/>
  </r>
  <r>
    <x v="0"/>
    <x v="0"/>
    <n v="2239212975"/>
    <x v="5"/>
    <n v="-8250"/>
    <x v="1"/>
    <x v="0"/>
    <x v="10"/>
    <x v="5"/>
    <x v="0"/>
    <x v="0"/>
    <x v="5"/>
    <x v="0"/>
  </r>
  <r>
    <x v="0"/>
    <x v="0"/>
    <n v="2239212975"/>
    <x v="6"/>
    <n v="10000"/>
    <x v="1"/>
    <x v="0"/>
    <x v="10"/>
    <x v="6"/>
    <x v="0"/>
    <x v="0"/>
    <x v="5"/>
    <x v="0"/>
  </r>
  <r>
    <x v="0"/>
    <x v="0"/>
    <n v="2239212976"/>
    <x v="5"/>
    <n v="-3250"/>
    <x v="1"/>
    <x v="0"/>
    <x v="10"/>
    <x v="5"/>
    <x v="0"/>
    <x v="0"/>
    <x v="5"/>
    <x v="0"/>
  </r>
  <r>
    <x v="0"/>
    <x v="0"/>
    <n v="2239212976"/>
    <x v="6"/>
    <n v="5000"/>
    <x v="1"/>
    <x v="0"/>
    <x v="10"/>
    <x v="6"/>
    <x v="0"/>
    <x v="0"/>
    <x v="5"/>
    <x v="0"/>
  </r>
  <r>
    <x v="0"/>
    <x v="0"/>
    <n v="2239212977"/>
    <x v="5"/>
    <n v="-4400"/>
    <x v="1"/>
    <x v="0"/>
    <x v="10"/>
    <x v="5"/>
    <x v="0"/>
    <x v="0"/>
    <x v="5"/>
    <x v="0"/>
  </r>
  <r>
    <x v="0"/>
    <x v="0"/>
    <n v="2239212977"/>
    <x v="4"/>
    <n v="10000"/>
    <x v="1"/>
    <x v="0"/>
    <x v="10"/>
    <x v="4"/>
    <x v="0"/>
    <x v="0"/>
    <x v="4"/>
    <x v="0"/>
  </r>
  <r>
    <x v="0"/>
    <x v="0"/>
    <n v="2239212978"/>
    <x v="2"/>
    <n v="23265"/>
    <x v="1"/>
    <x v="0"/>
    <x v="10"/>
    <x v="2"/>
    <x v="0"/>
    <x v="0"/>
    <x v="2"/>
    <x v="0"/>
  </r>
  <r>
    <x v="0"/>
    <x v="0"/>
    <n v="2239212979"/>
    <x v="5"/>
    <n v="-8000"/>
    <x v="1"/>
    <x v="0"/>
    <x v="10"/>
    <x v="5"/>
    <x v="0"/>
    <x v="0"/>
    <x v="5"/>
    <x v="0"/>
  </r>
  <r>
    <x v="0"/>
    <x v="0"/>
    <n v="2239212979"/>
    <x v="6"/>
    <n v="10000"/>
    <x v="1"/>
    <x v="0"/>
    <x v="10"/>
    <x v="6"/>
    <x v="0"/>
    <x v="0"/>
    <x v="5"/>
    <x v="0"/>
  </r>
  <r>
    <x v="0"/>
    <x v="0"/>
    <n v="2239212981"/>
    <x v="5"/>
    <n v="-6750"/>
    <x v="1"/>
    <x v="0"/>
    <x v="10"/>
    <x v="5"/>
    <x v="0"/>
    <x v="0"/>
    <x v="5"/>
    <x v="0"/>
  </r>
  <r>
    <x v="0"/>
    <x v="0"/>
    <n v="2239212981"/>
    <x v="6"/>
    <n v="10000"/>
    <x v="1"/>
    <x v="0"/>
    <x v="10"/>
    <x v="6"/>
    <x v="0"/>
    <x v="0"/>
    <x v="5"/>
    <x v="0"/>
  </r>
  <r>
    <x v="0"/>
    <x v="0"/>
    <n v="2239212984"/>
    <x v="2"/>
    <n v="51590"/>
    <x v="1"/>
    <x v="0"/>
    <x v="10"/>
    <x v="2"/>
    <x v="0"/>
    <x v="0"/>
    <x v="2"/>
    <x v="0"/>
  </r>
  <r>
    <x v="0"/>
    <x v="0"/>
    <n v="2239212985"/>
    <x v="5"/>
    <n v="-5400"/>
    <x v="1"/>
    <x v="0"/>
    <x v="10"/>
    <x v="5"/>
    <x v="0"/>
    <x v="0"/>
    <x v="5"/>
    <x v="0"/>
  </r>
  <r>
    <x v="0"/>
    <x v="0"/>
    <n v="2239212985"/>
    <x v="4"/>
    <n v="10000"/>
    <x v="1"/>
    <x v="0"/>
    <x v="10"/>
    <x v="4"/>
    <x v="0"/>
    <x v="0"/>
    <x v="4"/>
    <x v="0"/>
  </r>
  <r>
    <x v="0"/>
    <x v="0"/>
    <n v="2239212986"/>
    <x v="5"/>
    <n v="-2600"/>
    <x v="1"/>
    <x v="0"/>
    <x v="10"/>
    <x v="5"/>
    <x v="0"/>
    <x v="0"/>
    <x v="5"/>
    <x v="0"/>
  </r>
  <r>
    <x v="0"/>
    <x v="0"/>
    <n v="2239212986"/>
    <x v="6"/>
    <n v="38000"/>
    <x v="1"/>
    <x v="0"/>
    <x v="10"/>
    <x v="6"/>
    <x v="0"/>
    <x v="0"/>
    <x v="5"/>
    <x v="0"/>
  </r>
  <r>
    <x v="0"/>
    <x v="0"/>
    <n v="2239212987"/>
    <x v="5"/>
    <n v="-3500"/>
    <x v="1"/>
    <x v="0"/>
    <x v="10"/>
    <x v="5"/>
    <x v="0"/>
    <x v="0"/>
    <x v="5"/>
    <x v="0"/>
  </r>
  <r>
    <x v="0"/>
    <x v="0"/>
    <n v="2239212987"/>
    <x v="6"/>
    <n v="10000"/>
    <x v="1"/>
    <x v="0"/>
    <x v="10"/>
    <x v="6"/>
    <x v="0"/>
    <x v="0"/>
    <x v="5"/>
    <x v="0"/>
  </r>
  <r>
    <x v="0"/>
    <x v="0"/>
    <n v="2239212989"/>
    <x v="2"/>
    <n v="27995"/>
    <x v="1"/>
    <x v="0"/>
    <x v="10"/>
    <x v="2"/>
    <x v="0"/>
    <x v="0"/>
    <x v="2"/>
    <x v="0"/>
  </r>
  <r>
    <x v="0"/>
    <x v="0"/>
    <n v="2239212990"/>
    <x v="2"/>
    <n v="3300"/>
    <x v="1"/>
    <x v="0"/>
    <x v="10"/>
    <x v="2"/>
    <x v="0"/>
    <x v="0"/>
    <x v="2"/>
    <x v="0"/>
  </r>
  <r>
    <x v="0"/>
    <x v="0"/>
    <n v="2239212991"/>
    <x v="1"/>
    <n v="1800"/>
    <x v="1"/>
    <x v="0"/>
    <x v="10"/>
    <x v="1"/>
    <x v="0"/>
    <x v="0"/>
    <x v="1"/>
    <x v="0"/>
  </r>
  <r>
    <x v="0"/>
    <x v="0"/>
    <n v="2239212992"/>
    <x v="2"/>
    <n v="11825"/>
    <x v="1"/>
    <x v="0"/>
    <x v="10"/>
    <x v="2"/>
    <x v="0"/>
    <x v="0"/>
    <x v="2"/>
    <x v="0"/>
  </r>
  <r>
    <x v="0"/>
    <x v="0"/>
    <n v="2239212993"/>
    <x v="2"/>
    <n v="103950"/>
    <x v="1"/>
    <x v="0"/>
    <x v="10"/>
    <x v="2"/>
    <x v="0"/>
    <x v="0"/>
    <x v="2"/>
    <x v="0"/>
  </r>
  <r>
    <x v="0"/>
    <x v="0"/>
    <n v="2239212994"/>
    <x v="2"/>
    <n v="21340"/>
    <x v="1"/>
    <x v="0"/>
    <x v="10"/>
    <x v="2"/>
    <x v="0"/>
    <x v="0"/>
    <x v="2"/>
    <x v="0"/>
  </r>
  <r>
    <x v="0"/>
    <x v="0"/>
    <n v="2239212995"/>
    <x v="2"/>
    <n v="31295"/>
    <x v="1"/>
    <x v="0"/>
    <x v="10"/>
    <x v="2"/>
    <x v="0"/>
    <x v="0"/>
    <x v="2"/>
    <x v="0"/>
  </r>
  <r>
    <x v="0"/>
    <x v="0"/>
    <n v="2239212996"/>
    <x v="5"/>
    <n v="-4400"/>
    <x v="1"/>
    <x v="0"/>
    <x v="10"/>
    <x v="5"/>
    <x v="0"/>
    <x v="0"/>
    <x v="5"/>
    <x v="0"/>
  </r>
  <r>
    <x v="0"/>
    <x v="0"/>
    <n v="2239212996"/>
    <x v="4"/>
    <n v="10000"/>
    <x v="1"/>
    <x v="0"/>
    <x v="10"/>
    <x v="4"/>
    <x v="0"/>
    <x v="0"/>
    <x v="4"/>
    <x v="0"/>
  </r>
  <r>
    <x v="0"/>
    <x v="0"/>
    <n v="2239212997"/>
    <x v="2"/>
    <n v="3500"/>
    <x v="1"/>
    <x v="0"/>
    <x v="10"/>
    <x v="2"/>
    <x v="0"/>
    <x v="0"/>
    <x v="2"/>
    <x v="0"/>
  </r>
  <r>
    <x v="0"/>
    <x v="0"/>
    <n v="2239212998"/>
    <x v="6"/>
    <n v="25200"/>
    <x v="1"/>
    <x v="0"/>
    <x v="10"/>
    <x v="6"/>
    <x v="0"/>
    <x v="0"/>
    <x v="5"/>
    <x v="0"/>
  </r>
  <r>
    <x v="0"/>
    <x v="0"/>
    <n v="2239212999"/>
    <x v="5"/>
    <n v="-16000"/>
    <x v="1"/>
    <x v="0"/>
    <x v="10"/>
    <x v="5"/>
    <x v="0"/>
    <x v="0"/>
    <x v="5"/>
    <x v="0"/>
  </r>
  <r>
    <x v="0"/>
    <x v="0"/>
    <n v="2239212999"/>
    <x v="6"/>
    <n v="20000"/>
    <x v="1"/>
    <x v="0"/>
    <x v="10"/>
    <x v="6"/>
    <x v="0"/>
    <x v="0"/>
    <x v="5"/>
    <x v="0"/>
  </r>
  <r>
    <x v="0"/>
    <x v="0"/>
    <n v="2239213001"/>
    <x v="6"/>
    <n v="5200"/>
    <x v="1"/>
    <x v="0"/>
    <x v="10"/>
    <x v="6"/>
    <x v="0"/>
    <x v="0"/>
    <x v="5"/>
    <x v="0"/>
  </r>
  <r>
    <x v="0"/>
    <x v="0"/>
    <n v="2239213001"/>
    <x v="7"/>
    <n v="1300"/>
    <x v="1"/>
    <x v="0"/>
    <x v="10"/>
    <x v="7"/>
    <x v="0"/>
    <x v="0"/>
    <x v="1"/>
    <x v="0"/>
  </r>
  <r>
    <x v="0"/>
    <x v="0"/>
    <n v="2239213002"/>
    <x v="5"/>
    <n v="-600"/>
    <x v="1"/>
    <x v="0"/>
    <x v="10"/>
    <x v="5"/>
    <x v="0"/>
    <x v="0"/>
    <x v="5"/>
    <x v="0"/>
  </r>
  <r>
    <x v="0"/>
    <x v="0"/>
    <n v="2239213002"/>
    <x v="4"/>
    <n v="5000"/>
    <x v="1"/>
    <x v="0"/>
    <x v="10"/>
    <x v="4"/>
    <x v="0"/>
    <x v="0"/>
    <x v="4"/>
    <x v="0"/>
  </r>
  <r>
    <x v="0"/>
    <x v="0"/>
    <n v="2239213003"/>
    <x v="2"/>
    <n v="3000"/>
    <x v="1"/>
    <x v="0"/>
    <x v="10"/>
    <x v="2"/>
    <x v="0"/>
    <x v="0"/>
    <x v="2"/>
    <x v="0"/>
  </r>
  <r>
    <x v="0"/>
    <x v="0"/>
    <n v="2239213004"/>
    <x v="5"/>
    <n v="-200"/>
    <x v="1"/>
    <x v="0"/>
    <x v="10"/>
    <x v="5"/>
    <x v="0"/>
    <x v="0"/>
    <x v="5"/>
    <x v="0"/>
  </r>
  <r>
    <x v="0"/>
    <x v="0"/>
    <n v="2239213004"/>
    <x v="6"/>
    <n v="4000"/>
    <x v="1"/>
    <x v="0"/>
    <x v="10"/>
    <x v="6"/>
    <x v="0"/>
    <x v="0"/>
    <x v="5"/>
    <x v="0"/>
  </r>
  <r>
    <x v="0"/>
    <x v="0"/>
    <n v="2239213005"/>
    <x v="1"/>
    <n v="9150"/>
    <x v="1"/>
    <x v="0"/>
    <x v="10"/>
    <x v="1"/>
    <x v="0"/>
    <x v="0"/>
    <x v="1"/>
    <x v="0"/>
  </r>
  <r>
    <x v="0"/>
    <x v="0"/>
    <n v="2239213006"/>
    <x v="2"/>
    <n v="7150"/>
    <x v="1"/>
    <x v="0"/>
    <x v="10"/>
    <x v="2"/>
    <x v="0"/>
    <x v="0"/>
    <x v="2"/>
    <x v="0"/>
  </r>
  <r>
    <x v="0"/>
    <x v="0"/>
    <n v="2239213008"/>
    <x v="5"/>
    <n v="-4400"/>
    <x v="1"/>
    <x v="0"/>
    <x v="10"/>
    <x v="5"/>
    <x v="0"/>
    <x v="0"/>
    <x v="5"/>
    <x v="0"/>
  </r>
  <r>
    <x v="0"/>
    <x v="0"/>
    <n v="2239213008"/>
    <x v="4"/>
    <n v="10000"/>
    <x v="1"/>
    <x v="0"/>
    <x v="10"/>
    <x v="4"/>
    <x v="0"/>
    <x v="0"/>
    <x v="4"/>
    <x v="0"/>
  </r>
  <r>
    <x v="0"/>
    <x v="0"/>
    <n v="2239213009"/>
    <x v="5"/>
    <n v="-5600"/>
    <x v="1"/>
    <x v="0"/>
    <x v="10"/>
    <x v="5"/>
    <x v="0"/>
    <x v="0"/>
    <x v="5"/>
    <x v="0"/>
  </r>
  <r>
    <x v="0"/>
    <x v="0"/>
    <n v="2239213009"/>
    <x v="6"/>
    <n v="60000"/>
    <x v="1"/>
    <x v="0"/>
    <x v="10"/>
    <x v="6"/>
    <x v="0"/>
    <x v="0"/>
    <x v="5"/>
    <x v="0"/>
  </r>
  <r>
    <x v="0"/>
    <x v="0"/>
    <n v="2239213010"/>
    <x v="3"/>
    <n v="15400"/>
    <x v="1"/>
    <x v="0"/>
    <x v="10"/>
    <x v="3"/>
    <x v="0"/>
    <x v="0"/>
    <x v="3"/>
    <x v="0"/>
  </r>
  <r>
    <x v="0"/>
    <x v="0"/>
    <n v="2239213012"/>
    <x v="2"/>
    <n v="13200"/>
    <x v="1"/>
    <x v="0"/>
    <x v="10"/>
    <x v="2"/>
    <x v="0"/>
    <x v="0"/>
    <x v="2"/>
    <x v="0"/>
  </r>
  <r>
    <x v="0"/>
    <x v="0"/>
    <n v="2239213014"/>
    <x v="2"/>
    <n v="13200"/>
    <x v="1"/>
    <x v="0"/>
    <x v="10"/>
    <x v="2"/>
    <x v="0"/>
    <x v="0"/>
    <x v="2"/>
    <x v="0"/>
  </r>
  <r>
    <x v="0"/>
    <x v="0"/>
    <n v="2239213015"/>
    <x v="2"/>
    <n v="5720"/>
    <x v="1"/>
    <x v="0"/>
    <x v="10"/>
    <x v="2"/>
    <x v="0"/>
    <x v="0"/>
    <x v="2"/>
    <x v="0"/>
  </r>
  <r>
    <x v="0"/>
    <x v="0"/>
    <n v="2239213015"/>
    <x v="7"/>
    <n v="1300"/>
    <x v="1"/>
    <x v="0"/>
    <x v="10"/>
    <x v="7"/>
    <x v="0"/>
    <x v="0"/>
    <x v="1"/>
    <x v="0"/>
  </r>
  <r>
    <x v="0"/>
    <x v="0"/>
    <n v="2239213016"/>
    <x v="5"/>
    <n v="-13500"/>
    <x v="1"/>
    <x v="0"/>
    <x v="10"/>
    <x v="5"/>
    <x v="0"/>
    <x v="0"/>
    <x v="5"/>
    <x v="0"/>
  </r>
  <r>
    <x v="0"/>
    <x v="0"/>
    <n v="2239213016"/>
    <x v="6"/>
    <n v="20000"/>
    <x v="1"/>
    <x v="0"/>
    <x v="10"/>
    <x v="6"/>
    <x v="0"/>
    <x v="0"/>
    <x v="5"/>
    <x v="0"/>
  </r>
  <r>
    <x v="0"/>
    <x v="0"/>
    <n v="2239213017"/>
    <x v="2"/>
    <n v="10010"/>
    <x v="1"/>
    <x v="0"/>
    <x v="10"/>
    <x v="2"/>
    <x v="0"/>
    <x v="0"/>
    <x v="2"/>
    <x v="0"/>
  </r>
  <r>
    <x v="0"/>
    <x v="0"/>
    <n v="2239213017"/>
    <x v="7"/>
    <n v="3900"/>
    <x v="1"/>
    <x v="0"/>
    <x v="10"/>
    <x v="7"/>
    <x v="0"/>
    <x v="0"/>
    <x v="1"/>
    <x v="0"/>
  </r>
  <r>
    <x v="0"/>
    <x v="0"/>
    <n v="2239213018"/>
    <x v="6"/>
    <n v="6000"/>
    <x v="1"/>
    <x v="0"/>
    <x v="10"/>
    <x v="6"/>
    <x v="0"/>
    <x v="0"/>
    <x v="5"/>
    <x v="0"/>
  </r>
  <r>
    <x v="0"/>
    <x v="0"/>
    <n v="2239213019"/>
    <x v="2"/>
    <n v="20394"/>
    <x v="1"/>
    <x v="0"/>
    <x v="10"/>
    <x v="2"/>
    <x v="0"/>
    <x v="0"/>
    <x v="2"/>
    <x v="0"/>
  </r>
  <r>
    <x v="0"/>
    <x v="0"/>
    <n v="2239213020"/>
    <x v="2"/>
    <n v="8500"/>
    <x v="1"/>
    <x v="0"/>
    <x v="10"/>
    <x v="2"/>
    <x v="0"/>
    <x v="0"/>
    <x v="2"/>
    <x v="0"/>
  </r>
  <r>
    <x v="0"/>
    <x v="0"/>
    <n v="2239213021"/>
    <x v="5"/>
    <n v="-1100"/>
    <x v="1"/>
    <x v="0"/>
    <x v="10"/>
    <x v="5"/>
    <x v="0"/>
    <x v="0"/>
    <x v="5"/>
    <x v="0"/>
  </r>
  <r>
    <x v="0"/>
    <x v="0"/>
    <n v="2239213021"/>
    <x v="6"/>
    <n v="30000"/>
    <x v="1"/>
    <x v="0"/>
    <x v="10"/>
    <x v="6"/>
    <x v="0"/>
    <x v="0"/>
    <x v="5"/>
    <x v="0"/>
  </r>
  <r>
    <x v="0"/>
    <x v="0"/>
    <n v="2239213022"/>
    <x v="5"/>
    <n v="-200"/>
    <x v="1"/>
    <x v="0"/>
    <x v="10"/>
    <x v="5"/>
    <x v="0"/>
    <x v="0"/>
    <x v="5"/>
    <x v="0"/>
  </r>
  <r>
    <x v="0"/>
    <x v="0"/>
    <n v="2239213022"/>
    <x v="6"/>
    <n v="8000"/>
    <x v="1"/>
    <x v="0"/>
    <x v="10"/>
    <x v="6"/>
    <x v="0"/>
    <x v="0"/>
    <x v="5"/>
    <x v="0"/>
  </r>
  <r>
    <x v="0"/>
    <x v="0"/>
    <n v="2239213023"/>
    <x v="2"/>
    <n v="14300"/>
    <x v="1"/>
    <x v="0"/>
    <x v="10"/>
    <x v="2"/>
    <x v="0"/>
    <x v="0"/>
    <x v="2"/>
    <x v="0"/>
  </r>
  <r>
    <x v="0"/>
    <x v="0"/>
    <n v="2239213024"/>
    <x v="3"/>
    <n v="7500"/>
    <x v="1"/>
    <x v="0"/>
    <x v="10"/>
    <x v="3"/>
    <x v="0"/>
    <x v="0"/>
    <x v="3"/>
    <x v="0"/>
  </r>
  <r>
    <x v="0"/>
    <x v="0"/>
    <n v="2239213025"/>
    <x v="5"/>
    <n v="-14300"/>
    <x v="1"/>
    <x v="0"/>
    <x v="10"/>
    <x v="5"/>
    <x v="0"/>
    <x v="0"/>
    <x v="5"/>
    <x v="0"/>
  </r>
  <r>
    <x v="0"/>
    <x v="0"/>
    <n v="2239213025"/>
    <x v="4"/>
    <n v="20000"/>
    <x v="1"/>
    <x v="0"/>
    <x v="10"/>
    <x v="4"/>
    <x v="0"/>
    <x v="0"/>
    <x v="4"/>
    <x v="0"/>
  </r>
  <r>
    <x v="0"/>
    <x v="0"/>
    <n v="2239213026"/>
    <x v="5"/>
    <n v="-300"/>
    <x v="1"/>
    <x v="0"/>
    <x v="10"/>
    <x v="5"/>
    <x v="0"/>
    <x v="0"/>
    <x v="5"/>
    <x v="0"/>
  </r>
  <r>
    <x v="0"/>
    <x v="0"/>
    <n v="2239213026"/>
    <x v="4"/>
    <n v="6000"/>
    <x v="1"/>
    <x v="0"/>
    <x v="10"/>
    <x v="4"/>
    <x v="0"/>
    <x v="0"/>
    <x v="4"/>
    <x v="0"/>
  </r>
  <r>
    <x v="0"/>
    <x v="0"/>
    <n v="2239213028"/>
    <x v="2"/>
    <n v="14100"/>
    <x v="1"/>
    <x v="0"/>
    <x v="10"/>
    <x v="2"/>
    <x v="0"/>
    <x v="0"/>
    <x v="2"/>
    <x v="0"/>
  </r>
  <r>
    <x v="0"/>
    <x v="0"/>
    <n v="2239213029"/>
    <x v="5"/>
    <n v="-1500"/>
    <x v="1"/>
    <x v="0"/>
    <x v="10"/>
    <x v="5"/>
    <x v="0"/>
    <x v="0"/>
    <x v="5"/>
    <x v="0"/>
  </r>
  <r>
    <x v="0"/>
    <x v="0"/>
    <n v="2239213029"/>
    <x v="6"/>
    <n v="20000"/>
    <x v="1"/>
    <x v="0"/>
    <x v="10"/>
    <x v="6"/>
    <x v="0"/>
    <x v="0"/>
    <x v="5"/>
    <x v="0"/>
  </r>
  <r>
    <x v="0"/>
    <x v="0"/>
    <n v="2239213030"/>
    <x v="1"/>
    <n v="7650"/>
    <x v="1"/>
    <x v="0"/>
    <x v="10"/>
    <x v="1"/>
    <x v="0"/>
    <x v="0"/>
    <x v="1"/>
    <x v="0"/>
  </r>
  <r>
    <x v="0"/>
    <x v="0"/>
    <n v="2239213031"/>
    <x v="2"/>
    <n v="6600"/>
    <x v="1"/>
    <x v="0"/>
    <x v="10"/>
    <x v="2"/>
    <x v="0"/>
    <x v="0"/>
    <x v="2"/>
    <x v="0"/>
  </r>
  <r>
    <x v="0"/>
    <x v="0"/>
    <n v="2239213032"/>
    <x v="2"/>
    <n v="13200"/>
    <x v="1"/>
    <x v="0"/>
    <x v="10"/>
    <x v="2"/>
    <x v="0"/>
    <x v="0"/>
    <x v="2"/>
    <x v="0"/>
  </r>
  <r>
    <x v="0"/>
    <x v="0"/>
    <n v="2239213033"/>
    <x v="5"/>
    <n v="-5000"/>
    <x v="1"/>
    <x v="0"/>
    <x v="10"/>
    <x v="5"/>
    <x v="0"/>
    <x v="0"/>
    <x v="5"/>
    <x v="0"/>
  </r>
  <r>
    <x v="0"/>
    <x v="0"/>
    <n v="2239213033"/>
    <x v="6"/>
    <n v="10200"/>
    <x v="1"/>
    <x v="0"/>
    <x v="10"/>
    <x v="6"/>
    <x v="0"/>
    <x v="0"/>
    <x v="5"/>
    <x v="0"/>
  </r>
  <r>
    <x v="0"/>
    <x v="0"/>
    <n v="2239213033"/>
    <x v="7"/>
    <n v="1300"/>
    <x v="1"/>
    <x v="0"/>
    <x v="10"/>
    <x v="7"/>
    <x v="0"/>
    <x v="0"/>
    <x v="1"/>
    <x v="0"/>
  </r>
  <r>
    <x v="0"/>
    <x v="0"/>
    <n v="2239213034"/>
    <x v="2"/>
    <n v="50710"/>
    <x v="1"/>
    <x v="0"/>
    <x v="10"/>
    <x v="2"/>
    <x v="0"/>
    <x v="0"/>
    <x v="2"/>
    <x v="0"/>
  </r>
  <r>
    <x v="0"/>
    <x v="0"/>
    <n v="2239213035"/>
    <x v="5"/>
    <n v="-4300"/>
    <x v="1"/>
    <x v="0"/>
    <x v="10"/>
    <x v="5"/>
    <x v="0"/>
    <x v="0"/>
    <x v="5"/>
    <x v="0"/>
  </r>
  <r>
    <x v="0"/>
    <x v="0"/>
    <n v="2239213035"/>
    <x v="4"/>
    <n v="10000"/>
    <x v="1"/>
    <x v="0"/>
    <x v="10"/>
    <x v="4"/>
    <x v="0"/>
    <x v="0"/>
    <x v="4"/>
    <x v="0"/>
  </r>
  <r>
    <x v="0"/>
    <x v="0"/>
    <n v="2239213036"/>
    <x v="5"/>
    <n v="-9100"/>
    <x v="1"/>
    <x v="0"/>
    <x v="10"/>
    <x v="5"/>
    <x v="0"/>
    <x v="0"/>
    <x v="5"/>
    <x v="0"/>
  </r>
  <r>
    <x v="0"/>
    <x v="0"/>
    <n v="2239213036"/>
    <x v="6"/>
    <n v="40000"/>
    <x v="1"/>
    <x v="0"/>
    <x v="10"/>
    <x v="6"/>
    <x v="0"/>
    <x v="0"/>
    <x v="5"/>
    <x v="0"/>
  </r>
  <r>
    <x v="0"/>
    <x v="0"/>
    <n v="2239213037"/>
    <x v="5"/>
    <n v="-6600"/>
    <x v="1"/>
    <x v="0"/>
    <x v="10"/>
    <x v="5"/>
    <x v="0"/>
    <x v="0"/>
    <x v="5"/>
    <x v="0"/>
  </r>
  <r>
    <x v="0"/>
    <x v="0"/>
    <n v="2239213037"/>
    <x v="6"/>
    <n v="20000"/>
    <x v="1"/>
    <x v="0"/>
    <x v="10"/>
    <x v="6"/>
    <x v="0"/>
    <x v="0"/>
    <x v="5"/>
    <x v="0"/>
  </r>
  <r>
    <x v="0"/>
    <x v="0"/>
    <n v="2239213038"/>
    <x v="5"/>
    <n v="-500"/>
    <x v="1"/>
    <x v="0"/>
    <x v="10"/>
    <x v="5"/>
    <x v="0"/>
    <x v="0"/>
    <x v="5"/>
    <x v="0"/>
  </r>
  <r>
    <x v="0"/>
    <x v="0"/>
    <n v="2239213038"/>
    <x v="6"/>
    <n v="10000"/>
    <x v="1"/>
    <x v="0"/>
    <x v="10"/>
    <x v="6"/>
    <x v="0"/>
    <x v="0"/>
    <x v="5"/>
    <x v="0"/>
  </r>
  <r>
    <x v="0"/>
    <x v="0"/>
    <n v="2239213040"/>
    <x v="2"/>
    <n v="6500"/>
    <x v="1"/>
    <x v="0"/>
    <x v="10"/>
    <x v="2"/>
    <x v="0"/>
    <x v="0"/>
    <x v="2"/>
    <x v="0"/>
  </r>
  <r>
    <x v="0"/>
    <x v="0"/>
    <n v="2239213041"/>
    <x v="2"/>
    <n v="33770"/>
    <x v="1"/>
    <x v="0"/>
    <x v="10"/>
    <x v="2"/>
    <x v="0"/>
    <x v="0"/>
    <x v="2"/>
    <x v="0"/>
  </r>
  <r>
    <x v="0"/>
    <x v="0"/>
    <n v="2239213042"/>
    <x v="3"/>
    <n v="20900"/>
    <x v="1"/>
    <x v="0"/>
    <x v="10"/>
    <x v="3"/>
    <x v="0"/>
    <x v="0"/>
    <x v="3"/>
    <x v="0"/>
  </r>
  <r>
    <x v="0"/>
    <x v="0"/>
    <n v="2239213043"/>
    <x v="5"/>
    <n v="-3720"/>
    <x v="1"/>
    <x v="0"/>
    <x v="10"/>
    <x v="5"/>
    <x v="0"/>
    <x v="0"/>
    <x v="5"/>
    <x v="0"/>
  </r>
  <r>
    <x v="0"/>
    <x v="0"/>
    <n v="2239213043"/>
    <x v="6"/>
    <n v="15000"/>
    <x v="1"/>
    <x v="0"/>
    <x v="10"/>
    <x v="6"/>
    <x v="0"/>
    <x v="0"/>
    <x v="5"/>
    <x v="0"/>
  </r>
  <r>
    <x v="0"/>
    <x v="0"/>
    <n v="2239213044"/>
    <x v="3"/>
    <n v="4000"/>
    <x v="1"/>
    <x v="0"/>
    <x v="10"/>
    <x v="3"/>
    <x v="0"/>
    <x v="0"/>
    <x v="3"/>
    <x v="0"/>
  </r>
  <r>
    <x v="0"/>
    <x v="0"/>
    <n v="2239213046"/>
    <x v="5"/>
    <n v="-300"/>
    <x v="1"/>
    <x v="0"/>
    <x v="10"/>
    <x v="5"/>
    <x v="0"/>
    <x v="0"/>
    <x v="5"/>
    <x v="0"/>
  </r>
  <r>
    <x v="0"/>
    <x v="0"/>
    <n v="2239213046"/>
    <x v="4"/>
    <n v="6000"/>
    <x v="1"/>
    <x v="0"/>
    <x v="10"/>
    <x v="4"/>
    <x v="0"/>
    <x v="0"/>
    <x v="4"/>
    <x v="0"/>
  </r>
  <r>
    <x v="0"/>
    <x v="0"/>
    <n v="2239213047"/>
    <x v="2"/>
    <n v="7500"/>
    <x v="1"/>
    <x v="0"/>
    <x v="10"/>
    <x v="2"/>
    <x v="0"/>
    <x v="0"/>
    <x v="2"/>
    <x v="0"/>
  </r>
  <r>
    <x v="0"/>
    <x v="0"/>
    <n v="2239213048"/>
    <x v="5"/>
    <n v="-5000"/>
    <x v="1"/>
    <x v="0"/>
    <x v="10"/>
    <x v="5"/>
    <x v="0"/>
    <x v="0"/>
    <x v="5"/>
    <x v="0"/>
  </r>
  <r>
    <x v="0"/>
    <x v="0"/>
    <n v="2239213048"/>
    <x v="4"/>
    <n v="10000"/>
    <x v="1"/>
    <x v="0"/>
    <x v="10"/>
    <x v="4"/>
    <x v="0"/>
    <x v="0"/>
    <x v="4"/>
    <x v="0"/>
  </r>
  <r>
    <x v="0"/>
    <x v="0"/>
    <n v="2239213049"/>
    <x v="5"/>
    <n v="-400"/>
    <x v="1"/>
    <x v="0"/>
    <x v="10"/>
    <x v="5"/>
    <x v="0"/>
    <x v="0"/>
    <x v="5"/>
    <x v="0"/>
  </r>
  <r>
    <x v="0"/>
    <x v="0"/>
    <n v="2239213049"/>
    <x v="4"/>
    <n v="6000"/>
    <x v="1"/>
    <x v="0"/>
    <x v="10"/>
    <x v="4"/>
    <x v="0"/>
    <x v="0"/>
    <x v="4"/>
    <x v="0"/>
  </r>
  <r>
    <x v="0"/>
    <x v="0"/>
    <n v="2239213050"/>
    <x v="2"/>
    <n v="7500"/>
    <x v="1"/>
    <x v="0"/>
    <x v="10"/>
    <x v="2"/>
    <x v="0"/>
    <x v="0"/>
    <x v="2"/>
    <x v="0"/>
  </r>
  <r>
    <x v="0"/>
    <x v="0"/>
    <n v="2239213052"/>
    <x v="2"/>
    <n v="11330"/>
    <x v="1"/>
    <x v="0"/>
    <x v="10"/>
    <x v="2"/>
    <x v="0"/>
    <x v="0"/>
    <x v="2"/>
    <x v="0"/>
  </r>
  <r>
    <x v="0"/>
    <x v="0"/>
    <n v="2239213053"/>
    <x v="2"/>
    <n v="6500"/>
    <x v="1"/>
    <x v="0"/>
    <x v="10"/>
    <x v="2"/>
    <x v="0"/>
    <x v="0"/>
    <x v="2"/>
    <x v="0"/>
  </r>
  <r>
    <x v="0"/>
    <x v="0"/>
    <n v="2239213055"/>
    <x v="2"/>
    <n v="21000"/>
    <x v="1"/>
    <x v="0"/>
    <x v="10"/>
    <x v="2"/>
    <x v="0"/>
    <x v="0"/>
    <x v="2"/>
    <x v="0"/>
  </r>
  <r>
    <x v="0"/>
    <x v="0"/>
    <n v="2239213056"/>
    <x v="5"/>
    <n v="-12000"/>
    <x v="1"/>
    <x v="0"/>
    <x v="10"/>
    <x v="5"/>
    <x v="0"/>
    <x v="0"/>
    <x v="5"/>
    <x v="0"/>
  </r>
  <r>
    <x v="0"/>
    <x v="0"/>
    <n v="2239213056"/>
    <x v="6"/>
    <n v="20000"/>
    <x v="1"/>
    <x v="0"/>
    <x v="10"/>
    <x v="6"/>
    <x v="0"/>
    <x v="0"/>
    <x v="5"/>
    <x v="0"/>
  </r>
  <r>
    <x v="0"/>
    <x v="0"/>
    <n v="2239213060"/>
    <x v="5"/>
    <n v="-1000"/>
    <x v="1"/>
    <x v="0"/>
    <x v="10"/>
    <x v="5"/>
    <x v="0"/>
    <x v="0"/>
    <x v="5"/>
    <x v="0"/>
  </r>
  <r>
    <x v="0"/>
    <x v="0"/>
    <n v="2239213060"/>
    <x v="6"/>
    <n v="15000"/>
    <x v="1"/>
    <x v="0"/>
    <x v="10"/>
    <x v="6"/>
    <x v="0"/>
    <x v="0"/>
    <x v="5"/>
    <x v="0"/>
  </r>
  <r>
    <x v="0"/>
    <x v="0"/>
    <n v="2239213061"/>
    <x v="5"/>
    <n v="-15000"/>
    <x v="1"/>
    <x v="0"/>
    <x v="10"/>
    <x v="5"/>
    <x v="0"/>
    <x v="0"/>
    <x v="5"/>
    <x v="0"/>
  </r>
  <r>
    <x v="0"/>
    <x v="0"/>
    <n v="2239213061"/>
    <x v="4"/>
    <n v="20000"/>
    <x v="1"/>
    <x v="0"/>
    <x v="10"/>
    <x v="4"/>
    <x v="0"/>
    <x v="0"/>
    <x v="4"/>
    <x v="0"/>
  </r>
  <r>
    <x v="0"/>
    <x v="0"/>
    <n v="2239213062"/>
    <x v="3"/>
    <n v="34100"/>
    <x v="1"/>
    <x v="0"/>
    <x v="10"/>
    <x v="3"/>
    <x v="0"/>
    <x v="0"/>
    <x v="3"/>
    <x v="0"/>
  </r>
  <r>
    <x v="0"/>
    <x v="0"/>
    <n v="2239213063"/>
    <x v="2"/>
    <n v="28105"/>
    <x v="1"/>
    <x v="0"/>
    <x v="10"/>
    <x v="2"/>
    <x v="0"/>
    <x v="0"/>
    <x v="2"/>
    <x v="0"/>
  </r>
  <r>
    <x v="0"/>
    <x v="0"/>
    <n v="2239213064"/>
    <x v="5"/>
    <n v="-14000"/>
    <x v="1"/>
    <x v="0"/>
    <x v="10"/>
    <x v="5"/>
    <x v="0"/>
    <x v="0"/>
    <x v="5"/>
    <x v="0"/>
  </r>
  <r>
    <x v="0"/>
    <x v="0"/>
    <n v="2239213064"/>
    <x v="6"/>
    <n v="20200"/>
    <x v="1"/>
    <x v="0"/>
    <x v="10"/>
    <x v="6"/>
    <x v="0"/>
    <x v="0"/>
    <x v="5"/>
    <x v="0"/>
  </r>
  <r>
    <x v="0"/>
    <x v="0"/>
    <n v="2239213065"/>
    <x v="2"/>
    <n v="15400"/>
    <x v="1"/>
    <x v="0"/>
    <x v="10"/>
    <x v="2"/>
    <x v="0"/>
    <x v="0"/>
    <x v="2"/>
    <x v="0"/>
  </r>
  <r>
    <x v="0"/>
    <x v="0"/>
    <n v="2239213067"/>
    <x v="5"/>
    <n v="-3500"/>
    <x v="1"/>
    <x v="0"/>
    <x v="10"/>
    <x v="5"/>
    <x v="0"/>
    <x v="0"/>
    <x v="5"/>
    <x v="0"/>
  </r>
  <r>
    <x v="0"/>
    <x v="0"/>
    <n v="2239213067"/>
    <x v="6"/>
    <n v="10000"/>
    <x v="1"/>
    <x v="0"/>
    <x v="10"/>
    <x v="6"/>
    <x v="0"/>
    <x v="0"/>
    <x v="5"/>
    <x v="0"/>
  </r>
  <r>
    <x v="0"/>
    <x v="0"/>
    <n v="2239213069"/>
    <x v="5"/>
    <n v="-400"/>
    <x v="1"/>
    <x v="0"/>
    <x v="10"/>
    <x v="5"/>
    <x v="0"/>
    <x v="0"/>
    <x v="5"/>
    <x v="0"/>
  </r>
  <r>
    <x v="0"/>
    <x v="0"/>
    <n v="2239213069"/>
    <x v="4"/>
    <n v="5000"/>
    <x v="1"/>
    <x v="0"/>
    <x v="10"/>
    <x v="4"/>
    <x v="0"/>
    <x v="0"/>
    <x v="4"/>
    <x v="0"/>
  </r>
  <r>
    <x v="0"/>
    <x v="0"/>
    <n v="2239213070"/>
    <x v="3"/>
    <n v="6500"/>
    <x v="1"/>
    <x v="0"/>
    <x v="10"/>
    <x v="3"/>
    <x v="0"/>
    <x v="0"/>
    <x v="3"/>
    <x v="0"/>
  </r>
  <r>
    <x v="0"/>
    <x v="0"/>
    <n v="2239213071"/>
    <x v="3"/>
    <n v="6500"/>
    <x v="1"/>
    <x v="0"/>
    <x v="10"/>
    <x v="3"/>
    <x v="0"/>
    <x v="0"/>
    <x v="3"/>
    <x v="0"/>
  </r>
  <r>
    <x v="0"/>
    <x v="0"/>
    <n v="2239213072"/>
    <x v="5"/>
    <n v="-7000"/>
    <x v="1"/>
    <x v="0"/>
    <x v="10"/>
    <x v="5"/>
    <x v="0"/>
    <x v="0"/>
    <x v="5"/>
    <x v="0"/>
  </r>
  <r>
    <x v="0"/>
    <x v="0"/>
    <n v="2239213072"/>
    <x v="6"/>
    <n v="20000"/>
    <x v="1"/>
    <x v="0"/>
    <x v="10"/>
    <x v="6"/>
    <x v="0"/>
    <x v="0"/>
    <x v="5"/>
    <x v="0"/>
  </r>
  <r>
    <x v="0"/>
    <x v="0"/>
    <n v="2239213073"/>
    <x v="2"/>
    <n v="16632"/>
    <x v="1"/>
    <x v="0"/>
    <x v="10"/>
    <x v="2"/>
    <x v="0"/>
    <x v="0"/>
    <x v="2"/>
    <x v="0"/>
  </r>
  <r>
    <x v="0"/>
    <x v="0"/>
    <n v="2239213074"/>
    <x v="1"/>
    <n v="3180"/>
    <x v="1"/>
    <x v="0"/>
    <x v="10"/>
    <x v="1"/>
    <x v="0"/>
    <x v="0"/>
    <x v="1"/>
    <x v="0"/>
  </r>
  <r>
    <x v="0"/>
    <x v="0"/>
    <n v="2239213075"/>
    <x v="5"/>
    <n v="-300"/>
    <x v="1"/>
    <x v="0"/>
    <x v="10"/>
    <x v="5"/>
    <x v="0"/>
    <x v="0"/>
    <x v="5"/>
    <x v="0"/>
  </r>
  <r>
    <x v="0"/>
    <x v="0"/>
    <n v="2239213075"/>
    <x v="4"/>
    <n v="6000"/>
    <x v="1"/>
    <x v="0"/>
    <x v="10"/>
    <x v="4"/>
    <x v="0"/>
    <x v="0"/>
    <x v="4"/>
    <x v="0"/>
  </r>
  <r>
    <x v="0"/>
    <x v="0"/>
    <n v="2239213076"/>
    <x v="5"/>
    <n v="-12000"/>
    <x v="1"/>
    <x v="0"/>
    <x v="10"/>
    <x v="5"/>
    <x v="0"/>
    <x v="0"/>
    <x v="5"/>
    <x v="0"/>
  </r>
  <r>
    <x v="0"/>
    <x v="0"/>
    <n v="2239213076"/>
    <x v="6"/>
    <n v="20000"/>
    <x v="1"/>
    <x v="0"/>
    <x v="10"/>
    <x v="6"/>
    <x v="0"/>
    <x v="0"/>
    <x v="5"/>
    <x v="0"/>
  </r>
  <r>
    <x v="0"/>
    <x v="0"/>
    <n v="2239213077"/>
    <x v="5"/>
    <n v="-17720"/>
    <x v="1"/>
    <x v="0"/>
    <x v="10"/>
    <x v="5"/>
    <x v="0"/>
    <x v="0"/>
    <x v="5"/>
    <x v="0"/>
  </r>
  <r>
    <x v="0"/>
    <x v="0"/>
    <n v="2239213077"/>
    <x v="6"/>
    <n v="20000"/>
    <x v="1"/>
    <x v="0"/>
    <x v="10"/>
    <x v="6"/>
    <x v="0"/>
    <x v="0"/>
    <x v="5"/>
    <x v="0"/>
  </r>
  <r>
    <x v="0"/>
    <x v="0"/>
    <n v="2239213078"/>
    <x v="1"/>
    <n v="5670"/>
    <x v="1"/>
    <x v="0"/>
    <x v="10"/>
    <x v="1"/>
    <x v="0"/>
    <x v="0"/>
    <x v="1"/>
    <x v="0"/>
  </r>
  <r>
    <x v="0"/>
    <x v="0"/>
    <n v="2239213079"/>
    <x v="3"/>
    <n v="14300"/>
    <x v="1"/>
    <x v="0"/>
    <x v="10"/>
    <x v="3"/>
    <x v="0"/>
    <x v="0"/>
    <x v="3"/>
    <x v="0"/>
  </r>
  <r>
    <x v="0"/>
    <x v="0"/>
    <n v="2239213080"/>
    <x v="6"/>
    <n v="6000"/>
    <x v="1"/>
    <x v="0"/>
    <x v="10"/>
    <x v="6"/>
    <x v="0"/>
    <x v="0"/>
    <x v="5"/>
    <x v="0"/>
  </r>
  <r>
    <x v="0"/>
    <x v="0"/>
    <n v="2239213081"/>
    <x v="5"/>
    <n v="-500"/>
    <x v="1"/>
    <x v="0"/>
    <x v="10"/>
    <x v="5"/>
    <x v="0"/>
    <x v="0"/>
    <x v="5"/>
    <x v="0"/>
  </r>
  <r>
    <x v="0"/>
    <x v="0"/>
    <n v="2239213081"/>
    <x v="4"/>
    <n v="5100"/>
    <x v="1"/>
    <x v="0"/>
    <x v="10"/>
    <x v="4"/>
    <x v="0"/>
    <x v="0"/>
    <x v="4"/>
    <x v="0"/>
  </r>
  <r>
    <x v="0"/>
    <x v="0"/>
    <n v="2239217170"/>
    <x v="1"/>
    <n v="6000"/>
    <x v="1"/>
    <x v="0"/>
    <x v="7"/>
    <x v="1"/>
    <x v="0"/>
    <x v="0"/>
    <x v="1"/>
    <x v="0"/>
  </r>
  <r>
    <x v="0"/>
    <x v="0"/>
    <n v="2239217171"/>
    <x v="1"/>
    <n v="14950"/>
    <x v="1"/>
    <x v="0"/>
    <x v="7"/>
    <x v="1"/>
    <x v="0"/>
    <x v="0"/>
    <x v="1"/>
    <x v="0"/>
  </r>
  <r>
    <x v="0"/>
    <x v="0"/>
    <n v="2239217172"/>
    <x v="1"/>
    <n v="10800"/>
    <x v="1"/>
    <x v="0"/>
    <x v="7"/>
    <x v="1"/>
    <x v="0"/>
    <x v="0"/>
    <x v="1"/>
    <x v="0"/>
  </r>
  <r>
    <x v="0"/>
    <x v="0"/>
    <n v="2239217173"/>
    <x v="1"/>
    <n v="6000"/>
    <x v="1"/>
    <x v="0"/>
    <x v="7"/>
    <x v="1"/>
    <x v="0"/>
    <x v="0"/>
    <x v="1"/>
    <x v="0"/>
  </r>
  <r>
    <x v="0"/>
    <x v="0"/>
    <n v="2239217174"/>
    <x v="1"/>
    <n v="21900"/>
    <x v="1"/>
    <x v="0"/>
    <x v="7"/>
    <x v="1"/>
    <x v="0"/>
    <x v="0"/>
    <x v="1"/>
    <x v="0"/>
  </r>
  <r>
    <x v="0"/>
    <x v="0"/>
    <n v="2239217175"/>
    <x v="1"/>
    <n v="2100"/>
    <x v="1"/>
    <x v="0"/>
    <x v="7"/>
    <x v="1"/>
    <x v="0"/>
    <x v="0"/>
    <x v="1"/>
    <x v="0"/>
  </r>
  <r>
    <x v="0"/>
    <x v="0"/>
    <n v="2239217176"/>
    <x v="1"/>
    <n v="10500"/>
    <x v="1"/>
    <x v="0"/>
    <x v="7"/>
    <x v="1"/>
    <x v="0"/>
    <x v="0"/>
    <x v="1"/>
    <x v="0"/>
  </r>
  <r>
    <x v="0"/>
    <x v="0"/>
    <n v="2239217178"/>
    <x v="1"/>
    <n v="37470"/>
    <x v="1"/>
    <x v="0"/>
    <x v="7"/>
    <x v="1"/>
    <x v="0"/>
    <x v="0"/>
    <x v="1"/>
    <x v="0"/>
  </r>
  <r>
    <x v="0"/>
    <x v="0"/>
    <n v="2239217179"/>
    <x v="1"/>
    <n v="12700"/>
    <x v="1"/>
    <x v="0"/>
    <x v="7"/>
    <x v="1"/>
    <x v="0"/>
    <x v="0"/>
    <x v="1"/>
    <x v="0"/>
  </r>
  <r>
    <x v="0"/>
    <x v="0"/>
    <n v="2239217181"/>
    <x v="0"/>
    <n v="3000"/>
    <x v="1"/>
    <x v="0"/>
    <x v="7"/>
    <x v="0"/>
    <x v="0"/>
    <x v="0"/>
    <x v="0"/>
    <x v="0"/>
  </r>
  <r>
    <x v="0"/>
    <x v="0"/>
    <n v="2239217183"/>
    <x v="0"/>
    <n v="13600"/>
    <x v="1"/>
    <x v="0"/>
    <x v="7"/>
    <x v="0"/>
    <x v="0"/>
    <x v="0"/>
    <x v="0"/>
    <x v="0"/>
  </r>
  <r>
    <x v="0"/>
    <x v="0"/>
    <n v="2239217184"/>
    <x v="0"/>
    <n v="13250"/>
    <x v="1"/>
    <x v="0"/>
    <x v="7"/>
    <x v="0"/>
    <x v="0"/>
    <x v="0"/>
    <x v="0"/>
    <x v="0"/>
  </r>
  <r>
    <x v="0"/>
    <x v="0"/>
    <n v="2239217185"/>
    <x v="0"/>
    <n v="8550"/>
    <x v="1"/>
    <x v="0"/>
    <x v="7"/>
    <x v="0"/>
    <x v="0"/>
    <x v="0"/>
    <x v="0"/>
    <x v="0"/>
  </r>
  <r>
    <x v="0"/>
    <x v="0"/>
    <n v="2239217186"/>
    <x v="0"/>
    <n v="1500"/>
    <x v="1"/>
    <x v="0"/>
    <x v="7"/>
    <x v="0"/>
    <x v="0"/>
    <x v="0"/>
    <x v="0"/>
    <x v="0"/>
  </r>
  <r>
    <x v="0"/>
    <x v="0"/>
    <n v="2239217188"/>
    <x v="0"/>
    <n v="1950"/>
    <x v="1"/>
    <x v="0"/>
    <x v="7"/>
    <x v="0"/>
    <x v="0"/>
    <x v="0"/>
    <x v="0"/>
    <x v="0"/>
  </r>
  <r>
    <x v="0"/>
    <x v="0"/>
    <n v="2239217189"/>
    <x v="0"/>
    <n v="1950"/>
    <x v="1"/>
    <x v="0"/>
    <x v="7"/>
    <x v="0"/>
    <x v="0"/>
    <x v="0"/>
    <x v="0"/>
    <x v="0"/>
  </r>
  <r>
    <x v="0"/>
    <x v="0"/>
    <n v="2239217190"/>
    <x v="0"/>
    <n v="1950"/>
    <x v="1"/>
    <x v="0"/>
    <x v="7"/>
    <x v="0"/>
    <x v="0"/>
    <x v="0"/>
    <x v="0"/>
    <x v="0"/>
  </r>
  <r>
    <x v="0"/>
    <x v="0"/>
    <n v="2239217191"/>
    <x v="0"/>
    <n v="1950"/>
    <x v="1"/>
    <x v="0"/>
    <x v="7"/>
    <x v="0"/>
    <x v="0"/>
    <x v="0"/>
    <x v="0"/>
    <x v="0"/>
  </r>
  <r>
    <x v="0"/>
    <x v="0"/>
    <n v="2239217192"/>
    <x v="0"/>
    <n v="2250"/>
    <x v="1"/>
    <x v="0"/>
    <x v="7"/>
    <x v="0"/>
    <x v="0"/>
    <x v="0"/>
    <x v="0"/>
    <x v="0"/>
  </r>
  <r>
    <x v="0"/>
    <x v="0"/>
    <n v="2239217193"/>
    <x v="1"/>
    <n v="6540"/>
    <x v="1"/>
    <x v="0"/>
    <x v="7"/>
    <x v="1"/>
    <x v="0"/>
    <x v="0"/>
    <x v="1"/>
    <x v="0"/>
  </r>
  <r>
    <x v="0"/>
    <x v="0"/>
    <n v="2239217195"/>
    <x v="6"/>
    <n v="6440"/>
    <x v="1"/>
    <x v="0"/>
    <x v="7"/>
    <x v="6"/>
    <x v="0"/>
    <x v="0"/>
    <x v="5"/>
    <x v="0"/>
  </r>
  <r>
    <x v="0"/>
    <x v="0"/>
    <n v="2239217196"/>
    <x v="2"/>
    <n v="14168"/>
    <x v="1"/>
    <x v="0"/>
    <x v="7"/>
    <x v="2"/>
    <x v="0"/>
    <x v="0"/>
    <x v="2"/>
    <x v="0"/>
  </r>
  <r>
    <x v="0"/>
    <x v="0"/>
    <n v="2239217197"/>
    <x v="5"/>
    <n v="-13560"/>
    <x v="1"/>
    <x v="0"/>
    <x v="7"/>
    <x v="5"/>
    <x v="0"/>
    <x v="0"/>
    <x v="5"/>
    <x v="0"/>
  </r>
  <r>
    <x v="0"/>
    <x v="0"/>
    <n v="2239217197"/>
    <x v="6"/>
    <n v="20000"/>
    <x v="1"/>
    <x v="0"/>
    <x v="7"/>
    <x v="6"/>
    <x v="0"/>
    <x v="0"/>
    <x v="5"/>
    <x v="0"/>
  </r>
  <r>
    <x v="0"/>
    <x v="0"/>
    <n v="2239217199"/>
    <x v="1"/>
    <n v="8970"/>
    <x v="1"/>
    <x v="0"/>
    <x v="7"/>
    <x v="1"/>
    <x v="0"/>
    <x v="0"/>
    <x v="1"/>
    <x v="0"/>
  </r>
  <r>
    <x v="0"/>
    <x v="0"/>
    <n v="2239217200"/>
    <x v="4"/>
    <n v="5600"/>
    <x v="1"/>
    <x v="0"/>
    <x v="7"/>
    <x v="4"/>
    <x v="0"/>
    <x v="0"/>
    <x v="4"/>
    <x v="0"/>
  </r>
  <r>
    <x v="0"/>
    <x v="0"/>
    <n v="2239217201"/>
    <x v="2"/>
    <n v="7084"/>
    <x v="1"/>
    <x v="0"/>
    <x v="7"/>
    <x v="2"/>
    <x v="0"/>
    <x v="0"/>
    <x v="2"/>
    <x v="0"/>
  </r>
  <r>
    <x v="0"/>
    <x v="0"/>
    <n v="2239217202"/>
    <x v="2"/>
    <n v="26580"/>
    <x v="1"/>
    <x v="0"/>
    <x v="7"/>
    <x v="2"/>
    <x v="0"/>
    <x v="0"/>
    <x v="2"/>
    <x v="0"/>
  </r>
  <r>
    <x v="0"/>
    <x v="0"/>
    <n v="2239217204"/>
    <x v="5"/>
    <n v="-5000"/>
    <x v="1"/>
    <x v="0"/>
    <x v="7"/>
    <x v="5"/>
    <x v="0"/>
    <x v="0"/>
    <x v="5"/>
    <x v="0"/>
  </r>
  <r>
    <x v="0"/>
    <x v="0"/>
    <n v="2239217204"/>
    <x v="4"/>
    <n v="10700"/>
    <x v="1"/>
    <x v="0"/>
    <x v="7"/>
    <x v="4"/>
    <x v="0"/>
    <x v="0"/>
    <x v="4"/>
    <x v="0"/>
  </r>
  <r>
    <x v="0"/>
    <x v="0"/>
    <n v="2239217205"/>
    <x v="5"/>
    <n v="-4400"/>
    <x v="1"/>
    <x v="0"/>
    <x v="7"/>
    <x v="5"/>
    <x v="0"/>
    <x v="0"/>
    <x v="5"/>
    <x v="0"/>
  </r>
  <r>
    <x v="0"/>
    <x v="0"/>
    <n v="2239217205"/>
    <x v="4"/>
    <n v="10000"/>
    <x v="1"/>
    <x v="0"/>
    <x v="7"/>
    <x v="4"/>
    <x v="0"/>
    <x v="0"/>
    <x v="4"/>
    <x v="0"/>
  </r>
  <r>
    <x v="0"/>
    <x v="0"/>
    <n v="2239217206"/>
    <x v="5"/>
    <n v="-5400"/>
    <x v="1"/>
    <x v="0"/>
    <x v="7"/>
    <x v="5"/>
    <x v="0"/>
    <x v="0"/>
    <x v="5"/>
    <x v="0"/>
  </r>
  <r>
    <x v="0"/>
    <x v="0"/>
    <n v="2239217206"/>
    <x v="4"/>
    <n v="10000"/>
    <x v="1"/>
    <x v="0"/>
    <x v="7"/>
    <x v="4"/>
    <x v="0"/>
    <x v="0"/>
    <x v="4"/>
    <x v="0"/>
  </r>
  <r>
    <x v="0"/>
    <x v="0"/>
    <n v="2239217207"/>
    <x v="2"/>
    <n v="9570"/>
    <x v="1"/>
    <x v="0"/>
    <x v="7"/>
    <x v="2"/>
    <x v="0"/>
    <x v="0"/>
    <x v="2"/>
    <x v="0"/>
  </r>
  <r>
    <x v="0"/>
    <x v="0"/>
    <n v="2239217208"/>
    <x v="2"/>
    <n v="3300"/>
    <x v="1"/>
    <x v="0"/>
    <x v="7"/>
    <x v="2"/>
    <x v="0"/>
    <x v="0"/>
    <x v="2"/>
    <x v="0"/>
  </r>
  <r>
    <x v="0"/>
    <x v="0"/>
    <n v="2239217208"/>
    <x v="7"/>
    <n v="3000"/>
    <x v="1"/>
    <x v="0"/>
    <x v="7"/>
    <x v="7"/>
    <x v="0"/>
    <x v="0"/>
    <x v="1"/>
    <x v="0"/>
  </r>
  <r>
    <x v="0"/>
    <x v="0"/>
    <n v="2239217209"/>
    <x v="5"/>
    <n v="-300"/>
    <x v="1"/>
    <x v="0"/>
    <x v="7"/>
    <x v="5"/>
    <x v="0"/>
    <x v="0"/>
    <x v="5"/>
    <x v="0"/>
  </r>
  <r>
    <x v="0"/>
    <x v="0"/>
    <n v="2239217209"/>
    <x v="4"/>
    <n v="6000"/>
    <x v="1"/>
    <x v="0"/>
    <x v="7"/>
    <x v="4"/>
    <x v="0"/>
    <x v="0"/>
    <x v="4"/>
    <x v="0"/>
  </r>
  <r>
    <x v="0"/>
    <x v="0"/>
    <n v="2239217210"/>
    <x v="5"/>
    <n v="-5600"/>
    <x v="1"/>
    <x v="0"/>
    <x v="7"/>
    <x v="5"/>
    <x v="0"/>
    <x v="0"/>
    <x v="5"/>
    <x v="0"/>
  </r>
  <r>
    <x v="0"/>
    <x v="0"/>
    <n v="2239217210"/>
    <x v="4"/>
    <n v="10000"/>
    <x v="1"/>
    <x v="0"/>
    <x v="7"/>
    <x v="4"/>
    <x v="0"/>
    <x v="0"/>
    <x v="4"/>
    <x v="0"/>
  </r>
  <r>
    <x v="0"/>
    <x v="0"/>
    <n v="2239217212"/>
    <x v="6"/>
    <n v="22200"/>
    <x v="1"/>
    <x v="0"/>
    <x v="7"/>
    <x v="6"/>
    <x v="0"/>
    <x v="0"/>
    <x v="5"/>
    <x v="0"/>
  </r>
  <r>
    <x v="0"/>
    <x v="0"/>
    <n v="2239217213"/>
    <x v="2"/>
    <n v="30745"/>
    <x v="1"/>
    <x v="0"/>
    <x v="7"/>
    <x v="2"/>
    <x v="0"/>
    <x v="0"/>
    <x v="2"/>
    <x v="0"/>
  </r>
  <r>
    <x v="0"/>
    <x v="0"/>
    <n v="2239217214"/>
    <x v="5"/>
    <n v="-4000"/>
    <x v="1"/>
    <x v="0"/>
    <x v="7"/>
    <x v="5"/>
    <x v="0"/>
    <x v="0"/>
    <x v="5"/>
    <x v="0"/>
  </r>
  <r>
    <x v="0"/>
    <x v="0"/>
    <n v="2239217214"/>
    <x v="6"/>
    <n v="5000"/>
    <x v="1"/>
    <x v="0"/>
    <x v="7"/>
    <x v="6"/>
    <x v="0"/>
    <x v="0"/>
    <x v="5"/>
    <x v="0"/>
  </r>
  <r>
    <x v="0"/>
    <x v="0"/>
    <n v="2239217215"/>
    <x v="3"/>
    <n v="39215"/>
    <x v="1"/>
    <x v="0"/>
    <x v="7"/>
    <x v="3"/>
    <x v="0"/>
    <x v="0"/>
    <x v="3"/>
    <x v="0"/>
  </r>
  <r>
    <x v="0"/>
    <x v="0"/>
    <n v="2239217217"/>
    <x v="6"/>
    <n v="1000"/>
    <x v="1"/>
    <x v="0"/>
    <x v="7"/>
    <x v="6"/>
    <x v="0"/>
    <x v="0"/>
    <x v="5"/>
    <x v="0"/>
  </r>
  <r>
    <x v="0"/>
    <x v="0"/>
    <n v="2239217218"/>
    <x v="2"/>
    <n v="17380"/>
    <x v="1"/>
    <x v="0"/>
    <x v="7"/>
    <x v="2"/>
    <x v="0"/>
    <x v="0"/>
    <x v="2"/>
    <x v="0"/>
  </r>
  <r>
    <x v="0"/>
    <x v="0"/>
    <n v="2239217220"/>
    <x v="1"/>
    <n v="1950"/>
    <x v="1"/>
    <x v="0"/>
    <x v="7"/>
    <x v="1"/>
    <x v="0"/>
    <x v="0"/>
    <x v="1"/>
    <x v="0"/>
  </r>
  <r>
    <x v="0"/>
    <x v="0"/>
    <n v="2239217224"/>
    <x v="2"/>
    <n v="18095"/>
    <x v="1"/>
    <x v="0"/>
    <x v="7"/>
    <x v="2"/>
    <x v="0"/>
    <x v="0"/>
    <x v="2"/>
    <x v="0"/>
  </r>
  <r>
    <x v="0"/>
    <x v="0"/>
    <n v="2239217225"/>
    <x v="1"/>
    <n v="1440"/>
    <x v="1"/>
    <x v="0"/>
    <x v="7"/>
    <x v="1"/>
    <x v="0"/>
    <x v="0"/>
    <x v="1"/>
    <x v="0"/>
  </r>
  <r>
    <x v="0"/>
    <x v="0"/>
    <n v="2239217226"/>
    <x v="3"/>
    <n v="25080"/>
    <x v="1"/>
    <x v="0"/>
    <x v="7"/>
    <x v="3"/>
    <x v="0"/>
    <x v="0"/>
    <x v="3"/>
    <x v="0"/>
  </r>
  <r>
    <x v="0"/>
    <x v="0"/>
    <n v="2239217227"/>
    <x v="1"/>
    <n v="1140"/>
    <x v="1"/>
    <x v="0"/>
    <x v="7"/>
    <x v="1"/>
    <x v="0"/>
    <x v="0"/>
    <x v="1"/>
    <x v="0"/>
  </r>
  <r>
    <x v="0"/>
    <x v="0"/>
    <n v="2239217228"/>
    <x v="4"/>
    <n v="11000"/>
    <x v="1"/>
    <x v="0"/>
    <x v="7"/>
    <x v="4"/>
    <x v="0"/>
    <x v="0"/>
    <x v="4"/>
    <x v="0"/>
  </r>
  <r>
    <x v="0"/>
    <x v="0"/>
    <n v="2239217229"/>
    <x v="2"/>
    <n v="20570"/>
    <x v="1"/>
    <x v="0"/>
    <x v="7"/>
    <x v="2"/>
    <x v="0"/>
    <x v="0"/>
    <x v="2"/>
    <x v="0"/>
  </r>
  <r>
    <x v="0"/>
    <x v="0"/>
    <n v="2239217231"/>
    <x v="2"/>
    <n v="21340"/>
    <x v="1"/>
    <x v="0"/>
    <x v="7"/>
    <x v="2"/>
    <x v="0"/>
    <x v="0"/>
    <x v="2"/>
    <x v="0"/>
  </r>
  <r>
    <x v="0"/>
    <x v="0"/>
    <n v="2239217232"/>
    <x v="2"/>
    <n v="22495"/>
    <x v="1"/>
    <x v="0"/>
    <x v="7"/>
    <x v="2"/>
    <x v="0"/>
    <x v="0"/>
    <x v="2"/>
    <x v="0"/>
  </r>
  <r>
    <x v="0"/>
    <x v="0"/>
    <n v="2239217233"/>
    <x v="2"/>
    <n v="28215"/>
    <x v="1"/>
    <x v="0"/>
    <x v="7"/>
    <x v="2"/>
    <x v="0"/>
    <x v="0"/>
    <x v="2"/>
    <x v="0"/>
  </r>
  <r>
    <x v="0"/>
    <x v="0"/>
    <n v="2239217234"/>
    <x v="5"/>
    <n v="-10200"/>
    <x v="1"/>
    <x v="0"/>
    <x v="7"/>
    <x v="5"/>
    <x v="0"/>
    <x v="0"/>
    <x v="5"/>
    <x v="0"/>
  </r>
  <r>
    <x v="0"/>
    <x v="0"/>
    <n v="2239217234"/>
    <x v="6"/>
    <n v="50000"/>
    <x v="1"/>
    <x v="0"/>
    <x v="7"/>
    <x v="6"/>
    <x v="0"/>
    <x v="0"/>
    <x v="5"/>
    <x v="0"/>
  </r>
  <r>
    <x v="0"/>
    <x v="0"/>
    <n v="2239217235"/>
    <x v="2"/>
    <n v="93390"/>
    <x v="1"/>
    <x v="0"/>
    <x v="7"/>
    <x v="2"/>
    <x v="0"/>
    <x v="0"/>
    <x v="2"/>
    <x v="0"/>
  </r>
  <r>
    <x v="0"/>
    <x v="0"/>
    <n v="2239217236"/>
    <x v="5"/>
    <n v="-4000"/>
    <x v="1"/>
    <x v="0"/>
    <x v="7"/>
    <x v="5"/>
    <x v="0"/>
    <x v="0"/>
    <x v="5"/>
    <x v="0"/>
  </r>
  <r>
    <x v="0"/>
    <x v="0"/>
    <n v="2239217236"/>
    <x v="6"/>
    <n v="10000"/>
    <x v="1"/>
    <x v="0"/>
    <x v="7"/>
    <x v="6"/>
    <x v="0"/>
    <x v="0"/>
    <x v="5"/>
    <x v="0"/>
  </r>
  <r>
    <x v="0"/>
    <x v="0"/>
    <n v="2239217237"/>
    <x v="5"/>
    <n v="-1400"/>
    <x v="1"/>
    <x v="0"/>
    <x v="7"/>
    <x v="5"/>
    <x v="0"/>
    <x v="0"/>
    <x v="5"/>
    <x v="0"/>
  </r>
  <r>
    <x v="0"/>
    <x v="0"/>
    <n v="2239217237"/>
    <x v="4"/>
    <n v="7000"/>
    <x v="1"/>
    <x v="0"/>
    <x v="7"/>
    <x v="4"/>
    <x v="0"/>
    <x v="0"/>
    <x v="4"/>
    <x v="0"/>
  </r>
  <r>
    <x v="0"/>
    <x v="0"/>
    <n v="2239217240"/>
    <x v="3"/>
    <n v="53900"/>
    <x v="1"/>
    <x v="0"/>
    <x v="7"/>
    <x v="3"/>
    <x v="0"/>
    <x v="0"/>
    <x v="3"/>
    <x v="0"/>
  </r>
  <r>
    <x v="0"/>
    <x v="0"/>
    <n v="2239217240"/>
    <x v="7"/>
    <n v="500"/>
    <x v="1"/>
    <x v="0"/>
    <x v="7"/>
    <x v="7"/>
    <x v="0"/>
    <x v="0"/>
    <x v="1"/>
    <x v="0"/>
  </r>
  <r>
    <x v="0"/>
    <x v="0"/>
    <n v="2239217241"/>
    <x v="2"/>
    <n v="2000"/>
    <x v="1"/>
    <x v="0"/>
    <x v="7"/>
    <x v="2"/>
    <x v="0"/>
    <x v="0"/>
    <x v="2"/>
    <x v="0"/>
  </r>
  <r>
    <x v="0"/>
    <x v="0"/>
    <n v="2239217242"/>
    <x v="2"/>
    <n v="5750"/>
    <x v="1"/>
    <x v="0"/>
    <x v="7"/>
    <x v="2"/>
    <x v="0"/>
    <x v="0"/>
    <x v="2"/>
    <x v="0"/>
  </r>
  <r>
    <x v="0"/>
    <x v="0"/>
    <n v="2239217243"/>
    <x v="5"/>
    <n v="-6000"/>
    <x v="1"/>
    <x v="0"/>
    <x v="7"/>
    <x v="5"/>
    <x v="0"/>
    <x v="0"/>
    <x v="5"/>
    <x v="0"/>
  </r>
  <r>
    <x v="0"/>
    <x v="0"/>
    <n v="2239217243"/>
    <x v="6"/>
    <n v="10000"/>
    <x v="1"/>
    <x v="0"/>
    <x v="7"/>
    <x v="6"/>
    <x v="0"/>
    <x v="0"/>
    <x v="5"/>
    <x v="0"/>
  </r>
  <r>
    <x v="0"/>
    <x v="0"/>
    <n v="2239217244"/>
    <x v="2"/>
    <n v="7700"/>
    <x v="1"/>
    <x v="0"/>
    <x v="7"/>
    <x v="2"/>
    <x v="0"/>
    <x v="0"/>
    <x v="2"/>
    <x v="0"/>
  </r>
  <r>
    <x v="0"/>
    <x v="0"/>
    <n v="2239217245"/>
    <x v="5"/>
    <n v="-700"/>
    <x v="1"/>
    <x v="0"/>
    <x v="7"/>
    <x v="5"/>
    <x v="0"/>
    <x v="0"/>
    <x v="5"/>
    <x v="0"/>
  </r>
  <r>
    <x v="0"/>
    <x v="0"/>
    <n v="2239217245"/>
    <x v="4"/>
    <n v="6000"/>
    <x v="1"/>
    <x v="0"/>
    <x v="7"/>
    <x v="4"/>
    <x v="0"/>
    <x v="0"/>
    <x v="4"/>
    <x v="0"/>
  </r>
  <r>
    <x v="0"/>
    <x v="0"/>
    <n v="2239217246"/>
    <x v="2"/>
    <n v="26450"/>
    <x v="1"/>
    <x v="0"/>
    <x v="7"/>
    <x v="2"/>
    <x v="0"/>
    <x v="0"/>
    <x v="2"/>
    <x v="0"/>
  </r>
  <r>
    <x v="0"/>
    <x v="0"/>
    <n v="2239217248"/>
    <x v="3"/>
    <n v="13255"/>
    <x v="1"/>
    <x v="0"/>
    <x v="7"/>
    <x v="3"/>
    <x v="0"/>
    <x v="0"/>
    <x v="3"/>
    <x v="0"/>
  </r>
  <r>
    <x v="0"/>
    <x v="0"/>
    <n v="2239217248"/>
    <x v="7"/>
    <n v="12050"/>
    <x v="1"/>
    <x v="0"/>
    <x v="7"/>
    <x v="7"/>
    <x v="0"/>
    <x v="0"/>
    <x v="1"/>
    <x v="0"/>
  </r>
  <r>
    <x v="0"/>
    <x v="0"/>
    <n v="2239217250"/>
    <x v="8"/>
    <n v="78760"/>
    <x v="1"/>
    <x v="0"/>
    <x v="7"/>
    <x v="8"/>
    <x v="0"/>
    <x v="0"/>
    <x v="3"/>
    <x v="0"/>
  </r>
  <r>
    <x v="0"/>
    <x v="0"/>
    <n v="2239217251"/>
    <x v="5"/>
    <n v="-14700"/>
    <x v="1"/>
    <x v="0"/>
    <x v="7"/>
    <x v="5"/>
    <x v="0"/>
    <x v="0"/>
    <x v="5"/>
    <x v="0"/>
  </r>
  <r>
    <x v="0"/>
    <x v="0"/>
    <n v="2239217251"/>
    <x v="4"/>
    <n v="20000"/>
    <x v="1"/>
    <x v="0"/>
    <x v="7"/>
    <x v="4"/>
    <x v="0"/>
    <x v="0"/>
    <x v="4"/>
    <x v="0"/>
  </r>
  <r>
    <x v="0"/>
    <x v="0"/>
    <n v="2239217252"/>
    <x v="2"/>
    <n v="8195"/>
    <x v="1"/>
    <x v="0"/>
    <x v="7"/>
    <x v="2"/>
    <x v="0"/>
    <x v="0"/>
    <x v="2"/>
    <x v="0"/>
  </r>
  <r>
    <x v="0"/>
    <x v="0"/>
    <n v="2239217253"/>
    <x v="2"/>
    <n v="3300"/>
    <x v="1"/>
    <x v="0"/>
    <x v="7"/>
    <x v="2"/>
    <x v="0"/>
    <x v="0"/>
    <x v="2"/>
    <x v="0"/>
  </r>
  <r>
    <x v="0"/>
    <x v="0"/>
    <n v="2239217254"/>
    <x v="2"/>
    <n v="34155"/>
    <x v="1"/>
    <x v="0"/>
    <x v="7"/>
    <x v="2"/>
    <x v="0"/>
    <x v="0"/>
    <x v="2"/>
    <x v="0"/>
  </r>
  <r>
    <x v="0"/>
    <x v="0"/>
    <n v="2239217255"/>
    <x v="6"/>
    <n v="3250"/>
    <x v="1"/>
    <x v="0"/>
    <x v="7"/>
    <x v="6"/>
    <x v="0"/>
    <x v="0"/>
    <x v="5"/>
    <x v="0"/>
  </r>
  <r>
    <x v="0"/>
    <x v="0"/>
    <n v="2239217257"/>
    <x v="3"/>
    <n v="40975"/>
    <x v="1"/>
    <x v="0"/>
    <x v="7"/>
    <x v="3"/>
    <x v="0"/>
    <x v="0"/>
    <x v="3"/>
    <x v="0"/>
  </r>
  <r>
    <x v="0"/>
    <x v="0"/>
    <n v="2239217258"/>
    <x v="5"/>
    <n v="-6000"/>
    <x v="1"/>
    <x v="0"/>
    <x v="7"/>
    <x v="5"/>
    <x v="0"/>
    <x v="0"/>
    <x v="5"/>
    <x v="0"/>
  </r>
  <r>
    <x v="0"/>
    <x v="0"/>
    <n v="2239217258"/>
    <x v="6"/>
    <n v="120000"/>
    <x v="1"/>
    <x v="0"/>
    <x v="7"/>
    <x v="6"/>
    <x v="0"/>
    <x v="0"/>
    <x v="5"/>
    <x v="0"/>
  </r>
  <r>
    <x v="0"/>
    <x v="0"/>
    <n v="2239217259"/>
    <x v="6"/>
    <n v="10000"/>
    <x v="1"/>
    <x v="0"/>
    <x v="7"/>
    <x v="6"/>
    <x v="0"/>
    <x v="0"/>
    <x v="5"/>
    <x v="0"/>
  </r>
  <r>
    <x v="0"/>
    <x v="0"/>
    <n v="2239217260"/>
    <x v="2"/>
    <n v="20790"/>
    <x v="1"/>
    <x v="0"/>
    <x v="7"/>
    <x v="2"/>
    <x v="0"/>
    <x v="0"/>
    <x v="2"/>
    <x v="0"/>
  </r>
  <r>
    <x v="0"/>
    <x v="0"/>
    <n v="2239217262"/>
    <x v="2"/>
    <n v="32000"/>
    <x v="1"/>
    <x v="0"/>
    <x v="7"/>
    <x v="2"/>
    <x v="0"/>
    <x v="0"/>
    <x v="2"/>
    <x v="0"/>
  </r>
  <r>
    <x v="0"/>
    <x v="0"/>
    <n v="2239217263"/>
    <x v="2"/>
    <n v="16000"/>
    <x v="1"/>
    <x v="0"/>
    <x v="7"/>
    <x v="2"/>
    <x v="0"/>
    <x v="0"/>
    <x v="2"/>
    <x v="0"/>
  </r>
  <r>
    <x v="0"/>
    <x v="0"/>
    <n v="2239217264"/>
    <x v="3"/>
    <n v="18700"/>
    <x v="1"/>
    <x v="0"/>
    <x v="7"/>
    <x v="3"/>
    <x v="0"/>
    <x v="0"/>
    <x v="3"/>
    <x v="0"/>
  </r>
  <r>
    <x v="0"/>
    <x v="0"/>
    <n v="2239217266"/>
    <x v="2"/>
    <n v="27900"/>
    <x v="1"/>
    <x v="0"/>
    <x v="7"/>
    <x v="2"/>
    <x v="0"/>
    <x v="0"/>
    <x v="2"/>
    <x v="0"/>
  </r>
  <r>
    <x v="0"/>
    <x v="0"/>
    <n v="2239217267"/>
    <x v="5"/>
    <n v="-6000"/>
    <x v="1"/>
    <x v="0"/>
    <x v="7"/>
    <x v="5"/>
    <x v="0"/>
    <x v="0"/>
    <x v="5"/>
    <x v="0"/>
  </r>
  <r>
    <x v="0"/>
    <x v="0"/>
    <n v="2239217267"/>
    <x v="6"/>
    <n v="10000"/>
    <x v="1"/>
    <x v="0"/>
    <x v="7"/>
    <x v="6"/>
    <x v="0"/>
    <x v="0"/>
    <x v="5"/>
    <x v="0"/>
  </r>
  <r>
    <x v="0"/>
    <x v="0"/>
    <n v="2239217268"/>
    <x v="5"/>
    <n v="-4200"/>
    <x v="1"/>
    <x v="0"/>
    <x v="7"/>
    <x v="5"/>
    <x v="0"/>
    <x v="0"/>
    <x v="5"/>
    <x v="0"/>
  </r>
  <r>
    <x v="0"/>
    <x v="0"/>
    <n v="2239217268"/>
    <x v="6"/>
    <n v="15000"/>
    <x v="1"/>
    <x v="0"/>
    <x v="7"/>
    <x v="6"/>
    <x v="0"/>
    <x v="0"/>
    <x v="5"/>
    <x v="0"/>
  </r>
  <r>
    <x v="0"/>
    <x v="0"/>
    <n v="2239217269"/>
    <x v="5"/>
    <n v="-5400"/>
    <x v="1"/>
    <x v="0"/>
    <x v="7"/>
    <x v="5"/>
    <x v="0"/>
    <x v="0"/>
    <x v="5"/>
    <x v="0"/>
  </r>
  <r>
    <x v="0"/>
    <x v="0"/>
    <n v="2239217269"/>
    <x v="4"/>
    <n v="10000"/>
    <x v="1"/>
    <x v="0"/>
    <x v="7"/>
    <x v="4"/>
    <x v="0"/>
    <x v="0"/>
    <x v="4"/>
    <x v="0"/>
  </r>
  <r>
    <x v="0"/>
    <x v="0"/>
    <n v="2239217271"/>
    <x v="1"/>
    <n v="15300"/>
    <x v="1"/>
    <x v="0"/>
    <x v="7"/>
    <x v="1"/>
    <x v="0"/>
    <x v="0"/>
    <x v="1"/>
    <x v="0"/>
  </r>
  <r>
    <x v="0"/>
    <x v="0"/>
    <n v="2239217272"/>
    <x v="5"/>
    <n v="-14300"/>
    <x v="1"/>
    <x v="0"/>
    <x v="7"/>
    <x v="5"/>
    <x v="0"/>
    <x v="0"/>
    <x v="5"/>
    <x v="0"/>
  </r>
  <r>
    <x v="0"/>
    <x v="0"/>
    <n v="2239217272"/>
    <x v="4"/>
    <n v="20000"/>
    <x v="1"/>
    <x v="0"/>
    <x v="7"/>
    <x v="4"/>
    <x v="0"/>
    <x v="0"/>
    <x v="4"/>
    <x v="0"/>
  </r>
  <r>
    <x v="0"/>
    <x v="0"/>
    <n v="2239217273"/>
    <x v="5"/>
    <n v="-2250"/>
    <x v="1"/>
    <x v="0"/>
    <x v="7"/>
    <x v="5"/>
    <x v="0"/>
    <x v="0"/>
    <x v="5"/>
    <x v="0"/>
  </r>
  <r>
    <x v="0"/>
    <x v="0"/>
    <n v="2239217273"/>
    <x v="6"/>
    <n v="5500"/>
    <x v="1"/>
    <x v="0"/>
    <x v="7"/>
    <x v="6"/>
    <x v="0"/>
    <x v="0"/>
    <x v="5"/>
    <x v="0"/>
  </r>
  <r>
    <x v="0"/>
    <x v="0"/>
    <n v="2239217274"/>
    <x v="4"/>
    <n v="5000"/>
    <x v="1"/>
    <x v="0"/>
    <x v="7"/>
    <x v="4"/>
    <x v="0"/>
    <x v="0"/>
    <x v="4"/>
    <x v="0"/>
  </r>
  <r>
    <x v="0"/>
    <x v="0"/>
    <n v="2239217276"/>
    <x v="1"/>
    <n v="6000"/>
    <x v="1"/>
    <x v="0"/>
    <x v="7"/>
    <x v="1"/>
    <x v="0"/>
    <x v="0"/>
    <x v="1"/>
    <x v="0"/>
  </r>
  <r>
    <x v="0"/>
    <x v="0"/>
    <n v="2239217277"/>
    <x v="2"/>
    <n v="8250"/>
    <x v="1"/>
    <x v="0"/>
    <x v="7"/>
    <x v="2"/>
    <x v="0"/>
    <x v="0"/>
    <x v="2"/>
    <x v="0"/>
  </r>
  <r>
    <x v="0"/>
    <x v="0"/>
    <n v="2239217279"/>
    <x v="2"/>
    <n v="6500"/>
    <x v="1"/>
    <x v="0"/>
    <x v="7"/>
    <x v="2"/>
    <x v="0"/>
    <x v="0"/>
    <x v="2"/>
    <x v="0"/>
  </r>
  <r>
    <x v="0"/>
    <x v="0"/>
    <n v="2239217280"/>
    <x v="5"/>
    <n v="-5000"/>
    <x v="1"/>
    <x v="0"/>
    <x v="7"/>
    <x v="5"/>
    <x v="0"/>
    <x v="0"/>
    <x v="5"/>
    <x v="0"/>
  </r>
  <r>
    <x v="0"/>
    <x v="0"/>
    <n v="2239217280"/>
    <x v="4"/>
    <n v="10300"/>
    <x v="1"/>
    <x v="0"/>
    <x v="7"/>
    <x v="4"/>
    <x v="0"/>
    <x v="0"/>
    <x v="4"/>
    <x v="0"/>
  </r>
  <r>
    <x v="0"/>
    <x v="0"/>
    <n v="2239217282"/>
    <x v="2"/>
    <n v="33990"/>
    <x v="1"/>
    <x v="0"/>
    <x v="7"/>
    <x v="2"/>
    <x v="0"/>
    <x v="0"/>
    <x v="2"/>
    <x v="0"/>
  </r>
  <r>
    <x v="0"/>
    <x v="0"/>
    <n v="2239217284"/>
    <x v="2"/>
    <n v="4400"/>
    <x v="1"/>
    <x v="0"/>
    <x v="7"/>
    <x v="2"/>
    <x v="0"/>
    <x v="0"/>
    <x v="2"/>
    <x v="0"/>
  </r>
  <r>
    <x v="0"/>
    <x v="0"/>
    <n v="2239217286"/>
    <x v="5"/>
    <n v="-500"/>
    <x v="1"/>
    <x v="0"/>
    <x v="7"/>
    <x v="5"/>
    <x v="0"/>
    <x v="0"/>
    <x v="5"/>
    <x v="0"/>
  </r>
  <r>
    <x v="0"/>
    <x v="0"/>
    <n v="2239217286"/>
    <x v="6"/>
    <n v="5000"/>
    <x v="1"/>
    <x v="0"/>
    <x v="7"/>
    <x v="6"/>
    <x v="0"/>
    <x v="0"/>
    <x v="5"/>
    <x v="0"/>
  </r>
  <r>
    <x v="0"/>
    <x v="0"/>
    <n v="2239217287"/>
    <x v="5"/>
    <n v="-300"/>
    <x v="1"/>
    <x v="0"/>
    <x v="7"/>
    <x v="5"/>
    <x v="0"/>
    <x v="0"/>
    <x v="5"/>
    <x v="0"/>
  </r>
  <r>
    <x v="0"/>
    <x v="0"/>
    <n v="2239217287"/>
    <x v="4"/>
    <n v="6000"/>
    <x v="1"/>
    <x v="0"/>
    <x v="7"/>
    <x v="4"/>
    <x v="0"/>
    <x v="0"/>
    <x v="4"/>
    <x v="0"/>
  </r>
  <r>
    <x v="0"/>
    <x v="0"/>
    <n v="2239217288"/>
    <x v="3"/>
    <n v="37895"/>
    <x v="1"/>
    <x v="0"/>
    <x v="7"/>
    <x v="3"/>
    <x v="0"/>
    <x v="0"/>
    <x v="3"/>
    <x v="0"/>
  </r>
  <r>
    <x v="0"/>
    <x v="0"/>
    <n v="2239217288"/>
    <x v="2"/>
    <n v="37895"/>
    <x v="1"/>
    <x v="0"/>
    <x v="7"/>
    <x v="2"/>
    <x v="0"/>
    <x v="0"/>
    <x v="2"/>
    <x v="0"/>
  </r>
  <r>
    <x v="0"/>
    <x v="0"/>
    <n v="2239217289"/>
    <x v="5"/>
    <n v="-500"/>
    <x v="1"/>
    <x v="0"/>
    <x v="7"/>
    <x v="5"/>
    <x v="0"/>
    <x v="0"/>
    <x v="5"/>
    <x v="0"/>
  </r>
  <r>
    <x v="0"/>
    <x v="0"/>
    <n v="2239217289"/>
    <x v="6"/>
    <n v="5000"/>
    <x v="1"/>
    <x v="0"/>
    <x v="7"/>
    <x v="6"/>
    <x v="0"/>
    <x v="0"/>
    <x v="5"/>
    <x v="0"/>
  </r>
  <r>
    <x v="0"/>
    <x v="0"/>
    <n v="2239217290"/>
    <x v="5"/>
    <n v="-1090"/>
    <x v="1"/>
    <x v="0"/>
    <x v="7"/>
    <x v="5"/>
    <x v="0"/>
    <x v="0"/>
    <x v="5"/>
    <x v="0"/>
  </r>
  <r>
    <x v="0"/>
    <x v="0"/>
    <n v="2239217290"/>
    <x v="6"/>
    <n v="20000"/>
    <x v="1"/>
    <x v="0"/>
    <x v="7"/>
    <x v="6"/>
    <x v="0"/>
    <x v="0"/>
    <x v="5"/>
    <x v="0"/>
  </r>
  <r>
    <x v="0"/>
    <x v="0"/>
    <n v="2239217290"/>
    <x v="2"/>
    <n v="44480"/>
    <x v="1"/>
    <x v="0"/>
    <x v="7"/>
    <x v="2"/>
    <x v="0"/>
    <x v="0"/>
    <x v="2"/>
    <x v="0"/>
  </r>
  <r>
    <x v="0"/>
    <x v="0"/>
    <n v="2239217292"/>
    <x v="2"/>
    <n v="5775"/>
    <x v="1"/>
    <x v="0"/>
    <x v="7"/>
    <x v="2"/>
    <x v="0"/>
    <x v="0"/>
    <x v="2"/>
    <x v="0"/>
  </r>
  <r>
    <x v="0"/>
    <x v="0"/>
    <n v="2239217293"/>
    <x v="2"/>
    <n v="97251"/>
    <x v="1"/>
    <x v="0"/>
    <x v="7"/>
    <x v="2"/>
    <x v="0"/>
    <x v="0"/>
    <x v="2"/>
    <x v="0"/>
  </r>
  <r>
    <x v="0"/>
    <x v="0"/>
    <n v="2239217294"/>
    <x v="2"/>
    <n v="35640"/>
    <x v="1"/>
    <x v="0"/>
    <x v="7"/>
    <x v="2"/>
    <x v="0"/>
    <x v="0"/>
    <x v="2"/>
    <x v="0"/>
  </r>
  <r>
    <x v="0"/>
    <x v="0"/>
    <n v="2239217295"/>
    <x v="5"/>
    <n v="-140"/>
    <x v="1"/>
    <x v="0"/>
    <x v="7"/>
    <x v="5"/>
    <x v="0"/>
    <x v="0"/>
    <x v="5"/>
    <x v="0"/>
  </r>
  <r>
    <x v="0"/>
    <x v="0"/>
    <n v="2239217295"/>
    <x v="6"/>
    <n v="12500"/>
    <x v="1"/>
    <x v="0"/>
    <x v="7"/>
    <x v="6"/>
    <x v="0"/>
    <x v="0"/>
    <x v="5"/>
    <x v="0"/>
  </r>
  <r>
    <x v="0"/>
    <x v="0"/>
    <n v="2239217296"/>
    <x v="2"/>
    <n v="8800"/>
    <x v="1"/>
    <x v="0"/>
    <x v="7"/>
    <x v="2"/>
    <x v="0"/>
    <x v="0"/>
    <x v="2"/>
    <x v="0"/>
  </r>
  <r>
    <x v="0"/>
    <x v="0"/>
    <n v="2239217298"/>
    <x v="2"/>
    <n v="49500"/>
    <x v="1"/>
    <x v="0"/>
    <x v="7"/>
    <x v="2"/>
    <x v="0"/>
    <x v="0"/>
    <x v="2"/>
    <x v="0"/>
  </r>
  <r>
    <x v="0"/>
    <x v="0"/>
    <n v="2239217300"/>
    <x v="2"/>
    <n v="23012"/>
    <x v="1"/>
    <x v="0"/>
    <x v="7"/>
    <x v="2"/>
    <x v="0"/>
    <x v="0"/>
    <x v="2"/>
    <x v="0"/>
  </r>
  <r>
    <x v="0"/>
    <x v="0"/>
    <n v="2239217301"/>
    <x v="5"/>
    <n v="-4400"/>
    <x v="1"/>
    <x v="0"/>
    <x v="7"/>
    <x v="5"/>
    <x v="0"/>
    <x v="0"/>
    <x v="5"/>
    <x v="0"/>
  </r>
  <r>
    <x v="0"/>
    <x v="0"/>
    <n v="2239217301"/>
    <x v="4"/>
    <n v="10000"/>
    <x v="1"/>
    <x v="0"/>
    <x v="7"/>
    <x v="4"/>
    <x v="0"/>
    <x v="0"/>
    <x v="4"/>
    <x v="0"/>
  </r>
  <r>
    <x v="0"/>
    <x v="0"/>
    <n v="2239217303"/>
    <x v="5"/>
    <n v="-400"/>
    <x v="1"/>
    <x v="0"/>
    <x v="7"/>
    <x v="5"/>
    <x v="0"/>
    <x v="0"/>
    <x v="5"/>
    <x v="0"/>
  </r>
  <r>
    <x v="0"/>
    <x v="0"/>
    <n v="2239217303"/>
    <x v="4"/>
    <n v="6000"/>
    <x v="1"/>
    <x v="0"/>
    <x v="7"/>
    <x v="4"/>
    <x v="0"/>
    <x v="0"/>
    <x v="4"/>
    <x v="0"/>
  </r>
  <r>
    <x v="0"/>
    <x v="0"/>
    <n v="2239217304"/>
    <x v="2"/>
    <n v="4400"/>
    <x v="1"/>
    <x v="0"/>
    <x v="7"/>
    <x v="2"/>
    <x v="0"/>
    <x v="0"/>
    <x v="2"/>
    <x v="0"/>
  </r>
  <r>
    <x v="0"/>
    <x v="0"/>
    <n v="2239217305"/>
    <x v="8"/>
    <n v="6600"/>
    <x v="1"/>
    <x v="0"/>
    <x v="7"/>
    <x v="8"/>
    <x v="0"/>
    <x v="0"/>
    <x v="3"/>
    <x v="0"/>
  </r>
  <r>
    <x v="0"/>
    <x v="0"/>
    <n v="2239217306"/>
    <x v="5"/>
    <n v="-2000"/>
    <x v="1"/>
    <x v="0"/>
    <x v="7"/>
    <x v="5"/>
    <x v="0"/>
    <x v="0"/>
    <x v="5"/>
    <x v="0"/>
  </r>
  <r>
    <x v="0"/>
    <x v="0"/>
    <n v="2239217306"/>
    <x v="6"/>
    <n v="10000"/>
    <x v="1"/>
    <x v="0"/>
    <x v="7"/>
    <x v="6"/>
    <x v="0"/>
    <x v="0"/>
    <x v="5"/>
    <x v="0"/>
  </r>
  <r>
    <x v="0"/>
    <x v="0"/>
    <n v="2239217308"/>
    <x v="2"/>
    <n v="7500"/>
    <x v="1"/>
    <x v="0"/>
    <x v="7"/>
    <x v="2"/>
    <x v="0"/>
    <x v="0"/>
    <x v="2"/>
    <x v="0"/>
  </r>
  <r>
    <x v="0"/>
    <x v="0"/>
    <n v="2239217309"/>
    <x v="2"/>
    <n v="8800"/>
    <x v="1"/>
    <x v="0"/>
    <x v="7"/>
    <x v="2"/>
    <x v="0"/>
    <x v="0"/>
    <x v="2"/>
    <x v="0"/>
  </r>
  <r>
    <x v="0"/>
    <x v="0"/>
    <n v="2239217311"/>
    <x v="2"/>
    <n v="22550"/>
    <x v="1"/>
    <x v="0"/>
    <x v="7"/>
    <x v="2"/>
    <x v="0"/>
    <x v="0"/>
    <x v="2"/>
    <x v="0"/>
  </r>
  <r>
    <x v="0"/>
    <x v="0"/>
    <n v="2239217312"/>
    <x v="2"/>
    <n v="7150"/>
    <x v="1"/>
    <x v="0"/>
    <x v="7"/>
    <x v="2"/>
    <x v="0"/>
    <x v="0"/>
    <x v="2"/>
    <x v="0"/>
  </r>
  <r>
    <x v="0"/>
    <x v="0"/>
    <n v="2239217313"/>
    <x v="1"/>
    <n v="231660"/>
    <x v="1"/>
    <x v="0"/>
    <x v="7"/>
    <x v="1"/>
    <x v="0"/>
    <x v="0"/>
    <x v="1"/>
    <x v="0"/>
  </r>
  <r>
    <x v="0"/>
    <x v="0"/>
    <n v="2239217314"/>
    <x v="3"/>
    <n v="13000"/>
    <x v="1"/>
    <x v="0"/>
    <x v="7"/>
    <x v="3"/>
    <x v="0"/>
    <x v="0"/>
    <x v="3"/>
    <x v="0"/>
  </r>
  <r>
    <x v="0"/>
    <x v="0"/>
    <n v="2239217315"/>
    <x v="2"/>
    <n v="7150"/>
    <x v="1"/>
    <x v="0"/>
    <x v="7"/>
    <x v="2"/>
    <x v="0"/>
    <x v="0"/>
    <x v="2"/>
    <x v="0"/>
  </r>
  <r>
    <x v="0"/>
    <x v="0"/>
    <n v="2239217317"/>
    <x v="2"/>
    <n v="17600"/>
    <x v="1"/>
    <x v="0"/>
    <x v="7"/>
    <x v="2"/>
    <x v="0"/>
    <x v="0"/>
    <x v="2"/>
    <x v="0"/>
  </r>
  <r>
    <x v="0"/>
    <x v="0"/>
    <n v="2239217318"/>
    <x v="3"/>
    <n v="31350"/>
    <x v="1"/>
    <x v="0"/>
    <x v="7"/>
    <x v="3"/>
    <x v="0"/>
    <x v="0"/>
    <x v="3"/>
    <x v="0"/>
  </r>
  <r>
    <x v="0"/>
    <x v="0"/>
    <n v="2239217319"/>
    <x v="5"/>
    <n v="-4300"/>
    <x v="1"/>
    <x v="0"/>
    <x v="7"/>
    <x v="5"/>
    <x v="0"/>
    <x v="0"/>
    <x v="5"/>
    <x v="0"/>
  </r>
  <r>
    <x v="0"/>
    <x v="0"/>
    <n v="2239217319"/>
    <x v="4"/>
    <n v="10000"/>
    <x v="1"/>
    <x v="0"/>
    <x v="7"/>
    <x v="4"/>
    <x v="0"/>
    <x v="0"/>
    <x v="4"/>
    <x v="0"/>
  </r>
  <r>
    <x v="0"/>
    <x v="0"/>
    <n v="2239217320"/>
    <x v="5"/>
    <n v="-5500"/>
    <x v="1"/>
    <x v="0"/>
    <x v="7"/>
    <x v="5"/>
    <x v="0"/>
    <x v="0"/>
    <x v="5"/>
    <x v="0"/>
  </r>
  <r>
    <x v="0"/>
    <x v="0"/>
    <n v="2239217320"/>
    <x v="6"/>
    <n v="10000"/>
    <x v="1"/>
    <x v="0"/>
    <x v="7"/>
    <x v="6"/>
    <x v="0"/>
    <x v="0"/>
    <x v="5"/>
    <x v="0"/>
  </r>
  <r>
    <x v="0"/>
    <x v="0"/>
    <n v="2239217321"/>
    <x v="2"/>
    <n v="30470"/>
    <x v="1"/>
    <x v="0"/>
    <x v="7"/>
    <x v="2"/>
    <x v="0"/>
    <x v="0"/>
    <x v="2"/>
    <x v="0"/>
  </r>
  <r>
    <x v="0"/>
    <x v="0"/>
    <n v="2239217322"/>
    <x v="5"/>
    <n v="-4300"/>
    <x v="1"/>
    <x v="0"/>
    <x v="7"/>
    <x v="5"/>
    <x v="0"/>
    <x v="0"/>
    <x v="5"/>
    <x v="0"/>
  </r>
  <r>
    <x v="0"/>
    <x v="0"/>
    <n v="2239217322"/>
    <x v="4"/>
    <n v="10000"/>
    <x v="1"/>
    <x v="0"/>
    <x v="7"/>
    <x v="4"/>
    <x v="0"/>
    <x v="0"/>
    <x v="4"/>
    <x v="0"/>
  </r>
  <r>
    <x v="0"/>
    <x v="0"/>
    <n v="2239217323"/>
    <x v="2"/>
    <n v="4000"/>
    <x v="1"/>
    <x v="0"/>
    <x v="7"/>
    <x v="2"/>
    <x v="0"/>
    <x v="0"/>
    <x v="2"/>
    <x v="0"/>
  </r>
  <r>
    <x v="0"/>
    <x v="0"/>
    <n v="2239217325"/>
    <x v="3"/>
    <n v="18150"/>
    <x v="1"/>
    <x v="0"/>
    <x v="7"/>
    <x v="3"/>
    <x v="0"/>
    <x v="0"/>
    <x v="3"/>
    <x v="0"/>
  </r>
  <r>
    <x v="0"/>
    <x v="0"/>
    <n v="2239217326"/>
    <x v="2"/>
    <n v="14300"/>
    <x v="1"/>
    <x v="0"/>
    <x v="7"/>
    <x v="2"/>
    <x v="0"/>
    <x v="0"/>
    <x v="2"/>
    <x v="0"/>
  </r>
  <r>
    <x v="0"/>
    <x v="0"/>
    <n v="2239217328"/>
    <x v="5"/>
    <n v="-4400"/>
    <x v="1"/>
    <x v="0"/>
    <x v="7"/>
    <x v="5"/>
    <x v="0"/>
    <x v="0"/>
    <x v="5"/>
    <x v="0"/>
  </r>
  <r>
    <x v="0"/>
    <x v="0"/>
    <n v="2239217328"/>
    <x v="4"/>
    <n v="10000"/>
    <x v="1"/>
    <x v="0"/>
    <x v="7"/>
    <x v="4"/>
    <x v="0"/>
    <x v="0"/>
    <x v="4"/>
    <x v="0"/>
  </r>
  <r>
    <x v="0"/>
    <x v="0"/>
    <n v="2239217329"/>
    <x v="8"/>
    <n v="6600"/>
    <x v="1"/>
    <x v="0"/>
    <x v="7"/>
    <x v="8"/>
    <x v="0"/>
    <x v="0"/>
    <x v="3"/>
    <x v="0"/>
  </r>
  <r>
    <x v="0"/>
    <x v="0"/>
    <n v="2239217330"/>
    <x v="2"/>
    <n v="7150"/>
    <x v="1"/>
    <x v="0"/>
    <x v="7"/>
    <x v="2"/>
    <x v="0"/>
    <x v="0"/>
    <x v="2"/>
    <x v="0"/>
  </r>
  <r>
    <x v="0"/>
    <x v="0"/>
    <n v="2239217332"/>
    <x v="1"/>
    <n v="13980"/>
    <x v="1"/>
    <x v="0"/>
    <x v="7"/>
    <x v="1"/>
    <x v="0"/>
    <x v="0"/>
    <x v="1"/>
    <x v="0"/>
  </r>
  <r>
    <x v="0"/>
    <x v="0"/>
    <n v="2239217333"/>
    <x v="2"/>
    <n v="8250"/>
    <x v="1"/>
    <x v="0"/>
    <x v="7"/>
    <x v="2"/>
    <x v="0"/>
    <x v="0"/>
    <x v="2"/>
    <x v="0"/>
  </r>
  <r>
    <x v="0"/>
    <x v="0"/>
    <n v="2239217334"/>
    <x v="2"/>
    <n v="24178"/>
    <x v="1"/>
    <x v="0"/>
    <x v="7"/>
    <x v="2"/>
    <x v="0"/>
    <x v="0"/>
    <x v="2"/>
    <x v="0"/>
  </r>
  <r>
    <x v="0"/>
    <x v="0"/>
    <n v="2239217335"/>
    <x v="2"/>
    <n v="6500"/>
    <x v="1"/>
    <x v="0"/>
    <x v="7"/>
    <x v="2"/>
    <x v="0"/>
    <x v="0"/>
    <x v="2"/>
    <x v="0"/>
  </r>
  <r>
    <x v="0"/>
    <x v="0"/>
    <n v="2239217336"/>
    <x v="5"/>
    <n v="-600"/>
    <x v="1"/>
    <x v="0"/>
    <x v="7"/>
    <x v="5"/>
    <x v="0"/>
    <x v="0"/>
    <x v="5"/>
    <x v="0"/>
  </r>
  <r>
    <x v="0"/>
    <x v="0"/>
    <n v="2239217336"/>
    <x v="4"/>
    <n v="5000"/>
    <x v="1"/>
    <x v="0"/>
    <x v="7"/>
    <x v="4"/>
    <x v="0"/>
    <x v="0"/>
    <x v="4"/>
    <x v="0"/>
  </r>
  <r>
    <x v="0"/>
    <x v="0"/>
    <n v="2239217337"/>
    <x v="5"/>
    <n v="-12000"/>
    <x v="1"/>
    <x v="0"/>
    <x v="7"/>
    <x v="5"/>
    <x v="0"/>
    <x v="0"/>
    <x v="5"/>
    <x v="0"/>
  </r>
  <r>
    <x v="0"/>
    <x v="0"/>
    <n v="2239217337"/>
    <x v="6"/>
    <n v="40000"/>
    <x v="1"/>
    <x v="0"/>
    <x v="7"/>
    <x v="6"/>
    <x v="0"/>
    <x v="0"/>
    <x v="5"/>
    <x v="0"/>
  </r>
  <r>
    <x v="0"/>
    <x v="0"/>
    <n v="2239217340"/>
    <x v="2"/>
    <n v="31900"/>
    <x v="1"/>
    <x v="0"/>
    <x v="7"/>
    <x v="2"/>
    <x v="0"/>
    <x v="0"/>
    <x v="2"/>
    <x v="0"/>
  </r>
  <r>
    <x v="0"/>
    <x v="0"/>
    <n v="2239217341"/>
    <x v="5"/>
    <n v="-5400"/>
    <x v="1"/>
    <x v="0"/>
    <x v="7"/>
    <x v="5"/>
    <x v="0"/>
    <x v="0"/>
    <x v="5"/>
    <x v="0"/>
  </r>
  <r>
    <x v="0"/>
    <x v="0"/>
    <n v="2239217341"/>
    <x v="4"/>
    <n v="10000"/>
    <x v="1"/>
    <x v="0"/>
    <x v="7"/>
    <x v="4"/>
    <x v="0"/>
    <x v="0"/>
    <x v="4"/>
    <x v="0"/>
  </r>
  <r>
    <x v="0"/>
    <x v="0"/>
    <n v="2239217343"/>
    <x v="5"/>
    <n v="-500"/>
    <x v="1"/>
    <x v="0"/>
    <x v="7"/>
    <x v="5"/>
    <x v="0"/>
    <x v="0"/>
    <x v="5"/>
    <x v="0"/>
  </r>
  <r>
    <x v="0"/>
    <x v="0"/>
    <n v="2239217343"/>
    <x v="6"/>
    <n v="5000"/>
    <x v="1"/>
    <x v="0"/>
    <x v="7"/>
    <x v="6"/>
    <x v="0"/>
    <x v="0"/>
    <x v="5"/>
    <x v="0"/>
  </r>
  <r>
    <x v="0"/>
    <x v="0"/>
    <n v="2239217344"/>
    <x v="2"/>
    <n v="24090"/>
    <x v="1"/>
    <x v="0"/>
    <x v="7"/>
    <x v="2"/>
    <x v="0"/>
    <x v="0"/>
    <x v="2"/>
    <x v="0"/>
  </r>
  <r>
    <x v="0"/>
    <x v="0"/>
    <n v="2239217346"/>
    <x v="5"/>
    <n v="-17000"/>
    <x v="1"/>
    <x v="0"/>
    <x v="7"/>
    <x v="5"/>
    <x v="0"/>
    <x v="0"/>
    <x v="5"/>
    <x v="0"/>
  </r>
  <r>
    <x v="0"/>
    <x v="0"/>
    <n v="2239217346"/>
    <x v="6"/>
    <n v="20000"/>
    <x v="1"/>
    <x v="0"/>
    <x v="7"/>
    <x v="6"/>
    <x v="0"/>
    <x v="0"/>
    <x v="5"/>
    <x v="0"/>
  </r>
  <r>
    <x v="0"/>
    <x v="0"/>
    <n v="2239217347"/>
    <x v="5"/>
    <n v="-12400"/>
    <x v="1"/>
    <x v="0"/>
    <x v="7"/>
    <x v="5"/>
    <x v="0"/>
    <x v="0"/>
    <x v="5"/>
    <x v="0"/>
  </r>
  <r>
    <x v="0"/>
    <x v="0"/>
    <n v="2239217347"/>
    <x v="4"/>
    <n v="17000"/>
    <x v="1"/>
    <x v="0"/>
    <x v="7"/>
    <x v="4"/>
    <x v="0"/>
    <x v="0"/>
    <x v="4"/>
    <x v="0"/>
  </r>
  <r>
    <x v="0"/>
    <x v="0"/>
    <n v="2239217348"/>
    <x v="2"/>
    <n v="7500"/>
    <x v="1"/>
    <x v="0"/>
    <x v="7"/>
    <x v="2"/>
    <x v="0"/>
    <x v="0"/>
    <x v="2"/>
    <x v="0"/>
  </r>
  <r>
    <x v="0"/>
    <x v="0"/>
    <n v="2239217349"/>
    <x v="2"/>
    <n v="21450"/>
    <x v="1"/>
    <x v="0"/>
    <x v="7"/>
    <x v="2"/>
    <x v="0"/>
    <x v="0"/>
    <x v="2"/>
    <x v="0"/>
  </r>
  <r>
    <x v="0"/>
    <x v="0"/>
    <n v="2239217350"/>
    <x v="5"/>
    <n v="-14300"/>
    <x v="1"/>
    <x v="0"/>
    <x v="7"/>
    <x v="5"/>
    <x v="0"/>
    <x v="0"/>
    <x v="5"/>
    <x v="0"/>
  </r>
  <r>
    <x v="0"/>
    <x v="0"/>
    <n v="2239217350"/>
    <x v="4"/>
    <n v="20000"/>
    <x v="1"/>
    <x v="0"/>
    <x v="7"/>
    <x v="4"/>
    <x v="0"/>
    <x v="0"/>
    <x v="4"/>
    <x v="0"/>
  </r>
  <r>
    <x v="0"/>
    <x v="0"/>
    <n v="2239217351"/>
    <x v="2"/>
    <n v="8500"/>
    <x v="1"/>
    <x v="0"/>
    <x v="7"/>
    <x v="2"/>
    <x v="0"/>
    <x v="0"/>
    <x v="2"/>
    <x v="0"/>
  </r>
  <r>
    <x v="0"/>
    <x v="0"/>
    <n v="2239217352"/>
    <x v="5"/>
    <n v="-7050"/>
    <x v="1"/>
    <x v="0"/>
    <x v="7"/>
    <x v="5"/>
    <x v="0"/>
    <x v="0"/>
    <x v="5"/>
    <x v="0"/>
  </r>
  <r>
    <x v="0"/>
    <x v="0"/>
    <n v="2239217352"/>
    <x v="6"/>
    <n v="10200"/>
    <x v="1"/>
    <x v="0"/>
    <x v="7"/>
    <x v="6"/>
    <x v="0"/>
    <x v="0"/>
    <x v="5"/>
    <x v="0"/>
  </r>
  <r>
    <x v="0"/>
    <x v="0"/>
    <n v="2239217353"/>
    <x v="5"/>
    <n v="-600"/>
    <x v="1"/>
    <x v="0"/>
    <x v="7"/>
    <x v="5"/>
    <x v="0"/>
    <x v="0"/>
    <x v="5"/>
    <x v="0"/>
  </r>
  <r>
    <x v="0"/>
    <x v="0"/>
    <n v="2239217353"/>
    <x v="4"/>
    <n v="5000"/>
    <x v="1"/>
    <x v="0"/>
    <x v="7"/>
    <x v="4"/>
    <x v="0"/>
    <x v="0"/>
    <x v="4"/>
    <x v="0"/>
  </r>
  <r>
    <x v="0"/>
    <x v="0"/>
    <n v="2239217354"/>
    <x v="2"/>
    <n v="6500"/>
    <x v="1"/>
    <x v="0"/>
    <x v="7"/>
    <x v="2"/>
    <x v="0"/>
    <x v="0"/>
    <x v="2"/>
    <x v="0"/>
  </r>
  <r>
    <x v="0"/>
    <x v="0"/>
    <n v="2239217355"/>
    <x v="5"/>
    <n v="-4000"/>
    <x v="1"/>
    <x v="0"/>
    <x v="7"/>
    <x v="5"/>
    <x v="0"/>
    <x v="0"/>
    <x v="5"/>
    <x v="0"/>
  </r>
  <r>
    <x v="0"/>
    <x v="0"/>
    <n v="2239217355"/>
    <x v="6"/>
    <n v="20000"/>
    <x v="1"/>
    <x v="0"/>
    <x v="7"/>
    <x v="6"/>
    <x v="0"/>
    <x v="0"/>
    <x v="5"/>
    <x v="0"/>
  </r>
  <r>
    <x v="0"/>
    <x v="0"/>
    <n v="2239217356"/>
    <x v="2"/>
    <n v="28600"/>
    <x v="1"/>
    <x v="0"/>
    <x v="7"/>
    <x v="2"/>
    <x v="0"/>
    <x v="0"/>
    <x v="2"/>
    <x v="0"/>
  </r>
  <r>
    <x v="0"/>
    <x v="0"/>
    <n v="2239217357"/>
    <x v="2"/>
    <n v="35200"/>
    <x v="1"/>
    <x v="0"/>
    <x v="7"/>
    <x v="2"/>
    <x v="0"/>
    <x v="0"/>
    <x v="2"/>
    <x v="0"/>
  </r>
  <r>
    <x v="0"/>
    <x v="0"/>
    <n v="2239217359"/>
    <x v="5"/>
    <n v="-1000"/>
    <x v="1"/>
    <x v="0"/>
    <x v="7"/>
    <x v="5"/>
    <x v="0"/>
    <x v="0"/>
    <x v="5"/>
    <x v="0"/>
  </r>
  <r>
    <x v="0"/>
    <x v="0"/>
    <n v="2239217359"/>
    <x v="6"/>
    <n v="10000"/>
    <x v="1"/>
    <x v="0"/>
    <x v="7"/>
    <x v="6"/>
    <x v="0"/>
    <x v="0"/>
    <x v="5"/>
    <x v="0"/>
  </r>
  <r>
    <x v="0"/>
    <x v="0"/>
    <n v="2239217360"/>
    <x v="2"/>
    <n v="7150"/>
    <x v="1"/>
    <x v="0"/>
    <x v="7"/>
    <x v="2"/>
    <x v="0"/>
    <x v="0"/>
    <x v="2"/>
    <x v="0"/>
  </r>
  <r>
    <x v="0"/>
    <x v="0"/>
    <n v="2239217362"/>
    <x v="5"/>
    <n v="-7000"/>
    <x v="1"/>
    <x v="0"/>
    <x v="7"/>
    <x v="5"/>
    <x v="0"/>
    <x v="0"/>
    <x v="5"/>
    <x v="0"/>
  </r>
  <r>
    <x v="0"/>
    <x v="0"/>
    <n v="2239217362"/>
    <x v="6"/>
    <n v="10000"/>
    <x v="1"/>
    <x v="0"/>
    <x v="7"/>
    <x v="6"/>
    <x v="0"/>
    <x v="0"/>
    <x v="5"/>
    <x v="0"/>
  </r>
  <r>
    <x v="0"/>
    <x v="0"/>
    <n v="2239217363"/>
    <x v="5"/>
    <n v="-2000"/>
    <x v="1"/>
    <x v="0"/>
    <x v="7"/>
    <x v="5"/>
    <x v="0"/>
    <x v="0"/>
    <x v="5"/>
    <x v="0"/>
  </r>
  <r>
    <x v="0"/>
    <x v="0"/>
    <n v="2239217363"/>
    <x v="6"/>
    <n v="5150"/>
    <x v="1"/>
    <x v="0"/>
    <x v="7"/>
    <x v="6"/>
    <x v="0"/>
    <x v="0"/>
    <x v="5"/>
    <x v="0"/>
  </r>
  <r>
    <x v="0"/>
    <x v="0"/>
    <n v="2239217364"/>
    <x v="5"/>
    <n v="-12500"/>
    <x v="1"/>
    <x v="0"/>
    <x v="7"/>
    <x v="5"/>
    <x v="0"/>
    <x v="0"/>
    <x v="5"/>
    <x v="0"/>
  </r>
  <r>
    <x v="0"/>
    <x v="0"/>
    <n v="2239217364"/>
    <x v="6"/>
    <n v="20000"/>
    <x v="1"/>
    <x v="0"/>
    <x v="7"/>
    <x v="6"/>
    <x v="0"/>
    <x v="0"/>
    <x v="5"/>
    <x v="0"/>
  </r>
  <r>
    <x v="0"/>
    <x v="0"/>
    <n v="2239217365"/>
    <x v="5"/>
    <n v="-400"/>
    <x v="1"/>
    <x v="0"/>
    <x v="7"/>
    <x v="5"/>
    <x v="0"/>
    <x v="0"/>
    <x v="5"/>
    <x v="0"/>
  </r>
  <r>
    <x v="0"/>
    <x v="0"/>
    <n v="2239217365"/>
    <x v="4"/>
    <n v="6000"/>
    <x v="1"/>
    <x v="0"/>
    <x v="7"/>
    <x v="4"/>
    <x v="0"/>
    <x v="0"/>
    <x v="4"/>
    <x v="0"/>
  </r>
  <r>
    <x v="0"/>
    <x v="0"/>
    <n v="2239217366"/>
    <x v="3"/>
    <n v="6000"/>
    <x v="1"/>
    <x v="0"/>
    <x v="7"/>
    <x v="3"/>
    <x v="0"/>
    <x v="0"/>
    <x v="3"/>
    <x v="0"/>
  </r>
  <r>
    <x v="0"/>
    <x v="0"/>
    <n v="2239217367"/>
    <x v="5"/>
    <n v="-10500"/>
    <x v="1"/>
    <x v="0"/>
    <x v="7"/>
    <x v="5"/>
    <x v="0"/>
    <x v="0"/>
    <x v="5"/>
    <x v="0"/>
  </r>
  <r>
    <x v="0"/>
    <x v="0"/>
    <n v="2239217367"/>
    <x v="6"/>
    <n v="20000"/>
    <x v="1"/>
    <x v="0"/>
    <x v="7"/>
    <x v="6"/>
    <x v="0"/>
    <x v="0"/>
    <x v="5"/>
    <x v="0"/>
  </r>
  <r>
    <x v="0"/>
    <x v="0"/>
    <n v="2239217368"/>
    <x v="5"/>
    <n v="-14300"/>
    <x v="1"/>
    <x v="0"/>
    <x v="7"/>
    <x v="5"/>
    <x v="0"/>
    <x v="0"/>
    <x v="5"/>
    <x v="0"/>
  </r>
  <r>
    <x v="0"/>
    <x v="0"/>
    <n v="2239217368"/>
    <x v="4"/>
    <n v="20000"/>
    <x v="1"/>
    <x v="0"/>
    <x v="7"/>
    <x v="4"/>
    <x v="0"/>
    <x v="0"/>
    <x v="4"/>
    <x v="0"/>
  </r>
  <r>
    <x v="0"/>
    <x v="0"/>
    <n v="2239217369"/>
    <x v="2"/>
    <n v="33000"/>
    <x v="1"/>
    <x v="0"/>
    <x v="7"/>
    <x v="2"/>
    <x v="0"/>
    <x v="0"/>
    <x v="2"/>
    <x v="0"/>
  </r>
  <r>
    <x v="0"/>
    <x v="0"/>
    <n v="2239217370"/>
    <x v="5"/>
    <n v="-400"/>
    <x v="1"/>
    <x v="0"/>
    <x v="7"/>
    <x v="5"/>
    <x v="0"/>
    <x v="0"/>
    <x v="5"/>
    <x v="0"/>
  </r>
  <r>
    <x v="0"/>
    <x v="0"/>
    <n v="2239217370"/>
    <x v="4"/>
    <n v="6000"/>
    <x v="1"/>
    <x v="0"/>
    <x v="7"/>
    <x v="4"/>
    <x v="0"/>
    <x v="0"/>
    <x v="4"/>
    <x v="0"/>
  </r>
  <r>
    <x v="0"/>
    <x v="0"/>
    <n v="2239217371"/>
    <x v="2"/>
    <n v="30140"/>
    <x v="1"/>
    <x v="0"/>
    <x v="7"/>
    <x v="2"/>
    <x v="0"/>
    <x v="0"/>
    <x v="2"/>
    <x v="0"/>
  </r>
  <r>
    <x v="0"/>
    <x v="0"/>
    <n v="2239217372"/>
    <x v="2"/>
    <n v="22550"/>
    <x v="1"/>
    <x v="0"/>
    <x v="7"/>
    <x v="2"/>
    <x v="0"/>
    <x v="0"/>
    <x v="2"/>
    <x v="0"/>
  </r>
  <r>
    <x v="0"/>
    <x v="0"/>
    <n v="2239217373"/>
    <x v="3"/>
    <n v="57750"/>
    <x v="1"/>
    <x v="0"/>
    <x v="7"/>
    <x v="3"/>
    <x v="0"/>
    <x v="0"/>
    <x v="3"/>
    <x v="0"/>
  </r>
  <r>
    <x v="0"/>
    <x v="0"/>
    <n v="2239217374"/>
    <x v="5"/>
    <n v="-50"/>
    <x v="1"/>
    <x v="0"/>
    <x v="7"/>
    <x v="5"/>
    <x v="0"/>
    <x v="0"/>
    <x v="5"/>
    <x v="0"/>
  </r>
  <r>
    <x v="0"/>
    <x v="0"/>
    <n v="2239217374"/>
    <x v="6"/>
    <n v="3200"/>
    <x v="1"/>
    <x v="0"/>
    <x v="7"/>
    <x v="6"/>
    <x v="0"/>
    <x v="0"/>
    <x v="5"/>
    <x v="0"/>
  </r>
  <r>
    <x v="0"/>
    <x v="0"/>
    <n v="2239217375"/>
    <x v="5"/>
    <n v="-11100"/>
    <x v="1"/>
    <x v="0"/>
    <x v="7"/>
    <x v="5"/>
    <x v="0"/>
    <x v="0"/>
    <x v="5"/>
    <x v="0"/>
  </r>
  <r>
    <x v="0"/>
    <x v="0"/>
    <n v="2239217375"/>
    <x v="6"/>
    <n v="20000"/>
    <x v="1"/>
    <x v="0"/>
    <x v="7"/>
    <x v="6"/>
    <x v="0"/>
    <x v="0"/>
    <x v="5"/>
    <x v="0"/>
  </r>
  <r>
    <x v="0"/>
    <x v="0"/>
    <n v="2239217376"/>
    <x v="5"/>
    <n v="-223"/>
    <x v="1"/>
    <x v="0"/>
    <x v="7"/>
    <x v="5"/>
    <x v="0"/>
    <x v="0"/>
    <x v="5"/>
    <x v="0"/>
  </r>
  <r>
    <x v="0"/>
    <x v="0"/>
    <n v="2239217376"/>
    <x v="6"/>
    <n v="3723"/>
    <x v="1"/>
    <x v="0"/>
    <x v="7"/>
    <x v="6"/>
    <x v="0"/>
    <x v="0"/>
    <x v="5"/>
    <x v="0"/>
  </r>
  <r>
    <x v="0"/>
    <x v="0"/>
    <n v="2239217377"/>
    <x v="3"/>
    <n v="6000"/>
    <x v="1"/>
    <x v="0"/>
    <x v="7"/>
    <x v="3"/>
    <x v="0"/>
    <x v="0"/>
    <x v="3"/>
    <x v="0"/>
  </r>
  <r>
    <x v="0"/>
    <x v="0"/>
    <n v="2239217378"/>
    <x v="5"/>
    <n v="-4000"/>
    <x v="1"/>
    <x v="0"/>
    <x v="7"/>
    <x v="5"/>
    <x v="0"/>
    <x v="0"/>
    <x v="5"/>
    <x v="0"/>
  </r>
  <r>
    <x v="0"/>
    <x v="0"/>
    <n v="2239217378"/>
    <x v="6"/>
    <n v="10000"/>
    <x v="1"/>
    <x v="0"/>
    <x v="7"/>
    <x v="6"/>
    <x v="0"/>
    <x v="0"/>
    <x v="5"/>
    <x v="0"/>
  </r>
  <r>
    <x v="0"/>
    <x v="0"/>
    <n v="2239217379"/>
    <x v="3"/>
    <n v="51590"/>
    <x v="1"/>
    <x v="0"/>
    <x v="7"/>
    <x v="3"/>
    <x v="0"/>
    <x v="0"/>
    <x v="3"/>
    <x v="0"/>
  </r>
  <r>
    <x v="0"/>
    <x v="0"/>
    <n v="2239217380"/>
    <x v="5"/>
    <n v="-15500"/>
    <x v="1"/>
    <x v="0"/>
    <x v="7"/>
    <x v="5"/>
    <x v="0"/>
    <x v="0"/>
    <x v="5"/>
    <x v="0"/>
  </r>
  <r>
    <x v="0"/>
    <x v="0"/>
    <n v="2239217380"/>
    <x v="6"/>
    <n v="20000"/>
    <x v="1"/>
    <x v="0"/>
    <x v="7"/>
    <x v="6"/>
    <x v="0"/>
    <x v="0"/>
    <x v="5"/>
    <x v="0"/>
  </r>
  <r>
    <x v="0"/>
    <x v="0"/>
    <n v="2239217381"/>
    <x v="2"/>
    <n v="6500"/>
    <x v="1"/>
    <x v="0"/>
    <x v="7"/>
    <x v="2"/>
    <x v="0"/>
    <x v="0"/>
    <x v="2"/>
    <x v="0"/>
  </r>
  <r>
    <x v="0"/>
    <x v="0"/>
    <n v="2239217382"/>
    <x v="2"/>
    <n v="5885"/>
    <x v="1"/>
    <x v="0"/>
    <x v="7"/>
    <x v="2"/>
    <x v="0"/>
    <x v="0"/>
    <x v="2"/>
    <x v="0"/>
  </r>
  <r>
    <x v="0"/>
    <x v="0"/>
    <n v="2239217383"/>
    <x v="2"/>
    <n v="6500"/>
    <x v="1"/>
    <x v="0"/>
    <x v="7"/>
    <x v="2"/>
    <x v="0"/>
    <x v="0"/>
    <x v="2"/>
    <x v="0"/>
  </r>
  <r>
    <x v="0"/>
    <x v="0"/>
    <n v="2239217384"/>
    <x v="1"/>
    <n v="1140"/>
    <x v="1"/>
    <x v="0"/>
    <x v="7"/>
    <x v="1"/>
    <x v="0"/>
    <x v="0"/>
    <x v="1"/>
    <x v="0"/>
  </r>
  <r>
    <x v="0"/>
    <x v="0"/>
    <n v="2239217385"/>
    <x v="3"/>
    <n v="14630"/>
    <x v="1"/>
    <x v="0"/>
    <x v="7"/>
    <x v="3"/>
    <x v="0"/>
    <x v="0"/>
    <x v="3"/>
    <x v="0"/>
  </r>
  <r>
    <x v="0"/>
    <x v="0"/>
    <n v="2239217386"/>
    <x v="3"/>
    <n v="6000"/>
    <x v="1"/>
    <x v="0"/>
    <x v="7"/>
    <x v="3"/>
    <x v="0"/>
    <x v="0"/>
    <x v="3"/>
    <x v="0"/>
  </r>
  <r>
    <x v="0"/>
    <x v="0"/>
    <n v="2239217387"/>
    <x v="5"/>
    <n v="-12400"/>
    <x v="1"/>
    <x v="0"/>
    <x v="7"/>
    <x v="5"/>
    <x v="0"/>
    <x v="0"/>
    <x v="5"/>
    <x v="0"/>
  </r>
  <r>
    <x v="0"/>
    <x v="0"/>
    <n v="2239217387"/>
    <x v="6"/>
    <n v="20000"/>
    <x v="1"/>
    <x v="0"/>
    <x v="7"/>
    <x v="6"/>
    <x v="0"/>
    <x v="0"/>
    <x v="5"/>
    <x v="0"/>
  </r>
  <r>
    <x v="0"/>
    <x v="0"/>
    <n v="2239217387"/>
    <x v="7"/>
    <n v="1300"/>
    <x v="1"/>
    <x v="0"/>
    <x v="7"/>
    <x v="7"/>
    <x v="0"/>
    <x v="0"/>
    <x v="1"/>
    <x v="0"/>
  </r>
  <r>
    <x v="0"/>
    <x v="0"/>
    <n v="2239217388"/>
    <x v="5"/>
    <n v="-1000"/>
    <x v="1"/>
    <x v="0"/>
    <x v="7"/>
    <x v="5"/>
    <x v="0"/>
    <x v="0"/>
    <x v="5"/>
    <x v="0"/>
  </r>
  <r>
    <x v="0"/>
    <x v="0"/>
    <n v="2239217388"/>
    <x v="6"/>
    <n v="10000"/>
    <x v="1"/>
    <x v="0"/>
    <x v="7"/>
    <x v="6"/>
    <x v="0"/>
    <x v="0"/>
    <x v="5"/>
    <x v="0"/>
  </r>
  <r>
    <x v="0"/>
    <x v="0"/>
    <n v="2239217389"/>
    <x v="2"/>
    <n v="16500"/>
    <x v="1"/>
    <x v="0"/>
    <x v="7"/>
    <x v="2"/>
    <x v="0"/>
    <x v="0"/>
    <x v="2"/>
    <x v="0"/>
  </r>
  <r>
    <x v="0"/>
    <x v="0"/>
    <n v="2239217390"/>
    <x v="2"/>
    <n v="6500"/>
    <x v="1"/>
    <x v="0"/>
    <x v="7"/>
    <x v="2"/>
    <x v="0"/>
    <x v="0"/>
    <x v="2"/>
    <x v="0"/>
  </r>
  <r>
    <x v="0"/>
    <x v="0"/>
    <n v="2239217392"/>
    <x v="5"/>
    <n v="-1500"/>
    <x v="1"/>
    <x v="0"/>
    <x v="7"/>
    <x v="5"/>
    <x v="0"/>
    <x v="0"/>
    <x v="5"/>
    <x v="0"/>
  </r>
  <r>
    <x v="0"/>
    <x v="0"/>
    <n v="2239217392"/>
    <x v="6"/>
    <n v="20000"/>
    <x v="1"/>
    <x v="0"/>
    <x v="7"/>
    <x v="6"/>
    <x v="0"/>
    <x v="0"/>
    <x v="5"/>
    <x v="0"/>
  </r>
  <r>
    <x v="0"/>
    <x v="0"/>
    <n v="2239217393"/>
    <x v="2"/>
    <n v="6000"/>
    <x v="1"/>
    <x v="0"/>
    <x v="7"/>
    <x v="2"/>
    <x v="0"/>
    <x v="0"/>
    <x v="2"/>
    <x v="0"/>
  </r>
  <r>
    <x v="0"/>
    <x v="0"/>
    <n v="2239217395"/>
    <x v="5"/>
    <n v="-14000"/>
    <x v="1"/>
    <x v="0"/>
    <x v="7"/>
    <x v="5"/>
    <x v="0"/>
    <x v="0"/>
    <x v="5"/>
    <x v="0"/>
  </r>
  <r>
    <x v="0"/>
    <x v="0"/>
    <n v="2239217395"/>
    <x v="6"/>
    <n v="20000"/>
    <x v="1"/>
    <x v="0"/>
    <x v="7"/>
    <x v="6"/>
    <x v="0"/>
    <x v="0"/>
    <x v="5"/>
    <x v="0"/>
  </r>
  <r>
    <x v="0"/>
    <x v="0"/>
    <n v="2239217397"/>
    <x v="5"/>
    <n v="-5200"/>
    <x v="1"/>
    <x v="0"/>
    <x v="7"/>
    <x v="5"/>
    <x v="0"/>
    <x v="0"/>
    <x v="5"/>
    <x v="0"/>
  </r>
  <r>
    <x v="0"/>
    <x v="0"/>
    <n v="2239217397"/>
    <x v="4"/>
    <n v="10500"/>
    <x v="1"/>
    <x v="0"/>
    <x v="7"/>
    <x v="4"/>
    <x v="0"/>
    <x v="0"/>
    <x v="4"/>
    <x v="0"/>
  </r>
  <r>
    <x v="0"/>
    <x v="0"/>
    <n v="2239217398"/>
    <x v="6"/>
    <n v="3000"/>
    <x v="1"/>
    <x v="0"/>
    <x v="7"/>
    <x v="6"/>
    <x v="0"/>
    <x v="0"/>
    <x v="5"/>
    <x v="0"/>
  </r>
  <r>
    <x v="0"/>
    <x v="0"/>
    <n v="2239217399"/>
    <x v="5"/>
    <n v="-600"/>
    <x v="1"/>
    <x v="0"/>
    <x v="7"/>
    <x v="5"/>
    <x v="0"/>
    <x v="0"/>
    <x v="5"/>
    <x v="0"/>
  </r>
  <r>
    <x v="0"/>
    <x v="0"/>
    <n v="2239217399"/>
    <x v="4"/>
    <n v="5000"/>
    <x v="1"/>
    <x v="0"/>
    <x v="7"/>
    <x v="4"/>
    <x v="0"/>
    <x v="0"/>
    <x v="4"/>
    <x v="0"/>
  </r>
  <r>
    <x v="0"/>
    <x v="0"/>
    <n v="2239223481"/>
    <x v="1"/>
    <n v="7650"/>
    <x v="1"/>
    <x v="0"/>
    <x v="14"/>
    <x v="1"/>
    <x v="0"/>
    <x v="0"/>
    <x v="1"/>
    <x v="0"/>
  </r>
  <r>
    <x v="0"/>
    <x v="0"/>
    <n v="2239223482"/>
    <x v="1"/>
    <n v="43440"/>
    <x v="1"/>
    <x v="0"/>
    <x v="14"/>
    <x v="1"/>
    <x v="0"/>
    <x v="0"/>
    <x v="1"/>
    <x v="0"/>
  </r>
  <r>
    <x v="0"/>
    <x v="0"/>
    <n v="2239223483"/>
    <x v="1"/>
    <n v="12880"/>
    <x v="1"/>
    <x v="0"/>
    <x v="14"/>
    <x v="1"/>
    <x v="0"/>
    <x v="0"/>
    <x v="1"/>
    <x v="0"/>
  </r>
  <r>
    <x v="0"/>
    <x v="0"/>
    <n v="2239223484"/>
    <x v="1"/>
    <n v="2700"/>
    <x v="1"/>
    <x v="0"/>
    <x v="14"/>
    <x v="1"/>
    <x v="0"/>
    <x v="0"/>
    <x v="1"/>
    <x v="0"/>
  </r>
  <r>
    <x v="0"/>
    <x v="0"/>
    <n v="2239223485"/>
    <x v="1"/>
    <n v="23900"/>
    <x v="1"/>
    <x v="0"/>
    <x v="14"/>
    <x v="1"/>
    <x v="0"/>
    <x v="0"/>
    <x v="1"/>
    <x v="0"/>
  </r>
  <r>
    <x v="0"/>
    <x v="0"/>
    <n v="2239223486"/>
    <x v="1"/>
    <n v="2280"/>
    <x v="1"/>
    <x v="0"/>
    <x v="14"/>
    <x v="1"/>
    <x v="0"/>
    <x v="0"/>
    <x v="1"/>
    <x v="0"/>
  </r>
  <r>
    <x v="0"/>
    <x v="0"/>
    <n v="2239223487"/>
    <x v="1"/>
    <n v="1050"/>
    <x v="1"/>
    <x v="0"/>
    <x v="14"/>
    <x v="1"/>
    <x v="0"/>
    <x v="0"/>
    <x v="1"/>
    <x v="0"/>
  </r>
  <r>
    <x v="0"/>
    <x v="0"/>
    <n v="2239223488"/>
    <x v="1"/>
    <n v="2040"/>
    <x v="1"/>
    <x v="0"/>
    <x v="14"/>
    <x v="1"/>
    <x v="0"/>
    <x v="0"/>
    <x v="1"/>
    <x v="0"/>
  </r>
  <r>
    <x v="0"/>
    <x v="0"/>
    <n v="2239223489"/>
    <x v="1"/>
    <n v="11370"/>
    <x v="1"/>
    <x v="0"/>
    <x v="14"/>
    <x v="1"/>
    <x v="0"/>
    <x v="0"/>
    <x v="1"/>
    <x v="0"/>
  </r>
  <r>
    <x v="0"/>
    <x v="0"/>
    <n v="2239223490"/>
    <x v="1"/>
    <n v="1140"/>
    <x v="1"/>
    <x v="0"/>
    <x v="14"/>
    <x v="1"/>
    <x v="0"/>
    <x v="0"/>
    <x v="1"/>
    <x v="0"/>
  </r>
  <r>
    <x v="0"/>
    <x v="0"/>
    <n v="2239223491"/>
    <x v="1"/>
    <n v="1500"/>
    <x v="1"/>
    <x v="0"/>
    <x v="14"/>
    <x v="1"/>
    <x v="0"/>
    <x v="0"/>
    <x v="1"/>
    <x v="0"/>
  </r>
  <r>
    <x v="0"/>
    <x v="0"/>
    <n v="2239223492"/>
    <x v="1"/>
    <n v="1140"/>
    <x v="1"/>
    <x v="0"/>
    <x v="14"/>
    <x v="1"/>
    <x v="0"/>
    <x v="0"/>
    <x v="1"/>
    <x v="0"/>
  </r>
  <r>
    <x v="0"/>
    <x v="0"/>
    <n v="2239223493"/>
    <x v="1"/>
    <n v="26540"/>
    <x v="1"/>
    <x v="0"/>
    <x v="14"/>
    <x v="1"/>
    <x v="0"/>
    <x v="0"/>
    <x v="1"/>
    <x v="0"/>
  </r>
  <r>
    <x v="0"/>
    <x v="0"/>
    <n v="2239223494"/>
    <x v="1"/>
    <n v="1350"/>
    <x v="1"/>
    <x v="0"/>
    <x v="14"/>
    <x v="1"/>
    <x v="0"/>
    <x v="0"/>
    <x v="1"/>
    <x v="0"/>
  </r>
  <r>
    <x v="0"/>
    <x v="0"/>
    <n v="2239223495"/>
    <x v="1"/>
    <n v="900"/>
    <x v="1"/>
    <x v="0"/>
    <x v="14"/>
    <x v="1"/>
    <x v="0"/>
    <x v="0"/>
    <x v="1"/>
    <x v="0"/>
  </r>
  <r>
    <x v="0"/>
    <x v="0"/>
    <n v="2239223496"/>
    <x v="1"/>
    <n v="1050"/>
    <x v="1"/>
    <x v="0"/>
    <x v="14"/>
    <x v="1"/>
    <x v="0"/>
    <x v="0"/>
    <x v="1"/>
    <x v="0"/>
  </r>
  <r>
    <x v="0"/>
    <x v="0"/>
    <n v="2239223497"/>
    <x v="1"/>
    <n v="20700"/>
    <x v="1"/>
    <x v="0"/>
    <x v="14"/>
    <x v="1"/>
    <x v="0"/>
    <x v="0"/>
    <x v="1"/>
    <x v="0"/>
  </r>
  <r>
    <x v="0"/>
    <x v="0"/>
    <n v="2239223498"/>
    <x v="1"/>
    <n v="1350"/>
    <x v="1"/>
    <x v="0"/>
    <x v="14"/>
    <x v="1"/>
    <x v="0"/>
    <x v="0"/>
    <x v="1"/>
    <x v="0"/>
  </r>
  <r>
    <x v="0"/>
    <x v="0"/>
    <n v="2239223499"/>
    <x v="1"/>
    <n v="750"/>
    <x v="1"/>
    <x v="0"/>
    <x v="14"/>
    <x v="1"/>
    <x v="0"/>
    <x v="0"/>
    <x v="1"/>
    <x v="0"/>
  </r>
  <r>
    <x v="0"/>
    <x v="0"/>
    <n v="2239223500"/>
    <x v="1"/>
    <n v="3000"/>
    <x v="1"/>
    <x v="0"/>
    <x v="14"/>
    <x v="1"/>
    <x v="0"/>
    <x v="0"/>
    <x v="1"/>
    <x v="0"/>
  </r>
  <r>
    <x v="0"/>
    <x v="0"/>
    <n v="2239223501"/>
    <x v="1"/>
    <n v="6300"/>
    <x v="1"/>
    <x v="0"/>
    <x v="14"/>
    <x v="1"/>
    <x v="0"/>
    <x v="0"/>
    <x v="1"/>
    <x v="0"/>
  </r>
  <r>
    <x v="0"/>
    <x v="0"/>
    <n v="2239223502"/>
    <x v="1"/>
    <n v="3000"/>
    <x v="1"/>
    <x v="0"/>
    <x v="14"/>
    <x v="1"/>
    <x v="0"/>
    <x v="0"/>
    <x v="1"/>
    <x v="0"/>
  </r>
  <r>
    <x v="0"/>
    <x v="0"/>
    <n v="2239223503"/>
    <x v="1"/>
    <n v="1500"/>
    <x v="1"/>
    <x v="0"/>
    <x v="14"/>
    <x v="1"/>
    <x v="0"/>
    <x v="0"/>
    <x v="1"/>
    <x v="0"/>
  </r>
  <r>
    <x v="0"/>
    <x v="0"/>
    <n v="2239223504"/>
    <x v="1"/>
    <n v="7770"/>
    <x v="1"/>
    <x v="0"/>
    <x v="14"/>
    <x v="1"/>
    <x v="0"/>
    <x v="0"/>
    <x v="1"/>
    <x v="0"/>
  </r>
  <r>
    <x v="0"/>
    <x v="0"/>
    <n v="2239223505"/>
    <x v="1"/>
    <n v="16800"/>
    <x v="1"/>
    <x v="0"/>
    <x v="14"/>
    <x v="1"/>
    <x v="0"/>
    <x v="0"/>
    <x v="1"/>
    <x v="0"/>
  </r>
  <r>
    <x v="0"/>
    <x v="0"/>
    <n v="2239223506"/>
    <x v="1"/>
    <n v="900"/>
    <x v="1"/>
    <x v="0"/>
    <x v="14"/>
    <x v="1"/>
    <x v="0"/>
    <x v="0"/>
    <x v="1"/>
    <x v="0"/>
  </r>
  <r>
    <x v="0"/>
    <x v="0"/>
    <n v="2239223507"/>
    <x v="1"/>
    <n v="4050"/>
    <x v="1"/>
    <x v="0"/>
    <x v="14"/>
    <x v="1"/>
    <x v="0"/>
    <x v="0"/>
    <x v="1"/>
    <x v="0"/>
  </r>
  <r>
    <x v="0"/>
    <x v="0"/>
    <n v="2239223508"/>
    <x v="1"/>
    <n v="1140"/>
    <x v="1"/>
    <x v="0"/>
    <x v="14"/>
    <x v="1"/>
    <x v="0"/>
    <x v="0"/>
    <x v="1"/>
    <x v="0"/>
  </r>
  <r>
    <x v="0"/>
    <x v="0"/>
    <n v="2239223509"/>
    <x v="1"/>
    <n v="4800"/>
    <x v="1"/>
    <x v="0"/>
    <x v="14"/>
    <x v="1"/>
    <x v="0"/>
    <x v="0"/>
    <x v="1"/>
    <x v="0"/>
  </r>
  <r>
    <x v="0"/>
    <x v="0"/>
    <n v="2239223510"/>
    <x v="1"/>
    <n v="3000"/>
    <x v="1"/>
    <x v="0"/>
    <x v="14"/>
    <x v="1"/>
    <x v="0"/>
    <x v="0"/>
    <x v="1"/>
    <x v="0"/>
  </r>
  <r>
    <x v="0"/>
    <x v="0"/>
    <n v="2239223511"/>
    <x v="1"/>
    <n v="900"/>
    <x v="1"/>
    <x v="0"/>
    <x v="14"/>
    <x v="1"/>
    <x v="0"/>
    <x v="0"/>
    <x v="1"/>
    <x v="0"/>
  </r>
  <r>
    <x v="0"/>
    <x v="0"/>
    <n v="2239223512"/>
    <x v="1"/>
    <n v="6000"/>
    <x v="1"/>
    <x v="0"/>
    <x v="14"/>
    <x v="1"/>
    <x v="0"/>
    <x v="0"/>
    <x v="1"/>
    <x v="0"/>
  </r>
  <r>
    <x v="0"/>
    <x v="0"/>
    <n v="2239223513"/>
    <x v="1"/>
    <n v="900"/>
    <x v="1"/>
    <x v="0"/>
    <x v="14"/>
    <x v="1"/>
    <x v="0"/>
    <x v="0"/>
    <x v="1"/>
    <x v="0"/>
  </r>
  <r>
    <x v="0"/>
    <x v="0"/>
    <n v="2239223514"/>
    <x v="1"/>
    <n v="1050"/>
    <x v="1"/>
    <x v="0"/>
    <x v="14"/>
    <x v="1"/>
    <x v="0"/>
    <x v="0"/>
    <x v="1"/>
    <x v="0"/>
  </r>
  <r>
    <x v="0"/>
    <x v="0"/>
    <n v="2239223515"/>
    <x v="1"/>
    <n v="900"/>
    <x v="1"/>
    <x v="0"/>
    <x v="14"/>
    <x v="1"/>
    <x v="0"/>
    <x v="0"/>
    <x v="1"/>
    <x v="0"/>
  </r>
  <r>
    <x v="0"/>
    <x v="0"/>
    <n v="2239223516"/>
    <x v="1"/>
    <n v="2940"/>
    <x v="1"/>
    <x v="0"/>
    <x v="14"/>
    <x v="1"/>
    <x v="0"/>
    <x v="0"/>
    <x v="1"/>
    <x v="0"/>
  </r>
  <r>
    <x v="0"/>
    <x v="0"/>
    <n v="2239223517"/>
    <x v="1"/>
    <n v="3900"/>
    <x v="1"/>
    <x v="0"/>
    <x v="14"/>
    <x v="1"/>
    <x v="0"/>
    <x v="0"/>
    <x v="1"/>
    <x v="0"/>
  </r>
  <r>
    <x v="0"/>
    <x v="0"/>
    <n v="2239223518"/>
    <x v="1"/>
    <n v="2250"/>
    <x v="1"/>
    <x v="0"/>
    <x v="14"/>
    <x v="1"/>
    <x v="0"/>
    <x v="0"/>
    <x v="1"/>
    <x v="0"/>
  </r>
  <r>
    <x v="0"/>
    <x v="0"/>
    <n v="2239223519"/>
    <x v="1"/>
    <n v="3180"/>
    <x v="1"/>
    <x v="0"/>
    <x v="14"/>
    <x v="1"/>
    <x v="0"/>
    <x v="0"/>
    <x v="1"/>
    <x v="0"/>
  </r>
  <r>
    <x v="0"/>
    <x v="0"/>
    <n v="2239223520"/>
    <x v="1"/>
    <n v="3000"/>
    <x v="1"/>
    <x v="0"/>
    <x v="14"/>
    <x v="1"/>
    <x v="0"/>
    <x v="0"/>
    <x v="1"/>
    <x v="0"/>
  </r>
  <r>
    <x v="0"/>
    <x v="0"/>
    <n v="2239223521"/>
    <x v="1"/>
    <n v="15650"/>
    <x v="1"/>
    <x v="0"/>
    <x v="14"/>
    <x v="1"/>
    <x v="0"/>
    <x v="0"/>
    <x v="1"/>
    <x v="0"/>
  </r>
  <r>
    <x v="0"/>
    <x v="0"/>
    <n v="2239223522"/>
    <x v="1"/>
    <n v="1575"/>
    <x v="1"/>
    <x v="0"/>
    <x v="14"/>
    <x v="1"/>
    <x v="0"/>
    <x v="0"/>
    <x v="1"/>
    <x v="0"/>
  </r>
  <r>
    <x v="0"/>
    <x v="0"/>
    <n v="2239223523"/>
    <x v="1"/>
    <n v="12040"/>
    <x v="1"/>
    <x v="0"/>
    <x v="14"/>
    <x v="1"/>
    <x v="0"/>
    <x v="0"/>
    <x v="1"/>
    <x v="0"/>
  </r>
  <r>
    <x v="0"/>
    <x v="0"/>
    <n v="2239223524"/>
    <x v="1"/>
    <n v="4590"/>
    <x v="1"/>
    <x v="0"/>
    <x v="14"/>
    <x v="1"/>
    <x v="0"/>
    <x v="0"/>
    <x v="1"/>
    <x v="0"/>
  </r>
  <r>
    <x v="0"/>
    <x v="0"/>
    <n v="2239223525"/>
    <x v="1"/>
    <n v="10900"/>
    <x v="1"/>
    <x v="0"/>
    <x v="14"/>
    <x v="1"/>
    <x v="0"/>
    <x v="0"/>
    <x v="1"/>
    <x v="0"/>
  </r>
  <r>
    <x v="0"/>
    <x v="0"/>
    <n v="2239223526"/>
    <x v="1"/>
    <n v="10800"/>
    <x v="1"/>
    <x v="0"/>
    <x v="14"/>
    <x v="1"/>
    <x v="0"/>
    <x v="0"/>
    <x v="1"/>
    <x v="0"/>
  </r>
  <r>
    <x v="0"/>
    <x v="0"/>
    <n v="2239223527"/>
    <x v="1"/>
    <n v="24500"/>
    <x v="1"/>
    <x v="0"/>
    <x v="14"/>
    <x v="1"/>
    <x v="0"/>
    <x v="0"/>
    <x v="1"/>
    <x v="0"/>
  </r>
  <r>
    <x v="0"/>
    <x v="0"/>
    <n v="2239223528"/>
    <x v="1"/>
    <n v="63850"/>
    <x v="1"/>
    <x v="0"/>
    <x v="14"/>
    <x v="1"/>
    <x v="0"/>
    <x v="0"/>
    <x v="1"/>
    <x v="0"/>
  </r>
  <r>
    <x v="0"/>
    <x v="0"/>
    <n v="2239223529"/>
    <x v="1"/>
    <n v="3150"/>
    <x v="1"/>
    <x v="0"/>
    <x v="14"/>
    <x v="1"/>
    <x v="0"/>
    <x v="0"/>
    <x v="1"/>
    <x v="0"/>
  </r>
  <r>
    <x v="0"/>
    <x v="0"/>
    <n v="2239223530"/>
    <x v="1"/>
    <n v="5760"/>
    <x v="1"/>
    <x v="0"/>
    <x v="14"/>
    <x v="1"/>
    <x v="0"/>
    <x v="0"/>
    <x v="1"/>
    <x v="0"/>
  </r>
  <r>
    <x v="0"/>
    <x v="0"/>
    <n v="2239223531"/>
    <x v="1"/>
    <n v="1950"/>
    <x v="1"/>
    <x v="0"/>
    <x v="14"/>
    <x v="1"/>
    <x v="0"/>
    <x v="0"/>
    <x v="1"/>
    <x v="0"/>
  </r>
  <r>
    <x v="0"/>
    <x v="0"/>
    <n v="2239223532"/>
    <x v="1"/>
    <n v="3600"/>
    <x v="1"/>
    <x v="0"/>
    <x v="14"/>
    <x v="1"/>
    <x v="0"/>
    <x v="0"/>
    <x v="1"/>
    <x v="0"/>
  </r>
  <r>
    <x v="0"/>
    <x v="0"/>
    <n v="2239223533"/>
    <x v="1"/>
    <n v="1800"/>
    <x v="1"/>
    <x v="0"/>
    <x v="14"/>
    <x v="1"/>
    <x v="0"/>
    <x v="0"/>
    <x v="1"/>
    <x v="0"/>
  </r>
  <r>
    <x v="0"/>
    <x v="0"/>
    <n v="2239223534"/>
    <x v="1"/>
    <n v="4200"/>
    <x v="1"/>
    <x v="0"/>
    <x v="14"/>
    <x v="1"/>
    <x v="0"/>
    <x v="0"/>
    <x v="1"/>
    <x v="0"/>
  </r>
  <r>
    <x v="0"/>
    <x v="0"/>
    <n v="2239223535"/>
    <x v="1"/>
    <n v="35280"/>
    <x v="1"/>
    <x v="0"/>
    <x v="14"/>
    <x v="1"/>
    <x v="0"/>
    <x v="0"/>
    <x v="1"/>
    <x v="0"/>
  </r>
  <r>
    <x v="0"/>
    <x v="0"/>
    <n v="2239223536"/>
    <x v="1"/>
    <n v="11870"/>
    <x v="1"/>
    <x v="0"/>
    <x v="14"/>
    <x v="1"/>
    <x v="0"/>
    <x v="0"/>
    <x v="1"/>
    <x v="0"/>
  </r>
  <r>
    <x v="0"/>
    <x v="0"/>
    <n v="2239223537"/>
    <x v="1"/>
    <n v="45450"/>
    <x v="1"/>
    <x v="0"/>
    <x v="14"/>
    <x v="1"/>
    <x v="0"/>
    <x v="0"/>
    <x v="1"/>
    <x v="0"/>
  </r>
  <r>
    <x v="0"/>
    <x v="0"/>
    <n v="2239223538"/>
    <x v="1"/>
    <n v="3750"/>
    <x v="1"/>
    <x v="0"/>
    <x v="14"/>
    <x v="1"/>
    <x v="0"/>
    <x v="0"/>
    <x v="1"/>
    <x v="0"/>
  </r>
  <r>
    <x v="0"/>
    <x v="0"/>
    <n v="2239223539"/>
    <x v="1"/>
    <n v="2700"/>
    <x v="1"/>
    <x v="0"/>
    <x v="14"/>
    <x v="1"/>
    <x v="0"/>
    <x v="0"/>
    <x v="1"/>
    <x v="0"/>
  </r>
  <r>
    <x v="0"/>
    <x v="0"/>
    <n v="2239223540"/>
    <x v="5"/>
    <n v="-560"/>
    <x v="1"/>
    <x v="0"/>
    <x v="14"/>
    <x v="5"/>
    <x v="0"/>
    <x v="0"/>
    <x v="5"/>
    <x v="0"/>
  </r>
  <r>
    <x v="0"/>
    <x v="0"/>
    <n v="2239223540"/>
    <x v="6"/>
    <n v="7000"/>
    <x v="1"/>
    <x v="0"/>
    <x v="14"/>
    <x v="6"/>
    <x v="0"/>
    <x v="0"/>
    <x v="5"/>
    <x v="0"/>
  </r>
  <r>
    <x v="0"/>
    <x v="0"/>
    <n v="2239223541"/>
    <x v="2"/>
    <n v="7084"/>
    <x v="1"/>
    <x v="0"/>
    <x v="14"/>
    <x v="2"/>
    <x v="0"/>
    <x v="0"/>
    <x v="2"/>
    <x v="0"/>
  </r>
  <r>
    <x v="0"/>
    <x v="0"/>
    <n v="2239223542"/>
    <x v="1"/>
    <n v="6270"/>
    <x v="1"/>
    <x v="0"/>
    <x v="14"/>
    <x v="1"/>
    <x v="0"/>
    <x v="0"/>
    <x v="1"/>
    <x v="0"/>
  </r>
  <r>
    <x v="0"/>
    <x v="0"/>
    <n v="2239223543"/>
    <x v="1"/>
    <n v="2580"/>
    <x v="1"/>
    <x v="0"/>
    <x v="14"/>
    <x v="1"/>
    <x v="0"/>
    <x v="0"/>
    <x v="1"/>
    <x v="0"/>
  </r>
  <r>
    <x v="0"/>
    <x v="0"/>
    <n v="2239223544"/>
    <x v="5"/>
    <n v="-7000"/>
    <x v="1"/>
    <x v="0"/>
    <x v="14"/>
    <x v="5"/>
    <x v="0"/>
    <x v="0"/>
    <x v="5"/>
    <x v="0"/>
  </r>
  <r>
    <x v="0"/>
    <x v="0"/>
    <n v="2239223544"/>
    <x v="6"/>
    <n v="10000"/>
    <x v="1"/>
    <x v="0"/>
    <x v="14"/>
    <x v="6"/>
    <x v="0"/>
    <x v="0"/>
    <x v="5"/>
    <x v="0"/>
  </r>
  <r>
    <x v="0"/>
    <x v="0"/>
    <n v="2239223546"/>
    <x v="1"/>
    <n v="1590"/>
    <x v="1"/>
    <x v="0"/>
    <x v="14"/>
    <x v="1"/>
    <x v="0"/>
    <x v="0"/>
    <x v="1"/>
    <x v="0"/>
  </r>
  <r>
    <x v="0"/>
    <x v="0"/>
    <n v="2239223547"/>
    <x v="1"/>
    <n v="11430"/>
    <x v="1"/>
    <x v="0"/>
    <x v="14"/>
    <x v="1"/>
    <x v="0"/>
    <x v="0"/>
    <x v="1"/>
    <x v="0"/>
  </r>
  <r>
    <x v="0"/>
    <x v="0"/>
    <n v="2239223548"/>
    <x v="6"/>
    <n v="3150"/>
    <x v="1"/>
    <x v="0"/>
    <x v="14"/>
    <x v="6"/>
    <x v="0"/>
    <x v="0"/>
    <x v="5"/>
    <x v="0"/>
  </r>
  <r>
    <x v="0"/>
    <x v="0"/>
    <n v="2239223549"/>
    <x v="4"/>
    <n v="5700"/>
    <x v="1"/>
    <x v="0"/>
    <x v="14"/>
    <x v="4"/>
    <x v="0"/>
    <x v="0"/>
    <x v="4"/>
    <x v="0"/>
  </r>
  <r>
    <x v="0"/>
    <x v="0"/>
    <n v="2239223550"/>
    <x v="2"/>
    <n v="23000"/>
    <x v="1"/>
    <x v="0"/>
    <x v="14"/>
    <x v="2"/>
    <x v="0"/>
    <x v="0"/>
    <x v="2"/>
    <x v="0"/>
  </r>
  <r>
    <x v="0"/>
    <x v="0"/>
    <n v="2239223551"/>
    <x v="2"/>
    <n v="40095"/>
    <x v="1"/>
    <x v="0"/>
    <x v="14"/>
    <x v="2"/>
    <x v="0"/>
    <x v="0"/>
    <x v="2"/>
    <x v="0"/>
  </r>
  <r>
    <x v="0"/>
    <x v="0"/>
    <n v="2239223552"/>
    <x v="2"/>
    <n v="7920"/>
    <x v="1"/>
    <x v="0"/>
    <x v="14"/>
    <x v="2"/>
    <x v="0"/>
    <x v="0"/>
    <x v="2"/>
    <x v="0"/>
  </r>
  <r>
    <x v="0"/>
    <x v="0"/>
    <n v="2239223553"/>
    <x v="2"/>
    <n v="26895"/>
    <x v="1"/>
    <x v="0"/>
    <x v="14"/>
    <x v="2"/>
    <x v="0"/>
    <x v="0"/>
    <x v="2"/>
    <x v="0"/>
  </r>
  <r>
    <x v="0"/>
    <x v="0"/>
    <n v="2239223554"/>
    <x v="5"/>
    <n v="-750"/>
    <x v="1"/>
    <x v="0"/>
    <x v="14"/>
    <x v="5"/>
    <x v="0"/>
    <x v="0"/>
    <x v="5"/>
    <x v="0"/>
  </r>
  <r>
    <x v="0"/>
    <x v="0"/>
    <n v="2239223554"/>
    <x v="6"/>
    <n v="5000"/>
    <x v="1"/>
    <x v="0"/>
    <x v="14"/>
    <x v="6"/>
    <x v="0"/>
    <x v="0"/>
    <x v="5"/>
    <x v="0"/>
  </r>
  <r>
    <x v="0"/>
    <x v="0"/>
    <n v="2239223554"/>
    <x v="7"/>
    <n v="4250"/>
    <x v="1"/>
    <x v="0"/>
    <x v="14"/>
    <x v="7"/>
    <x v="0"/>
    <x v="0"/>
    <x v="1"/>
    <x v="0"/>
  </r>
  <r>
    <x v="0"/>
    <x v="0"/>
    <n v="2239223555"/>
    <x v="5"/>
    <n v="-2050"/>
    <x v="1"/>
    <x v="0"/>
    <x v="14"/>
    <x v="5"/>
    <x v="0"/>
    <x v="0"/>
    <x v="5"/>
    <x v="0"/>
  </r>
  <r>
    <x v="0"/>
    <x v="0"/>
    <n v="2239223555"/>
    <x v="6"/>
    <n v="20000"/>
    <x v="1"/>
    <x v="0"/>
    <x v="14"/>
    <x v="6"/>
    <x v="0"/>
    <x v="0"/>
    <x v="5"/>
    <x v="0"/>
  </r>
  <r>
    <x v="0"/>
    <x v="0"/>
    <n v="2239223556"/>
    <x v="1"/>
    <n v="2700"/>
    <x v="1"/>
    <x v="0"/>
    <x v="14"/>
    <x v="1"/>
    <x v="0"/>
    <x v="0"/>
    <x v="1"/>
    <x v="0"/>
  </r>
  <r>
    <x v="0"/>
    <x v="0"/>
    <n v="2239223557"/>
    <x v="1"/>
    <n v="2265"/>
    <x v="1"/>
    <x v="0"/>
    <x v="14"/>
    <x v="1"/>
    <x v="0"/>
    <x v="0"/>
    <x v="1"/>
    <x v="0"/>
  </r>
  <r>
    <x v="0"/>
    <x v="0"/>
    <n v="2239223558"/>
    <x v="2"/>
    <n v="6500"/>
    <x v="1"/>
    <x v="0"/>
    <x v="14"/>
    <x v="2"/>
    <x v="0"/>
    <x v="0"/>
    <x v="2"/>
    <x v="0"/>
  </r>
  <r>
    <x v="0"/>
    <x v="0"/>
    <n v="2239223558"/>
    <x v="7"/>
    <n v="1500"/>
    <x v="1"/>
    <x v="0"/>
    <x v="14"/>
    <x v="7"/>
    <x v="0"/>
    <x v="0"/>
    <x v="1"/>
    <x v="0"/>
  </r>
  <r>
    <x v="0"/>
    <x v="0"/>
    <n v="2239223559"/>
    <x v="5"/>
    <n v="-5400"/>
    <x v="1"/>
    <x v="0"/>
    <x v="14"/>
    <x v="5"/>
    <x v="0"/>
    <x v="0"/>
    <x v="5"/>
    <x v="0"/>
  </r>
  <r>
    <x v="0"/>
    <x v="0"/>
    <n v="2239223559"/>
    <x v="4"/>
    <n v="10000"/>
    <x v="1"/>
    <x v="0"/>
    <x v="14"/>
    <x v="4"/>
    <x v="0"/>
    <x v="0"/>
    <x v="4"/>
    <x v="0"/>
  </r>
  <r>
    <x v="0"/>
    <x v="0"/>
    <n v="2239223560"/>
    <x v="5"/>
    <n v="-2250"/>
    <x v="1"/>
    <x v="0"/>
    <x v="14"/>
    <x v="5"/>
    <x v="0"/>
    <x v="0"/>
    <x v="5"/>
    <x v="0"/>
  </r>
  <r>
    <x v="0"/>
    <x v="0"/>
    <n v="2239223560"/>
    <x v="6"/>
    <n v="5000"/>
    <x v="1"/>
    <x v="0"/>
    <x v="14"/>
    <x v="6"/>
    <x v="0"/>
    <x v="0"/>
    <x v="5"/>
    <x v="0"/>
  </r>
  <r>
    <x v="0"/>
    <x v="0"/>
    <n v="2239223562"/>
    <x v="2"/>
    <n v="7150"/>
    <x v="1"/>
    <x v="0"/>
    <x v="14"/>
    <x v="2"/>
    <x v="0"/>
    <x v="0"/>
    <x v="2"/>
    <x v="0"/>
  </r>
  <r>
    <x v="0"/>
    <x v="0"/>
    <n v="2239223563"/>
    <x v="1"/>
    <n v="8250"/>
    <x v="1"/>
    <x v="0"/>
    <x v="14"/>
    <x v="1"/>
    <x v="0"/>
    <x v="0"/>
    <x v="1"/>
    <x v="0"/>
  </r>
  <r>
    <x v="0"/>
    <x v="0"/>
    <n v="2239223565"/>
    <x v="1"/>
    <n v="6000"/>
    <x v="1"/>
    <x v="0"/>
    <x v="14"/>
    <x v="1"/>
    <x v="0"/>
    <x v="0"/>
    <x v="1"/>
    <x v="0"/>
  </r>
  <r>
    <x v="0"/>
    <x v="0"/>
    <n v="2239223566"/>
    <x v="1"/>
    <n v="17750"/>
    <x v="1"/>
    <x v="0"/>
    <x v="14"/>
    <x v="1"/>
    <x v="0"/>
    <x v="0"/>
    <x v="1"/>
    <x v="0"/>
  </r>
  <r>
    <x v="0"/>
    <x v="0"/>
    <n v="2239223567"/>
    <x v="2"/>
    <n v="21670"/>
    <x v="1"/>
    <x v="0"/>
    <x v="14"/>
    <x v="2"/>
    <x v="0"/>
    <x v="0"/>
    <x v="2"/>
    <x v="0"/>
  </r>
  <r>
    <x v="0"/>
    <x v="0"/>
    <n v="2239223568"/>
    <x v="5"/>
    <n v="-2250"/>
    <x v="1"/>
    <x v="0"/>
    <x v="14"/>
    <x v="5"/>
    <x v="0"/>
    <x v="0"/>
    <x v="5"/>
    <x v="0"/>
  </r>
  <r>
    <x v="0"/>
    <x v="0"/>
    <n v="2239223568"/>
    <x v="6"/>
    <n v="5000"/>
    <x v="1"/>
    <x v="0"/>
    <x v="14"/>
    <x v="6"/>
    <x v="0"/>
    <x v="0"/>
    <x v="5"/>
    <x v="0"/>
  </r>
  <r>
    <x v="0"/>
    <x v="0"/>
    <n v="2239223568"/>
    <x v="7"/>
    <n v="750"/>
    <x v="1"/>
    <x v="0"/>
    <x v="14"/>
    <x v="7"/>
    <x v="0"/>
    <x v="0"/>
    <x v="1"/>
    <x v="0"/>
  </r>
  <r>
    <x v="0"/>
    <x v="0"/>
    <n v="2239223569"/>
    <x v="2"/>
    <n v="40040"/>
    <x v="1"/>
    <x v="0"/>
    <x v="14"/>
    <x v="2"/>
    <x v="0"/>
    <x v="0"/>
    <x v="2"/>
    <x v="0"/>
  </r>
  <r>
    <x v="0"/>
    <x v="0"/>
    <n v="2239223570"/>
    <x v="5"/>
    <n v="-1050"/>
    <x v="1"/>
    <x v="0"/>
    <x v="14"/>
    <x v="5"/>
    <x v="0"/>
    <x v="0"/>
    <x v="5"/>
    <x v="0"/>
  </r>
  <r>
    <x v="0"/>
    <x v="0"/>
    <n v="2239223570"/>
    <x v="6"/>
    <n v="10000"/>
    <x v="1"/>
    <x v="0"/>
    <x v="14"/>
    <x v="6"/>
    <x v="0"/>
    <x v="0"/>
    <x v="5"/>
    <x v="0"/>
  </r>
  <r>
    <x v="0"/>
    <x v="0"/>
    <n v="2239223571"/>
    <x v="2"/>
    <n v="49445"/>
    <x v="1"/>
    <x v="0"/>
    <x v="14"/>
    <x v="2"/>
    <x v="0"/>
    <x v="0"/>
    <x v="2"/>
    <x v="0"/>
  </r>
  <r>
    <x v="0"/>
    <x v="0"/>
    <n v="2239223572"/>
    <x v="5"/>
    <n v="-3000"/>
    <x v="1"/>
    <x v="0"/>
    <x v="14"/>
    <x v="5"/>
    <x v="0"/>
    <x v="0"/>
    <x v="5"/>
    <x v="0"/>
  </r>
  <r>
    <x v="0"/>
    <x v="0"/>
    <n v="2239223572"/>
    <x v="6"/>
    <n v="5000"/>
    <x v="1"/>
    <x v="0"/>
    <x v="14"/>
    <x v="6"/>
    <x v="0"/>
    <x v="0"/>
    <x v="5"/>
    <x v="0"/>
  </r>
  <r>
    <x v="0"/>
    <x v="0"/>
    <n v="2239223574"/>
    <x v="5"/>
    <n v="-5000"/>
    <x v="1"/>
    <x v="0"/>
    <x v="14"/>
    <x v="5"/>
    <x v="0"/>
    <x v="0"/>
    <x v="5"/>
    <x v="0"/>
  </r>
  <r>
    <x v="0"/>
    <x v="0"/>
    <n v="2239223574"/>
    <x v="4"/>
    <n v="10300"/>
    <x v="1"/>
    <x v="0"/>
    <x v="14"/>
    <x v="4"/>
    <x v="0"/>
    <x v="0"/>
    <x v="4"/>
    <x v="0"/>
  </r>
  <r>
    <x v="0"/>
    <x v="0"/>
    <n v="2239223576"/>
    <x v="5"/>
    <n v="-4400"/>
    <x v="1"/>
    <x v="0"/>
    <x v="14"/>
    <x v="5"/>
    <x v="0"/>
    <x v="0"/>
    <x v="5"/>
    <x v="0"/>
  </r>
  <r>
    <x v="0"/>
    <x v="0"/>
    <n v="2239223576"/>
    <x v="4"/>
    <n v="10000"/>
    <x v="1"/>
    <x v="0"/>
    <x v="14"/>
    <x v="4"/>
    <x v="0"/>
    <x v="0"/>
    <x v="4"/>
    <x v="0"/>
  </r>
  <r>
    <x v="0"/>
    <x v="0"/>
    <n v="2239223578"/>
    <x v="5"/>
    <n v="-14300"/>
    <x v="1"/>
    <x v="0"/>
    <x v="14"/>
    <x v="5"/>
    <x v="0"/>
    <x v="0"/>
    <x v="5"/>
    <x v="0"/>
  </r>
  <r>
    <x v="0"/>
    <x v="0"/>
    <n v="2239223578"/>
    <x v="4"/>
    <n v="20000"/>
    <x v="1"/>
    <x v="0"/>
    <x v="14"/>
    <x v="4"/>
    <x v="0"/>
    <x v="0"/>
    <x v="4"/>
    <x v="0"/>
  </r>
  <r>
    <x v="0"/>
    <x v="0"/>
    <n v="2239223580"/>
    <x v="5"/>
    <n v="-17250"/>
    <x v="1"/>
    <x v="0"/>
    <x v="14"/>
    <x v="5"/>
    <x v="0"/>
    <x v="0"/>
    <x v="5"/>
    <x v="0"/>
  </r>
  <r>
    <x v="0"/>
    <x v="0"/>
    <n v="2239223580"/>
    <x v="6"/>
    <n v="20000"/>
    <x v="1"/>
    <x v="0"/>
    <x v="14"/>
    <x v="6"/>
    <x v="0"/>
    <x v="0"/>
    <x v="5"/>
    <x v="0"/>
  </r>
  <r>
    <x v="0"/>
    <x v="0"/>
    <n v="2239223580"/>
    <x v="7"/>
    <n v="750"/>
    <x v="1"/>
    <x v="0"/>
    <x v="14"/>
    <x v="7"/>
    <x v="0"/>
    <x v="0"/>
    <x v="1"/>
    <x v="0"/>
  </r>
  <r>
    <x v="0"/>
    <x v="0"/>
    <n v="2239223581"/>
    <x v="2"/>
    <n v="27995"/>
    <x v="1"/>
    <x v="0"/>
    <x v="14"/>
    <x v="2"/>
    <x v="0"/>
    <x v="0"/>
    <x v="2"/>
    <x v="0"/>
  </r>
  <r>
    <x v="0"/>
    <x v="0"/>
    <n v="2239223582"/>
    <x v="2"/>
    <n v="38390"/>
    <x v="1"/>
    <x v="0"/>
    <x v="14"/>
    <x v="2"/>
    <x v="0"/>
    <x v="0"/>
    <x v="2"/>
    <x v="0"/>
  </r>
  <r>
    <x v="0"/>
    <x v="0"/>
    <n v="2239223583"/>
    <x v="5"/>
    <n v="-2300"/>
    <x v="1"/>
    <x v="0"/>
    <x v="14"/>
    <x v="5"/>
    <x v="0"/>
    <x v="0"/>
    <x v="5"/>
    <x v="0"/>
  </r>
  <r>
    <x v="0"/>
    <x v="0"/>
    <n v="2239223583"/>
    <x v="6"/>
    <n v="10000"/>
    <x v="1"/>
    <x v="0"/>
    <x v="14"/>
    <x v="6"/>
    <x v="0"/>
    <x v="0"/>
    <x v="5"/>
    <x v="0"/>
  </r>
  <r>
    <x v="0"/>
    <x v="0"/>
    <n v="2239223584"/>
    <x v="2"/>
    <n v="16995"/>
    <x v="1"/>
    <x v="0"/>
    <x v="14"/>
    <x v="2"/>
    <x v="0"/>
    <x v="0"/>
    <x v="2"/>
    <x v="0"/>
  </r>
  <r>
    <x v="0"/>
    <x v="0"/>
    <n v="2239223585"/>
    <x v="2"/>
    <n v="52690"/>
    <x v="1"/>
    <x v="0"/>
    <x v="14"/>
    <x v="2"/>
    <x v="0"/>
    <x v="0"/>
    <x v="2"/>
    <x v="0"/>
  </r>
  <r>
    <x v="0"/>
    <x v="0"/>
    <n v="2239223586"/>
    <x v="2"/>
    <n v="54230"/>
    <x v="1"/>
    <x v="0"/>
    <x v="14"/>
    <x v="2"/>
    <x v="0"/>
    <x v="0"/>
    <x v="2"/>
    <x v="0"/>
  </r>
  <r>
    <x v="0"/>
    <x v="0"/>
    <n v="2239223587"/>
    <x v="9"/>
    <n v="182450"/>
    <x v="1"/>
    <x v="0"/>
    <x v="14"/>
    <x v="9"/>
    <x v="0"/>
    <x v="0"/>
    <x v="6"/>
    <x v="0"/>
  </r>
  <r>
    <x v="0"/>
    <x v="0"/>
    <n v="2239223588"/>
    <x v="2"/>
    <n v="42240"/>
    <x v="1"/>
    <x v="0"/>
    <x v="14"/>
    <x v="2"/>
    <x v="0"/>
    <x v="0"/>
    <x v="2"/>
    <x v="0"/>
  </r>
  <r>
    <x v="0"/>
    <x v="0"/>
    <n v="2239223589"/>
    <x v="2"/>
    <n v="12870"/>
    <x v="1"/>
    <x v="0"/>
    <x v="14"/>
    <x v="2"/>
    <x v="0"/>
    <x v="0"/>
    <x v="2"/>
    <x v="0"/>
  </r>
  <r>
    <x v="0"/>
    <x v="0"/>
    <n v="2239223590"/>
    <x v="3"/>
    <n v="20240"/>
    <x v="1"/>
    <x v="0"/>
    <x v="14"/>
    <x v="3"/>
    <x v="0"/>
    <x v="0"/>
    <x v="3"/>
    <x v="0"/>
  </r>
  <r>
    <x v="0"/>
    <x v="0"/>
    <n v="2239223591"/>
    <x v="5"/>
    <n v="-900"/>
    <x v="1"/>
    <x v="0"/>
    <x v="14"/>
    <x v="5"/>
    <x v="0"/>
    <x v="0"/>
    <x v="5"/>
    <x v="0"/>
  </r>
  <r>
    <x v="0"/>
    <x v="0"/>
    <n v="2239223591"/>
    <x v="6"/>
    <n v="122000"/>
    <x v="1"/>
    <x v="0"/>
    <x v="14"/>
    <x v="6"/>
    <x v="0"/>
    <x v="0"/>
    <x v="5"/>
    <x v="0"/>
  </r>
  <r>
    <x v="0"/>
    <x v="0"/>
    <n v="2239223592"/>
    <x v="5"/>
    <n v="-7000"/>
    <x v="1"/>
    <x v="0"/>
    <x v="14"/>
    <x v="5"/>
    <x v="0"/>
    <x v="0"/>
    <x v="5"/>
    <x v="0"/>
  </r>
  <r>
    <x v="0"/>
    <x v="0"/>
    <n v="2239223592"/>
    <x v="6"/>
    <n v="10250"/>
    <x v="1"/>
    <x v="0"/>
    <x v="14"/>
    <x v="6"/>
    <x v="0"/>
    <x v="0"/>
    <x v="5"/>
    <x v="0"/>
  </r>
  <r>
    <x v="0"/>
    <x v="0"/>
    <n v="2239223593"/>
    <x v="5"/>
    <n v="-16250"/>
    <x v="1"/>
    <x v="0"/>
    <x v="14"/>
    <x v="5"/>
    <x v="0"/>
    <x v="0"/>
    <x v="5"/>
    <x v="0"/>
  </r>
  <r>
    <x v="0"/>
    <x v="0"/>
    <n v="2239223593"/>
    <x v="6"/>
    <n v="20000"/>
    <x v="1"/>
    <x v="0"/>
    <x v="14"/>
    <x v="6"/>
    <x v="0"/>
    <x v="0"/>
    <x v="5"/>
    <x v="0"/>
  </r>
  <r>
    <x v="0"/>
    <x v="0"/>
    <n v="2239223594"/>
    <x v="5"/>
    <n v="-700"/>
    <x v="1"/>
    <x v="0"/>
    <x v="14"/>
    <x v="5"/>
    <x v="0"/>
    <x v="0"/>
    <x v="5"/>
    <x v="0"/>
  </r>
  <r>
    <x v="0"/>
    <x v="0"/>
    <n v="2239223594"/>
    <x v="4"/>
    <n v="6000"/>
    <x v="1"/>
    <x v="0"/>
    <x v="14"/>
    <x v="4"/>
    <x v="0"/>
    <x v="0"/>
    <x v="4"/>
    <x v="0"/>
  </r>
  <r>
    <x v="0"/>
    <x v="0"/>
    <n v="2239223595"/>
    <x v="1"/>
    <n v="3150"/>
    <x v="1"/>
    <x v="0"/>
    <x v="14"/>
    <x v="1"/>
    <x v="0"/>
    <x v="0"/>
    <x v="1"/>
    <x v="0"/>
  </r>
  <r>
    <x v="0"/>
    <x v="0"/>
    <n v="2239223596"/>
    <x v="1"/>
    <n v="1470"/>
    <x v="1"/>
    <x v="0"/>
    <x v="14"/>
    <x v="1"/>
    <x v="0"/>
    <x v="0"/>
    <x v="1"/>
    <x v="0"/>
  </r>
  <r>
    <x v="0"/>
    <x v="0"/>
    <n v="2239223597"/>
    <x v="2"/>
    <n v="32400"/>
    <x v="1"/>
    <x v="0"/>
    <x v="14"/>
    <x v="2"/>
    <x v="0"/>
    <x v="0"/>
    <x v="2"/>
    <x v="0"/>
  </r>
  <r>
    <x v="0"/>
    <x v="0"/>
    <n v="2239223598"/>
    <x v="2"/>
    <n v="9000"/>
    <x v="1"/>
    <x v="0"/>
    <x v="14"/>
    <x v="2"/>
    <x v="0"/>
    <x v="0"/>
    <x v="2"/>
    <x v="0"/>
  </r>
  <r>
    <x v="0"/>
    <x v="0"/>
    <n v="2239223598"/>
    <x v="7"/>
    <n v="1500"/>
    <x v="1"/>
    <x v="0"/>
    <x v="14"/>
    <x v="7"/>
    <x v="0"/>
    <x v="0"/>
    <x v="1"/>
    <x v="0"/>
  </r>
  <r>
    <x v="0"/>
    <x v="0"/>
    <n v="2239223599"/>
    <x v="3"/>
    <n v="34265"/>
    <x v="1"/>
    <x v="0"/>
    <x v="14"/>
    <x v="3"/>
    <x v="0"/>
    <x v="0"/>
    <x v="3"/>
    <x v="0"/>
  </r>
  <r>
    <x v="0"/>
    <x v="0"/>
    <n v="2239223600"/>
    <x v="1"/>
    <n v="7470"/>
    <x v="1"/>
    <x v="0"/>
    <x v="14"/>
    <x v="1"/>
    <x v="0"/>
    <x v="0"/>
    <x v="1"/>
    <x v="0"/>
  </r>
  <r>
    <x v="0"/>
    <x v="0"/>
    <n v="2239223601"/>
    <x v="2"/>
    <n v="4250"/>
    <x v="1"/>
    <x v="0"/>
    <x v="14"/>
    <x v="2"/>
    <x v="0"/>
    <x v="0"/>
    <x v="2"/>
    <x v="0"/>
  </r>
  <r>
    <x v="0"/>
    <x v="0"/>
    <n v="2239223602"/>
    <x v="5"/>
    <n v="-3500"/>
    <x v="1"/>
    <x v="0"/>
    <x v="14"/>
    <x v="5"/>
    <x v="0"/>
    <x v="0"/>
    <x v="5"/>
    <x v="0"/>
  </r>
  <r>
    <x v="0"/>
    <x v="0"/>
    <n v="2239223602"/>
    <x v="6"/>
    <n v="5000"/>
    <x v="1"/>
    <x v="0"/>
    <x v="14"/>
    <x v="6"/>
    <x v="0"/>
    <x v="0"/>
    <x v="5"/>
    <x v="0"/>
  </r>
  <r>
    <x v="0"/>
    <x v="0"/>
    <n v="2239223602"/>
    <x v="7"/>
    <n v="1500"/>
    <x v="1"/>
    <x v="0"/>
    <x v="14"/>
    <x v="7"/>
    <x v="0"/>
    <x v="0"/>
    <x v="1"/>
    <x v="0"/>
  </r>
  <r>
    <x v="0"/>
    <x v="0"/>
    <n v="2239223603"/>
    <x v="2"/>
    <n v="20020"/>
    <x v="1"/>
    <x v="0"/>
    <x v="14"/>
    <x v="2"/>
    <x v="0"/>
    <x v="0"/>
    <x v="2"/>
    <x v="0"/>
  </r>
  <r>
    <x v="0"/>
    <x v="0"/>
    <n v="2239223604"/>
    <x v="2"/>
    <n v="14190"/>
    <x v="1"/>
    <x v="0"/>
    <x v="14"/>
    <x v="2"/>
    <x v="0"/>
    <x v="0"/>
    <x v="2"/>
    <x v="0"/>
  </r>
  <r>
    <x v="0"/>
    <x v="0"/>
    <n v="2239223605"/>
    <x v="3"/>
    <n v="21900"/>
    <x v="1"/>
    <x v="0"/>
    <x v="14"/>
    <x v="3"/>
    <x v="0"/>
    <x v="0"/>
    <x v="3"/>
    <x v="0"/>
  </r>
  <r>
    <x v="0"/>
    <x v="0"/>
    <n v="2239223606"/>
    <x v="2"/>
    <n v="36245"/>
    <x v="1"/>
    <x v="0"/>
    <x v="14"/>
    <x v="2"/>
    <x v="0"/>
    <x v="0"/>
    <x v="2"/>
    <x v="0"/>
  </r>
  <r>
    <x v="0"/>
    <x v="0"/>
    <n v="2239223607"/>
    <x v="3"/>
    <n v="3300"/>
    <x v="1"/>
    <x v="0"/>
    <x v="14"/>
    <x v="3"/>
    <x v="0"/>
    <x v="0"/>
    <x v="3"/>
    <x v="0"/>
  </r>
  <r>
    <x v="0"/>
    <x v="0"/>
    <n v="2239223609"/>
    <x v="5"/>
    <n v="-17250"/>
    <x v="1"/>
    <x v="0"/>
    <x v="14"/>
    <x v="5"/>
    <x v="0"/>
    <x v="0"/>
    <x v="5"/>
    <x v="0"/>
  </r>
  <r>
    <x v="0"/>
    <x v="0"/>
    <n v="2239223609"/>
    <x v="6"/>
    <n v="20000"/>
    <x v="1"/>
    <x v="0"/>
    <x v="14"/>
    <x v="6"/>
    <x v="0"/>
    <x v="0"/>
    <x v="5"/>
    <x v="0"/>
  </r>
  <r>
    <x v="0"/>
    <x v="0"/>
    <n v="2239223609"/>
    <x v="7"/>
    <n v="750"/>
    <x v="1"/>
    <x v="0"/>
    <x v="14"/>
    <x v="7"/>
    <x v="0"/>
    <x v="0"/>
    <x v="1"/>
    <x v="0"/>
  </r>
  <r>
    <x v="0"/>
    <x v="0"/>
    <n v="2239223610"/>
    <x v="5"/>
    <n v="-5500"/>
    <x v="1"/>
    <x v="0"/>
    <x v="14"/>
    <x v="5"/>
    <x v="0"/>
    <x v="0"/>
    <x v="5"/>
    <x v="0"/>
  </r>
  <r>
    <x v="0"/>
    <x v="0"/>
    <n v="2239223610"/>
    <x v="6"/>
    <n v="20000"/>
    <x v="1"/>
    <x v="0"/>
    <x v="14"/>
    <x v="6"/>
    <x v="0"/>
    <x v="0"/>
    <x v="5"/>
    <x v="0"/>
  </r>
  <r>
    <x v="0"/>
    <x v="0"/>
    <n v="2239223611"/>
    <x v="5"/>
    <n v="-250"/>
    <x v="1"/>
    <x v="0"/>
    <x v="14"/>
    <x v="5"/>
    <x v="0"/>
    <x v="0"/>
    <x v="5"/>
    <x v="0"/>
  </r>
  <r>
    <x v="0"/>
    <x v="0"/>
    <n v="2239223611"/>
    <x v="6"/>
    <n v="5000"/>
    <x v="1"/>
    <x v="0"/>
    <x v="14"/>
    <x v="6"/>
    <x v="0"/>
    <x v="0"/>
    <x v="5"/>
    <x v="0"/>
  </r>
  <r>
    <x v="0"/>
    <x v="0"/>
    <n v="2239223612"/>
    <x v="5"/>
    <n v="-350"/>
    <x v="1"/>
    <x v="0"/>
    <x v="14"/>
    <x v="5"/>
    <x v="0"/>
    <x v="0"/>
    <x v="5"/>
    <x v="0"/>
  </r>
  <r>
    <x v="0"/>
    <x v="0"/>
    <n v="2239223612"/>
    <x v="6"/>
    <n v="3000"/>
    <x v="1"/>
    <x v="0"/>
    <x v="14"/>
    <x v="6"/>
    <x v="0"/>
    <x v="0"/>
    <x v="5"/>
    <x v="0"/>
  </r>
  <r>
    <x v="0"/>
    <x v="0"/>
    <n v="2239223613"/>
    <x v="5"/>
    <n v="-1250"/>
    <x v="1"/>
    <x v="0"/>
    <x v="14"/>
    <x v="5"/>
    <x v="0"/>
    <x v="0"/>
    <x v="5"/>
    <x v="0"/>
  </r>
  <r>
    <x v="0"/>
    <x v="0"/>
    <n v="2239223613"/>
    <x v="6"/>
    <n v="5000"/>
    <x v="1"/>
    <x v="0"/>
    <x v="14"/>
    <x v="6"/>
    <x v="0"/>
    <x v="0"/>
    <x v="5"/>
    <x v="0"/>
  </r>
  <r>
    <x v="0"/>
    <x v="0"/>
    <n v="2239223614"/>
    <x v="2"/>
    <n v="8250"/>
    <x v="1"/>
    <x v="0"/>
    <x v="14"/>
    <x v="2"/>
    <x v="0"/>
    <x v="0"/>
    <x v="2"/>
    <x v="0"/>
  </r>
  <r>
    <x v="0"/>
    <x v="0"/>
    <n v="2239223615"/>
    <x v="5"/>
    <n v="-3500"/>
    <x v="1"/>
    <x v="0"/>
    <x v="14"/>
    <x v="5"/>
    <x v="0"/>
    <x v="0"/>
    <x v="5"/>
    <x v="0"/>
  </r>
  <r>
    <x v="0"/>
    <x v="0"/>
    <n v="2239223615"/>
    <x v="6"/>
    <n v="10000"/>
    <x v="1"/>
    <x v="0"/>
    <x v="14"/>
    <x v="6"/>
    <x v="0"/>
    <x v="0"/>
    <x v="5"/>
    <x v="0"/>
  </r>
  <r>
    <x v="0"/>
    <x v="0"/>
    <n v="2239223616"/>
    <x v="2"/>
    <n v="38940"/>
    <x v="1"/>
    <x v="0"/>
    <x v="14"/>
    <x v="2"/>
    <x v="0"/>
    <x v="0"/>
    <x v="2"/>
    <x v="0"/>
  </r>
  <r>
    <x v="0"/>
    <x v="0"/>
    <n v="2239223617"/>
    <x v="2"/>
    <n v="11990"/>
    <x v="1"/>
    <x v="0"/>
    <x v="14"/>
    <x v="2"/>
    <x v="0"/>
    <x v="0"/>
    <x v="2"/>
    <x v="0"/>
  </r>
  <r>
    <x v="0"/>
    <x v="0"/>
    <n v="2239223618"/>
    <x v="4"/>
    <n v="5000"/>
    <x v="1"/>
    <x v="0"/>
    <x v="14"/>
    <x v="4"/>
    <x v="0"/>
    <x v="0"/>
    <x v="4"/>
    <x v="0"/>
  </r>
  <r>
    <x v="0"/>
    <x v="0"/>
    <n v="2239223619"/>
    <x v="2"/>
    <n v="31790"/>
    <x v="1"/>
    <x v="0"/>
    <x v="14"/>
    <x v="2"/>
    <x v="0"/>
    <x v="0"/>
    <x v="2"/>
    <x v="0"/>
  </r>
  <r>
    <x v="0"/>
    <x v="0"/>
    <n v="2239223620"/>
    <x v="5"/>
    <n v="-12500"/>
    <x v="1"/>
    <x v="0"/>
    <x v="14"/>
    <x v="5"/>
    <x v="0"/>
    <x v="0"/>
    <x v="5"/>
    <x v="0"/>
  </r>
  <r>
    <x v="0"/>
    <x v="0"/>
    <n v="2239223620"/>
    <x v="6"/>
    <n v="20000"/>
    <x v="1"/>
    <x v="0"/>
    <x v="14"/>
    <x v="6"/>
    <x v="0"/>
    <x v="0"/>
    <x v="5"/>
    <x v="0"/>
  </r>
  <r>
    <x v="0"/>
    <x v="0"/>
    <n v="2239223621"/>
    <x v="5"/>
    <n v="-4000"/>
    <x v="1"/>
    <x v="0"/>
    <x v="14"/>
    <x v="5"/>
    <x v="0"/>
    <x v="0"/>
    <x v="5"/>
    <x v="0"/>
  </r>
  <r>
    <x v="0"/>
    <x v="0"/>
    <n v="2239223621"/>
    <x v="6"/>
    <n v="10000"/>
    <x v="1"/>
    <x v="0"/>
    <x v="14"/>
    <x v="6"/>
    <x v="0"/>
    <x v="0"/>
    <x v="5"/>
    <x v="0"/>
  </r>
  <r>
    <x v="0"/>
    <x v="0"/>
    <n v="2239223622"/>
    <x v="3"/>
    <n v="32890"/>
    <x v="1"/>
    <x v="0"/>
    <x v="14"/>
    <x v="3"/>
    <x v="0"/>
    <x v="0"/>
    <x v="3"/>
    <x v="0"/>
  </r>
  <r>
    <x v="0"/>
    <x v="0"/>
    <n v="2239223623"/>
    <x v="1"/>
    <n v="15850"/>
    <x v="1"/>
    <x v="0"/>
    <x v="14"/>
    <x v="1"/>
    <x v="0"/>
    <x v="0"/>
    <x v="1"/>
    <x v="0"/>
  </r>
  <r>
    <x v="0"/>
    <x v="0"/>
    <n v="2239223624"/>
    <x v="5"/>
    <n v="-5500"/>
    <x v="1"/>
    <x v="0"/>
    <x v="14"/>
    <x v="5"/>
    <x v="0"/>
    <x v="0"/>
    <x v="5"/>
    <x v="0"/>
  </r>
  <r>
    <x v="0"/>
    <x v="0"/>
    <n v="2239223624"/>
    <x v="6"/>
    <n v="10000"/>
    <x v="1"/>
    <x v="0"/>
    <x v="14"/>
    <x v="6"/>
    <x v="0"/>
    <x v="0"/>
    <x v="5"/>
    <x v="0"/>
  </r>
  <r>
    <x v="0"/>
    <x v="0"/>
    <n v="2239223625"/>
    <x v="2"/>
    <n v="7700"/>
    <x v="1"/>
    <x v="0"/>
    <x v="14"/>
    <x v="2"/>
    <x v="0"/>
    <x v="0"/>
    <x v="2"/>
    <x v="0"/>
  </r>
  <r>
    <x v="0"/>
    <x v="0"/>
    <n v="2239223626"/>
    <x v="2"/>
    <n v="6650"/>
    <x v="1"/>
    <x v="0"/>
    <x v="14"/>
    <x v="2"/>
    <x v="0"/>
    <x v="0"/>
    <x v="2"/>
    <x v="0"/>
  </r>
  <r>
    <x v="0"/>
    <x v="0"/>
    <n v="2239223627"/>
    <x v="2"/>
    <n v="30700"/>
    <x v="1"/>
    <x v="0"/>
    <x v="14"/>
    <x v="2"/>
    <x v="0"/>
    <x v="0"/>
    <x v="2"/>
    <x v="0"/>
  </r>
  <r>
    <x v="0"/>
    <x v="0"/>
    <n v="2239223628"/>
    <x v="2"/>
    <n v="10450"/>
    <x v="1"/>
    <x v="0"/>
    <x v="14"/>
    <x v="2"/>
    <x v="0"/>
    <x v="0"/>
    <x v="2"/>
    <x v="0"/>
  </r>
  <r>
    <x v="0"/>
    <x v="0"/>
    <n v="2239223629"/>
    <x v="5"/>
    <n v="-2000"/>
    <x v="1"/>
    <x v="0"/>
    <x v="14"/>
    <x v="5"/>
    <x v="0"/>
    <x v="0"/>
    <x v="5"/>
    <x v="0"/>
  </r>
  <r>
    <x v="0"/>
    <x v="0"/>
    <n v="2239223629"/>
    <x v="6"/>
    <n v="10550"/>
    <x v="1"/>
    <x v="0"/>
    <x v="14"/>
    <x v="6"/>
    <x v="0"/>
    <x v="0"/>
    <x v="5"/>
    <x v="0"/>
  </r>
  <r>
    <x v="0"/>
    <x v="0"/>
    <n v="2239223629"/>
    <x v="7"/>
    <n v="650"/>
    <x v="1"/>
    <x v="0"/>
    <x v="14"/>
    <x v="7"/>
    <x v="0"/>
    <x v="0"/>
    <x v="1"/>
    <x v="0"/>
  </r>
  <r>
    <x v="0"/>
    <x v="0"/>
    <n v="2239223630"/>
    <x v="2"/>
    <n v="52140"/>
    <x v="1"/>
    <x v="0"/>
    <x v="14"/>
    <x v="2"/>
    <x v="0"/>
    <x v="0"/>
    <x v="2"/>
    <x v="0"/>
  </r>
  <r>
    <x v="0"/>
    <x v="0"/>
    <n v="2239223632"/>
    <x v="5"/>
    <n v="-4000"/>
    <x v="1"/>
    <x v="0"/>
    <x v="14"/>
    <x v="5"/>
    <x v="0"/>
    <x v="0"/>
    <x v="5"/>
    <x v="0"/>
  </r>
  <r>
    <x v="0"/>
    <x v="0"/>
    <n v="2239223632"/>
    <x v="6"/>
    <n v="10000"/>
    <x v="1"/>
    <x v="0"/>
    <x v="14"/>
    <x v="6"/>
    <x v="0"/>
    <x v="0"/>
    <x v="5"/>
    <x v="0"/>
  </r>
  <r>
    <x v="0"/>
    <x v="0"/>
    <n v="2239223633"/>
    <x v="2"/>
    <n v="27390"/>
    <x v="1"/>
    <x v="0"/>
    <x v="14"/>
    <x v="2"/>
    <x v="0"/>
    <x v="0"/>
    <x v="2"/>
    <x v="0"/>
  </r>
  <r>
    <x v="0"/>
    <x v="0"/>
    <n v="2239223634"/>
    <x v="2"/>
    <n v="10500"/>
    <x v="1"/>
    <x v="0"/>
    <x v="14"/>
    <x v="2"/>
    <x v="0"/>
    <x v="0"/>
    <x v="2"/>
    <x v="0"/>
  </r>
  <r>
    <x v="0"/>
    <x v="0"/>
    <n v="2239223635"/>
    <x v="5"/>
    <n v="-5000"/>
    <x v="1"/>
    <x v="0"/>
    <x v="14"/>
    <x v="5"/>
    <x v="0"/>
    <x v="0"/>
    <x v="5"/>
    <x v="0"/>
  </r>
  <r>
    <x v="0"/>
    <x v="0"/>
    <n v="2239223635"/>
    <x v="6"/>
    <n v="20000"/>
    <x v="1"/>
    <x v="0"/>
    <x v="14"/>
    <x v="6"/>
    <x v="0"/>
    <x v="0"/>
    <x v="5"/>
    <x v="0"/>
  </r>
  <r>
    <x v="0"/>
    <x v="0"/>
    <n v="2239223636"/>
    <x v="5"/>
    <n v="-5400"/>
    <x v="1"/>
    <x v="0"/>
    <x v="14"/>
    <x v="5"/>
    <x v="0"/>
    <x v="0"/>
    <x v="5"/>
    <x v="0"/>
  </r>
  <r>
    <x v="0"/>
    <x v="0"/>
    <n v="2239223636"/>
    <x v="4"/>
    <n v="10000"/>
    <x v="1"/>
    <x v="0"/>
    <x v="14"/>
    <x v="4"/>
    <x v="0"/>
    <x v="0"/>
    <x v="4"/>
    <x v="0"/>
  </r>
  <r>
    <x v="0"/>
    <x v="0"/>
    <n v="2239223637"/>
    <x v="1"/>
    <n v="5100"/>
    <x v="1"/>
    <x v="0"/>
    <x v="14"/>
    <x v="1"/>
    <x v="0"/>
    <x v="0"/>
    <x v="1"/>
    <x v="0"/>
  </r>
  <r>
    <x v="0"/>
    <x v="0"/>
    <n v="2239223638"/>
    <x v="2"/>
    <n v="85910"/>
    <x v="1"/>
    <x v="0"/>
    <x v="14"/>
    <x v="2"/>
    <x v="0"/>
    <x v="0"/>
    <x v="2"/>
    <x v="0"/>
  </r>
  <r>
    <x v="0"/>
    <x v="0"/>
    <n v="2239223639"/>
    <x v="2"/>
    <n v="12100"/>
    <x v="1"/>
    <x v="0"/>
    <x v="14"/>
    <x v="2"/>
    <x v="0"/>
    <x v="0"/>
    <x v="2"/>
    <x v="0"/>
  </r>
  <r>
    <x v="0"/>
    <x v="0"/>
    <n v="2239223640"/>
    <x v="1"/>
    <n v="900"/>
    <x v="1"/>
    <x v="0"/>
    <x v="14"/>
    <x v="1"/>
    <x v="0"/>
    <x v="0"/>
    <x v="1"/>
    <x v="0"/>
  </r>
  <r>
    <x v="0"/>
    <x v="0"/>
    <n v="2239223641"/>
    <x v="2"/>
    <n v="3500"/>
    <x v="1"/>
    <x v="0"/>
    <x v="14"/>
    <x v="2"/>
    <x v="0"/>
    <x v="0"/>
    <x v="2"/>
    <x v="0"/>
  </r>
  <r>
    <x v="0"/>
    <x v="0"/>
    <n v="2239223642"/>
    <x v="2"/>
    <n v="46640"/>
    <x v="1"/>
    <x v="0"/>
    <x v="14"/>
    <x v="2"/>
    <x v="0"/>
    <x v="0"/>
    <x v="2"/>
    <x v="0"/>
  </r>
  <r>
    <x v="0"/>
    <x v="0"/>
    <n v="2239223643"/>
    <x v="5"/>
    <n v="-4400"/>
    <x v="1"/>
    <x v="0"/>
    <x v="14"/>
    <x v="5"/>
    <x v="0"/>
    <x v="0"/>
    <x v="5"/>
    <x v="0"/>
  </r>
  <r>
    <x v="0"/>
    <x v="0"/>
    <n v="2239223643"/>
    <x v="4"/>
    <n v="10000"/>
    <x v="1"/>
    <x v="0"/>
    <x v="14"/>
    <x v="4"/>
    <x v="0"/>
    <x v="0"/>
    <x v="4"/>
    <x v="0"/>
  </r>
  <r>
    <x v="0"/>
    <x v="0"/>
    <n v="2239223644"/>
    <x v="2"/>
    <n v="56100"/>
    <x v="1"/>
    <x v="0"/>
    <x v="14"/>
    <x v="2"/>
    <x v="0"/>
    <x v="0"/>
    <x v="2"/>
    <x v="0"/>
  </r>
  <r>
    <x v="0"/>
    <x v="0"/>
    <n v="2239223645"/>
    <x v="5"/>
    <n v="-500"/>
    <x v="1"/>
    <x v="0"/>
    <x v="14"/>
    <x v="5"/>
    <x v="0"/>
    <x v="0"/>
    <x v="5"/>
    <x v="0"/>
  </r>
  <r>
    <x v="0"/>
    <x v="0"/>
    <n v="2239223645"/>
    <x v="6"/>
    <n v="10000"/>
    <x v="1"/>
    <x v="0"/>
    <x v="14"/>
    <x v="6"/>
    <x v="0"/>
    <x v="0"/>
    <x v="5"/>
    <x v="0"/>
  </r>
  <r>
    <x v="0"/>
    <x v="0"/>
    <n v="2239223646"/>
    <x v="5"/>
    <n v="-5000"/>
    <x v="1"/>
    <x v="0"/>
    <x v="14"/>
    <x v="5"/>
    <x v="0"/>
    <x v="0"/>
    <x v="5"/>
    <x v="0"/>
  </r>
  <r>
    <x v="0"/>
    <x v="0"/>
    <n v="2239223646"/>
    <x v="4"/>
    <n v="10000"/>
    <x v="1"/>
    <x v="0"/>
    <x v="14"/>
    <x v="4"/>
    <x v="0"/>
    <x v="0"/>
    <x v="4"/>
    <x v="0"/>
  </r>
  <r>
    <x v="0"/>
    <x v="0"/>
    <n v="2239223647"/>
    <x v="1"/>
    <n v="2100"/>
    <x v="1"/>
    <x v="0"/>
    <x v="14"/>
    <x v="1"/>
    <x v="0"/>
    <x v="0"/>
    <x v="1"/>
    <x v="0"/>
  </r>
  <r>
    <x v="0"/>
    <x v="0"/>
    <n v="2239223648"/>
    <x v="2"/>
    <n v="15950"/>
    <x v="1"/>
    <x v="0"/>
    <x v="14"/>
    <x v="2"/>
    <x v="0"/>
    <x v="0"/>
    <x v="2"/>
    <x v="0"/>
  </r>
  <r>
    <x v="0"/>
    <x v="0"/>
    <n v="2239223651"/>
    <x v="2"/>
    <n v="92950"/>
    <x v="1"/>
    <x v="0"/>
    <x v="14"/>
    <x v="2"/>
    <x v="0"/>
    <x v="0"/>
    <x v="2"/>
    <x v="0"/>
  </r>
  <r>
    <x v="0"/>
    <x v="0"/>
    <n v="2239223652"/>
    <x v="5"/>
    <n v="-5400"/>
    <x v="1"/>
    <x v="0"/>
    <x v="14"/>
    <x v="5"/>
    <x v="0"/>
    <x v="0"/>
    <x v="5"/>
    <x v="0"/>
  </r>
  <r>
    <x v="0"/>
    <x v="0"/>
    <n v="2239223652"/>
    <x v="4"/>
    <n v="10000"/>
    <x v="1"/>
    <x v="0"/>
    <x v="14"/>
    <x v="4"/>
    <x v="0"/>
    <x v="0"/>
    <x v="4"/>
    <x v="0"/>
  </r>
  <r>
    <x v="0"/>
    <x v="0"/>
    <n v="2239223653"/>
    <x v="1"/>
    <n v="5820"/>
    <x v="1"/>
    <x v="0"/>
    <x v="14"/>
    <x v="1"/>
    <x v="0"/>
    <x v="0"/>
    <x v="1"/>
    <x v="0"/>
  </r>
  <r>
    <x v="0"/>
    <x v="0"/>
    <n v="2239223654"/>
    <x v="2"/>
    <n v="17490"/>
    <x v="1"/>
    <x v="0"/>
    <x v="14"/>
    <x v="2"/>
    <x v="0"/>
    <x v="0"/>
    <x v="2"/>
    <x v="0"/>
  </r>
  <r>
    <x v="0"/>
    <x v="0"/>
    <n v="2239223655"/>
    <x v="2"/>
    <n v="16500"/>
    <x v="1"/>
    <x v="0"/>
    <x v="14"/>
    <x v="2"/>
    <x v="0"/>
    <x v="0"/>
    <x v="2"/>
    <x v="0"/>
  </r>
  <r>
    <x v="0"/>
    <x v="0"/>
    <n v="2239223656"/>
    <x v="5"/>
    <n v="-4400"/>
    <x v="1"/>
    <x v="0"/>
    <x v="14"/>
    <x v="5"/>
    <x v="0"/>
    <x v="0"/>
    <x v="5"/>
    <x v="0"/>
  </r>
  <r>
    <x v="0"/>
    <x v="0"/>
    <n v="2239223656"/>
    <x v="4"/>
    <n v="10000"/>
    <x v="1"/>
    <x v="0"/>
    <x v="14"/>
    <x v="4"/>
    <x v="0"/>
    <x v="0"/>
    <x v="4"/>
    <x v="0"/>
  </r>
  <r>
    <x v="0"/>
    <x v="0"/>
    <n v="2239223657"/>
    <x v="1"/>
    <n v="73930"/>
    <x v="1"/>
    <x v="0"/>
    <x v="14"/>
    <x v="1"/>
    <x v="0"/>
    <x v="0"/>
    <x v="1"/>
    <x v="0"/>
  </r>
  <r>
    <x v="0"/>
    <x v="0"/>
    <n v="2239223659"/>
    <x v="2"/>
    <n v="13200"/>
    <x v="1"/>
    <x v="0"/>
    <x v="14"/>
    <x v="2"/>
    <x v="0"/>
    <x v="0"/>
    <x v="2"/>
    <x v="0"/>
  </r>
  <r>
    <x v="0"/>
    <x v="0"/>
    <n v="2239223660"/>
    <x v="6"/>
    <n v="6000"/>
    <x v="1"/>
    <x v="0"/>
    <x v="14"/>
    <x v="6"/>
    <x v="0"/>
    <x v="0"/>
    <x v="5"/>
    <x v="0"/>
  </r>
  <r>
    <x v="0"/>
    <x v="0"/>
    <n v="2239223661"/>
    <x v="3"/>
    <n v="15400"/>
    <x v="1"/>
    <x v="0"/>
    <x v="14"/>
    <x v="3"/>
    <x v="0"/>
    <x v="0"/>
    <x v="3"/>
    <x v="0"/>
  </r>
  <r>
    <x v="0"/>
    <x v="0"/>
    <n v="2239223662"/>
    <x v="3"/>
    <n v="35640"/>
    <x v="1"/>
    <x v="0"/>
    <x v="14"/>
    <x v="3"/>
    <x v="0"/>
    <x v="0"/>
    <x v="3"/>
    <x v="0"/>
  </r>
  <r>
    <x v="0"/>
    <x v="0"/>
    <n v="2239223664"/>
    <x v="1"/>
    <n v="1350"/>
    <x v="1"/>
    <x v="0"/>
    <x v="14"/>
    <x v="1"/>
    <x v="0"/>
    <x v="0"/>
    <x v="1"/>
    <x v="0"/>
  </r>
  <r>
    <x v="0"/>
    <x v="0"/>
    <n v="2239223665"/>
    <x v="1"/>
    <n v="10900"/>
    <x v="1"/>
    <x v="0"/>
    <x v="14"/>
    <x v="1"/>
    <x v="0"/>
    <x v="0"/>
    <x v="1"/>
    <x v="0"/>
  </r>
  <r>
    <x v="0"/>
    <x v="0"/>
    <n v="2239223666"/>
    <x v="2"/>
    <n v="11990"/>
    <x v="1"/>
    <x v="0"/>
    <x v="14"/>
    <x v="2"/>
    <x v="0"/>
    <x v="0"/>
    <x v="2"/>
    <x v="0"/>
  </r>
  <r>
    <x v="0"/>
    <x v="0"/>
    <n v="2239223667"/>
    <x v="2"/>
    <n v="5000"/>
    <x v="1"/>
    <x v="0"/>
    <x v="14"/>
    <x v="2"/>
    <x v="0"/>
    <x v="0"/>
    <x v="2"/>
    <x v="0"/>
  </r>
  <r>
    <x v="0"/>
    <x v="0"/>
    <n v="2239223668"/>
    <x v="2"/>
    <n v="43500"/>
    <x v="1"/>
    <x v="0"/>
    <x v="14"/>
    <x v="2"/>
    <x v="0"/>
    <x v="0"/>
    <x v="2"/>
    <x v="0"/>
  </r>
  <r>
    <x v="0"/>
    <x v="0"/>
    <n v="2239223669"/>
    <x v="2"/>
    <n v="57640"/>
    <x v="1"/>
    <x v="0"/>
    <x v="14"/>
    <x v="2"/>
    <x v="0"/>
    <x v="0"/>
    <x v="2"/>
    <x v="0"/>
  </r>
  <r>
    <x v="0"/>
    <x v="0"/>
    <n v="2239223670"/>
    <x v="2"/>
    <n v="30800"/>
    <x v="1"/>
    <x v="0"/>
    <x v="14"/>
    <x v="2"/>
    <x v="0"/>
    <x v="0"/>
    <x v="2"/>
    <x v="0"/>
  </r>
  <r>
    <x v="0"/>
    <x v="0"/>
    <n v="2239223671"/>
    <x v="1"/>
    <n v="2850"/>
    <x v="1"/>
    <x v="0"/>
    <x v="14"/>
    <x v="1"/>
    <x v="0"/>
    <x v="0"/>
    <x v="1"/>
    <x v="0"/>
  </r>
  <r>
    <x v="0"/>
    <x v="0"/>
    <n v="2239223672"/>
    <x v="3"/>
    <n v="29590"/>
    <x v="1"/>
    <x v="0"/>
    <x v="14"/>
    <x v="3"/>
    <x v="0"/>
    <x v="0"/>
    <x v="3"/>
    <x v="0"/>
  </r>
  <r>
    <x v="0"/>
    <x v="0"/>
    <n v="2239223673"/>
    <x v="6"/>
    <n v="3000"/>
    <x v="1"/>
    <x v="0"/>
    <x v="14"/>
    <x v="6"/>
    <x v="0"/>
    <x v="0"/>
    <x v="5"/>
    <x v="0"/>
  </r>
  <r>
    <x v="0"/>
    <x v="0"/>
    <n v="2239223674"/>
    <x v="1"/>
    <n v="3150"/>
    <x v="1"/>
    <x v="0"/>
    <x v="14"/>
    <x v="1"/>
    <x v="0"/>
    <x v="0"/>
    <x v="1"/>
    <x v="0"/>
  </r>
  <r>
    <x v="0"/>
    <x v="0"/>
    <n v="2239223675"/>
    <x v="6"/>
    <n v="6000"/>
    <x v="1"/>
    <x v="0"/>
    <x v="14"/>
    <x v="6"/>
    <x v="0"/>
    <x v="0"/>
    <x v="5"/>
    <x v="0"/>
  </r>
  <r>
    <x v="0"/>
    <x v="0"/>
    <n v="2239223676"/>
    <x v="5"/>
    <n v="-2550"/>
    <x v="1"/>
    <x v="0"/>
    <x v="14"/>
    <x v="5"/>
    <x v="0"/>
    <x v="0"/>
    <x v="5"/>
    <x v="0"/>
  </r>
  <r>
    <x v="0"/>
    <x v="0"/>
    <n v="2239223676"/>
    <x v="6"/>
    <n v="40000"/>
    <x v="1"/>
    <x v="0"/>
    <x v="14"/>
    <x v="6"/>
    <x v="0"/>
    <x v="0"/>
    <x v="5"/>
    <x v="0"/>
  </r>
  <r>
    <x v="0"/>
    <x v="0"/>
    <n v="2239223677"/>
    <x v="2"/>
    <n v="24640"/>
    <x v="1"/>
    <x v="0"/>
    <x v="14"/>
    <x v="2"/>
    <x v="0"/>
    <x v="0"/>
    <x v="2"/>
    <x v="0"/>
  </r>
  <r>
    <x v="0"/>
    <x v="0"/>
    <n v="2239223678"/>
    <x v="1"/>
    <n v="2100"/>
    <x v="1"/>
    <x v="0"/>
    <x v="14"/>
    <x v="1"/>
    <x v="0"/>
    <x v="0"/>
    <x v="1"/>
    <x v="0"/>
  </r>
  <r>
    <x v="0"/>
    <x v="0"/>
    <n v="2239223679"/>
    <x v="2"/>
    <n v="11000"/>
    <x v="1"/>
    <x v="0"/>
    <x v="14"/>
    <x v="2"/>
    <x v="0"/>
    <x v="0"/>
    <x v="2"/>
    <x v="0"/>
  </r>
  <r>
    <x v="0"/>
    <x v="0"/>
    <n v="2239223680"/>
    <x v="3"/>
    <n v="34430"/>
    <x v="1"/>
    <x v="0"/>
    <x v="14"/>
    <x v="3"/>
    <x v="0"/>
    <x v="0"/>
    <x v="3"/>
    <x v="0"/>
  </r>
  <r>
    <x v="0"/>
    <x v="0"/>
    <n v="2239223681"/>
    <x v="2"/>
    <n v="103400"/>
    <x v="1"/>
    <x v="0"/>
    <x v="14"/>
    <x v="2"/>
    <x v="0"/>
    <x v="0"/>
    <x v="2"/>
    <x v="0"/>
  </r>
  <r>
    <x v="0"/>
    <x v="0"/>
    <n v="2239223682"/>
    <x v="2"/>
    <n v="10500"/>
    <x v="1"/>
    <x v="0"/>
    <x v="14"/>
    <x v="2"/>
    <x v="0"/>
    <x v="0"/>
    <x v="2"/>
    <x v="0"/>
  </r>
  <r>
    <x v="0"/>
    <x v="0"/>
    <n v="2239223683"/>
    <x v="2"/>
    <n v="16335"/>
    <x v="1"/>
    <x v="0"/>
    <x v="14"/>
    <x v="2"/>
    <x v="0"/>
    <x v="0"/>
    <x v="2"/>
    <x v="0"/>
  </r>
  <r>
    <x v="0"/>
    <x v="0"/>
    <n v="2239223684"/>
    <x v="2"/>
    <n v="26900"/>
    <x v="1"/>
    <x v="0"/>
    <x v="14"/>
    <x v="2"/>
    <x v="0"/>
    <x v="0"/>
    <x v="2"/>
    <x v="0"/>
  </r>
  <r>
    <x v="0"/>
    <x v="0"/>
    <n v="2239223685"/>
    <x v="2"/>
    <n v="65890"/>
    <x v="1"/>
    <x v="0"/>
    <x v="14"/>
    <x v="2"/>
    <x v="0"/>
    <x v="0"/>
    <x v="2"/>
    <x v="0"/>
  </r>
  <r>
    <x v="0"/>
    <x v="0"/>
    <n v="2239223686"/>
    <x v="2"/>
    <n v="18590"/>
    <x v="1"/>
    <x v="0"/>
    <x v="14"/>
    <x v="2"/>
    <x v="0"/>
    <x v="0"/>
    <x v="2"/>
    <x v="0"/>
  </r>
  <r>
    <x v="0"/>
    <x v="0"/>
    <n v="2239223687"/>
    <x v="5"/>
    <n v="-4300"/>
    <x v="1"/>
    <x v="0"/>
    <x v="14"/>
    <x v="5"/>
    <x v="0"/>
    <x v="0"/>
    <x v="5"/>
    <x v="0"/>
  </r>
  <r>
    <x v="0"/>
    <x v="0"/>
    <n v="2239223687"/>
    <x v="4"/>
    <n v="10000"/>
    <x v="1"/>
    <x v="0"/>
    <x v="14"/>
    <x v="4"/>
    <x v="0"/>
    <x v="0"/>
    <x v="4"/>
    <x v="0"/>
  </r>
  <r>
    <x v="0"/>
    <x v="0"/>
    <n v="2239223688"/>
    <x v="2"/>
    <n v="25850"/>
    <x v="1"/>
    <x v="0"/>
    <x v="14"/>
    <x v="2"/>
    <x v="0"/>
    <x v="0"/>
    <x v="2"/>
    <x v="0"/>
  </r>
  <r>
    <x v="0"/>
    <x v="0"/>
    <n v="2239223689"/>
    <x v="5"/>
    <n v="-400"/>
    <x v="1"/>
    <x v="0"/>
    <x v="14"/>
    <x v="5"/>
    <x v="0"/>
    <x v="0"/>
    <x v="5"/>
    <x v="0"/>
  </r>
  <r>
    <x v="0"/>
    <x v="0"/>
    <n v="2239223689"/>
    <x v="6"/>
    <n v="10000"/>
    <x v="1"/>
    <x v="0"/>
    <x v="14"/>
    <x v="6"/>
    <x v="0"/>
    <x v="0"/>
    <x v="5"/>
    <x v="0"/>
  </r>
  <r>
    <x v="0"/>
    <x v="0"/>
    <n v="2239223690"/>
    <x v="2"/>
    <n v="12800"/>
    <x v="1"/>
    <x v="0"/>
    <x v="14"/>
    <x v="2"/>
    <x v="0"/>
    <x v="0"/>
    <x v="2"/>
    <x v="0"/>
  </r>
  <r>
    <x v="0"/>
    <x v="0"/>
    <n v="2239223691"/>
    <x v="5"/>
    <n v="-5000"/>
    <x v="1"/>
    <x v="0"/>
    <x v="14"/>
    <x v="5"/>
    <x v="0"/>
    <x v="0"/>
    <x v="5"/>
    <x v="0"/>
  </r>
  <r>
    <x v="0"/>
    <x v="0"/>
    <n v="2239223691"/>
    <x v="6"/>
    <n v="20000"/>
    <x v="1"/>
    <x v="0"/>
    <x v="14"/>
    <x v="6"/>
    <x v="0"/>
    <x v="0"/>
    <x v="5"/>
    <x v="0"/>
  </r>
  <r>
    <x v="0"/>
    <x v="0"/>
    <n v="2239223693"/>
    <x v="2"/>
    <n v="3000"/>
    <x v="1"/>
    <x v="0"/>
    <x v="14"/>
    <x v="2"/>
    <x v="0"/>
    <x v="0"/>
    <x v="2"/>
    <x v="0"/>
  </r>
  <r>
    <x v="0"/>
    <x v="0"/>
    <n v="2239223694"/>
    <x v="2"/>
    <n v="8250"/>
    <x v="1"/>
    <x v="0"/>
    <x v="14"/>
    <x v="2"/>
    <x v="0"/>
    <x v="0"/>
    <x v="2"/>
    <x v="0"/>
  </r>
  <r>
    <x v="0"/>
    <x v="0"/>
    <n v="2239223695"/>
    <x v="5"/>
    <n v="-22100"/>
    <x v="1"/>
    <x v="0"/>
    <x v="14"/>
    <x v="5"/>
    <x v="0"/>
    <x v="0"/>
    <x v="5"/>
    <x v="0"/>
  </r>
  <r>
    <x v="0"/>
    <x v="0"/>
    <n v="2239223695"/>
    <x v="6"/>
    <n v="60000"/>
    <x v="1"/>
    <x v="0"/>
    <x v="14"/>
    <x v="6"/>
    <x v="0"/>
    <x v="0"/>
    <x v="5"/>
    <x v="0"/>
  </r>
  <r>
    <x v="0"/>
    <x v="0"/>
    <n v="2239223696"/>
    <x v="2"/>
    <n v="24750"/>
    <x v="1"/>
    <x v="0"/>
    <x v="14"/>
    <x v="2"/>
    <x v="0"/>
    <x v="0"/>
    <x v="2"/>
    <x v="0"/>
  </r>
  <r>
    <x v="0"/>
    <x v="0"/>
    <n v="2239223697"/>
    <x v="1"/>
    <n v="1140"/>
    <x v="1"/>
    <x v="0"/>
    <x v="14"/>
    <x v="1"/>
    <x v="0"/>
    <x v="0"/>
    <x v="1"/>
    <x v="0"/>
  </r>
  <r>
    <x v="0"/>
    <x v="0"/>
    <n v="2239223699"/>
    <x v="2"/>
    <n v="10500"/>
    <x v="1"/>
    <x v="0"/>
    <x v="14"/>
    <x v="2"/>
    <x v="0"/>
    <x v="0"/>
    <x v="2"/>
    <x v="0"/>
  </r>
  <r>
    <x v="0"/>
    <x v="0"/>
    <n v="2239223700"/>
    <x v="5"/>
    <n v="-9000"/>
    <x v="1"/>
    <x v="0"/>
    <x v="14"/>
    <x v="5"/>
    <x v="0"/>
    <x v="0"/>
    <x v="5"/>
    <x v="0"/>
  </r>
  <r>
    <x v="0"/>
    <x v="0"/>
    <n v="2239223700"/>
    <x v="6"/>
    <n v="20000"/>
    <x v="1"/>
    <x v="0"/>
    <x v="14"/>
    <x v="6"/>
    <x v="0"/>
    <x v="0"/>
    <x v="5"/>
    <x v="0"/>
  </r>
  <r>
    <x v="0"/>
    <x v="0"/>
    <n v="2239223701"/>
    <x v="5"/>
    <n v="-14300"/>
    <x v="1"/>
    <x v="0"/>
    <x v="14"/>
    <x v="5"/>
    <x v="0"/>
    <x v="0"/>
    <x v="5"/>
    <x v="0"/>
  </r>
  <r>
    <x v="0"/>
    <x v="0"/>
    <n v="2239223701"/>
    <x v="4"/>
    <n v="20000"/>
    <x v="1"/>
    <x v="0"/>
    <x v="14"/>
    <x v="4"/>
    <x v="0"/>
    <x v="0"/>
    <x v="4"/>
    <x v="0"/>
  </r>
  <r>
    <x v="0"/>
    <x v="0"/>
    <n v="2239223703"/>
    <x v="2"/>
    <n v="7000"/>
    <x v="1"/>
    <x v="0"/>
    <x v="14"/>
    <x v="2"/>
    <x v="0"/>
    <x v="0"/>
    <x v="2"/>
    <x v="0"/>
  </r>
  <r>
    <x v="0"/>
    <x v="0"/>
    <n v="2239223704"/>
    <x v="2"/>
    <n v="6500"/>
    <x v="1"/>
    <x v="0"/>
    <x v="14"/>
    <x v="2"/>
    <x v="0"/>
    <x v="0"/>
    <x v="2"/>
    <x v="0"/>
  </r>
  <r>
    <x v="0"/>
    <x v="0"/>
    <n v="2239223705"/>
    <x v="2"/>
    <n v="24750"/>
    <x v="1"/>
    <x v="0"/>
    <x v="14"/>
    <x v="2"/>
    <x v="0"/>
    <x v="0"/>
    <x v="2"/>
    <x v="0"/>
  </r>
  <r>
    <x v="0"/>
    <x v="0"/>
    <n v="2239223706"/>
    <x v="2"/>
    <n v="26400"/>
    <x v="1"/>
    <x v="0"/>
    <x v="14"/>
    <x v="2"/>
    <x v="0"/>
    <x v="0"/>
    <x v="2"/>
    <x v="0"/>
  </r>
  <r>
    <x v="0"/>
    <x v="0"/>
    <n v="2239223708"/>
    <x v="2"/>
    <n v="7500"/>
    <x v="1"/>
    <x v="0"/>
    <x v="14"/>
    <x v="2"/>
    <x v="0"/>
    <x v="0"/>
    <x v="2"/>
    <x v="0"/>
  </r>
  <r>
    <x v="0"/>
    <x v="0"/>
    <n v="2239223710"/>
    <x v="5"/>
    <n v="-7000"/>
    <x v="1"/>
    <x v="0"/>
    <x v="14"/>
    <x v="5"/>
    <x v="0"/>
    <x v="0"/>
    <x v="5"/>
    <x v="0"/>
  </r>
  <r>
    <x v="0"/>
    <x v="0"/>
    <n v="2239223710"/>
    <x v="6"/>
    <n v="10000"/>
    <x v="1"/>
    <x v="0"/>
    <x v="14"/>
    <x v="6"/>
    <x v="0"/>
    <x v="0"/>
    <x v="5"/>
    <x v="0"/>
  </r>
  <r>
    <x v="0"/>
    <x v="0"/>
    <n v="2239223711"/>
    <x v="2"/>
    <n v="18425"/>
    <x v="1"/>
    <x v="0"/>
    <x v="14"/>
    <x v="2"/>
    <x v="0"/>
    <x v="0"/>
    <x v="2"/>
    <x v="0"/>
  </r>
  <r>
    <x v="0"/>
    <x v="0"/>
    <n v="2239223712"/>
    <x v="2"/>
    <n v="6600"/>
    <x v="1"/>
    <x v="0"/>
    <x v="14"/>
    <x v="2"/>
    <x v="0"/>
    <x v="0"/>
    <x v="2"/>
    <x v="0"/>
  </r>
  <r>
    <x v="0"/>
    <x v="0"/>
    <n v="2239223713"/>
    <x v="2"/>
    <n v="7500"/>
    <x v="1"/>
    <x v="0"/>
    <x v="14"/>
    <x v="2"/>
    <x v="0"/>
    <x v="0"/>
    <x v="2"/>
    <x v="0"/>
  </r>
  <r>
    <x v="0"/>
    <x v="0"/>
    <n v="2239223714"/>
    <x v="5"/>
    <n v="-11100"/>
    <x v="1"/>
    <x v="0"/>
    <x v="14"/>
    <x v="5"/>
    <x v="0"/>
    <x v="0"/>
    <x v="5"/>
    <x v="0"/>
  </r>
  <r>
    <x v="0"/>
    <x v="0"/>
    <n v="2239223714"/>
    <x v="6"/>
    <n v="50000"/>
    <x v="1"/>
    <x v="0"/>
    <x v="14"/>
    <x v="6"/>
    <x v="0"/>
    <x v="0"/>
    <x v="5"/>
    <x v="0"/>
  </r>
  <r>
    <x v="0"/>
    <x v="0"/>
    <n v="2239223715"/>
    <x v="2"/>
    <n v="12650"/>
    <x v="1"/>
    <x v="0"/>
    <x v="14"/>
    <x v="2"/>
    <x v="0"/>
    <x v="0"/>
    <x v="2"/>
    <x v="0"/>
  </r>
  <r>
    <x v="0"/>
    <x v="0"/>
    <n v="2239223716"/>
    <x v="3"/>
    <n v="7500"/>
    <x v="1"/>
    <x v="0"/>
    <x v="14"/>
    <x v="3"/>
    <x v="0"/>
    <x v="0"/>
    <x v="3"/>
    <x v="0"/>
  </r>
  <r>
    <x v="0"/>
    <x v="0"/>
    <n v="2239223717"/>
    <x v="3"/>
    <n v="6500"/>
    <x v="1"/>
    <x v="0"/>
    <x v="14"/>
    <x v="3"/>
    <x v="0"/>
    <x v="0"/>
    <x v="3"/>
    <x v="0"/>
  </r>
  <r>
    <x v="0"/>
    <x v="0"/>
    <n v="2239223718"/>
    <x v="2"/>
    <n v="6500"/>
    <x v="1"/>
    <x v="0"/>
    <x v="14"/>
    <x v="2"/>
    <x v="0"/>
    <x v="0"/>
    <x v="2"/>
    <x v="0"/>
  </r>
  <r>
    <x v="0"/>
    <x v="0"/>
    <n v="2239223719"/>
    <x v="5"/>
    <n v="-700"/>
    <x v="1"/>
    <x v="0"/>
    <x v="14"/>
    <x v="5"/>
    <x v="0"/>
    <x v="0"/>
    <x v="5"/>
    <x v="0"/>
  </r>
  <r>
    <x v="0"/>
    <x v="0"/>
    <n v="2239223719"/>
    <x v="6"/>
    <n v="14000"/>
    <x v="1"/>
    <x v="0"/>
    <x v="14"/>
    <x v="6"/>
    <x v="0"/>
    <x v="0"/>
    <x v="5"/>
    <x v="0"/>
  </r>
  <r>
    <x v="0"/>
    <x v="0"/>
    <n v="2239223720"/>
    <x v="6"/>
    <n v="11000"/>
    <x v="1"/>
    <x v="0"/>
    <x v="14"/>
    <x v="6"/>
    <x v="0"/>
    <x v="0"/>
    <x v="5"/>
    <x v="0"/>
  </r>
  <r>
    <x v="0"/>
    <x v="0"/>
    <n v="2239223721"/>
    <x v="2"/>
    <n v="3000"/>
    <x v="1"/>
    <x v="0"/>
    <x v="14"/>
    <x v="2"/>
    <x v="0"/>
    <x v="0"/>
    <x v="2"/>
    <x v="0"/>
  </r>
  <r>
    <x v="0"/>
    <x v="0"/>
    <n v="2239223722"/>
    <x v="2"/>
    <n v="38170"/>
    <x v="1"/>
    <x v="0"/>
    <x v="14"/>
    <x v="2"/>
    <x v="0"/>
    <x v="0"/>
    <x v="2"/>
    <x v="0"/>
  </r>
  <r>
    <x v="0"/>
    <x v="0"/>
    <n v="2239223723"/>
    <x v="5"/>
    <n v="-6500"/>
    <x v="1"/>
    <x v="0"/>
    <x v="14"/>
    <x v="5"/>
    <x v="0"/>
    <x v="0"/>
    <x v="5"/>
    <x v="0"/>
  </r>
  <r>
    <x v="0"/>
    <x v="0"/>
    <n v="2239223723"/>
    <x v="6"/>
    <n v="10000"/>
    <x v="1"/>
    <x v="0"/>
    <x v="14"/>
    <x v="6"/>
    <x v="0"/>
    <x v="0"/>
    <x v="5"/>
    <x v="0"/>
  </r>
  <r>
    <x v="0"/>
    <x v="0"/>
    <n v="2239223724"/>
    <x v="2"/>
    <n v="4500"/>
    <x v="1"/>
    <x v="0"/>
    <x v="14"/>
    <x v="2"/>
    <x v="0"/>
    <x v="0"/>
    <x v="2"/>
    <x v="0"/>
  </r>
  <r>
    <x v="0"/>
    <x v="0"/>
    <n v="2239223725"/>
    <x v="5"/>
    <n v="-200"/>
    <x v="1"/>
    <x v="0"/>
    <x v="14"/>
    <x v="5"/>
    <x v="0"/>
    <x v="0"/>
    <x v="5"/>
    <x v="0"/>
  </r>
  <r>
    <x v="0"/>
    <x v="0"/>
    <n v="2239223725"/>
    <x v="4"/>
    <n v="5500"/>
    <x v="1"/>
    <x v="0"/>
    <x v="14"/>
    <x v="4"/>
    <x v="0"/>
    <x v="0"/>
    <x v="4"/>
    <x v="0"/>
  </r>
  <r>
    <x v="0"/>
    <x v="0"/>
    <n v="2239223726"/>
    <x v="2"/>
    <n v="24500"/>
    <x v="1"/>
    <x v="0"/>
    <x v="14"/>
    <x v="2"/>
    <x v="0"/>
    <x v="0"/>
    <x v="2"/>
    <x v="0"/>
  </r>
  <r>
    <x v="0"/>
    <x v="0"/>
    <n v="2239223728"/>
    <x v="6"/>
    <n v="6000"/>
    <x v="1"/>
    <x v="0"/>
    <x v="14"/>
    <x v="6"/>
    <x v="0"/>
    <x v="0"/>
    <x v="5"/>
    <x v="0"/>
  </r>
  <r>
    <x v="0"/>
    <x v="0"/>
    <n v="2239223729"/>
    <x v="5"/>
    <n v="-4700"/>
    <x v="1"/>
    <x v="0"/>
    <x v="14"/>
    <x v="5"/>
    <x v="0"/>
    <x v="0"/>
    <x v="5"/>
    <x v="0"/>
  </r>
  <r>
    <x v="0"/>
    <x v="0"/>
    <n v="2239223729"/>
    <x v="4"/>
    <n v="10000"/>
    <x v="1"/>
    <x v="0"/>
    <x v="14"/>
    <x v="4"/>
    <x v="0"/>
    <x v="0"/>
    <x v="4"/>
    <x v="0"/>
  </r>
  <r>
    <x v="0"/>
    <x v="0"/>
    <n v="2239223730"/>
    <x v="1"/>
    <n v="900"/>
    <x v="1"/>
    <x v="0"/>
    <x v="14"/>
    <x v="1"/>
    <x v="0"/>
    <x v="0"/>
    <x v="1"/>
    <x v="0"/>
  </r>
  <r>
    <x v="0"/>
    <x v="0"/>
    <n v="2239223731"/>
    <x v="5"/>
    <n v="-8000"/>
    <x v="1"/>
    <x v="0"/>
    <x v="14"/>
    <x v="5"/>
    <x v="0"/>
    <x v="0"/>
    <x v="5"/>
    <x v="0"/>
  </r>
  <r>
    <x v="0"/>
    <x v="0"/>
    <n v="2239223731"/>
    <x v="6"/>
    <n v="20000"/>
    <x v="1"/>
    <x v="0"/>
    <x v="14"/>
    <x v="6"/>
    <x v="0"/>
    <x v="0"/>
    <x v="5"/>
    <x v="0"/>
  </r>
  <r>
    <x v="0"/>
    <x v="0"/>
    <n v="2239223732"/>
    <x v="6"/>
    <n v="5200"/>
    <x v="1"/>
    <x v="0"/>
    <x v="14"/>
    <x v="6"/>
    <x v="0"/>
    <x v="0"/>
    <x v="5"/>
    <x v="0"/>
  </r>
  <r>
    <x v="0"/>
    <x v="0"/>
    <n v="2239223732"/>
    <x v="7"/>
    <n v="1300"/>
    <x v="1"/>
    <x v="0"/>
    <x v="14"/>
    <x v="7"/>
    <x v="0"/>
    <x v="0"/>
    <x v="1"/>
    <x v="0"/>
  </r>
  <r>
    <x v="0"/>
    <x v="0"/>
    <n v="2239223734"/>
    <x v="1"/>
    <n v="10780"/>
    <x v="1"/>
    <x v="0"/>
    <x v="14"/>
    <x v="1"/>
    <x v="0"/>
    <x v="0"/>
    <x v="1"/>
    <x v="0"/>
  </r>
  <r>
    <x v="0"/>
    <x v="0"/>
    <n v="2239223735"/>
    <x v="5"/>
    <n v="-1400"/>
    <x v="1"/>
    <x v="0"/>
    <x v="14"/>
    <x v="5"/>
    <x v="0"/>
    <x v="0"/>
    <x v="5"/>
    <x v="0"/>
  </r>
  <r>
    <x v="0"/>
    <x v="0"/>
    <n v="2239223735"/>
    <x v="6"/>
    <n v="5000"/>
    <x v="1"/>
    <x v="0"/>
    <x v="14"/>
    <x v="6"/>
    <x v="0"/>
    <x v="0"/>
    <x v="5"/>
    <x v="0"/>
  </r>
  <r>
    <x v="0"/>
    <x v="0"/>
    <n v="2239223736"/>
    <x v="5"/>
    <n v="-1500"/>
    <x v="1"/>
    <x v="0"/>
    <x v="14"/>
    <x v="5"/>
    <x v="0"/>
    <x v="0"/>
    <x v="5"/>
    <x v="0"/>
  </r>
  <r>
    <x v="0"/>
    <x v="0"/>
    <n v="2239223736"/>
    <x v="6"/>
    <n v="5000"/>
    <x v="1"/>
    <x v="0"/>
    <x v="14"/>
    <x v="6"/>
    <x v="0"/>
    <x v="0"/>
    <x v="5"/>
    <x v="0"/>
  </r>
  <r>
    <x v="0"/>
    <x v="0"/>
    <n v="2239223737"/>
    <x v="2"/>
    <n v="15015"/>
    <x v="1"/>
    <x v="0"/>
    <x v="14"/>
    <x v="2"/>
    <x v="0"/>
    <x v="0"/>
    <x v="2"/>
    <x v="0"/>
  </r>
  <r>
    <x v="0"/>
    <x v="0"/>
    <n v="2239223738"/>
    <x v="5"/>
    <n v="-3070"/>
    <x v="1"/>
    <x v="0"/>
    <x v="14"/>
    <x v="5"/>
    <x v="0"/>
    <x v="0"/>
    <x v="5"/>
    <x v="0"/>
  </r>
  <r>
    <x v="0"/>
    <x v="0"/>
    <n v="2239223738"/>
    <x v="6"/>
    <n v="10000"/>
    <x v="1"/>
    <x v="0"/>
    <x v="14"/>
    <x v="6"/>
    <x v="0"/>
    <x v="0"/>
    <x v="5"/>
    <x v="0"/>
  </r>
  <r>
    <x v="0"/>
    <x v="0"/>
    <n v="2239223738"/>
    <x v="7"/>
    <n v="2970"/>
    <x v="1"/>
    <x v="0"/>
    <x v="14"/>
    <x v="7"/>
    <x v="0"/>
    <x v="0"/>
    <x v="1"/>
    <x v="0"/>
  </r>
  <r>
    <x v="0"/>
    <x v="0"/>
    <n v="2239223739"/>
    <x v="6"/>
    <n v="10000"/>
    <x v="1"/>
    <x v="0"/>
    <x v="14"/>
    <x v="6"/>
    <x v="0"/>
    <x v="0"/>
    <x v="5"/>
    <x v="0"/>
  </r>
  <r>
    <x v="0"/>
    <x v="0"/>
    <n v="2239223740"/>
    <x v="2"/>
    <n v="11000"/>
    <x v="1"/>
    <x v="0"/>
    <x v="14"/>
    <x v="2"/>
    <x v="0"/>
    <x v="0"/>
    <x v="2"/>
    <x v="0"/>
  </r>
  <r>
    <x v="0"/>
    <x v="0"/>
    <n v="2239223741"/>
    <x v="5"/>
    <n v="-4400"/>
    <x v="1"/>
    <x v="0"/>
    <x v="14"/>
    <x v="5"/>
    <x v="0"/>
    <x v="0"/>
    <x v="5"/>
    <x v="0"/>
  </r>
  <r>
    <x v="0"/>
    <x v="0"/>
    <n v="2239223741"/>
    <x v="4"/>
    <n v="10000"/>
    <x v="1"/>
    <x v="0"/>
    <x v="14"/>
    <x v="4"/>
    <x v="0"/>
    <x v="0"/>
    <x v="4"/>
    <x v="0"/>
  </r>
  <r>
    <x v="0"/>
    <x v="0"/>
    <n v="2239223743"/>
    <x v="5"/>
    <n v="-5400"/>
    <x v="1"/>
    <x v="0"/>
    <x v="14"/>
    <x v="5"/>
    <x v="0"/>
    <x v="0"/>
    <x v="5"/>
    <x v="0"/>
  </r>
  <r>
    <x v="0"/>
    <x v="0"/>
    <n v="2239223743"/>
    <x v="4"/>
    <n v="10000"/>
    <x v="1"/>
    <x v="0"/>
    <x v="14"/>
    <x v="4"/>
    <x v="0"/>
    <x v="0"/>
    <x v="4"/>
    <x v="0"/>
  </r>
  <r>
    <x v="0"/>
    <x v="0"/>
    <n v="2239223744"/>
    <x v="6"/>
    <n v="10500"/>
    <x v="1"/>
    <x v="0"/>
    <x v="14"/>
    <x v="6"/>
    <x v="0"/>
    <x v="0"/>
    <x v="5"/>
    <x v="0"/>
  </r>
  <r>
    <x v="0"/>
    <x v="0"/>
    <n v="2239223745"/>
    <x v="5"/>
    <n v="-3680"/>
    <x v="1"/>
    <x v="0"/>
    <x v="14"/>
    <x v="5"/>
    <x v="0"/>
    <x v="0"/>
    <x v="5"/>
    <x v="0"/>
  </r>
  <r>
    <x v="0"/>
    <x v="0"/>
    <n v="2239223745"/>
    <x v="6"/>
    <n v="10000"/>
    <x v="1"/>
    <x v="0"/>
    <x v="14"/>
    <x v="6"/>
    <x v="0"/>
    <x v="0"/>
    <x v="5"/>
    <x v="0"/>
  </r>
  <r>
    <x v="0"/>
    <x v="0"/>
    <n v="2239223745"/>
    <x v="7"/>
    <n v="1580"/>
    <x v="1"/>
    <x v="0"/>
    <x v="14"/>
    <x v="7"/>
    <x v="0"/>
    <x v="0"/>
    <x v="1"/>
    <x v="0"/>
  </r>
  <r>
    <x v="0"/>
    <x v="0"/>
    <n v="2239223746"/>
    <x v="2"/>
    <n v="30000"/>
    <x v="1"/>
    <x v="0"/>
    <x v="14"/>
    <x v="2"/>
    <x v="0"/>
    <x v="0"/>
    <x v="2"/>
    <x v="0"/>
  </r>
  <r>
    <x v="0"/>
    <x v="0"/>
    <n v="2239223747"/>
    <x v="1"/>
    <n v="7320"/>
    <x v="1"/>
    <x v="0"/>
    <x v="14"/>
    <x v="1"/>
    <x v="0"/>
    <x v="0"/>
    <x v="1"/>
    <x v="0"/>
  </r>
  <r>
    <x v="0"/>
    <x v="0"/>
    <n v="2239223748"/>
    <x v="2"/>
    <n v="13750"/>
    <x v="1"/>
    <x v="0"/>
    <x v="14"/>
    <x v="2"/>
    <x v="0"/>
    <x v="0"/>
    <x v="2"/>
    <x v="0"/>
  </r>
  <r>
    <x v="0"/>
    <x v="0"/>
    <n v="2239223751"/>
    <x v="2"/>
    <n v="22000"/>
    <x v="1"/>
    <x v="0"/>
    <x v="14"/>
    <x v="2"/>
    <x v="0"/>
    <x v="0"/>
    <x v="2"/>
    <x v="0"/>
  </r>
  <r>
    <x v="0"/>
    <x v="0"/>
    <n v="2239223752"/>
    <x v="2"/>
    <n v="7600"/>
    <x v="1"/>
    <x v="0"/>
    <x v="14"/>
    <x v="2"/>
    <x v="0"/>
    <x v="0"/>
    <x v="2"/>
    <x v="0"/>
  </r>
  <r>
    <x v="0"/>
    <x v="0"/>
    <n v="2239223753"/>
    <x v="2"/>
    <n v="3500"/>
    <x v="1"/>
    <x v="0"/>
    <x v="14"/>
    <x v="2"/>
    <x v="0"/>
    <x v="0"/>
    <x v="2"/>
    <x v="0"/>
  </r>
  <r>
    <x v="0"/>
    <x v="0"/>
    <n v="2239223754"/>
    <x v="5"/>
    <n v="-1000"/>
    <x v="1"/>
    <x v="0"/>
    <x v="14"/>
    <x v="5"/>
    <x v="0"/>
    <x v="0"/>
    <x v="5"/>
    <x v="0"/>
  </r>
  <r>
    <x v="0"/>
    <x v="0"/>
    <n v="2239223754"/>
    <x v="6"/>
    <n v="5000"/>
    <x v="1"/>
    <x v="0"/>
    <x v="14"/>
    <x v="6"/>
    <x v="0"/>
    <x v="0"/>
    <x v="5"/>
    <x v="0"/>
  </r>
  <r>
    <x v="0"/>
    <x v="0"/>
    <n v="2239223756"/>
    <x v="5"/>
    <n v="-1500"/>
    <x v="1"/>
    <x v="0"/>
    <x v="14"/>
    <x v="5"/>
    <x v="0"/>
    <x v="0"/>
    <x v="5"/>
    <x v="0"/>
  </r>
  <r>
    <x v="0"/>
    <x v="0"/>
    <n v="2239223756"/>
    <x v="6"/>
    <n v="5000"/>
    <x v="1"/>
    <x v="0"/>
    <x v="14"/>
    <x v="6"/>
    <x v="0"/>
    <x v="0"/>
    <x v="5"/>
    <x v="0"/>
  </r>
  <r>
    <x v="0"/>
    <x v="0"/>
    <n v="2239223757"/>
    <x v="2"/>
    <n v="4500"/>
    <x v="1"/>
    <x v="0"/>
    <x v="14"/>
    <x v="2"/>
    <x v="0"/>
    <x v="0"/>
    <x v="2"/>
    <x v="0"/>
  </r>
  <r>
    <x v="0"/>
    <x v="0"/>
    <n v="2239223758"/>
    <x v="5"/>
    <n v="-14000"/>
    <x v="1"/>
    <x v="0"/>
    <x v="14"/>
    <x v="5"/>
    <x v="0"/>
    <x v="0"/>
    <x v="5"/>
    <x v="0"/>
  </r>
  <r>
    <x v="0"/>
    <x v="0"/>
    <n v="2239223758"/>
    <x v="6"/>
    <n v="20000"/>
    <x v="1"/>
    <x v="0"/>
    <x v="14"/>
    <x v="6"/>
    <x v="0"/>
    <x v="0"/>
    <x v="5"/>
    <x v="0"/>
  </r>
  <r>
    <x v="0"/>
    <x v="0"/>
    <n v="2239223760"/>
    <x v="2"/>
    <n v="14520"/>
    <x v="1"/>
    <x v="0"/>
    <x v="14"/>
    <x v="2"/>
    <x v="0"/>
    <x v="0"/>
    <x v="2"/>
    <x v="0"/>
  </r>
  <r>
    <x v="0"/>
    <x v="0"/>
    <n v="2239223762"/>
    <x v="2"/>
    <n v="6000"/>
    <x v="1"/>
    <x v="0"/>
    <x v="14"/>
    <x v="2"/>
    <x v="0"/>
    <x v="0"/>
    <x v="2"/>
    <x v="0"/>
  </r>
  <r>
    <x v="0"/>
    <x v="0"/>
    <n v="2239223763"/>
    <x v="5"/>
    <n v="-4400"/>
    <x v="1"/>
    <x v="0"/>
    <x v="14"/>
    <x v="5"/>
    <x v="0"/>
    <x v="0"/>
    <x v="5"/>
    <x v="0"/>
  </r>
  <r>
    <x v="0"/>
    <x v="0"/>
    <n v="2239223763"/>
    <x v="4"/>
    <n v="10000"/>
    <x v="1"/>
    <x v="0"/>
    <x v="14"/>
    <x v="4"/>
    <x v="0"/>
    <x v="0"/>
    <x v="4"/>
    <x v="0"/>
  </r>
  <r>
    <x v="0"/>
    <x v="0"/>
    <n v="2239223764"/>
    <x v="2"/>
    <n v="31800"/>
    <x v="1"/>
    <x v="0"/>
    <x v="14"/>
    <x v="2"/>
    <x v="0"/>
    <x v="0"/>
    <x v="2"/>
    <x v="0"/>
  </r>
  <r>
    <x v="0"/>
    <x v="0"/>
    <n v="2239223765"/>
    <x v="2"/>
    <n v="3300"/>
    <x v="1"/>
    <x v="0"/>
    <x v="14"/>
    <x v="2"/>
    <x v="0"/>
    <x v="0"/>
    <x v="2"/>
    <x v="0"/>
  </r>
  <r>
    <x v="0"/>
    <x v="0"/>
    <n v="2239223766"/>
    <x v="5"/>
    <n v="-4700"/>
    <x v="1"/>
    <x v="0"/>
    <x v="14"/>
    <x v="5"/>
    <x v="0"/>
    <x v="0"/>
    <x v="5"/>
    <x v="0"/>
  </r>
  <r>
    <x v="0"/>
    <x v="0"/>
    <n v="2239223766"/>
    <x v="4"/>
    <n v="10000"/>
    <x v="1"/>
    <x v="0"/>
    <x v="14"/>
    <x v="4"/>
    <x v="0"/>
    <x v="0"/>
    <x v="4"/>
    <x v="0"/>
  </r>
  <r>
    <x v="0"/>
    <x v="0"/>
    <n v="2239223767"/>
    <x v="5"/>
    <n v="-15500"/>
    <x v="1"/>
    <x v="0"/>
    <x v="14"/>
    <x v="5"/>
    <x v="0"/>
    <x v="0"/>
    <x v="5"/>
    <x v="0"/>
  </r>
  <r>
    <x v="0"/>
    <x v="0"/>
    <n v="2239223767"/>
    <x v="4"/>
    <n v="20100"/>
    <x v="1"/>
    <x v="0"/>
    <x v="14"/>
    <x v="4"/>
    <x v="0"/>
    <x v="0"/>
    <x v="4"/>
    <x v="0"/>
  </r>
  <r>
    <x v="0"/>
    <x v="0"/>
    <n v="2239223768"/>
    <x v="2"/>
    <n v="11000"/>
    <x v="1"/>
    <x v="0"/>
    <x v="14"/>
    <x v="2"/>
    <x v="0"/>
    <x v="0"/>
    <x v="2"/>
    <x v="0"/>
  </r>
  <r>
    <x v="0"/>
    <x v="0"/>
    <n v="2239223769"/>
    <x v="5"/>
    <n v="-3500"/>
    <x v="1"/>
    <x v="0"/>
    <x v="14"/>
    <x v="5"/>
    <x v="0"/>
    <x v="0"/>
    <x v="5"/>
    <x v="0"/>
  </r>
  <r>
    <x v="0"/>
    <x v="0"/>
    <n v="2239223769"/>
    <x v="6"/>
    <n v="10000"/>
    <x v="1"/>
    <x v="0"/>
    <x v="14"/>
    <x v="6"/>
    <x v="0"/>
    <x v="0"/>
    <x v="5"/>
    <x v="0"/>
  </r>
  <r>
    <x v="0"/>
    <x v="0"/>
    <n v="2239223770"/>
    <x v="2"/>
    <n v="11550"/>
    <x v="1"/>
    <x v="0"/>
    <x v="14"/>
    <x v="2"/>
    <x v="0"/>
    <x v="0"/>
    <x v="2"/>
    <x v="0"/>
  </r>
  <r>
    <x v="0"/>
    <x v="0"/>
    <n v="2239223771"/>
    <x v="5"/>
    <n v="-4300"/>
    <x v="1"/>
    <x v="0"/>
    <x v="14"/>
    <x v="5"/>
    <x v="0"/>
    <x v="0"/>
    <x v="5"/>
    <x v="0"/>
  </r>
  <r>
    <x v="0"/>
    <x v="0"/>
    <n v="2239223771"/>
    <x v="4"/>
    <n v="10000"/>
    <x v="1"/>
    <x v="0"/>
    <x v="14"/>
    <x v="4"/>
    <x v="0"/>
    <x v="0"/>
    <x v="4"/>
    <x v="0"/>
  </r>
  <r>
    <x v="0"/>
    <x v="0"/>
    <n v="2239223772"/>
    <x v="5"/>
    <n v="-4000"/>
    <x v="1"/>
    <x v="0"/>
    <x v="14"/>
    <x v="5"/>
    <x v="0"/>
    <x v="0"/>
    <x v="5"/>
    <x v="0"/>
  </r>
  <r>
    <x v="0"/>
    <x v="0"/>
    <n v="2239223772"/>
    <x v="6"/>
    <n v="10000"/>
    <x v="1"/>
    <x v="0"/>
    <x v="14"/>
    <x v="6"/>
    <x v="0"/>
    <x v="0"/>
    <x v="5"/>
    <x v="0"/>
  </r>
  <r>
    <x v="0"/>
    <x v="0"/>
    <n v="2239223773"/>
    <x v="2"/>
    <n v="7500"/>
    <x v="1"/>
    <x v="0"/>
    <x v="14"/>
    <x v="2"/>
    <x v="0"/>
    <x v="0"/>
    <x v="2"/>
    <x v="0"/>
  </r>
  <r>
    <x v="0"/>
    <x v="0"/>
    <n v="2239223774"/>
    <x v="2"/>
    <n v="7700"/>
    <x v="1"/>
    <x v="0"/>
    <x v="14"/>
    <x v="2"/>
    <x v="0"/>
    <x v="0"/>
    <x v="2"/>
    <x v="0"/>
  </r>
  <r>
    <x v="0"/>
    <x v="0"/>
    <n v="2239223775"/>
    <x v="5"/>
    <n v="-14000"/>
    <x v="1"/>
    <x v="0"/>
    <x v="14"/>
    <x v="5"/>
    <x v="0"/>
    <x v="0"/>
    <x v="5"/>
    <x v="0"/>
  </r>
  <r>
    <x v="0"/>
    <x v="0"/>
    <n v="2239223775"/>
    <x v="6"/>
    <n v="20000"/>
    <x v="1"/>
    <x v="0"/>
    <x v="14"/>
    <x v="6"/>
    <x v="0"/>
    <x v="0"/>
    <x v="5"/>
    <x v="0"/>
  </r>
  <r>
    <x v="0"/>
    <x v="0"/>
    <n v="2239223776"/>
    <x v="5"/>
    <n v="-4300"/>
    <x v="1"/>
    <x v="0"/>
    <x v="14"/>
    <x v="5"/>
    <x v="0"/>
    <x v="0"/>
    <x v="5"/>
    <x v="0"/>
  </r>
  <r>
    <x v="0"/>
    <x v="0"/>
    <n v="2239223776"/>
    <x v="4"/>
    <n v="10000"/>
    <x v="1"/>
    <x v="0"/>
    <x v="14"/>
    <x v="4"/>
    <x v="0"/>
    <x v="0"/>
    <x v="4"/>
    <x v="0"/>
  </r>
  <r>
    <x v="0"/>
    <x v="0"/>
    <n v="2239223777"/>
    <x v="2"/>
    <n v="21868"/>
    <x v="1"/>
    <x v="0"/>
    <x v="14"/>
    <x v="2"/>
    <x v="0"/>
    <x v="0"/>
    <x v="2"/>
    <x v="0"/>
  </r>
  <r>
    <x v="0"/>
    <x v="0"/>
    <n v="2239223778"/>
    <x v="3"/>
    <n v="15400"/>
    <x v="1"/>
    <x v="0"/>
    <x v="14"/>
    <x v="3"/>
    <x v="0"/>
    <x v="0"/>
    <x v="3"/>
    <x v="0"/>
  </r>
  <r>
    <x v="0"/>
    <x v="0"/>
    <n v="2239223780"/>
    <x v="2"/>
    <n v="10450"/>
    <x v="1"/>
    <x v="0"/>
    <x v="14"/>
    <x v="2"/>
    <x v="0"/>
    <x v="0"/>
    <x v="2"/>
    <x v="0"/>
  </r>
  <r>
    <x v="0"/>
    <x v="0"/>
    <n v="2239223781"/>
    <x v="5"/>
    <n v="-4600"/>
    <x v="1"/>
    <x v="0"/>
    <x v="14"/>
    <x v="5"/>
    <x v="0"/>
    <x v="0"/>
    <x v="5"/>
    <x v="0"/>
  </r>
  <r>
    <x v="0"/>
    <x v="0"/>
    <n v="2239223781"/>
    <x v="6"/>
    <n v="20000"/>
    <x v="1"/>
    <x v="0"/>
    <x v="14"/>
    <x v="6"/>
    <x v="0"/>
    <x v="0"/>
    <x v="5"/>
    <x v="0"/>
  </r>
  <r>
    <x v="0"/>
    <x v="0"/>
    <n v="2239223784"/>
    <x v="5"/>
    <n v="-2000"/>
    <x v="1"/>
    <x v="0"/>
    <x v="14"/>
    <x v="5"/>
    <x v="0"/>
    <x v="0"/>
    <x v="5"/>
    <x v="0"/>
  </r>
  <r>
    <x v="0"/>
    <x v="0"/>
    <n v="2239223784"/>
    <x v="6"/>
    <n v="10000"/>
    <x v="1"/>
    <x v="0"/>
    <x v="14"/>
    <x v="6"/>
    <x v="0"/>
    <x v="0"/>
    <x v="5"/>
    <x v="0"/>
  </r>
  <r>
    <x v="0"/>
    <x v="0"/>
    <n v="2239223785"/>
    <x v="2"/>
    <n v="10500"/>
    <x v="1"/>
    <x v="0"/>
    <x v="14"/>
    <x v="2"/>
    <x v="0"/>
    <x v="0"/>
    <x v="2"/>
    <x v="0"/>
  </r>
  <r>
    <x v="0"/>
    <x v="0"/>
    <n v="2239223787"/>
    <x v="2"/>
    <n v="14080"/>
    <x v="1"/>
    <x v="0"/>
    <x v="14"/>
    <x v="2"/>
    <x v="0"/>
    <x v="0"/>
    <x v="2"/>
    <x v="0"/>
  </r>
  <r>
    <x v="0"/>
    <x v="0"/>
    <n v="2239223788"/>
    <x v="6"/>
    <n v="6000"/>
    <x v="1"/>
    <x v="0"/>
    <x v="14"/>
    <x v="6"/>
    <x v="0"/>
    <x v="0"/>
    <x v="5"/>
    <x v="0"/>
  </r>
  <r>
    <x v="0"/>
    <x v="0"/>
    <n v="2239223789"/>
    <x v="2"/>
    <n v="8800"/>
    <x v="1"/>
    <x v="0"/>
    <x v="14"/>
    <x v="2"/>
    <x v="0"/>
    <x v="0"/>
    <x v="2"/>
    <x v="0"/>
  </r>
  <r>
    <x v="0"/>
    <x v="0"/>
    <n v="2239223790"/>
    <x v="2"/>
    <n v="8250"/>
    <x v="1"/>
    <x v="0"/>
    <x v="14"/>
    <x v="2"/>
    <x v="0"/>
    <x v="0"/>
    <x v="2"/>
    <x v="0"/>
  </r>
  <r>
    <x v="0"/>
    <x v="0"/>
    <n v="2239223791"/>
    <x v="2"/>
    <n v="7000"/>
    <x v="1"/>
    <x v="0"/>
    <x v="14"/>
    <x v="2"/>
    <x v="0"/>
    <x v="0"/>
    <x v="2"/>
    <x v="0"/>
  </r>
  <r>
    <x v="0"/>
    <x v="0"/>
    <n v="2239223793"/>
    <x v="5"/>
    <n v="-9420"/>
    <x v="1"/>
    <x v="0"/>
    <x v="14"/>
    <x v="5"/>
    <x v="0"/>
    <x v="0"/>
    <x v="5"/>
    <x v="0"/>
  </r>
  <r>
    <x v="0"/>
    <x v="0"/>
    <n v="2239223793"/>
    <x v="6"/>
    <n v="30000"/>
    <x v="1"/>
    <x v="0"/>
    <x v="14"/>
    <x v="6"/>
    <x v="0"/>
    <x v="0"/>
    <x v="5"/>
    <x v="0"/>
  </r>
  <r>
    <x v="0"/>
    <x v="0"/>
    <n v="2239223795"/>
    <x v="2"/>
    <n v="22500"/>
    <x v="1"/>
    <x v="0"/>
    <x v="14"/>
    <x v="2"/>
    <x v="0"/>
    <x v="0"/>
    <x v="2"/>
    <x v="0"/>
  </r>
  <r>
    <x v="0"/>
    <x v="0"/>
    <n v="2239223796"/>
    <x v="5"/>
    <n v="-500"/>
    <x v="1"/>
    <x v="0"/>
    <x v="14"/>
    <x v="5"/>
    <x v="0"/>
    <x v="0"/>
    <x v="5"/>
    <x v="0"/>
  </r>
  <r>
    <x v="0"/>
    <x v="0"/>
    <n v="2239223796"/>
    <x v="6"/>
    <n v="11000"/>
    <x v="1"/>
    <x v="0"/>
    <x v="14"/>
    <x v="6"/>
    <x v="0"/>
    <x v="0"/>
    <x v="5"/>
    <x v="0"/>
  </r>
  <r>
    <x v="0"/>
    <x v="0"/>
    <n v="2239223797"/>
    <x v="3"/>
    <n v="13000"/>
    <x v="1"/>
    <x v="0"/>
    <x v="14"/>
    <x v="3"/>
    <x v="0"/>
    <x v="0"/>
    <x v="3"/>
    <x v="0"/>
  </r>
  <r>
    <x v="0"/>
    <x v="0"/>
    <n v="2239223798"/>
    <x v="2"/>
    <n v="3000"/>
    <x v="1"/>
    <x v="0"/>
    <x v="14"/>
    <x v="2"/>
    <x v="0"/>
    <x v="0"/>
    <x v="2"/>
    <x v="0"/>
  </r>
  <r>
    <x v="0"/>
    <x v="0"/>
    <n v="2239223799"/>
    <x v="5"/>
    <n v="-3500"/>
    <x v="1"/>
    <x v="0"/>
    <x v="14"/>
    <x v="5"/>
    <x v="0"/>
    <x v="0"/>
    <x v="5"/>
    <x v="0"/>
  </r>
  <r>
    <x v="0"/>
    <x v="0"/>
    <n v="2239223799"/>
    <x v="6"/>
    <n v="20000"/>
    <x v="1"/>
    <x v="0"/>
    <x v="14"/>
    <x v="6"/>
    <x v="0"/>
    <x v="0"/>
    <x v="5"/>
    <x v="0"/>
  </r>
  <r>
    <x v="0"/>
    <x v="0"/>
    <n v="2239223800"/>
    <x v="3"/>
    <n v="24090"/>
    <x v="1"/>
    <x v="0"/>
    <x v="14"/>
    <x v="3"/>
    <x v="0"/>
    <x v="0"/>
    <x v="3"/>
    <x v="0"/>
  </r>
  <r>
    <x v="0"/>
    <x v="0"/>
    <n v="2239223801"/>
    <x v="5"/>
    <n v="-600"/>
    <x v="1"/>
    <x v="0"/>
    <x v="14"/>
    <x v="5"/>
    <x v="0"/>
    <x v="0"/>
    <x v="5"/>
    <x v="0"/>
  </r>
  <r>
    <x v="0"/>
    <x v="0"/>
    <n v="2239223801"/>
    <x v="4"/>
    <n v="5000"/>
    <x v="1"/>
    <x v="0"/>
    <x v="14"/>
    <x v="4"/>
    <x v="0"/>
    <x v="0"/>
    <x v="4"/>
    <x v="0"/>
  </r>
  <r>
    <x v="0"/>
    <x v="0"/>
    <n v="2239223804"/>
    <x v="6"/>
    <n v="5000"/>
    <x v="1"/>
    <x v="0"/>
    <x v="14"/>
    <x v="6"/>
    <x v="0"/>
    <x v="0"/>
    <x v="5"/>
    <x v="0"/>
  </r>
  <r>
    <x v="0"/>
    <x v="0"/>
    <n v="2239223805"/>
    <x v="2"/>
    <n v="4500"/>
    <x v="1"/>
    <x v="0"/>
    <x v="14"/>
    <x v="2"/>
    <x v="0"/>
    <x v="0"/>
    <x v="2"/>
    <x v="0"/>
  </r>
  <r>
    <x v="0"/>
    <x v="0"/>
    <n v="2239223807"/>
    <x v="2"/>
    <n v="11990"/>
    <x v="1"/>
    <x v="0"/>
    <x v="14"/>
    <x v="2"/>
    <x v="0"/>
    <x v="0"/>
    <x v="2"/>
    <x v="0"/>
  </r>
  <r>
    <x v="0"/>
    <x v="0"/>
    <n v="2239223808"/>
    <x v="7"/>
    <n v="4500"/>
    <x v="1"/>
    <x v="0"/>
    <x v="14"/>
    <x v="7"/>
    <x v="0"/>
    <x v="0"/>
    <x v="1"/>
    <x v="0"/>
  </r>
  <r>
    <x v="0"/>
    <x v="0"/>
    <n v="2239223810"/>
    <x v="6"/>
    <n v="3000"/>
    <x v="1"/>
    <x v="0"/>
    <x v="14"/>
    <x v="6"/>
    <x v="0"/>
    <x v="0"/>
    <x v="5"/>
    <x v="0"/>
  </r>
  <r>
    <x v="0"/>
    <x v="0"/>
    <n v="2239223813"/>
    <x v="2"/>
    <n v="6000"/>
    <x v="1"/>
    <x v="0"/>
    <x v="14"/>
    <x v="2"/>
    <x v="0"/>
    <x v="0"/>
    <x v="2"/>
    <x v="0"/>
  </r>
  <r>
    <x v="0"/>
    <x v="0"/>
    <n v="2239223814"/>
    <x v="2"/>
    <n v="3300"/>
    <x v="1"/>
    <x v="0"/>
    <x v="14"/>
    <x v="2"/>
    <x v="0"/>
    <x v="0"/>
    <x v="2"/>
    <x v="0"/>
  </r>
  <r>
    <x v="0"/>
    <x v="0"/>
    <n v="2239223817"/>
    <x v="5"/>
    <n v="-1200"/>
    <x v="1"/>
    <x v="0"/>
    <x v="14"/>
    <x v="5"/>
    <x v="0"/>
    <x v="0"/>
    <x v="5"/>
    <x v="0"/>
  </r>
  <r>
    <x v="0"/>
    <x v="0"/>
    <n v="2239223817"/>
    <x v="6"/>
    <n v="5000"/>
    <x v="1"/>
    <x v="0"/>
    <x v="14"/>
    <x v="6"/>
    <x v="0"/>
    <x v="0"/>
    <x v="5"/>
    <x v="0"/>
  </r>
  <r>
    <x v="0"/>
    <x v="0"/>
    <n v="2239223818"/>
    <x v="5"/>
    <n v="-500"/>
    <x v="1"/>
    <x v="0"/>
    <x v="14"/>
    <x v="5"/>
    <x v="0"/>
    <x v="0"/>
    <x v="5"/>
    <x v="0"/>
  </r>
  <r>
    <x v="0"/>
    <x v="0"/>
    <n v="2239223818"/>
    <x v="6"/>
    <n v="10000"/>
    <x v="1"/>
    <x v="0"/>
    <x v="14"/>
    <x v="6"/>
    <x v="0"/>
    <x v="0"/>
    <x v="5"/>
    <x v="0"/>
  </r>
  <r>
    <x v="0"/>
    <x v="0"/>
    <n v="2239223819"/>
    <x v="6"/>
    <n v="9000"/>
    <x v="1"/>
    <x v="0"/>
    <x v="14"/>
    <x v="6"/>
    <x v="0"/>
    <x v="0"/>
    <x v="5"/>
    <x v="0"/>
  </r>
  <r>
    <x v="0"/>
    <x v="0"/>
    <n v="2239223820"/>
    <x v="2"/>
    <n v="8250"/>
    <x v="1"/>
    <x v="0"/>
    <x v="14"/>
    <x v="2"/>
    <x v="0"/>
    <x v="0"/>
    <x v="2"/>
    <x v="0"/>
  </r>
  <r>
    <x v="0"/>
    <x v="0"/>
    <n v="2239223822"/>
    <x v="5"/>
    <n v="-17000"/>
    <x v="1"/>
    <x v="0"/>
    <x v="14"/>
    <x v="5"/>
    <x v="0"/>
    <x v="0"/>
    <x v="5"/>
    <x v="0"/>
  </r>
  <r>
    <x v="0"/>
    <x v="0"/>
    <n v="2239223822"/>
    <x v="6"/>
    <n v="20000"/>
    <x v="1"/>
    <x v="0"/>
    <x v="14"/>
    <x v="6"/>
    <x v="0"/>
    <x v="0"/>
    <x v="5"/>
    <x v="0"/>
  </r>
  <r>
    <x v="0"/>
    <x v="0"/>
    <n v="2239223823"/>
    <x v="5"/>
    <n v="-4300"/>
    <x v="1"/>
    <x v="0"/>
    <x v="14"/>
    <x v="5"/>
    <x v="0"/>
    <x v="0"/>
    <x v="5"/>
    <x v="0"/>
  </r>
  <r>
    <x v="0"/>
    <x v="0"/>
    <n v="2239223823"/>
    <x v="4"/>
    <n v="10000"/>
    <x v="1"/>
    <x v="0"/>
    <x v="14"/>
    <x v="4"/>
    <x v="0"/>
    <x v="0"/>
    <x v="4"/>
    <x v="0"/>
  </r>
  <r>
    <x v="0"/>
    <x v="0"/>
    <n v="2239223824"/>
    <x v="5"/>
    <n v="-300"/>
    <x v="1"/>
    <x v="0"/>
    <x v="14"/>
    <x v="5"/>
    <x v="0"/>
    <x v="0"/>
    <x v="5"/>
    <x v="0"/>
  </r>
  <r>
    <x v="0"/>
    <x v="0"/>
    <n v="2239223824"/>
    <x v="4"/>
    <n v="6000"/>
    <x v="1"/>
    <x v="0"/>
    <x v="14"/>
    <x v="4"/>
    <x v="0"/>
    <x v="0"/>
    <x v="4"/>
    <x v="0"/>
  </r>
  <r>
    <x v="0"/>
    <x v="0"/>
    <n v="2239223825"/>
    <x v="5"/>
    <n v="-500"/>
    <x v="1"/>
    <x v="0"/>
    <x v="14"/>
    <x v="5"/>
    <x v="0"/>
    <x v="0"/>
    <x v="5"/>
    <x v="0"/>
  </r>
  <r>
    <x v="0"/>
    <x v="0"/>
    <n v="2239223825"/>
    <x v="6"/>
    <n v="10000"/>
    <x v="1"/>
    <x v="0"/>
    <x v="14"/>
    <x v="6"/>
    <x v="0"/>
    <x v="0"/>
    <x v="5"/>
    <x v="0"/>
  </r>
  <r>
    <x v="0"/>
    <x v="0"/>
    <n v="2239223826"/>
    <x v="2"/>
    <n v="20240"/>
    <x v="1"/>
    <x v="0"/>
    <x v="14"/>
    <x v="2"/>
    <x v="0"/>
    <x v="0"/>
    <x v="2"/>
    <x v="0"/>
  </r>
  <r>
    <x v="0"/>
    <x v="0"/>
    <n v="2239223827"/>
    <x v="2"/>
    <n v="3800"/>
    <x v="1"/>
    <x v="0"/>
    <x v="14"/>
    <x v="2"/>
    <x v="0"/>
    <x v="0"/>
    <x v="2"/>
    <x v="0"/>
  </r>
  <r>
    <x v="0"/>
    <x v="0"/>
    <n v="2239223828"/>
    <x v="5"/>
    <n v="-2500"/>
    <x v="1"/>
    <x v="0"/>
    <x v="14"/>
    <x v="5"/>
    <x v="0"/>
    <x v="0"/>
    <x v="5"/>
    <x v="0"/>
  </r>
  <r>
    <x v="0"/>
    <x v="0"/>
    <n v="2239223828"/>
    <x v="6"/>
    <n v="10000"/>
    <x v="1"/>
    <x v="0"/>
    <x v="14"/>
    <x v="6"/>
    <x v="0"/>
    <x v="0"/>
    <x v="5"/>
    <x v="0"/>
  </r>
  <r>
    <x v="0"/>
    <x v="0"/>
    <n v="2239223829"/>
    <x v="5"/>
    <n v="-2000"/>
    <x v="1"/>
    <x v="0"/>
    <x v="14"/>
    <x v="5"/>
    <x v="0"/>
    <x v="0"/>
    <x v="5"/>
    <x v="0"/>
  </r>
  <r>
    <x v="0"/>
    <x v="0"/>
    <n v="2239223829"/>
    <x v="6"/>
    <n v="20000"/>
    <x v="1"/>
    <x v="0"/>
    <x v="14"/>
    <x v="6"/>
    <x v="0"/>
    <x v="0"/>
    <x v="5"/>
    <x v="0"/>
  </r>
  <r>
    <x v="0"/>
    <x v="0"/>
    <n v="2239223830"/>
    <x v="5"/>
    <n v="-600"/>
    <x v="1"/>
    <x v="0"/>
    <x v="14"/>
    <x v="5"/>
    <x v="0"/>
    <x v="0"/>
    <x v="5"/>
    <x v="0"/>
  </r>
  <r>
    <x v="0"/>
    <x v="0"/>
    <n v="2239223830"/>
    <x v="6"/>
    <n v="10000"/>
    <x v="1"/>
    <x v="0"/>
    <x v="14"/>
    <x v="6"/>
    <x v="0"/>
    <x v="0"/>
    <x v="5"/>
    <x v="0"/>
  </r>
  <r>
    <x v="0"/>
    <x v="0"/>
    <n v="2239223831"/>
    <x v="2"/>
    <n v="10500"/>
    <x v="1"/>
    <x v="0"/>
    <x v="14"/>
    <x v="2"/>
    <x v="0"/>
    <x v="0"/>
    <x v="2"/>
    <x v="0"/>
  </r>
  <r>
    <x v="0"/>
    <x v="0"/>
    <n v="2239223833"/>
    <x v="2"/>
    <n v="10450"/>
    <x v="1"/>
    <x v="0"/>
    <x v="14"/>
    <x v="2"/>
    <x v="0"/>
    <x v="0"/>
    <x v="2"/>
    <x v="0"/>
  </r>
  <r>
    <x v="0"/>
    <x v="0"/>
    <n v="2239223834"/>
    <x v="2"/>
    <n v="8250"/>
    <x v="1"/>
    <x v="0"/>
    <x v="14"/>
    <x v="2"/>
    <x v="0"/>
    <x v="0"/>
    <x v="2"/>
    <x v="0"/>
  </r>
  <r>
    <x v="0"/>
    <x v="0"/>
    <n v="2239223835"/>
    <x v="5"/>
    <n v="-14400"/>
    <x v="1"/>
    <x v="0"/>
    <x v="14"/>
    <x v="5"/>
    <x v="0"/>
    <x v="0"/>
    <x v="5"/>
    <x v="0"/>
  </r>
  <r>
    <x v="0"/>
    <x v="0"/>
    <n v="2239223835"/>
    <x v="4"/>
    <n v="20000"/>
    <x v="1"/>
    <x v="0"/>
    <x v="14"/>
    <x v="4"/>
    <x v="0"/>
    <x v="0"/>
    <x v="4"/>
    <x v="0"/>
  </r>
  <r>
    <x v="0"/>
    <x v="0"/>
    <n v="2239223838"/>
    <x v="2"/>
    <n v="14300"/>
    <x v="1"/>
    <x v="0"/>
    <x v="14"/>
    <x v="2"/>
    <x v="0"/>
    <x v="0"/>
    <x v="2"/>
    <x v="0"/>
  </r>
  <r>
    <x v="0"/>
    <x v="0"/>
    <n v="2239223842"/>
    <x v="2"/>
    <n v="2500"/>
    <x v="1"/>
    <x v="0"/>
    <x v="14"/>
    <x v="2"/>
    <x v="0"/>
    <x v="0"/>
    <x v="2"/>
    <x v="0"/>
  </r>
  <r>
    <x v="0"/>
    <x v="0"/>
    <n v="2239223843"/>
    <x v="2"/>
    <n v="27000"/>
    <x v="1"/>
    <x v="0"/>
    <x v="14"/>
    <x v="2"/>
    <x v="0"/>
    <x v="0"/>
    <x v="2"/>
    <x v="0"/>
  </r>
  <r>
    <x v="0"/>
    <x v="0"/>
    <n v="2239223844"/>
    <x v="2"/>
    <n v="3600"/>
    <x v="1"/>
    <x v="0"/>
    <x v="14"/>
    <x v="2"/>
    <x v="0"/>
    <x v="0"/>
    <x v="2"/>
    <x v="0"/>
  </r>
  <r>
    <x v="0"/>
    <x v="0"/>
    <n v="2239223845"/>
    <x v="1"/>
    <n v="5400"/>
    <x v="1"/>
    <x v="0"/>
    <x v="14"/>
    <x v="1"/>
    <x v="0"/>
    <x v="0"/>
    <x v="1"/>
    <x v="0"/>
  </r>
  <r>
    <x v="0"/>
    <x v="0"/>
    <n v="2239223846"/>
    <x v="1"/>
    <n v="4050"/>
    <x v="1"/>
    <x v="0"/>
    <x v="14"/>
    <x v="1"/>
    <x v="0"/>
    <x v="0"/>
    <x v="1"/>
    <x v="0"/>
  </r>
  <r>
    <x v="0"/>
    <x v="0"/>
    <n v="2239223847"/>
    <x v="1"/>
    <n v="900"/>
    <x v="1"/>
    <x v="0"/>
    <x v="14"/>
    <x v="1"/>
    <x v="0"/>
    <x v="0"/>
    <x v="1"/>
    <x v="0"/>
  </r>
  <r>
    <x v="0"/>
    <x v="0"/>
    <n v="2239223848"/>
    <x v="1"/>
    <n v="1050"/>
    <x v="1"/>
    <x v="0"/>
    <x v="14"/>
    <x v="1"/>
    <x v="0"/>
    <x v="0"/>
    <x v="1"/>
    <x v="0"/>
  </r>
  <r>
    <x v="0"/>
    <x v="0"/>
    <n v="2239223849"/>
    <x v="1"/>
    <n v="4950"/>
    <x v="1"/>
    <x v="0"/>
    <x v="14"/>
    <x v="1"/>
    <x v="0"/>
    <x v="0"/>
    <x v="1"/>
    <x v="0"/>
  </r>
  <r>
    <x v="0"/>
    <x v="0"/>
    <n v="2239223850"/>
    <x v="1"/>
    <n v="6750"/>
    <x v="1"/>
    <x v="0"/>
    <x v="14"/>
    <x v="1"/>
    <x v="0"/>
    <x v="0"/>
    <x v="1"/>
    <x v="0"/>
  </r>
  <r>
    <x v="0"/>
    <x v="0"/>
    <n v="2239223851"/>
    <x v="1"/>
    <n v="4050"/>
    <x v="1"/>
    <x v="0"/>
    <x v="14"/>
    <x v="1"/>
    <x v="0"/>
    <x v="0"/>
    <x v="1"/>
    <x v="0"/>
  </r>
  <r>
    <x v="0"/>
    <x v="0"/>
    <n v="2239223852"/>
    <x v="1"/>
    <n v="44220"/>
    <x v="1"/>
    <x v="0"/>
    <x v="14"/>
    <x v="1"/>
    <x v="0"/>
    <x v="0"/>
    <x v="1"/>
    <x v="0"/>
  </r>
  <r>
    <x v="0"/>
    <x v="0"/>
    <n v="2239230382"/>
    <x v="1"/>
    <n v="7920"/>
    <x v="1"/>
    <x v="0"/>
    <x v="15"/>
    <x v="1"/>
    <x v="0"/>
    <x v="0"/>
    <x v="1"/>
    <x v="0"/>
  </r>
  <r>
    <x v="0"/>
    <x v="0"/>
    <n v="2239230384"/>
    <x v="1"/>
    <n v="43480"/>
    <x v="1"/>
    <x v="0"/>
    <x v="15"/>
    <x v="1"/>
    <x v="0"/>
    <x v="0"/>
    <x v="1"/>
    <x v="0"/>
  </r>
  <r>
    <x v="0"/>
    <x v="0"/>
    <n v="2239230385"/>
    <x v="0"/>
    <n v="11000"/>
    <x v="1"/>
    <x v="0"/>
    <x v="15"/>
    <x v="0"/>
    <x v="0"/>
    <x v="0"/>
    <x v="0"/>
    <x v="0"/>
  </r>
  <r>
    <x v="0"/>
    <x v="0"/>
    <n v="2239230386"/>
    <x v="1"/>
    <n v="900"/>
    <x v="1"/>
    <x v="0"/>
    <x v="15"/>
    <x v="1"/>
    <x v="0"/>
    <x v="0"/>
    <x v="1"/>
    <x v="0"/>
  </r>
  <r>
    <x v="0"/>
    <x v="0"/>
    <n v="2239230387"/>
    <x v="0"/>
    <n v="6000"/>
    <x v="1"/>
    <x v="0"/>
    <x v="15"/>
    <x v="0"/>
    <x v="0"/>
    <x v="0"/>
    <x v="0"/>
    <x v="0"/>
  </r>
  <r>
    <x v="0"/>
    <x v="0"/>
    <n v="2239230388"/>
    <x v="0"/>
    <n v="6000"/>
    <x v="1"/>
    <x v="0"/>
    <x v="15"/>
    <x v="0"/>
    <x v="0"/>
    <x v="0"/>
    <x v="0"/>
    <x v="0"/>
  </r>
  <r>
    <x v="0"/>
    <x v="0"/>
    <n v="2239230389"/>
    <x v="1"/>
    <n v="85600"/>
    <x v="1"/>
    <x v="0"/>
    <x v="15"/>
    <x v="1"/>
    <x v="0"/>
    <x v="0"/>
    <x v="1"/>
    <x v="0"/>
  </r>
  <r>
    <x v="0"/>
    <x v="0"/>
    <n v="2239230391"/>
    <x v="0"/>
    <n v="2400"/>
    <x v="1"/>
    <x v="0"/>
    <x v="15"/>
    <x v="0"/>
    <x v="0"/>
    <x v="0"/>
    <x v="0"/>
    <x v="0"/>
  </r>
  <r>
    <x v="0"/>
    <x v="0"/>
    <n v="2239230392"/>
    <x v="0"/>
    <n v="3150"/>
    <x v="1"/>
    <x v="0"/>
    <x v="15"/>
    <x v="0"/>
    <x v="0"/>
    <x v="0"/>
    <x v="0"/>
    <x v="0"/>
  </r>
  <r>
    <x v="0"/>
    <x v="0"/>
    <n v="2239230393"/>
    <x v="1"/>
    <n v="1050"/>
    <x v="1"/>
    <x v="0"/>
    <x v="15"/>
    <x v="1"/>
    <x v="0"/>
    <x v="0"/>
    <x v="1"/>
    <x v="0"/>
  </r>
  <r>
    <x v="0"/>
    <x v="0"/>
    <n v="2239230395"/>
    <x v="0"/>
    <n v="7200"/>
    <x v="1"/>
    <x v="0"/>
    <x v="15"/>
    <x v="0"/>
    <x v="0"/>
    <x v="0"/>
    <x v="0"/>
    <x v="0"/>
  </r>
  <r>
    <x v="0"/>
    <x v="0"/>
    <n v="2239230396"/>
    <x v="0"/>
    <n v="8070"/>
    <x v="1"/>
    <x v="0"/>
    <x v="15"/>
    <x v="0"/>
    <x v="0"/>
    <x v="0"/>
    <x v="0"/>
    <x v="0"/>
  </r>
  <r>
    <x v="0"/>
    <x v="0"/>
    <n v="2239230398"/>
    <x v="0"/>
    <n v="6750"/>
    <x v="1"/>
    <x v="0"/>
    <x v="15"/>
    <x v="0"/>
    <x v="0"/>
    <x v="0"/>
    <x v="0"/>
    <x v="0"/>
  </r>
  <r>
    <x v="0"/>
    <x v="0"/>
    <n v="2239230399"/>
    <x v="0"/>
    <n v="2250"/>
    <x v="1"/>
    <x v="0"/>
    <x v="15"/>
    <x v="0"/>
    <x v="0"/>
    <x v="0"/>
    <x v="0"/>
    <x v="0"/>
  </r>
  <r>
    <x v="0"/>
    <x v="0"/>
    <n v="2239230400"/>
    <x v="0"/>
    <n v="1350"/>
    <x v="1"/>
    <x v="0"/>
    <x v="15"/>
    <x v="0"/>
    <x v="0"/>
    <x v="0"/>
    <x v="0"/>
    <x v="0"/>
  </r>
  <r>
    <x v="0"/>
    <x v="0"/>
    <n v="2239230401"/>
    <x v="0"/>
    <n v="2250"/>
    <x v="1"/>
    <x v="0"/>
    <x v="15"/>
    <x v="0"/>
    <x v="0"/>
    <x v="0"/>
    <x v="0"/>
    <x v="0"/>
  </r>
  <r>
    <x v="0"/>
    <x v="0"/>
    <n v="2239230402"/>
    <x v="1"/>
    <n v="2250"/>
    <x v="1"/>
    <x v="0"/>
    <x v="15"/>
    <x v="1"/>
    <x v="0"/>
    <x v="0"/>
    <x v="1"/>
    <x v="0"/>
  </r>
  <r>
    <x v="0"/>
    <x v="0"/>
    <n v="2239230403"/>
    <x v="0"/>
    <n v="6270"/>
    <x v="1"/>
    <x v="0"/>
    <x v="15"/>
    <x v="0"/>
    <x v="0"/>
    <x v="0"/>
    <x v="0"/>
    <x v="0"/>
  </r>
  <r>
    <x v="0"/>
    <x v="0"/>
    <n v="2239230404"/>
    <x v="0"/>
    <n v="900"/>
    <x v="1"/>
    <x v="0"/>
    <x v="15"/>
    <x v="0"/>
    <x v="0"/>
    <x v="0"/>
    <x v="0"/>
    <x v="0"/>
  </r>
  <r>
    <x v="0"/>
    <x v="0"/>
    <n v="2239230405"/>
    <x v="0"/>
    <n v="5925"/>
    <x v="1"/>
    <x v="0"/>
    <x v="15"/>
    <x v="0"/>
    <x v="0"/>
    <x v="0"/>
    <x v="0"/>
    <x v="0"/>
  </r>
  <r>
    <x v="0"/>
    <x v="0"/>
    <n v="2239230406"/>
    <x v="0"/>
    <n v="6150"/>
    <x v="1"/>
    <x v="0"/>
    <x v="15"/>
    <x v="0"/>
    <x v="0"/>
    <x v="0"/>
    <x v="0"/>
    <x v="0"/>
  </r>
  <r>
    <x v="0"/>
    <x v="0"/>
    <n v="2239230407"/>
    <x v="0"/>
    <n v="2250"/>
    <x v="1"/>
    <x v="0"/>
    <x v="15"/>
    <x v="0"/>
    <x v="0"/>
    <x v="0"/>
    <x v="0"/>
    <x v="0"/>
  </r>
  <r>
    <x v="0"/>
    <x v="0"/>
    <n v="2239230408"/>
    <x v="0"/>
    <n v="13800"/>
    <x v="1"/>
    <x v="0"/>
    <x v="15"/>
    <x v="0"/>
    <x v="0"/>
    <x v="0"/>
    <x v="0"/>
    <x v="0"/>
  </r>
  <r>
    <x v="0"/>
    <x v="0"/>
    <n v="2239230409"/>
    <x v="0"/>
    <n v="5700"/>
    <x v="1"/>
    <x v="0"/>
    <x v="15"/>
    <x v="0"/>
    <x v="0"/>
    <x v="0"/>
    <x v="0"/>
    <x v="0"/>
  </r>
  <r>
    <x v="0"/>
    <x v="0"/>
    <n v="2239230410"/>
    <x v="0"/>
    <n v="2700"/>
    <x v="1"/>
    <x v="0"/>
    <x v="15"/>
    <x v="0"/>
    <x v="0"/>
    <x v="0"/>
    <x v="0"/>
    <x v="0"/>
  </r>
  <r>
    <x v="0"/>
    <x v="0"/>
    <n v="2239230411"/>
    <x v="0"/>
    <n v="38620"/>
    <x v="1"/>
    <x v="0"/>
    <x v="15"/>
    <x v="0"/>
    <x v="0"/>
    <x v="0"/>
    <x v="0"/>
    <x v="0"/>
  </r>
  <r>
    <x v="0"/>
    <x v="0"/>
    <n v="2239230412"/>
    <x v="1"/>
    <n v="29840"/>
    <x v="1"/>
    <x v="0"/>
    <x v="15"/>
    <x v="1"/>
    <x v="0"/>
    <x v="0"/>
    <x v="1"/>
    <x v="0"/>
  </r>
  <r>
    <x v="0"/>
    <x v="0"/>
    <n v="2239230413"/>
    <x v="1"/>
    <n v="6180"/>
    <x v="1"/>
    <x v="0"/>
    <x v="15"/>
    <x v="1"/>
    <x v="0"/>
    <x v="0"/>
    <x v="1"/>
    <x v="0"/>
  </r>
  <r>
    <x v="0"/>
    <x v="0"/>
    <n v="2239230414"/>
    <x v="1"/>
    <n v="8250"/>
    <x v="1"/>
    <x v="0"/>
    <x v="15"/>
    <x v="1"/>
    <x v="0"/>
    <x v="0"/>
    <x v="1"/>
    <x v="0"/>
  </r>
  <r>
    <x v="0"/>
    <x v="0"/>
    <n v="2239230415"/>
    <x v="0"/>
    <n v="9000"/>
    <x v="1"/>
    <x v="0"/>
    <x v="15"/>
    <x v="0"/>
    <x v="0"/>
    <x v="0"/>
    <x v="0"/>
    <x v="0"/>
  </r>
  <r>
    <x v="0"/>
    <x v="0"/>
    <n v="2239230416"/>
    <x v="1"/>
    <n v="15180"/>
    <x v="1"/>
    <x v="0"/>
    <x v="15"/>
    <x v="1"/>
    <x v="0"/>
    <x v="0"/>
    <x v="1"/>
    <x v="0"/>
  </r>
  <r>
    <x v="0"/>
    <x v="0"/>
    <n v="2239230417"/>
    <x v="0"/>
    <n v="1050"/>
    <x v="1"/>
    <x v="0"/>
    <x v="15"/>
    <x v="0"/>
    <x v="0"/>
    <x v="0"/>
    <x v="0"/>
    <x v="0"/>
  </r>
  <r>
    <x v="0"/>
    <x v="0"/>
    <n v="2239230418"/>
    <x v="1"/>
    <n v="69020"/>
    <x v="1"/>
    <x v="0"/>
    <x v="15"/>
    <x v="1"/>
    <x v="0"/>
    <x v="0"/>
    <x v="1"/>
    <x v="0"/>
  </r>
  <r>
    <x v="0"/>
    <x v="0"/>
    <n v="2239230419"/>
    <x v="1"/>
    <n v="12000"/>
    <x v="1"/>
    <x v="0"/>
    <x v="15"/>
    <x v="1"/>
    <x v="0"/>
    <x v="0"/>
    <x v="1"/>
    <x v="0"/>
  </r>
  <r>
    <x v="0"/>
    <x v="0"/>
    <n v="2239230420"/>
    <x v="0"/>
    <n v="8250"/>
    <x v="1"/>
    <x v="0"/>
    <x v="15"/>
    <x v="0"/>
    <x v="0"/>
    <x v="0"/>
    <x v="0"/>
    <x v="0"/>
  </r>
  <r>
    <x v="0"/>
    <x v="0"/>
    <n v="2239230421"/>
    <x v="1"/>
    <n v="14400"/>
    <x v="1"/>
    <x v="0"/>
    <x v="15"/>
    <x v="1"/>
    <x v="0"/>
    <x v="0"/>
    <x v="1"/>
    <x v="0"/>
  </r>
  <r>
    <x v="0"/>
    <x v="0"/>
    <n v="2239230422"/>
    <x v="0"/>
    <n v="22890"/>
    <x v="1"/>
    <x v="0"/>
    <x v="15"/>
    <x v="0"/>
    <x v="0"/>
    <x v="0"/>
    <x v="0"/>
    <x v="0"/>
  </r>
  <r>
    <x v="0"/>
    <x v="0"/>
    <n v="2239230423"/>
    <x v="0"/>
    <n v="1350"/>
    <x v="1"/>
    <x v="0"/>
    <x v="15"/>
    <x v="0"/>
    <x v="0"/>
    <x v="0"/>
    <x v="0"/>
    <x v="0"/>
  </r>
  <r>
    <x v="0"/>
    <x v="0"/>
    <n v="2239230424"/>
    <x v="8"/>
    <n v="12540"/>
    <x v="1"/>
    <x v="0"/>
    <x v="15"/>
    <x v="8"/>
    <x v="0"/>
    <x v="0"/>
    <x v="3"/>
    <x v="0"/>
  </r>
  <r>
    <x v="0"/>
    <x v="0"/>
    <n v="2239230425"/>
    <x v="0"/>
    <n v="19350"/>
    <x v="1"/>
    <x v="0"/>
    <x v="15"/>
    <x v="0"/>
    <x v="0"/>
    <x v="0"/>
    <x v="0"/>
    <x v="0"/>
  </r>
  <r>
    <x v="0"/>
    <x v="0"/>
    <n v="2239230426"/>
    <x v="1"/>
    <n v="17640"/>
    <x v="1"/>
    <x v="0"/>
    <x v="15"/>
    <x v="1"/>
    <x v="0"/>
    <x v="0"/>
    <x v="1"/>
    <x v="0"/>
  </r>
  <r>
    <x v="0"/>
    <x v="0"/>
    <n v="2239230427"/>
    <x v="1"/>
    <n v="41920"/>
    <x v="1"/>
    <x v="0"/>
    <x v="15"/>
    <x v="1"/>
    <x v="0"/>
    <x v="0"/>
    <x v="1"/>
    <x v="0"/>
  </r>
  <r>
    <x v="0"/>
    <x v="0"/>
    <n v="2239230428"/>
    <x v="0"/>
    <n v="30950"/>
    <x v="1"/>
    <x v="0"/>
    <x v="15"/>
    <x v="0"/>
    <x v="0"/>
    <x v="0"/>
    <x v="0"/>
    <x v="0"/>
  </r>
  <r>
    <x v="0"/>
    <x v="0"/>
    <n v="2239230430"/>
    <x v="1"/>
    <n v="2100"/>
    <x v="1"/>
    <x v="0"/>
    <x v="15"/>
    <x v="1"/>
    <x v="0"/>
    <x v="0"/>
    <x v="1"/>
    <x v="0"/>
  </r>
  <r>
    <x v="0"/>
    <x v="0"/>
    <n v="2239230431"/>
    <x v="1"/>
    <n v="20370"/>
    <x v="1"/>
    <x v="0"/>
    <x v="15"/>
    <x v="1"/>
    <x v="0"/>
    <x v="0"/>
    <x v="1"/>
    <x v="0"/>
  </r>
  <r>
    <x v="0"/>
    <x v="0"/>
    <n v="2239230432"/>
    <x v="1"/>
    <n v="18170"/>
    <x v="1"/>
    <x v="0"/>
    <x v="15"/>
    <x v="1"/>
    <x v="0"/>
    <x v="0"/>
    <x v="1"/>
    <x v="0"/>
  </r>
  <r>
    <x v="0"/>
    <x v="0"/>
    <n v="2239230434"/>
    <x v="1"/>
    <n v="1200"/>
    <x v="1"/>
    <x v="0"/>
    <x v="15"/>
    <x v="1"/>
    <x v="0"/>
    <x v="0"/>
    <x v="1"/>
    <x v="0"/>
  </r>
  <r>
    <x v="0"/>
    <x v="0"/>
    <n v="2239230435"/>
    <x v="1"/>
    <n v="3150"/>
    <x v="1"/>
    <x v="0"/>
    <x v="15"/>
    <x v="1"/>
    <x v="0"/>
    <x v="0"/>
    <x v="1"/>
    <x v="0"/>
  </r>
  <r>
    <x v="0"/>
    <x v="0"/>
    <n v="2239230436"/>
    <x v="1"/>
    <n v="2040"/>
    <x v="1"/>
    <x v="0"/>
    <x v="15"/>
    <x v="1"/>
    <x v="0"/>
    <x v="0"/>
    <x v="1"/>
    <x v="0"/>
  </r>
  <r>
    <x v="0"/>
    <x v="0"/>
    <n v="2239230437"/>
    <x v="1"/>
    <n v="900"/>
    <x v="1"/>
    <x v="0"/>
    <x v="15"/>
    <x v="1"/>
    <x v="0"/>
    <x v="0"/>
    <x v="1"/>
    <x v="0"/>
  </r>
  <r>
    <x v="0"/>
    <x v="0"/>
    <n v="2239230438"/>
    <x v="1"/>
    <n v="29490"/>
    <x v="1"/>
    <x v="0"/>
    <x v="15"/>
    <x v="1"/>
    <x v="0"/>
    <x v="0"/>
    <x v="1"/>
    <x v="0"/>
  </r>
  <r>
    <x v="0"/>
    <x v="0"/>
    <n v="2239230439"/>
    <x v="1"/>
    <n v="3000"/>
    <x v="1"/>
    <x v="0"/>
    <x v="15"/>
    <x v="1"/>
    <x v="0"/>
    <x v="0"/>
    <x v="1"/>
    <x v="0"/>
  </r>
  <r>
    <x v="0"/>
    <x v="0"/>
    <n v="2239230440"/>
    <x v="1"/>
    <n v="22590"/>
    <x v="1"/>
    <x v="0"/>
    <x v="15"/>
    <x v="1"/>
    <x v="0"/>
    <x v="0"/>
    <x v="1"/>
    <x v="0"/>
  </r>
  <r>
    <x v="0"/>
    <x v="0"/>
    <n v="2239230441"/>
    <x v="1"/>
    <n v="8400"/>
    <x v="1"/>
    <x v="0"/>
    <x v="15"/>
    <x v="1"/>
    <x v="0"/>
    <x v="0"/>
    <x v="1"/>
    <x v="0"/>
  </r>
  <r>
    <x v="0"/>
    <x v="0"/>
    <n v="2239230442"/>
    <x v="0"/>
    <n v="5850"/>
    <x v="1"/>
    <x v="0"/>
    <x v="15"/>
    <x v="0"/>
    <x v="0"/>
    <x v="0"/>
    <x v="0"/>
    <x v="0"/>
  </r>
  <r>
    <x v="0"/>
    <x v="0"/>
    <n v="2239230443"/>
    <x v="0"/>
    <n v="6500"/>
    <x v="1"/>
    <x v="0"/>
    <x v="15"/>
    <x v="0"/>
    <x v="0"/>
    <x v="0"/>
    <x v="0"/>
    <x v="0"/>
  </r>
  <r>
    <x v="0"/>
    <x v="0"/>
    <n v="2239230444"/>
    <x v="0"/>
    <n v="2250"/>
    <x v="1"/>
    <x v="0"/>
    <x v="15"/>
    <x v="0"/>
    <x v="0"/>
    <x v="0"/>
    <x v="0"/>
    <x v="0"/>
  </r>
  <r>
    <x v="0"/>
    <x v="0"/>
    <n v="2239230445"/>
    <x v="1"/>
    <n v="900"/>
    <x v="1"/>
    <x v="0"/>
    <x v="15"/>
    <x v="1"/>
    <x v="0"/>
    <x v="0"/>
    <x v="1"/>
    <x v="0"/>
  </r>
  <r>
    <x v="0"/>
    <x v="0"/>
    <n v="2239230446"/>
    <x v="1"/>
    <n v="1140"/>
    <x v="1"/>
    <x v="0"/>
    <x v="15"/>
    <x v="1"/>
    <x v="0"/>
    <x v="0"/>
    <x v="1"/>
    <x v="0"/>
  </r>
  <r>
    <x v="0"/>
    <x v="0"/>
    <n v="2239230447"/>
    <x v="0"/>
    <n v="6500"/>
    <x v="1"/>
    <x v="0"/>
    <x v="15"/>
    <x v="0"/>
    <x v="0"/>
    <x v="0"/>
    <x v="0"/>
    <x v="0"/>
  </r>
  <r>
    <x v="0"/>
    <x v="0"/>
    <n v="2239230448"/>
    <x v="0"/>
    <n v="2250"/>
    <x v="1"/>
    <x v="0"/>
    <x v="15"/>
    <x v="0"/>
    <x v="0"/>
    <x v="0"/>
    <x v="0"/>
    <x v="0"/>
  </r>
  <r>
    <x v="0"/>
    <x v="0"/>
    <n v="2239230449"/>
    <x v="0"/>
    <n v="15250"/>
    <x v="1"/>
    <x v="0"/>
    <x v="15"/>
    <x v="0"/>
    <x v="0"/>
    <x v="0"/>
    <x v="0"/>
    <x v="0"/>
  </r>
  <r>
    <x v="0"/>
    <x v="0"/>
    <n v="2239230450"/>
    <x v="1"/>
    <n v="3990"/>
    <x v="1"/>
    <x v="0"/>
    <x v="15"/>
    <x v="1"/>
    <x v="0"/>
    <x v="0"/>
    <x v="1"/>
    <x v="0"/>
  </r>
  <r>
    <x v="0"/>
    <x v="0"/>
    <n v="2239230451"/>
    <x v="1"/>
    <n v="7470"/>
    <x v="1"/>
    <x v="0"/>
    <x v="15"/>
    <x v="1"/>
    <x v="0"/>
    <x v="0"/>
    <x v="1"/>
    <x v="0"/>
  </r>
  <r>
    <x v="0"/>
    <x v="0"/>
    <n v="2239230452"/>
    <x v="1"/>
    <n v="28600"/>
    <x v="1"/>
    <x v="0"/>
    <x v="15"/>
    <x v="1"/>
    <x v="0"/>
    <x v="0"/>
    <x v="1"/>
    <x v="0"/>
  </r>
  <r>
    <x v="0"/>
    <x v="0"/>
    <n v="2239230453"/>
    <x v="2"/>
    <n v="22990"/>
    <x v="1"/>
    <x v="0"/>
    <x v="15"/>
    <x v="2"/>
    <x v="0"/>
    <x v="0"/>
    <x v="2"/>
    <x v="0"/>
  </r>
  <r>
    <x v="0"/>
    <x v="0"/>
    <n v="2239230455"/>
    <x v="1"/>
    <n v="1800"/>
    <x v="1"/>
    <x v="0"/>
    <x v="15"/>
    <x v="1"/>
    <x v="0"/>
    <x v="0"/>
    <x v="1"/>
    <x v="0"/>
  </r>
  <r>
    <x v="0"/>
    <x v="0"/>
    <n v="2239230456"/>
    <x v="2"/>
    <n v="17135"/>
    <x v="1"/>
    <x v="0"/>
    <x v="15"/>
    <x v="2"/>
    <x v="0"/>
    <x v="0"/>
    <x v="2"/>
    <x v="0"/>
  </r>
  <r>
    <x v="0"/>
    <x v="0"/>
    <n v="2239230457"/>
    <x v="5"/>
    <n v="-5000"/>
    <x v="1"/>
    <x v="0"/>
    <x v="15"/>
    <x v="5"/>
    <x v="0"/>
    <x v="0"/>
    <x v="5"/>
    <x v="0"/>
  </r>
  <r>
    <x v="0"/>
    <x v="0"/>
    <n v="2239230457"/>
    <x v="6"/>
    <n v="10850"/>
    <x v="1"/>
    <x v="0"/>
    <x v="15"/>
    <x v="6"/>
    <x v="0"/>
    <x v="0"/>
    <x v="5"/>
    <x v="0"/>
  </r>
  <r>
    <x v="0"/>
    <x v="0"/>
    <n v="2239230457"/>
    <x v="7"/>
    <n v="650"/>
    <x v="1"/>
    <x v="0"/>
    <x v="15"/>
    <x v="7"/>
    <x v="0"/>
    <x v="0"/>
    <x v="1"/>
    <x v="0"/>
  </r>
  <r>
    <x v="0"/>
    <x v="0"/>
    <n v="2239230458"/>
    <x v="2"/>
    <n v="3850"/>
    <x v="1"/>
    <x v="0"/>
    <x v="15"/>
    <x v="2"/>
    <x v="0"/>
    <x v="0"/>
    <x v="2"/>
    <x v="0"/>
  </r>
  <r>
    <x v="0"/>
    <x v="0"/>
    <n v="2239230459"/>
    <x v="5"/>
    <n v="-4700"/>
    <x v="1"/>
    <x v="0"/>
    <x v="15"/>
    <x v="5"/>
    <x v="0"/>
    <x v="0"/>
    <x v="5"/>
    <x v="0"/>
  </r>
  <r>
    <x v="0"/>
    <x v="0"/>
    <n v="2239230459"/>
    <x v="4"/>
    <n v="10000"/>
    <x v="1"/>
    <x v="0"/>
    <x v="15"/>
    <x v="4"/>
    <x v="0"/>
    <x v="0"/>
    <x v="4"/>
    <x v="0"/>
  </r>
  <r>
    <x v="0"/>
    <x v="0"/>
    <n v="2239230460"/>
    <x v="6"/>
    <n v="2000"/>
    <x v="1"/>
    <x v="0"/>
    <x v="15"/>
    <x v="6"/>
    <x v="0"/>
    <x v="0"/>
    <x v="5"/>
    <x v="0"/>
  </r>
  <r>
    <x v="0"/>
    <x v="0"/>
    <n v="2239230461"/>
    <x v="5"/>
    <n v="-4400"/>
    <x v="1"/>
    <x v="0"/>
    <x v="15"/>
    <x v="5"/>
    <x v="0"/>
    <x v="0"/>
    <x v="5"/>
    <x v="0"/>
  </r>
  <r>
    <x v="0"/>
    <x v="0"/>
    <n v="2239230461"/>
    <x v="4"/>
    <n v="10000"/>
    <x v="1"/>
    <x v="0"/>
    <x v="15"/>
    <x v="4"/>
    <x v="0"/>
    <x v="0"/>
    <x v="4"/>
    <x v="0"/>
  </r>
  <r>
    <x v="0"/>
    <x v="0"/>
    <n v="2239230462"/>
    <x v="5"/>
    <n v="-5600"/>
    <x v="1"/>
    <x v="0"/>
    <x v="15"/>
    <x v="5"/>
    <x v="0"/>
    <x v="0"/>
    <x v="5"/>
    <x v="0"/>
  </r>
  <r>
    <x v="0"/>
    <x v="0"/>
    <n v="2239230462"/>
    <x v="4"/>
    <n v="10000"/>
    <x v="1"/>
    <x v="0"/>
    <x v="15"/>
    <x v="4"/>
    <x v="0"/>
    <x v="0"/>
    <x v="4"/>
    <x v="0"/>
  </r>
  <r>
    <x v="0"/>
    <x v="0"/>
    <n v="2239230463"/>
    <x v="6"/>
    <n v="2000"/>
    <x v="1"/>
    <x v="0"/>
    <x v="15"/>
    <x v="6"/>
    <x v="0"/>
    <x v="0"/>
    <x v="5"/>
    <x v="0"/>
  </r>
  <r>
    <x v="0"/>
    <x v="0"/>
    <n v="2239230464"/>
    <x v="6"/>
    <n v="2000"/>
    <x v="1"/>
    <x v="0"/>
    <x v="15"/>
    <x v="6"/>
    <x v="0"/>
    <x v="0"/>
    <x v="5"/>
    <x v="0"/>
  </r>
  <r>
    <x v="0"/>
    <x v="0"/>
    <n v="2239230465"/>
    <x v="2"/>
    <n v="34540"/>
    <x v="1"/>
    <x v="0"/>
    <x v="15"/>
    <x v="2"/>
    <x v="0"/>
    <x v="0"/>
    <x v="2"/>
    <x v="0"/>
  </r>
  <r>
    <x v="0"/>
    <x v="0"/>
    <n v="2239230467"/>
    <x v="5"/>
    <n v="-6000"/>
    <x v="1"/>
    <x v="0"/>
    <x v="15"/>
    <x v="5"/>
    <x v="0"/>
    <x v="0"/>
    <x v="5"/>
    <x v="0"/>
  </r>
  <r>
    <x v="0"/>
    <x v="0"/>
    <n v="2239230467"/>
    <x v="4"/>
    <n v="10600"/>
    <x v="1"/>
    <x v="0"/>
    <x v="15"/>
    <x v="4"/>
    <x v="0"/>
    <x v="0"/>
    <x v="4"/>
    <x v="0"/>
  </r>
  <r>
    <x v="0"/>
    <x v="0"/>
    <n v="2239230469"/>
    <x v="5"/>
    <n v="-6000"/>
    <x v="1"/>
    <x v="0"/>
    <x v="15"/>
    <x v="5"/>
    <x v="0"/>
    <x v="0"/>
    <x v="5"/>
    <x v="0"/>
  </r>
  <r>
    <x v="0"/>
    <x v="0"/>
    <n v="2239230469"/>
    <x v="6"/>
    <n v="10000"/>
    <x v="1"/>
    <x v="0"/>
    <x v="15"/>
    <x v="6"/>
    <x v="0"/>
    <x v="0"/>
    <x v="5"/>
    <x v="0"/>
  </r>
  <r>
    <x v="0"/>
    <x v="0"/>
    <n v="2239230470"/>
    <x v="1"/>
    <n v="5100"/>
    <x v="1"/>
    <x v="0"/>
    <x v="15"/>
    <x v="1"/>
    <x v="0"/>
    <x v="0"/>
    <x v="1"/>
    <x v="0"/>
  </r>
  <r>
    <x v="0"/>
    <x v="0"/>
    <n v="2239230471"/>
    <x v="6"/>
    <n v="2000"/>
    <x v="1"/>
    <x v="0"/>
    <x v="15"/>
    <x v="6"/>
    <x v="0"/>
    <x v="0"/>
    <x v="5"/>
    <x v="0"/>
  </r>
  <r>
    <x v="0"/>
    <x v="0"/>
    <n v="2239230472"/>
    <x v="1"/>
    <n v="3150"/>
    <x v="1"/>
    <x v="0"/>
    <x v="15"/>
    <x v="1"/>
    <x v="0"/>
    <x v="0"/>
    <x v="1"/>
    <x v="0"/>
  </r>
  <r>
    <x v="0"/>
    <x v="0"/>
    <n v="2239230473"/>
    <x v="5"/>
    <n v="-1200"/>
    <x v="1"/>
    <x v="0"/>
    <x v="15"/>
    <x v="5"/>
    <x v="0"/>
    <x v="0"/>
    <x v="5"/>
    <x v="0"/>
  </r>
  <r>
    <x v="0"/>
    <x v="0"/>
    <n v="2239230473"/>
    <x v="6"/>
    <n v="5000"/>
    <x v="1"/>
    <x v="0"/>
    <x v="15"/>
    <x v="6"/>
    <x v="0"/>
    <x v="0"/>
    <x v="5"/>
    <x v="0"/>
  </r>
  <r>
    <x v="0"/>
    <x v="0"/>
    <n v="2239230474"/>
    <x v="3"/>
    <n v="15400"/>
    <x v="1"/>
    <x v="0"/>
    <x v="15"/>
    <x v="3"/>
    <x v="0"/>
    <x v="0"/>
    <x v="3"/>
    <x v="0"/>
  </r>
  <r>
    <x v="0"/>
    <x v="0"/>
    <n v="2239230474"/>
    <x v="7"/>
    <n v="3500"/>
    <x v="1"/>
    <x v="0"/>
    <x v="15"/>
    <x v="7"/>
    <x v="0"/>
    <x v="0"/>
    <x v="1"/>
    <x v="0"/>
  </r>
  <r>
    <x v="0"/>
    <x v="0"/>
    <n v="2239230475"/>
    <x v="6"/>
    <n v="2000"/>
    <x v="1"/>
    <x v="0"/>
    <x v="15"/>
    <x v="6"/>
    <x v="0"/>
    <x v="0"/>
    <x v="5"/>
    <x v="0"/>
  </r>
  <r>
    <x v="0"/>
    <x v="0"/>
    <n v="2239230476"/>
    <x v="3"/>
    <n v="9900"/>
    <x v="1"/>
    <x v="0"/>
    <x v="15"/>
    <x v="3"/>
    <x v="0"/>
    <x v="0"/>
    <x v="3"/>
    <x v="0"/>
  </r>
  <r>
    <x v="0"/>
    <x v="0"/>
    <n v="2239230477"/>
    <x v="2"/>
    <n v="7000"/>
    <x v="1"/>
    <x v="0"/>
    <x v="15"/>
    <x v="2"/>
    <x v="0"/>
    <x v="0"/>
    <x v="2"/>
    <x v="0"/>
  </r>
  <r>
    <x v="0"/>
    <x v="0"/>
    <n v="2239230480"/>
    <x v="5"/>
    <n v="-4300"/>
    <x v="1"/>
    <x v="0"/>
    <x v="15"/>
    <x v="5"/>
    <x v="0"/>
    <x v="0"/>
    <x v="5"/>
    <x v="0"/>
  </r>
  <r>
    <x v="0"/>
    <x v="0"/>
    <n v="2239230480"/>
    <x v="4"/>
    <n v="10000"/>
    <x v="1"/>
    <x v="0"/>
    <x v="15"/>
    <x v="4"/>
    <x v="0"/>
    <x v="0"/>
    <x v="4"/>
    <x v="0"/>
  </r>
  <r>
    <x v="0"/>
    <x v="0"/>
    <n v="2239230481"/>
    <x v="2"/>
    <n v="42240"/>
    <x v="1"/>
    <x v="0"/>
    <x v="15"/>
    <x v="2"/>
    <x v="0"/>
    <x v="0"/>
    <x v="2"/>
    <x v="0"/>
  </r>
  <r>
    <x v="0"/>
    <x v="0"/>
    <n v="2239230482"/>
    <x v="6"/>
    <n v="2000"/>
    <x v="1"/>
    <x v="0"/>
    <x v="15"/>
    <x v="6"/>
    <x v="0"/>
    <x v="0"/>
    <x v="5"/>
    <x v="0"/>
  </r>
  <r>
    <x v="0"/>
    <x v="0"/>
    <n v="2239230483"/>
    <x v="5"/>
    <n v="-2340"/>
    <x v="1"/>
    <x v="0"/>
    <x v="15"/>
    <x v="5"/>
    <x v="0"/>
    <x v="0"/>
    <x v="5"/>
    <x v="0"/>
  </r>
  <r>
    <x v="0"/>
    <x v="0"/>
    <n v="2239230483"/>
    <x v="6"/>
    <n v="5000"/>
    <x v="1"/>
    <x v="0"/>
    <x v="15"/>
    <x v="6"/>
    <x v="0"/>
    <x v="0"/>
    <x v="5"/>
    <x v="0"/>
  </r>
  <r>
    <x v="0"/>
    <x v="0"/>
    <n v="2239230484"/>
    <x v="1"/>
    <n v="2640"/>
    <x v="1"/>
    <x v="0"/>
    <x v="15"/>
    <x v="1"/>
    <x v="0"/>
    <x v="0"/>
    <x v="1"/>
    <x v="0"/>
  </r>
  <r>
    <x v="0"/>
    <x v="0"/>
    <n v="2239230485"/>
    <x v="2"/>
    <n v="74140"/>
    <x v="1"/>
    <x v="0"/>
    <x v="15"/>
    <x v="2"/>
    <x v="0"/>
    <x v="0"/>
    <x v="2"/>
    <x v="0"/>
  </r>
  <r>
    <x v="0"/>
    <x v="0"/>
    <n v="2239230486"/>
    <x v="5"/>
    <n v="-3000"/>
    <x v="1"/>
    <x v="0"/>
    <x v="15"/>
    <x v="5"/>
    <x v="0"/>
    <x v="0"/>
    <x v="5"/>
    <x v="0"/>
  </r>
  <r>
    <x v="0"/>
    <x v="0"/>
    <n v="2239230486"/>
    <x v="6"/>
    <n v="5000"/>
    <x v="1"/>
    <x v="0"/>
    <x v="15"/>
    <x v="6"/>
    <x v="0"/>
    <x v="0"/>
    <x v="5"/>
    <x v="0"/>
  </r>
  <r>
    <x v="0"/>
    <x v="0"/>
    <n v="2239230487"/>
    <x v="2"/>
    <n v="2000"/>
    <x v="1"/>
    <x v="0"/>
    <x v="15"/>
    <x v="2"/>
    <x v="0"/>
    <x v="0"/>
    <x v="2"/>
    <x v="0"/>
  </r>
  <r>
    <x v="0"/>
    <x v="0"/>
    <n v="2239230488"/>
    <x v="2"/>
    <n v="7700"/>
    <x v="1"/>
    <x v="0"/>
    <x v="15"/>
    <x v="2"/>
    <x v="0"/>
    <x v="0"/>
    <x v="2"/>
    <x v="0"/>
  </r>
  <r>
    <x v="0"/>
    <x v="0"/>
    <n v="2239230489"/>
    <x v="2"/>
    <n v="27390"/>
    <x v="1"/>
    <x v="0"/>
    <x v="15"/>
    <x v="2"/>
    <x v="0"/>
    <x v="0"/>
    <x v="2"/>
    <x v="0"/>
  </r>
  <r>
    <x v="0"/>
    <x v="0"/>
    <n v="2239230491"/>
    <x v="6"/>
    <n v="2000"/>
    <x v="1"/>
    <x v="0"/>
    <x v="15"/>
    <x v="6"/>
    <x v="0"/>
    <x v="0"/>
    <x v="5"/>
    <x v="0"/>
  </r>
  <r>
    <x v="0"/>
    <x v="0"/>
    <n v="2239230492"/>
    <x v="2"/>
    <n v="31790"/>
    <x v="1"/>
    <x v="0"/>
    <x v="15"/>
    <x v="2"/>
    <x v="0"/>
    <x v="0"/>
    <x v="2"/>
    <x v="0"/>
  </r>
  <r>
    <x v="0"/>
    <x v="0"/>
    <n v="2239230493"/>
    <x v="2"/>
    <n v="51370"/>
    <x v="1"/>
    <x v="0"/>
    <x v="15"/>
    <x v="2"/>
    <x v="0"/>
    <x v="0"/>
    <x v="2"/>
    <x v="0"/>
  </r>
  <r>
    <x v="0"/>
    <x v="0"/>
    <n v="2239230494"/>
    <x v="2"/>
    <n v="5000"/>
    <x v="1"/>
    <x v="0"/>
    <x v="15"/>
    <x v="2"/>
    <x v="0"/>
    <x v="0"/>
    <x v="2"/>
    <x v="0"/>
  </r>
  <r>
    <x v="0"/>
    <x v="0"/>
    <n v="2239230495"/>
    <x v="2"/>
    <n v="45430"/>
    <x v="1"/>
    <x v="0"/>
    <x v="15"/>
    <x v="2"/>
    <x v="0"/>
    <x v="0"/>
    <x v="2"/>
    <x v="0"/>
  </r>
  <r>
    <x v="0"/>
    <x v="0"/>
    <n v="2239230496"/>
    <x v="1"/>
    <n v="5100"/>
    <x v="1"/>
    <x v="0"/>
    <x v="15"/>
    <x v="1"/>
    <x v="0"/>
    <x v="0"/>
    <x v="1"/>
    <x v="0"/>
  </r>
  <r>
    <x v="0"/>
    <x v="0"/>
    <n v="2239230497"/>
    <x v="5"/>
    <n v="-14700"/>
    <x v="1"/>
    <x v="0"/>
    <x v="15"/>
    <x v="5"/>
    <x v="0"/>
    <x v="0"/>
    <x v="5"/>
    <x v="0"/>
  </r>
  <r>
    <x v="0"/>
    <x v="0"/>
    <n v="2239230497"/>
    <x v="4"/>
    <n v="20000"/>
    <x v="1"/>
    <x v="0"/>
    <x v="15"/>
    <x v="4"/>
    <x v="0"/>
    <x v="0"/>
    <x v="4"/>
    <x v="0"/>
  </r>
  <r>
    <x v="0"/>
    <x v="0"/>
    <n v="2239230498"/>
    <x v="2"/>
    <n v="33880"/>
    <x v="1"/>
    <x v="0"/>
    <x v="15"/>
    <x v="2"/>
    <x v="0"/>
    <x v="0"/>
    <x v="2"/>
    <x v="0"/>
  </r>
  <r>
    <x v="0"/>
    <x v="0"/>
    <n v="2239230499"/>
    <x v="6"/>
    <n v="1000"/>
    <x v="1"/>
    <x v="0"/>
    <x v="15"/>
    <x v="6"/>
    <x v="0"/>
    <x v="0"/>
    <x v="5"/>
    <x v="0"/>
  </r>
  <r>
    <x v="0"/>
    <x v="0"/>
    <n v="2239230500"/>
    <x v="2"/>
    <n v="10450"/>
    <x v="1"/>
    <x v="0"/>
    <x v="15"/>
    <x v="2"/>
    <x v="0"/>
    <x v="0"/>
    <x v="2"/>
    <x v="0"/>
  </r>
  <r>
    <x v="0"/>
    <x v="0"/>
    <n v="2239230501"/>
    <x v="2"/>
    <n v="33990"/>
    <x v="1"/>
    <x v="0"/>
    <x v="15"/>
    <x v="2"/>
    <x v="0"/>
    <x v="0"/>
    <x v="2"/>
    <x v="0"/>
  </r>
  <r>
    <x v="0"/>
    <x v="0"/>
    <n v="2239230502"/>
    <x v="2"/>
    <n v="1100"/>
    <x v="1"/>
    <x v="0"/>
    <x v="15"/>
    <x v="2"/>
    <x v="0"/>
    <x v="0"/>
    <x v="2"/>
    <x v="0"/>
  </r>
  <r>
    <x v="0"/>
    <x v="0"/>
    <n v="2239230503"/>
    <x v="2"/>
    <n v="53361"/>
    <x v="1"/>
    <x v="0"/>
    <x v="15"/>
    <x v="2"/>
    <x v="0"/>
    <x v="0"/>
    <x v="2"/>
    <x v="0"/>
  </r>
  <r>
    <x v="0"/>
    <x v="0"/>
    <n v="2239230505"/>
    <x v="5"/>
    <n v="-2600"/>
    <x v="1"/>
    <x v="0"/>
    <x v="15"/>
    <x v="5"/>
    <x v="0"/>
    <x v="0"/>
    <x v="5"/>
    <x v="0"/>
  </r>
  <r>
    <x v="0"/>
    <x v="0"/>
    <n v="2239230505"/>
    <x v="6"/>
    <n v="30000"/>
    <x v="1"/>
    <x v="0"/>
    <x v="15"/>
    <x v="6"/>
    <x v="0"/>
    <x v="0"/>
    <x v="5"/>
    <x v="0"/>
  </r>
  <r>
    <x v="0"/>
    <x v="0"/>
    <n v="2239230506"/>
    <x v="2"/>
    <n v="6500"/>
    <x v="1"/>
    <x v="0"/>
    <x v="15"/>
    <x v="2"/>
    <x v="0"/>
    <x v="0"/>
    <x v="2"/>
    <x v="0"/>
  </r>
  <r>
    <x v="0"/>
    <x v="0"/>
    <n v="2239230507"/>
    <x v="1"/>
    <n v="19700"/>
    <x v="1"/>
    <x v="0"/>
    <x v="15"/>
    <x v="1"/>
    <x v="0"/>
    <x v="0"/>
    <x v="1"/>
    <x v="0"/>
  </r>
  <r>
    <x v="0"/>
    <x v="0"/>
    <n v="2239230508"/>
    <x v="1"/>
    <n v="4500"/>
    <x v="1"/>
    <x v="0"/>
    <x v="15"/>
    <x v="1"/>
    <x v="0"/>
    <x v="0"/>
    <x v="1"/>
    <x v="0"/>
  </r>
  <r>
    <x v="0"/>
    <x v="0"/>
    <n v="2239230509"/>
    <x v="2"/>
    <n v="11990"/>
    <x v="1"/>
    <x v="0"/>
    <x v="15"/>
    <x v="2"/>
    <x v="0"/>
    <x v="0"/>
    <x v="2"/>
    <x v="0"/>
  </r>
  <r>
    <x v="0"/>
    <x v="0"/>
    <n v="2239230510"/>
    <x v="2"/>
    <n v="19140"/>
    <x v="1"/>
    <x v="0"/>
    <x v="15"/>
    <x v="2"/>
    <x v="0"/>
    <x v="0"/>
    <x v="2"/>
    <x v="0"/>
  </r>
  <r>
    <x v="0"/>
    <x v="0"/>
    <n v="2239230511"/>
    <x v="2"/>
    <n v="23540"/>
    <x v="1"/>
    <x v="0"/>
    <x v="15"/>
    <x v="2"/>
    <x v="0"/>
    <x v="0"/>
    <x v="2"/>
    <x v="0"/>
  </r>
  <r>
    <x v="0"/>
    <x v="0"/>
    <n v="2239230512"/>
    <x v="2"/>
    <n v="19701"/>
    <x v="1"/>
    <x v="0"/>
    <x v="15"/>
    <x v="2"/>
    <x v="0"/>
    <x v="0"/>
    <x v="2"/>
    <x v="0"/>
  </r>
  <r>
    <x v="0"/>
    <x v="0"/>
    <n v="2239230513"/>
    <x v="2"/>
    <n v="25300"/>
    <x v="1"/>
    <x v="0"/>
    <x v="15"/>
    <x v="2"/>
    <x v="0"/>
    <x v="0"/>
    <x v="2"/>
    <x v="0"/>
  </r>
  <r>
    <x v="0"/>
    <x v="0"/>
    <n v="2239230514"/>
    <x v="2"/>
    <n v="5500"/>
    <x v="1"/>
    <x v="0"/>
    <x v="15"/>
    <x v="2"/>
    <x v="0"/>
    <x v="0"/>
    <x v="2"/>
    <x v="0"/>
  </r>
  <r>
    <x v="0"/>
    <x v="0"/>
    <n v="2239230515"/>
    <x v="1"/>
    <n v="3900"/>
    <x v="1"/>
    <x v="0"/>
    <x v="15"/>
    <x v="1"/>
    <x v="0"/>
    <x v="0"/>
    <x v="1"/>
    <x v="0"/>
  </r>
  <r>
    <x v="0"/>
    <x v="0"/>
    <n v="2239230516"/>
    <x v="1"/>
    <n v="2250"/>
    <x v="1"/>
    <x v="0"/>
    <x v="15"/>
    <x v="1"/>
    <x v="0"/>
    <x v="0"/>
    <x v="1"/>
    <x v="0"/>
  </r>
  <r>
    <x v="0"/>
    <x v="0"/>
    <n v="2239230517"/>
    <x v="1"/>
    <n v="11800"/>
    <x v="1"/>
    <x v="0"/>
    <x v="15"/>
    <x v="1"/>
    <x v="0"/>
    <x v="0"/>
    <x v="1"/>
    <x v="0"/>
  </r>
  <r>
    <x v="0"/>
    <x v="0"/>
    <n v="2239230518"/>
    <x v="2"/>
    <n v="6300"/>
    <x v="1"/>
    <x v="0"/>
    <x v="15"/>
    <x v="2"/>
    <x v="0"/>
    <x v="0"/>
    <x v="2"/>
    <x v="0"/>
  </r>
  <r>
    <x v="0"/>
    <x v="0"/>
    <n v="2239230518"/>
    <x v="7"/>
    <n v="700"/>
    <x v="1"/>
    <x v="0"/>
    <x v="15"/>
    <x v="7"/>
    <x v="0"/>
    <x v="0"/>
    <x v="1"/>
    <x v="0"/>
  </r>
  <r>
    <x v="0"/>
    <x v="0"/>
    <n v="2239230519"/>
    <x v="2"/>
    <n v="34540"/>
    <x v="1"/>
    <x v="0"/>
    <x v="15"/>
    <x v="2"/>
    <x v="0"/>
    <x v="0"/>
    <x v="2"/>
    <x v="0"/>
  </r>
  <r>
    <x v="0"/>
    <x v="0"/>
    <n v="2239230520"/>
    <x v="8"/>
    <n v="62590"/>
    <x v="1"/>
    <x v="0"/>
    <x v="15"/>
    <x v="8"/>
    <x v="0"/>
    <x v="0"/>
    <x v="3"/>
    <x v="0"/>
  </r>
  <r>
    <x v="0"/>
    <x v="0"/>
    <n v="2239230521"/>
    <x v="5"/>
    <n v="-1000"/>
    <x v="1"/>
    <x v="0"/>
    <x v="15"/>
    <x v="5"/>
    <x v="0"/>
    <x v="0"/>
    <x v="5"/>
    <x v="0"/>
  </r>
  <r>
    <x v="0"/>
    <x v="0"/>
    <n v="2239230521"/>
    <x v="6"/>
    <n v="20000"/>
    <x v="1"/>
    <x v="0"/>
    <x v="15"/>
    <x v="6"/>
    <x v="0"/>
    <x v="0"/>
    <x v="5"/>
    <x v="0"/>
  </r>
  <r>
    <x v="0"/>
    <x v="0"/>
    <n v="2239230522"/>
    <x v="5"/>
    <n v="-1500"/>
    <x v="1"/>
    <x v="0"/>
    <x v="15"/>
    <x v="5"/>
    <x v="0"/>
    <x v="0"/>
    <x v="5"/>
    <x v="0"/>
  </r>
  <r>
    <x v="0"/>
    <x v="0"/>
    <n v="2239230522"/>
    <x v="6"/>
    <n v="25000"/>
    <x v="1"/>
    <x v="0"/>
    <x v="15"/>
    <x v="6"/>
    <x v="0"/>
    <x v="0"/>
    <x v="5"/>
    <x v="0"/>
  </r>
  <r>
    <x v="0"/>
    <x v="0"/>
    <n v="2239230523"/>
    <x v="2"/>
    <n v="11858"/>
    <x v="1"/>
    <x v="0"/>
    <x v="15"/>
    <x v="2"/>
    <x v="0"/>
    <x v="0"/>
    <x v="2"/>
    <x v="0"/>
  </r>
  <r>
    <x v="0"/>
    <x v="0"/>
    <n v="2239230524"/>
    <x v="2"/>
    <n v="6930"/>
    <x v="1"/>
    <x v="0"/>
    <x v="15"/>
    <x v="2"/>
    <x v="0"/>
    <x v="0"/>
    <x v="2"/>
    <x v="0"/>
  </r>
  <r>
    <x v="0"/>
    <x v="0"/>
    <n v="2239230525"/>
    <x v="2"/>
    <n v="40000"/>
    <x v="1"/>
    <x v="0"/>
    <x v="15"/>
    <x v="2"/>
    <x v="0"/>
    <x v="0"/>
    <x v="2"/>
    <x v="0"/>
  </r>
  <r>
    <x v="0"/>
    <x v="0"/>
    <n v="2239230526"/>
    <x v="5"/>
    <n v="-4000"/>
    <x v="1"/>
    <x v="0"/>
    <x v="15"/>
    <x v="5"/>
    <x v="0"/>
    <x v="0"/>
    <x v="5"/>
    <x v="0"/>
  </r>
  <r>
    <x v="0"/>
    <x v="0"/>
    <n v="2239230526"/>
    <x v="6"/>
    <n v="10000"/>
    <x v="1"/>
    <x v="0"/>
    <x v="15"/>
    <x v="6"/>
    <x v="0"/>
    <x v="0"/>
    <x v="5"/>
    <x v="0"/>
  </r>
  <r>
    <x v="0"/>
    <x v="0"/>
    <n v="2239230527"/>
    <x v="5"/>
    <n v="-4000"/>
    <x v="1"/>
    <x v="0"/>
    <x v="15"/>
    <x v="5"/>
    <x v="0"/>
    <x v="0"/>
    <x v="5"/>
    <x v="0"/>
  </r>
  <r>
    <x v="0"/>
    <x v="0"/>
    <n v="2239230527"/>
    <x v="6"/>
    <n v="25000"/>
    <x v="1"/>
    <x v="0"/>
    <x v="15"/>
    <x v="6"/>
    <x v="0"/>
    <x v="0"/>
    <x v="5"/>
    <x v="0"/>
  </r>
  <r>
    <x v="0"/>
    <x v="0"/>
    <n v="2239230528"/>
    <x v="5"/>
    <n v="-2500"/>
    <x v="1"/>
    <x v="0"/>
    <x v="15"/>
    <x v="5"/>
    <x v="0"/>
    <x v="0"/>
    <x v="5"/>
    <x v="0"/>
  </r>
  <r>
    <x v="0"/>
    <x v="0"/>
    <n v="2239230528"/>
    <x v="6"/>
    <n v="15000"/>
    <x v="1"/>
    <x v="0"/>
    <x v="15"/>
    <x v="6"/>
    <x v="0"/>
    <x v="0"/>
    <x v="5"/>
    <x v="0"/>
  </r>
  <r>
    <x v="0"/>
    <x v="0"/>
    <n v="2239230529"/>
    <x v="5"/>
    <n v="-4400"/>
    <x v="1"/>
    <x v="0"/>
    <x v="15"/>
    <x v="5"/>
    <x v="0"/>
    <x v="0"/>
    <x v="5"/>
    <x v="0"/>
  </r>
  <r>
    <x v="0"/>
    <x v="0"/>
    <n v="2239230529"/>
    <x v="4"/>
    <n v="10000"/>
    <x v="1"/>
    <x v="0"/>
    <x v="15"/>
    <x v="4"/>
    <x v="0"/>
    <x v="0"/>
    <x v="4"/>
    <x v="0"/>
  </r>
  <r>
    <x v="0"/>
    <x v="0"/>
    <n v="2239230530"/>
    <x v="2"/>
    <n v="28050"/>
    <x v="1"/>
    <x v="0"/>
    <x v="15"/>
    <x v="2"/>
    <x v="0"/>
    <x v="0"/>
    <x v="2"/>
    <x v="0"/>
  </r>
  <r>
    <x v="0"/>
    <x v="0"/>
    <n v="2239230531"/>
    <x v="2"/>
    <n v="15000"/>
    <x v="1"/>
    <x v="0"/>
    <x v="15"/>
    <x v="2"/>
    <x v="0"/>
    <x v="0"/>
    <x v="2"/>
    <x v="0"/>
  </r>
  <r>
    <x v="0"/>
    <x v="0"/>
    <n v="2239230532"/>
    <x v="5"/>
    <n v="-320"/>
    <x v="1"/>
    <x v="0"/>
    <x v="15"/>
    <x v="5"/>
    <x v="0"/>
    <x v="0"/>
    <x v="5"/>
    <x v="0"/>
  </r>
  <r>
    <x v="0"/>
    <x v="0"/>
    <n v="2239230532"/>
    <x v="6"/>
    <n v="23000"/>
    <x v="1"/>
    <x v="0"/>
    <x v="15"/>
    <x v="6"/>
    <x v="0"/>
    <x v="0"/>
    <x v="5"/>
    <x v="0"/>
  </r>
  <r>
    <x v="0"/>
    <x v="0"/>
    <n v="2239230533"/>
    <x v="5"/>
    <n v="-100"/>
    <x v="1"/>
    <x v="0"/>
    <x v="15"/>
    <x v="5"/>
    <x v="0"/>
    <x v="0"/>
    <x v="5"/>
    <x v="0"/>
  </r>
  <r>
    <x v="0"/>
    <x v="0"/>
    <n v="2239230533"/>
    <x v="6"/>
    <n v="5000"/>
    <x v="1"/>
    <x v="0"/>
    <x v="15"/>
    <x v="6"/>
    <x v="0"/>
    <x v="0"/>
    <x v="5"/>
    <x v="0"/>
  </r>
  <r>
    <x v="0"/>
    <x v="0"/>
    <n v="2239230534"/>
    <x v="3"/>
    <n v="55000"/>
    <x v="1"/>
    <x v="0"/>
    <x v="15"/>
    <x v="3"/>
    <x v="0"/>
    <x v="0"/>
    <x v="3"/>
    <x v="0"/>
  </r>
  <r>
    <x v="0"/>
    <x v="0"/>
    <n v="2239230535"/>
    <x v="6"/>
    <n v="5000"/>
    <x v="1"/>
    <x v="0"/>
    <x v="15"/>
    <x v="6"/>
    <x v="0"/>
    <x v="0"/>
    <x v="5"/>
    <x v="0"/>
  </r>
  <r>
    <x v="0"/>
    <x v="0"/>
    <n v="2239230536"/>
    <x v="2"/>
    <n v="50490"/>
    <x v="1"/>
    <x v="0"/>
    <x v="15"/>
    <x v="2"/>
    <x v="0"/>
    <x v="0"/>
    <x v="2"/>
    <x v="0"/>
  </r>
  <r>
    <x v="0"/>
    <x v="0"/>
    <n v="2239230537"/>
    <x v="5"/>
    <n v="-15500"/>
    <x v="1"/>
    <x v="0"/>
    <x v="15"/>
    <x v="5"/>
    <x v="0"/>
    <x v="0"/>
    <x v="5"/>
    <x v="0"/>
  </r>
  <r>
    <x v="0"/>
    <x v="0"/>
    <n v="2239230537"/>
    <x v="6"/>
    <n v="20000"/>
    <x v="1"/>
    <x v="0"/>
    <x v="15"/>
    <x v="6"/>
    <x v="0"/>
    <x v="0"/>
    <x v="5"/>
    <x v="0"/>
  </r>
  <r>
    <x v="0"/>
    <x v="0"/>
    <n v="2239230538"/>
    <x v="3"/>
    <n v="51800"/>
    <x v="1"/>
    <x v="0"/>
    <x v="15"/>
    <x v="3"/>
    <x v="0"/>
    <x v="0"/>
    <x v="3"/>
    <x v="0"/>
  </r>
  <r>
    <x v="0"/>
    <x v="0"/>
    <n v="2239230538"/>
    <x v="7"/>
    <n v="5180"/>
    <x v="1"/>
    <x v="0"/>
    <x v="15"/>
    <x v="7"/>
    <x v="0"/>
    <x v="0"/>
    <x v="1"/>
    <x v="0"/>
  </r>
  <r>
    <x v="0"/>
    <x v="0"/>
    <n v="2239230539"/>
    <x v="5"/>
    <n v="-1250"/>
    <x v="1"/>
    <x v="0"/>
    <x v="15"/>
    <x v="5"/>
    <x v="0"/>
    <x v="0"/>
    <x v="5"/>
    <x v="0"/>
  </r>
  <r>
    <x v="0"/>
    <x v="0"/>
    <n v="2239230539"/>
    <x v="6"/>
    <n v="10000"/>
    <x v="1"/>
    <x v="0"/>
    <x v="15"/>
    <x v="6"/>
    <x v="0"/>
    <x v="0"/>
    <x v="5"/>
    <x v="0"/>
  </r>
  <r>
    <x v="0"/>
    <x v="0"/>
    <n v="2239230540"/>
    <x v="2"/>
    <n v="8250"/>
    <x v="1"/>
    <x v="0"/>
    <x v="15"/>
    <x v="2"/>
    <x v="0"/>
    <x v="0"/>
    <x v="2"/>
    <x v="0"/>
  </r>
  <r>
    <x v="0"/>
    <x v="0"/>
    <n v="2239230541"/>
    <x v="5"/>
    <n v="-300"/>
    <x v="1"/>
    <x v="0"/>
    <x v="15"/>
    <x v="5"/>
    <x v="0"/>
    <x v="0"/>
    <x v="5"/>
    <x v="0"/>
  </r>
  <r>
    <x v="0"/>
    <x v="0"/>
    <n v="2239230541"/>
    <x v="4"/>
    <n v="6000"/>
    <x v="1"/>
    <x v="0"/>
    <x v="15"/>
    <x v="4"/>
    <x v="0"/>
    <x v="0"/>
    <x v="4"/>
    <x v="0"/>
  </r>
  <r>
    <x v="0"/>
    <x v="0"/>
    <n v="2239230542"/>
    <x v="5"/>
    <n v="-2000"/>
    <x v="1"/>
    <x v="0"/>
    <x v="15"/>
    <x v="5"/>
    <x v="0"/>
    <x v="0"/>
    <x v="5"/>
    <x v="0"/>
  </r>
  <r>
    <x v="0"/>
    <x v="0"/>
    <n v="2239230542"/>
    <x v="6"/>
    <n v="5000"/>
    <x v="1"/>
    <x v="0"/>
    <x v="15"/>
    <x v="6"/>
    <x v="0"/>
    <x v="0"/>
    <x v="5"/>
    <x v="0"/>
  </r>
  <r>
    <x v="0"/>
    <x v="0"/>
    <n v="2239230544"/>
    <x v="5"/>
    <n v="-4000"/>
    <x v="1"/>
    <x v="0"/>
    <x v="15"/>
    <x v="5"/>
    <x v="0"/>
    <x v="0"/>
    <x v="5"/>
    <x v="0"/>
  </r>
  <r>
    <x v="0"/>
    <x v="0"/>
    <n v="2239230544"/>
    <x v="6"/>
    <n v="10000"/>
    <x v="1"/>
    <x v="0"/>
    <x v="15"/>
    <x v="6"/>
    <x v="0"/>
    <x v="0"/>
    <x v="5"/>
    <x v="0"/>
  </r>
  <r>
    <x v="0"/>
    <x v="0"/>
    <n v="2239230545"/>
    <x v="5"/>
    <n v="-4700"/>
    <x v="1"/>
    <x v="0"/>
    <x v="15"/>
    <x v="5"/>
    <x v="0"/>
    <x v="0"/>
    <x v="5"/>
    <x v="0"/>
  </r>
  <r>
    <x v="0"/>
    <x v="0"/>
    <n v="2239230545"/>
    <x v="4"/>
    <n v="10000"/>
    <x v="1"/>
    <x v="0"/>
    <x v="15"/>
    <x v="4"/>
    <x v="0"/>
    <x v="0"/>
    <x v="4"/>
    <x v="0"/>
  </r>
  <r>
    <x v="0"/>
    <x v="0"/>
    <n v="2239230546"/>
    <x v="2"/>
    <n v="15950"/>
    <x v="1"/>
    <x v="0"/>
    <x v="15"/>
    <x v="2"/>
    <x v="0"/>
    <x v="0"/>
    <x v="2"/>
    <x v="0"/>
  </r>
  <r>
    <x v="0"/>
    <x v="0"/>
    <n v="2239230547"/>
    <x v="2"/>
    <n v="8250"/>
    <x v="1"/>
    <x v="0"/>
    <x v="15"/>
    <x v="2"/>
    <x v="0"/>
    <x v="0"/>
    <x v="2"/>
    <x v="0"/>
  </r>
  <r>
    <x v="0"/>
    <x v="0"/>
    <n v="2239230548"/>
    <x v="3"/>
    <n v="64790"/>
    <x v="1"/>
    <x v="0"/>
    <x v="15"/>
    <x v="3"/>
    <x v="0"/>
    <x v="0"/>
    <x v="3"/>
    <x v="0"/>
  </r>
  <r>
    <x v="0"/>
    <x v="0"/>
    <n v="2239230549"/>
    <x v="2"/>
    <n v="41140"/>
    <x v="1"/>
    <x v="0"/>
    <x v="15"/>
    <x v="2"/>
    <x v="0"/>
    <x v="0"/>
    <x v="2"/>
    <x v="0"/>
  </r>
  <r>
    <x v="0"/>
    <x v="0"/>
    <n v="2239230550"/>
    <x v="5"/>
    <n v="-500"/>
    <x v="1"/>
    <x v="0"/>
    <x v="15"/>
    <x v="5"/>
    <x v="0"/>
    <x v="0"/>
    <x v="5"/>
    <x v="0"/>
  </r>
  <r>
    <x v="0"/>
    <x v="0"/>
    <n v="2239230550"/>
    <x v="6"/>
    <n v="7000"/>
    <x v="1"/>
    <x v="0"/>
    <x v="15"/>
    <x v="6"/>
    <x v="0"/>
    <x v="0"/>
    <x v="5"/>
    <x v="0"/>
  </r>
  <r>
    <x v="0"/>
    <x v="0"/>
    <n v="2239230551"/>
    <x v="2"/>
    <n v="7150"/>
    <x v="1"/>
    <x v="0"/>
    <x v="15"/>
    <x v="2"/>
    <x v="0"/>
    <x v="0"/>
    <x v="2"/>
    <x v="0"/>
  </r>
  <r>
    <x v="0"/>
    <x v="0"/>
    <n v="2239230552"/>
    <x v="5"/>
    <n v="-2500"/>
    <x v="1"/>
    <x v="0"/>
    <x v="15"/>
    <x v="5"/>
    <x v="0"/>
    <x v="0"/>
    <x v="5"/>
    <x v="0"/>
  </r>
  <r>
    <x v="0"/>
    <x v="0"/>
    <n v="2239230552"/>
    <x v="6"/>
    <n v="10000"/>
    <x v="1"/>
    <x v="0"/>
    <x v="15"/>
    <x v="6"/>
    <x v="0"/>
    <x v="0"/>
    <x v="5"/>
    <x v="0"/>
  </r>
  <r>
    <x v="0"/>
    <x v="0"/>
    <n v="2239230553"/>
    <x v="2"/>
    <n v="15290"/>
    <x v="1"/>
    <x v="0"/>
    <x v="15"/>
    <x v="2"/>
    <x v="0"/>
    <x v="0"/>
    <x v="2"/>
    <x v="0"/>
  </r>
  <r>
    <x v="0"/>
    <x v="0"/>
    <n v="2239230554"/>
    <x v="2"/>
    <n v="8000"/>
    <x v="1"/>
    <x v="0"/>
    <x v="15"/>
    <x v="2"/>
    <x v="0"/>
    <x v="0"/>
    <x v="2"/>
    <x v="0"/>
  </r>
  <r>
    <x v="0"/>
    <x v="0"/>
    <n v="2239230555"/>
    <x v="5"/>
    <n v="-1500"/>
    <x v="1"/>
    <x v="0"/>
    <x v="15"/>
    <x v="5"/>
    <x v="0"/>
    <x v="0"/>
    <x v="5"/>
    <x v="0"/>
  </r>
  <r>
    <x v="0"/>
    <x v="0"/>
    <n v="2239230555"/>
    <x v="6"/>
    <n v="5000"/>
    <x v="1"/>
    <x v="0"/>
    <x v="15"/>
    <x v="6"/>
    <x v="0"/>
    <x v="0"/>
    <x v="5"/>
    <x v="0"/>
  </r>
  <r>
    <x v="0"/>
    <x v="0"/>
    <n v="2239230556"/>
    <x v="6"/>
    <n v="5000"/>
    <x v="1"/>
    <x v="0"/>
    <x v="15"/>
    <x v="6"/>
    <x v="0"/>
    <x v="0"/>
    <x v="5"/>
    <x v="0"/>
  </r>
  <r>
    <x v="0"/>
    <x v="0"/>
    <n v="2239230557"/>
    <x v="5"/>
    <n v="-500"/>
    <x v="1"/>
    <x v="0"/>
    <x v="15"/>
    <x v="5"/>
    <x v="0"/>
    <x v="0"/>
    <x v="5"/>
    <x v="0"/>
  </r>
  <r>
    <x v="0"/>
    <x v="0"/>
    <n v="2239230557"/>
    <x v="6"/>
    <n v="10000"/>
    <x v="1"/>
    <x v="0"/>
    <x v="15"/>
    <x v="6"/>
    <x v="0"/>
    <x v="0"/>
    <x v="5"/>
    <x v="0"/>
  </r>
  <r>
    <x v="0"/>
    <x v="0"/>
    <n v="2239230559"/>
    <x v="2"/>
    <n v="6000"/>
    <x v="1"/>
    <x v="0"/>
    <x v="15"/>
    <x v="2"/>
    <x v="0"/>
    <x v="0"/>
    <x v="2"/>
    <x v="0"/>
  </r>
  <r>
    <x v="0"/>
    <x v="0"/>
    <n v="2239230560"/>
    <x v="2"/>
    <n v="25300"/>
    <x v="1"/>
    <x v="0"/>
    <x v="15"/>
    <x v="2"/>
    <x v="0"/>
    <x v="0"/>
    <x v="2"/>
    <x v="0"/>
  </r>
  <r>
    <x v="0"/>
    <x v="0"/>
    <n v="2239230561"/>
    <x v="6"/>
    <n v="6000"/>
    <x v="1"/>
    <x v="0"/>
    <x v="15"/>
    <x v="6"/>
    <x v="0"/>
    <x v="0"/>
    <x v="5"/>
    <x v="0"/>
  </r>
  <r>
    <x v="0"/>
    <x v="0"/>
    <n v="2239230562"/>
    <x v="1"/>
    <n v="6500"/>
    <x v="1"/>
    <x v="0"/>
    <x v="15"/>
    <x v="1"/>
    <x v="0"/>
    <x v="0"/>
    <x v="1"/>
    <x v="0"/>
  </r>
  <r>
    <x v="0"/>
    <x v="0"/>
    <n v="2239230563"/>
    <x v="2"/>
    <n v="9900"/>
    <x v="1"/>
    <x v="0"/>
    <x v="15"/>
    <x v="2"/>
    <x v="0"/>
    <x v="0"/>
    <x v="2"/>
    <x v="0"/>
  </r>
  <r>
    <x v="0"/>
    <x v="0"/>
    <n v="2239230564"/>
    <x v="2"/>
    <n v="20790"/>
    <x v="1"/>
    <x v="0"/>
    <x v="15"/>
    <x v="2"/>
    <x v="0"/>
    <x v="0"/>
    <x v="2"/>
    <x v="0"/>
  </r>
  <r>
    <x v="0"/>
    <x v="0"/>
    <n v="2239230565"/>
    <x v="2"/>
    <n v="38900"/>
    <x v="1"/>
    <x v="0"/>
    <x v="15"/>
    <x v="2"/>
    <x v="0"/>
    <x v="0"/>
    <x v="2"/>
    <x v="0"/>
  </r>
  <r>
    <x v="0"/>
    <x v="0"/>
    <n v="2239230567"/>
    <x v="2"/>
    <n v="15950"/>
    <x v="1"/>
    <x v="0"/>
    <x v="15"/>
    <x v="2"/>
    <x v="0"/>
    <x v="0"/>
    <x v="2"/>
    <x v="0"/>
  </r>
  <r>
    <x v="0"/>
    <x v="0"/>
    <n v="2239230568"/>
    <x v="3"/>
    <n v="7150"/>
    <x v="1"/>
    <x v="0"/>
    <x v="15"/>
    <x v="3"/>
    <x v="0"/>
    <x v="0"/>
    <x v="3"/>
    <x v="0"/>
  </r>
  <r>
    <x v="0"/>
    <x v="0"/>
    <n v="2239230569"/>
    <x v="2"/>
    <n v="44500"/>
    <x v="1"/>
    <x v="0"/>
    <x v="15"/>
    <x v="2"/>
    <x v="0"/>
    <x v="0"/>
    <x v="2"/>
    <x v="0"/>
  </r>
  <r>
    <x v="0"/>
    <x v="0"/>
    <n v="2239230570"/>
    <x v="1"/>
    <n v="2100"/>
    <x v="1"/>
    <x v="0"/>
    <x v="15"/>
    <x v="1"/>
    <x v="0"/>
    <x v="0"/>
    <x v="1"/>
    <x v="0"/>
  </r>
  <r>
    <x v="0"/>
    <x v="0"/>
    <n v="2239230571"/>
    <x v="2"/>
    <n v="10450"/>
    <x v="1"/>
    <x v="0"/>
    <x v="15"/>
    <x v="2"/>
    <x v="0"/>
    <x v="0"/>
    <x v="2"/>
    <x v="0"/>
  </r>
  <r>
    <x v="0"/>
    <x v="0"/>
    <n v="2239230572"/>
    <x v="2"/>
    <n v="11500"/>
    <x v="1"/>
    <x v="0"/>
    <x v="15"/>
    <x v="2"/>
    <x v="0"/>
    <x v="0"/>
    <x v="2"/>
    <x v="0"/>
  </r>
  <r>
    <x v="0"/>
    <x v="0"/>
    <n v="2239230573"/>
    <x v="2"/>
    <n v="13750"/>
    <x v="1"/>
    <x v="0"/>
    <x v="15"/>
    <x v="2"/>
    <x v="0"/>
    <x v="0"/>
    <x v="2"/>
    <x v="0"/>
  </r>
  <r>
    <x v="0"/>
    <x v="0"/>
    <n v="2239230574"/>
    <x v="5"/>
    <n v="-7000"/>
    <x v="1"/>
    <x v="0"/>
    <x v="15"/>
    <x v="5"/>
    <x v="0"/>
    <x v="0"/>
    <x v="5"/>
    <x v="0"/>
  </r>
  <r>
    <x v="0"/>
    <x v="0"/>
    <n v="2239230574"/>
    <x v="6"/>
    <n v="20500"/>
    <x v="1"/>
    <x v="0"/>
    <x v="15"/>
    <x v="6"/>
    <x v="0"/>
    <x v="0"/>
    <x v="5"/>
    <x v="0"/>
  </r>
  <r>
    <x v="0"/>
    <x v="0"/>
    <n v="2239230575"/>
    <x v="6"/>
    <n v="5000"/>
    <x v="1"/>
    <x v="0"/>
    <x v="15"/>
    <x v="6"/>
    <x v="0"/>
    <x v="0"/>
    <x v="5"/>
    <x v="0"/>
  </r>
  <r>
    <x v="0"/>
    <x v="0"/>
    <n v="2239230576"/>
    <x v="6"/>
    <n v="6000"/>
    <x v="1"/>
    <x v="0"/>
    <x v="15"/>
    <x v="6"/>
    <x v="0"/>
    <x v="0"/>
    <x v="5"/>
    <x v="0"/>
  </r>
  <r>
    <x v="0"/>
    <x v="0"/>
    <n v="2239230577"/>
    <x v="2"/>
    <n v="14960"/>
    <x v="1"/>
    <x v="0"/>
    <x v="15"/>
    <x v="2"/>
    <x v="0"/>
    <x v="0"/>
    <x v="2"/>
    <x v="0"/>
  </r>
  <r>
    <x v="0"/>
    <x v="0"/>
    <n v="2239230578"/>
    <x v="2"/>
    <n v="50160"/>
    <x v="1"/>
    <x v="0"/>
    <x v="15"/>
    <x v="2"/>
    <x v="0"/>
    <x v="0"/>
    <x v="2"/>
    <x v="0"/>
  </r>
  <r>
    <x v="0"/>
    <x v="0"/>
    <n v="2239230579"/>
    <x v="5"/>
    <n v="-4000"/>
    <x v="1"/>
    <x v="0"/>
    <x v="15"/>
    <x v="5"/>
    <x v="0"/>
    <x v="0"/>
    <x v="5"/>
    <x v="0"/>
  </r>
  <r>
    <x v="0"/>
    <x v="0"/>
    <n v="2239230579"/>
    <x v="6"/>
    <n v="10000"/>
    <x v="1"/>
    <x v="0"/>
    <x v="15"/>
    <x v="6"/>
    <x v="0"/>
    <x v="0"/>
    <x v="5"/>
    <x v="0"/>
  </r>
  <r>
    <x v="0"/>
    <x v="0"/>
    <n v="2239230580"/>
    <x v="5"/>
    <n v="-13500"/>
    <x v="1"/>
    <x v="0"/>
    <x v="15"/>
    <x v="5"/>
    <x v="0"/>
    <x v="0"/>
    <x v="5"/>
    <x v="0"/>
  </r>
  <r>
    <x v="0"/>
    <x v="0"/>
    <n v="2239230580"/>
    <x v="6"/>
    <n v="20000"/>
    <x v="1"/>
    <x v="0"/>
    <x v="15"/>
    <x v="6"/>
    <x v="0"/>
    <x v="0"/>
    <x v="5"/>
    <x v="0"/>
  </r>
  <r>
    <x v="0"/>
    <x v="0"/>
    <n v="2239230581"/>
    <x v="5"/>
    <n v="-16000"/>
    <x v="1"/>
    <x v="0"/>
    <x v="15"/>
    <x v="5"/>
    <x v="0"/>
    <x v="0"/>
    <x v="5"/>
    <x v="0"/>
  </r>
  <r>
    <x v="0"/>
    <x v="0"/>
    <n v="2239230581"/>
    <x v="6"/>
    <n v="25000"/>
    <x v="1"/>
    <x v="0"/>
    <x v="15"/>
    <x v="6"/>
    <x v="0"/>
    <x v="0"/>
    <x v="5"/>
    <x v="0"/>
  </r>
  <r>
    <x v="0"/>
    <x v="0"/>
    <n v="2239230582"/>
    <x v="5"/>
    <n v="-4300"/>
    <x v="1"/>
    <x v="0"/>
    <x v="15"/>
    <x v="5"/>
    <x v="0"/>
    <x v="0"/>
    <x v="5"/>
    <x v="0"/>
  </r>
  <r>
    <x v="0"/>
    <x v="0"/>
    <n v="2239230582"/>
    <x v="4"/>
    <n v="10000"/>
    <x v="1"/>
    <x v="0"/>
    <x v="15"/>
    <x v="4"/>
    <x v="0"/>
    <x v="0"/>
    <x v="4"/>
    <x v="0"/>
  </r>
  <r>
    <x v="0"/>
    <x v="0"/>
    <n v="2239230583"/>
    <x v="2"/>
    <n v="4000"/>
    <x v="1"/>
    <x v="0"/>
    <x v="15"/>
    <x v="2"/>
    <x v="0"/>
    <x v="0"/>
    <x v="2"/>
    <x v="0"/>
  </r>
  <r>
    <x v="0"/>
    <x v="0"/>
    <n v="2239230584"/>
    <x v="2"/>
    <n v="7500"/>
    <x v="1"/>
    <x v="0"/>
    <x v="15"/>
    <x v="2"/>
    <x v="0"/>
    <x v="0"/>
    <x v="2"/>
    <x v="0"/>
  </r>
  <r>
    <x v="0"/>
    <x v="0"/>
    <n v="2239230585"/>
    <x v="2"/>
    <n v="7150"/>
    <x v="1"/>
    <x v="0"/>
    <x v="15"/>
    <x v="2"/>
    <x v="0"/>
    <x v="0"/>
    <x v="2"/>
    <x v="0"/>
  </r>
  <r>
    <x v="0"/>
    <x v="0"/>
    <n v="2239230586"/>
    <x v="2"/>
    <n v="32648"/>
    <x v="1"/>
    <x v="0"/>
    <x v="15"/>
    <x v="2"/>
    <x v="0"/>
    <x v="0"/>
    <x v="2"/>
    <x v="0"/>
  </r>
  <r>
    <x v="0"/>
    <x v="0"/>
    <n v="2239230587"/>
    <x v="3"/>
    <n v="12800"/>
    <x v="1"/>
    <x v="0"/>
    <x v="15"/>
    <x v="3"/>
    <x v="0"/>
    <x v="0"/>
    <x v="3"/>
    <x v="0"/>
  </r>
  <r>
    <x v="0"/>
    <x v="0"/>
    <n v="2239230588"/>
    <x v="5"/>
    <n v="-1740"/>
    <x v="1"/>
    <x v="0"/>
    <x v="15"/>
    <x v="5"/>
    <x v="0"/>
    <x v="0"/>
    <x v="5"/>
    <x v="0"/>
  </r>
  <r>
    <x v="0"/>
    <x v="0"/>
    <n v="2239230588"/>
    <x v="6"/>
    <n v="10000"/>
    <x v="1"/>
    <x v="0"/>
    <x v="15"/>
    <x v="6"/>
    <x v="0"/>
    <x v="0"/>
    <x v="5"/>
    <x v="0"/>
  </r>
  <r>
    <x v="0"/>
    <x v="0"/>
    <n v="2239230588"/>
    <x v="7"/>
    <n v="3540"/>
    <x v="1"/>
    <x v="0"/>
    <x v="15"/>
    <x v="7"/>
    <x v="0"/>
    <x v="0"/>
    <x v="1"/>
    <x v="0"/>
  </r>
  <r>
    <x v="0"/>
    <x v="0"/>
    <n v="2239230589"/>
    <x v="5"/>
    <n v="-4000"/>
    <x v="1"/>
    <x v="0"/>
    <x v="15"/>
    <x v="5"/>
    <x v="0"/>
    <x v="0"/>
    <x v="5"/>
    <x v="0"/>
  </r>
  <r>
    <x v="0"/>
    <x v="0"/>
    <n v="2239230589"/>
    <x v="6"/>
    <n v="10000"/>
    <x v="1"/>
    <x v="0"/>
    <x v="15"/>
    <x v="6"/>
    <x v="0"/>
    <x v="0"/>
    <x v="5"/>
    <x v="0"/>
  </r>
  <r>
    <x v="0"/>
    <x v="0"/>
    <n v="2239230590"/>
    <x v="5"/>
    <n v="-2740"/>
    <x v="1"/>
    <x v="0"/>
    <x v="15"/>
    <x v="5"/>
    <x v="0"/>
    <x v="0"/>
    <x v="5"/>
    <x v="0"/>
  </r>
  <r>
    <x v="0"/>
    <x v="0"/>
    <n v="2239230590"/>
    <x v="6"/>
    <n v="40000"/>
    <x v="1"/>
    <x v="0"/>
    <x v="15"/>
    <x v="6"/>
    <x v="0"/>
    <x v="0"/>
    <x v="5"/>
    <x v="0"/>
  </r>
  <r>
    <x v="0"/>
    <x v="0"/>
    <n v="2239230591"/>
    <x v="5"/>
    <n v="-3000"/>
    <x v="1"/>
    <x v="0"/>
    <x v="15"/>
    <x v="5"/>
    <x v="0"/>
    <x v="0"/>
    <x v="5"/>
    <x v="0"/>
  </r>
  <r>
    <x v="0"/>
    <x v="0"/>
    <n v="2239230591"/>
    <x v="6"/>
    <n v="10000"/>
    <x v="1"/>
    <x v="0"/>
    <x v="15"/>
    <x v="6"/>
    <x v="0"/>
    <x v="0"/>
    <x v="5"/>
    <x v="0"/>
  </r>
  <r>
    <x v="0"/>
    <x v="0"/>
    <n v="2239230592"/>
    <x v="2"/>
    <n v="7150"/>
    <x v="1"/>
    <x v="0"/>
    <x v="15"/>
    <x v="2"/>
    <x v="0"/>
    <x v="0"/>
    <x v="2"/>
    <x v="0"/>
  </r>
  <r>
    <x v="0"/>
    <x v="0"/>
    <n v="2239230593"/>
    <x v="2"/>
    <n v="6600"/>
    <x v="1"/>
    <x v="0"/>
    <x v="15"/>
    <x v="2"/>
    <x v="0"/>
    <x v="0"/>
    <x v="2"/>
    <x v="0"/>
  </r>
  <r>
    <x v="0"/>
    <x v="0"/>
    <n v="2239230594"/>
    <x v="2"/>
    <n v="8250"/>
    <x v="1"/>
    <x v="0"/>
    <x v="15"/>
    <x v="2"/>
    <x v="0"/>
    <x v="0"/>
    <x v="2"/>
    <x v="0"/>
  </r>
  <r>
    <x v="0"/>
    <x v="0"/>
    <n v="2239230595"/>
    <x v="5"/>
    <n v="-3000"/>
    <x v="1"/>
    <x v="0"/>
    <x v="15"/>
    <x v="5"/>
    <x v="0"/>
    <x v="0"/>
    <x v="5"/>
    <x v="0"/>
  </r>
  <r>
    <x v="0"/>
    <x v="0"/>
    <n v="2239230595"/>
    <x v="6"/>
    <n v="5000"/>
    <x v="1"/>
    <x v="0"/>
    <x v="15"/>
    <x v="6"/>
    <x v="0"/>
    <x v="0"/>
    <x v="5"/>
    <x v="0"/>
  </r>
  <r>
    <x v="0"/>
    <x v="0"/>
    <n v="2239230596"/>
    <x v="6"/>
    <n v="3500"/>
    <x v="1"/>
    <x v="0"/>
    <x v="15"/>
    <x v="6"/>
    <x v="0"/>
    <x v="0"/>
    <x v="5"/>
    <x v="0"/>
  </r>
  <r>
    <x v="0"/>
    <x v="0"/>
    <n v="2239230596"/>
    <x v="7"/>
    <n v="1500"/>
    <x v="1"/>
    <x v="0"/>
    <x v="15"/>
    <x v="7"/>
    <x v="0"/>
    <x v="0"/>
    <x v="1"/>
    <x v="0"/>
  </r>
  <r>
    <x v="0"/>
    <x v="0"/>
    <n v="2239230597"/>
    <x v="2"/>
    <n v="21000"/>
    <x v="1"/>
    <x v="0"/>
    <x v="15"/>
    <x v="2"/>
    <x v="0"/>
    <x v="0"/>
    <x v="2"/>
    <x v="0"/>
  </r>
  <r>
    <x v="0"/>
    <x v="0"/>
    <n v="2239230598"/>
    <x v="3"/>
    <n v="3960"/>
    <x v="1"/>
    <x v="0"/>
    <x v="15"/>
    <x v="3"/>
    <x v="0"/>
    <x v="0"/>
    <x v="3"/>
    <x v="0"/>
  </r>
  <r>
    <x v="0"/>
    <x v="0"/>
    <n v="2239230599"/>
    <x v="5"/>
    <n v="-14000"/>
    <x v="1"/>
    <x v="0"/>
    <x v="15"/>
    <x v="5"/>
    <x v="0"/>
    <x v="0"/>
    <x v="5"/>
    <x v="0"/>
  </r>
  <r>
    <x v="0"/>
    <x v="0"/>
    <n v="2239230599"/>
    <x v="6"/>
    <n v="20000"/>
    <x v="1"/>
    <x v="0"/>
    <x v="15"/>
    <x v="6"/>
    <x v="0"/>
    <x v="0"/>
    <x v="5"/>
    <x v="0"/>
  </r>
  <r>
    <x v="0"/>
    <x v="0"/>
    <n v="2239230600"/>
    <x v="5"/>
    <n v="-4300"/>
    <x v="1"/>
    <x v="0"/>
    <x v="15"/>
    <x v="5"/>
    <x v="0"/>
    <x v="0"/>
    <x v="5"/>
    <x v="0"/>
  </r>
  <r>
    <x v="0"/>
    <x v="0"/>
    <n v="2239230600"/>
    <x v="4"/>
    <n v="10000"/>
    <x v="1"/>
    <x v="0"/>
    <x v="15"/>
    <x v="4"/>
    <x v="0"/>
    <x v="0"/>
    <x v="4"/>
    <x v="0"/>
  </r>
  <r>
    <x v="0"/>
    <x v="0"/>
    <n v="2239230601"/>
    <x v="1"/>
    <n v="5100"/>
    <x v="1"/>
    <x v="0"/>
    <x v="15"/>
    <x v="1"/>
    <x v="0"/>
    <x v="0"/>
    <x v="1"/>
    <x v="0"/>
  </r>
  <r>
    <x v="0"/>
    <x v="0"/>
    <n v="2239230602"/>
    <x v="1"/>
    <n v="8750"/>
    <x v="1"/>
    <x v="0"/>
    <x v="15"/>
    <x v="1"/>
    <x v="0"/>
    <x v="0"/>
    <x v="1"/>
    <x v="0"/>
  </r>
  <r>
    <x v="0"/>
    <x v="0"/>
    <n v="2239230603"/>
    <x v="2"/>
    <n v="7150"/>
    <x v="1"/>
    <x v="0"/>
    <x v="15"/>
    <x v="2"/>
    <x v="0"/>
    <x v="0"/>
    <x v="2"/>
    <x v="0"/>
  </r>
  <r>
    <x v="0"/>
    <x v="0"/>
    <n v="2239230604"/>
    <x v="5"/>
    <n v="-4000"/>
    <x v="1"/>
    <x v="0"/>
    <x v="15"/>
    <x v="5"/>
    <x v="0"/>
    <x v="0"/>
    <x v="5"/>
    <x v="0"/>
  </r>
  <r>
    <x v="0"/>
    <x v="0"/>
    <n v="2239230604"/>
    <x v="6"/>
    <n v="10000"/>
    <x v="1"/>
    <x v="0"/>
    <x v="15"/>
    <x v="6"/>
    <x v="0"/>
    <x v="0"/>
    <x v="5"/>
    <x v="0"/>
  </r>
  <r>
    <x v="0"/>
    <x v="0"/>
    <n v="2239230605"/>
    <x v="5"/>
    <n v="-3600"/>
    <x v="1"/>
    <x v="0"/>
    <x v="15"/>
    <x v="5"/>
    <x v="0"/>
    <x v="0"/>
    <x v="5"/>
    <x v="0"/>
  </r>
  <r>
    <x v="0"/>
    <x v="0"/>
    <n v="2239230605"/>
    <x v="6"/>
    <n v="20000"/>
    <x v="1"/>
    <x v="0"/>
    <x v="15"/>
    <x v="6"/>
    <x v="0"/>
    <x v="0"/>
    <x v="5"/>
    <x v="0"/>
  </r>
  <r>
    <x v="0"/>
    <x v="0"/>
    <n v="2239230606"/>
    <x v="3"/>
    <n v="24800"/>
    <x v="1"/>
    <x v="0"/>
    <x v="15"/>
    <x v="3"/>
    <x v="0"/>
    <x v="0"/>
    <x v="3"/>
    <x v="0"/>
  </r>
  <r>
    <x v="0"/>
    <x v="0"/>
    <n v="2239230607"/>
    <x v="2"/>
    <n v="13200"/>
    <x v="1"/>
    <x v="0"/>
    <x v="15"/>
    <x v="2"/>
    <x v="0"/>
    <x v="0"/>
    <x v="2"/>
    <x v="0"/>
  </r>
  <r>
    <x v="0"/>
    <x v="0"/>
    <n v="2239230608"/>
    <x v="5"/>
    <n v="-3500"/>
    <x v="1"/>
    <x v="0"/>
    <x v="15"/>
    <x v="5"/>
    <x v="0"/>
    <x v="0"/>
    <x v="5"/>
    <x v="0"/>
  </r>
  <r>
    <x v="0"/>
    <x v="0"/>
    <n v="2239230608"/>
    <x v="6"/>
    <n v="10000"/>
    <x v="1"/>
    <x v="0"/>
    <x v="15"/>
    <x v="6"/>
    <x v="0"/>
    <x v="0"/>
    <x v="5"/>
    <x v="0"/>
  </r>
  <r>
    <x v="0"/>
    <x v="0"/>
    <n v="2239230609"/>
    <x v="3"/>
    <n v="15510"/>
    <x v="1"/>
    <x v="0"/>
    <x v="15"/>
    <x v="3"/>
    <x v="0"/>
    <x v="0"/>
    <x v="3"/>
    <x v="0"/>
  </r>
  <r>
    <x v="0"/>
    <x v="0"/>
    <n v="2239230610"/>
    <x v="3"/>
    <n v="19800"/>
    <x v="1"/>
    <x v="0"/>
    <x v="15"/>
    <x v="3"/>
    <x v="0"/>
    <x v="0"/>
    <x v="3"/>
    <x v="0"/>
  </r>
  <r>
    <x v="0"/>
    <x v="0"/>
    <n v="2239230611"/>
    <x v="2"/>
    <n v="5500"/>
    <x v="1"/>
    <x v="0"/>
    <x v="15"/>
    <x v="2"/>
    <x v="0"/>
    <x v="0"/>
    <x v="2"/>
    <x v="0"/>
  </r>
  <r>
    <x v="0"/>
    <x v="0"/>
    <n v="2239230613"/>
    <x v="2"/>
    <n v="8250"/>
    <x v="1"/>
    <x v="0"/>
    <x v="15"/>
    <x v="2"/>
    <x v="0"/>
    <x v="0"/>
    <x v="2"/>
    <x v="0"/>
  </r>
  <r>
    <x v="0"/>
    <x v="0"/>
    <n v="2239230616"/>
    <x v="2"/>
    <n v="15000"/>
    <x v="1"/>
    <x v="0"/>
    <x v="15"/>
    <x v="2"/>
    <x v="0"/>
    <x v="0"/>
    <x v="2"/>
    <x v="0"/>
  </r>
  <r>
    <x v="0"/>
    <x v="0"/>
    <n v="2239230617"/>
    <x v="5"/>
    <n v="-5000"/>
    <x v="1"/>
    <x v="0"/>
    <x v="15"/>
    <x v="5"/>
    <x v="0"/>
    <x v="0"/>
    <x v="5"/>
    <x v="0"/>
  </r>
  <r>
    <x v="0"/>
    <x v="0"/>
    <n v="2239230617"/>
    <x v="6"/>
    <n v="20000"/>
    <x v="1"/>
    <x v="0"/>
    <x v="15"/>
    <x v="6"/>
    <x v="0"/>
    <x v="0"/>
    <x v="5"/>
    <x v="0"/>
  </r>
  <r>
    <x v="0"/>
    <x v="0"/>
    <n v="2239230619"/>
    <x v="5"/>
    <n v="-500"/>
    <x v="1"/>
    <x v="0"/>
    <x v="15"/>
    <x v="5"/>
    <x v="0"/>
    <x v="0"/>
    <x v="5"/>
    <x v="0"/>
  </r>
  <r>
    <x v="0"/>
    <x v="0"/>
    <n v="2239230619"/>
    <x v="6"/>
    <n v="7000"/>
    <x v="1"/>
    <x v="0"/>
    <x v="15"/>
    <x v="6"/>
    <x v="0"/>
    <x v="0"/>
    <x v="5"/>
    <x v="0"/>
  </r>
  <r>
    <x v="0"/>
    <x v="0"/>
    <n v="2239230620"/>
    <x v="2"/>
    <n v="23650"/>
    <x v="1"/>
    <x v="0"/>
    <x v="15"/>
    <x v="2"/>
    <x v="0"/>
    <x v="0"/>
    <x v="2"/>
    <x v="0"/>
  </r>
  <r>
    <x v="0"/>
    <x v="0"/>
    <n v="2239230621"/>
    <x v="5"/>
    <n v="-2000"/>
    <x v="1"/>
    <x v="0"/>
    <x v="15"/>
    <x v="5"/>
    <x v="0"/>
    <x v="0"/>
    <x v="5"/>
    <x v="0"/>
  </r>
  <r>
    <x v="0"/>
    <x v="0"/>
    <n v="2239230621"/>
    <x v="6"/>
    <n v="5000"/>
    <x v="1"/>
    <x v="0"/>
    <x v="15"/>
    <x v="6"/>
    <x v="0"/>
    <x v="0"/>
    <x v="5"/>
    <x v="0"/>
  </r>
  <r>
    <x v="0"/>
    <x v="0"/>
    <n v="2239230622"/>
    <x v="1"/>
    <n v="22800"/>
    <x v="1"/>
    <x v="0"/>
    <x v="15"/>
    <x v="1"/>
    <x v="0"/>
    <x v="0"/>
    <x v="1"/>
    <x v="0"/>
  </r>
  <r>
    <x v="0"/>
    <x v="0"/>
    <n v="2239230623"/>
    <x v="5"/>
    <n v="-10500"/>
    <x v="1"/>
    <x v="0"/>
    <x v="15"/>
    <x v="5"/>
    <x v="0"/>
    <x v="0"/>
    <x v="5"/>
    <x v="0"/>
  </r>
  <r>
    <x v="0"/>
    <x v="0"/>
    <n v="2239230623"/>
    <x v="6"/>
    <n v="20000"/>
    <x v="1"/>
    <x v="0"/>
    <x v="15"/>
    <x v="6"/>
    <x v="0"/>
    <x v="0"/>
    <x v="5"/>
    <x v="0"/>
  </r>
  <r>
    <x v="0"/>
    <x v="0"/>
    <n v="2239230626"/>
    <x v="5"/>
    <n v="-4700"/>
    <x v="1"/>
    <x v="0"/>
    <x v="15"/>
    <x v="5"/>
    <x v="0"/>
    <x v="0"/>
    <x v="5"/>
    <x v="0"/>
  </r>
  <r>
    <x v="0"/>
    <x v="0"/>
    <n v="2239230626"/>
    <x v="4"/>
    <n v="10000"/>
    <x v="1"/>
    <x v="0"/>
    <x v="15"/>
    <x v="4"/>
    <x v="0"/>
    <x v="0"/>
    <x v="4"/>
    <x v="0"/>
  </r>
  <r>
    <x v="0"/>
    <x v="0"/>
    <n v="2239230628"/>
    <x v="3"/>
    <n v="9000"/>
    <x v="1"/>
    <x v="0"/>
    <x v="15"/>
    <x v="3"/>
    <x v="0"/>
    <x v="0"/>
    <x v="3"/>
    <x v="0"/>
  </r>
  <r>
    <x v="0"/>
    <x v="0"/>
    <n v="2239230629"/>
    <x v="5"/>
    <n v="-17000"/>
    <x v="1"/>
    <x v="0"/>
    <x v="15"/>
    <x v="5"/>
    <x v="0"/>
    <x v="0"/>
    <x v="5"/>
    <x v="0"/>
  </r>
  <r>
    <x v="0"/>
    <x v="0"/>
    <n v="2239230629"/>
    <x v="6"/>
    <n v="20000"/>
    <x v="1"/>
    <x v="0"/>
    <x v="15"/>
    <x v="6"/>
    <x v="0"/>
    <x v="0"/>
    <x v="5"/>
    <x v="0"/>
  </r>
  <r>
    <x v="0"/>
    <x v="0"/>
    <n v="2239230630"/>
    <x v="5"/>
    <n v="-13800"/>
    <x v="1"/>
    <x v="0"/>
    <x v="15"/>
    <x v="5"/>
    <x v="0"/>
    <x v="0"/>
    <x v="5"/>
    <x v="0"/>
  </r>
  <r>
    <x v="0"/>
    <x v="0"/>
    <n v="2239230630"/>
    <x v="6"/>
    <n v="20000"/>
    <x v="1"/>
    <x v="0"/>
    <x v="15"/>
    <x v="6"/>
    <x v="0"/>
    <x v="0"/>
    <x v="5"/>
    <x v="0"/>
  </r>
  <r>
    <x v="0"/>
    <x v="0"/>
    <n v="2239230631"/>
    <x v="5"/>
    <n v="-4000"/>
    <x v="1"/>
    <x v="0"/>
    <x v="15"/>
    <x v="5"/>
    <x v="0"/>
    <x v="0"/>
    <x v="5"/>
    <x v="0"/>
  </r>
  <r>
    <x v="0"/>
    <x v="0"/>
    <n v="2239230631"/>
    <x v="6"/>
    <n v="10000"/>
    <x v="1"/>
    <x v="0"/>
    <x v="15"/>
    <x v="6"/>
    <x v="0"/>
    <x v="0"/>
    <x v="5"/>
    <x v="0"/>
  </r>
  <r>
    <x v="0"/>
    <x v="0"/>
    <n v="2239230632"/>
    <x v="3"/>
    <n v="8250"/>
    <x v="1"/>
    <x v="0"/>
    <x v="15"/>
    <x v="3"/>
    <x v="0"/>
    <x v="0"/>
    <x v="3"/>
    <x v="0"/>
  </r>
  <r>
    <x v="0"/>
    <x v="0"/>
    <n v="2239230633"/>
    <x v="2"/>
    <n v="21450"/>
    <x v="1"/>
    <x v="0"/>
    <x v="15"/>
    <x v="2"/>
    <x v="0"/>
    <x v="0"/>
    <x v="2"/>
    <x v="0"/>
  </r>
  <r>
    <x v="0"/>
    <x v="0"/>
    <n v="2239230634"/>
    <x v="2"/>
    <n v="9900"/>
    <x v="1"/>
    <x v="0"/>
    <x v="15"/>
    <x v="2"/>
    <x v="0"/>
    <x v="0"/>
    <x v="2"/>
    <x v="0"/>
  </r>
  <r>
    <x v="0"/>
    <x v="0"/>
    <n v="2239230635"/>
    <x v="5"/>
    <n v="-3500"/>
    <x v="1"/>
    <x v="0"/>
    <x v="15"/>
    <x v="5"/>
    <x v="0"/>
    <x v="0"/>
    <x v="5"/>
    <x v="0"/>
  </r>
  <r>
    <x v="0"/>
    <x v="0"/>
    <n v="2239230635"/>
    <x v="6"/>
    <n v="10000"/>
    <x v="1"/>
    <x v="0"/>
    <x v="15"/>
    <x v="6"/>
    <x v="0"/>
    <x v="0"/>
    <x v="5"/>
    <x v="0"/>
  </r>
  <r>
    <x v="0"/>
    <x v="0"/>
    <n v="2239230637"/>
    <x v="6"/>
    <n v="21000"/>
    <x v="1"/>
    <x v="0"/>
    <x v="15"/>
    <x v="6"/>
    <x v="0"/>
    <x v="0"/>
    <x v="5"/>
    <x v="0"/>
  </r>
  <r>
    <x v="0"/>
    <x v="0"/>
    <n v="2239230638"/>
    <x v="2"/>
    <n v="7150"/>
    <x v="1"/>
    <x v="0"/>
    <x v="15"/>
    <x v="2"/>
    <x v="0"/>
    <x v="0"/>
    <x v="2"/>
    <x v="0"/>
  </r>
  <r>
    <x v="0"/>
    <x v="0"/>
    <n v="2239230639"/>
    <x v="2"/>
    <n v="14960"/>
    <x v="1"/>
    <x v="0"/>
    <x v="15"/>
    <x v="2"/>
    <x v="0"/>
    <x v="0"/>
    <x v="2"/>
    <x v="0"/>
  </r>
  <r>
    <x v="0"/>
    <x v="0"/>
    <n v="2239230640"/>
    <x v="5"/>
    <n v="-14700"/>
    <x v="1"/>
    <x v="0"/>
    <x v="15"/>
    <x v="5"/>
    <x v="0"/>
    <x v="0"/>
    <x v="5"/>
    <x v="0"/>
  </r>
  <r>
    <x v="0"/>
    <x v="0"/>
    <n v="2239230640"/>
    <x v="4"/>
    <n v="20000"/>
    <x v="1"/>
    <x v="0"/>
    <x v="15"/>
    <x v="4"/>
    <x v="0"/>
    <x v="0"/>
    <x v="4"/>
    <x v="0"/>
  </r>
  <r>
    <x v="0"/>
    <x v="0"/>
    <n v="2239230641"/>
    <x v="5"/>
    <n v="-4300"/>
    <x v="1"/>
    <x v="0"/>
    <x v="15"/>
    <x v="5"/>
    <x v="0"/>
    <x v="0"/>
    <x v="5"/>
    <x v="0"/>
  </r>
  <r>
    <x v="0"/>
    <x v="0"/>
    <n v="2239230641"/>
    <x v="4"/>
    <n v="10000"/>
    <x v="1"/>
    <x v="0"/>
    <x v="15"/>
    <x v="4"/>
    <x v="0"/>
    <x v="0"/>
    <x v="4"/>
    <x v="0"/>
  </r>
  <r>
    <x v="0"/>
    <x v="0"/>
    <n v="2239230642"/>
    <x v="5"/>
    <n v="-6200"/>
    <x v="1"/>
    <x v="0"/>
    <x v="15"/>
    <x v="5"/>
    <x v="0"/>
    <x v="0"/>
    <x v="5"/>
    <x v="0"/>
  </r>
  <r>
    <x v="0"/>
    <x v="0"/>
    <n v="2239230642"/>
    <x v="6"/>
    <n v="10000"/>
    <x v="1"/>
    <x v="0"/>
    <x v="15"/>
    <x v="6"/>
    <x v="0"/>
    <x v="0"/>
    <x v="5"/>
    <x v="0"/>
  </r>
  <r>
    <x v="0"/>
    <x v="0"/>
    <n v="2239230644"/>
    <x v="5"/>
    <n v="-1700"/>
    <x v="1"/>
    <x v="0"/>
    <x v="15"/>
    <x v="5"/>
    <x v="0"/>
    <x v="0"/>
    <x v="5"/>
    <x v="0"/>
  </r>
  <r>
    <x v="0"/>
    <x v="0"/>
    <n v="2239230644"/>
    <x v="4"/>
    <n v="7000"/>
    <x v="1"/>
    <x v="0"/>
    <x v="15"/>
    <x v="4"/>
    <x v="0"/>
    <x v="0"/>
    <x v="4"/>
    <x v="0"/>
  </r>
  <r>
    <x v="0"/>
    <x v="0"/>
    <n v="2239230646"/>
    <x v="5"/>
    <n v="-16200"/>
    <x v="1"/>
    <x v="0"/>
    <x v="15"/>
    <x v="5"/>
    <x v="0"/>
    <x v="0"/>
    <x v="5"/>
    <x v="0"/>
  </r>
  <r>
    <x v="0"/>
    <x v="0"/>
    <n v="2239230646"/>
    <x v="6"/>
    <n v="20000"/>
    <x v="1"/>
    <x v="0"/>
    <x v="15"/>
    <x v="6"/>
    <x v="0"/>
    <x v="0"/>
    <x v="5"/>
    <x v="0"/>
  </r>
  <r>
    <x v="0"/>
    <x v="0"/>
    <n v="2239230647"/>
    <x v="5"/>
    <n v="-11000"/>
    <x v="1"/>
    <x v="0"/>
    <x v="15"/>
    <x v="5"/>
    <x v="0"/>
    <x v="0"/>
    <x v="5"/>
    <x v="0"/>
  </r>
  <r>
    <x v="0"/>
    <x v="0"/>
    <n v="2239230647"/>
    <x v="6"/>
    <n v="20000"/>
    <x v="1"/>
    <x v="0"/>
    <x v="15"/>
    <x v="6"/>
    <x v="0"/>
    <x v="0"/>
    <x v="5"/>
    <x v="0"/>
  </r>
  <r>
    <x v="0"/>
    <x v="0"/>
    <n v="2239230648"/>
    <x v="2"/>
    <n v="9680"/>
    <x v="1"/>
    <x v="0"/>
    <x v="15"/>
    <x v="2"/>
    <x v="0"/>
    <x v="0"/>
    <x v="2"/>
    <x v="0"/>
  </r>
  <r>
    <x v="0"/>
    <x v="0"/>
    <n v="2239230649"/>
    <x v="5"/>
    <n v="-200"/>
    <x v="1"/>
    <x v="0"/>
    <x v="15"/>
    <x v="5"/>
    <x v="0"/>
    <x v="0"/>
    <x v="5"/>
    <x v="0"/>
  </r>
  <r>
    <x v="0"/>
    <x v="0"/>
    <n v="2239230649"/>
    <x v="6"/>
    <n v="30000"/>
    <x v="1"/>
    <x v="0"/>
    <x v="15"/>
    <x v="6"/>
    <x v="0"/>
    <x v="0"/>
    <x v="5"/>
    <x v="0"/>
  </r>
  <r>
    <x v="0"/>
    <x v="0"/>
    <n v="2239230650"/>
    <x v="2"/>
    <n v="19800"/>
    <x v="1"/>
    <x v="0"/>
    <x v="15"/>
    <x v="2"/>
    <x v="0"/>
    <x v="0"/>
    <x v="2"/>
    <x v="0"/>
  </r>
  <r>
    <x v="0"/>
    <x v="0"/>
    <n v="2239230651"/>
    <x v="2"/>
    <n v="7500"/>
    <x v="1"/>
    <x v="0"/>
    <x v="15"/>
    <x v="2"/>
    <x v="0"/>
    <x v="0"/>
    <x v="2"/>
    <x v="0"/>
  </r>
  <r>
    <x v="0"/>
    <x v="0"/>
    <n v="2239230652"/>
    <x v="5"/>
    <n v="-8100"/>
    <x v="1"/>
    <x v="0"/>
    <x v="15"/>
    <x v="5"/>
    <x v="0"/>
    <x v="0"/>
    <x v="5"/>
    <x v="0"/>
  </r>
  <r>
    <x v="0"/>
    <x v="0"/>
    <n v="2239230652"/>
    <x v="6"/>
    <n v="30000"/>
    <x v="1"/>
    <x v="0"/>
    <x v="15"/>
    <x v="6"/>
    <x v="0"/>
    <x v="0"/>
    <x v="5"/>
    <x v="0"/>
  </r>
  <r>
    <x v="0"/>
    <x v="0"/>
    <n v="2239233126"/>
    <x v="1"/>
    <n v="57910"/>
    <x v="1"/>
    <x v="0"/>
    <x v="46"/>
    <x v="1"/>
    <x v="0"/>
    <x v="0"/>
    <x v="1"/>
    <x v="0"/>
  </r>
  <r>
    <x v="0"/>
    <x v="0"/>
    <n v="2239233128"/>
    <x v="1"/>
    <n v="3000"/>
    <x v="1"/>
    <x v="0"/>
    <x v="46"/>
    <x v="1"/>
    <x v="0"/>
    <x v="0"/>
    <x v="1"/>
    <x v="0"/>
  </r>
  <r>
    <x v="0"/>
    <x v="0"/>
    <n v="2239233129"/>
    <x v="1"/>
    <n v="2400"/>
    <x v="1"/>
    <x v="0"/>
    <x v="46"/>
    <x v="1"/>
    <x v="0"/>
    <x v="0"/>
    <x v="1"/>
    <x v="0"/>
  </r>
  <r>
    <x v="0"/>
    <x v="0"/>
    <n v="2239233130"/>
    <x v="1"/>
    <n v="1140"/>
    <x v="1"/>
    <x v="0"/>
    <x v="46"/>
    <x v="1"/>
    <x v="0"/>
    <x v="0"/>
    <x v="1"/>
    <x v="0"/>
  </r>
  <r>
    <x v="0"/>
    <x v="0"/>
    <n v="2239233131"/>
    <x v="1"/>
    <n v="1200"/>
    <x v="1"/>
    <x v="0"/>
    <x v="46"/>
    <x v="1"/>
    <x v="0"/>
    <x v="0"/>
    <x v="1"/>
    <x v="0"/>
  </r>
  <r>
    <x v="0"/>
    <x v="0"/>
    <n v="2239233132"/>
    <x v="1"/>
    <n v="57000"/>
    <x v="1"/>
    <x v="0"/>
    <x v="46"/>
    <x v="1"/>
    <x v="0"/>
    <x v="0"/>
    <x v="1"/>
    <x v="0"/>
  </r>
  <r>
    <x v="0"/>
    <x v="0"/>
    <n v="2239233133"/>
    <x v="1"/>
    <n v="1350"/>
    <x v="1"/>
    <x v="0"/>
    <x v="46"/>
    <x v="1"/>
    <x v="0"/>
    <x v="0"/>
    <x v="1"/>
    <x v="0"/>
  </r>
  <r>
    <x v="0"/>
    <x v="0"/>
    <n v="2239233134"/>
    <x v="1"/>
    <n v="1800"/>
    <x v="1"/>
    <x v="0"/>
    <x v="46"/>
    <x v="1"/>
    <x v="0"/>
    <x v="0"/>
    <x v="1"/>
    <x v="0"/>
  </r>
  <r>
    <x v="0"/>
    <x v="0"/>
    <n v="2239233135"/>
    <x v="1"/>
    <n v="12840"/>
    <x v="1"/>
    <x v="0"/>
    <x v="46"/>
    <x v="1"/>
    <x v="0"/>
    <x v="0"/>
    <x v="1"/>
    <x v="0"/>
  </r>
  <r>
    <x v="0"/>
    <x v="0"/>
    <n v="2239233136"/>
    <x v="1"/>
    <n v="1140"/>
    <x v="1"/>
    <x v="0"/>
    <x v="46"/>
    <x v="1"/>
    <x v="0"/>
    <x v="0"/>
    <x v="1"/>
    <x v="0"/>
  </r>
  <r>
    <x v="0"/>
    <x v="0"/>
    <n v="2239233137"/>
    <x v="1"/>
    <n v="1140"/>
    <x v="1"/>
    <x v="0"/>
    <x v="46"/>
    <x v="1"/>
    <x v="0"/>
    <x v="0"/>
    <x v="1"/>
    <x v="0"/>
  </r>
  <r>
    <x v="0"/>
    <x v="0"/>
    <n v="2239233138"/>
    <x v="1"/>
    <n v="900"/>
    <x v="1"/>
    <x v="0"/>
    <x v="46"/>
    <x v="1"/>
    <x v="0"/>
    <x v="0"/>
    <x v="1"/>
    <x v="0"/>
  </r>
  <r>
    <x v="0"/>
    <x v="0"/>
    <n v="2239233139"/>
    <x v="5"/>
    <n v="-270"/>
    <x v="1"/>
    <x v="0"/>
    <x v="46"/>
    <x v="5"/>
    <x v="0"/>
    <x v="0"/>
    <x v="5"/>
    <x v="0"/>
  </r>
  <r>
    <x v="0"/>
    <x v="0"/>
    <n v="2239233139"/>
    <x v="6"/>
    <n v="10000"/>
    <x v="1"/>
    <x v="0"/>
    <x v="46"/>
    <x v="6"/>
    <x v="0"/>
    <x v="0"/>
    <x v="5"/>
    <x v="0"/>
  </r>
  <r>
    <x v="0"/>
    <x v="0"/>
    <n v="2239233139"/>
    <x v="7"/>
    <n v="3270"/>
    <x v="1"/>
    <x v="0"/>
    <x v="46"/>
    <x v="7"/>
    <x v="0"/>
    <x v="0"/>
    <x v="1"/>
    <x v="0"/>
  </r>
  <r>
    <x v="0"/>
    <x v="0"/>
    <n v="2239233140"/>
    <x v="5"/>
    <n v="-8160"/>
    <x v="1"/>
    <x v="0"/>
    <x v="46"/>
    <x v="5"/>
    <x v="0"/>
    <x v="0"/>
    <x v="5"/>
    <x v="0"/>
  </r>
  <r>
    <x v="0"/>
    <x v="0"/>
    <n v="2239233140"/>
    <x v="6"/>
    <n v="40000"/>
    <x v="1"/>
    <x v="0"/>
    <x v="46"/>
    <x v="6"/>
    <x v="0"/>
    <x v="0"/>
    <x v="5"/>
    <x v="0"/>
  </r>
  <r>
    <x v="0"/>
    <x v="0"/>
    <n v="2239233142"/>
    <x v="4"/>
    <n v="5600"/>
    <x v="1"/>
    <x v="0"/>
    <x v="46"/>
    <x v="4"/>
    <x v="0"/>
    <x v="0"/>
    <x v="4"/>
    <x v="0"/>
  </r>
  <r>
    <x v="0"/>
    <x v="0"/>
    <n v="2239233144"/>
    <x v="1"/>
    <n v="1350"/>
    <x v="1"/>
    <x v="0"/>
    <x v="46"/>
    <x v="1"/>
    <x v="0"/>
    <x v="0"/>
    <x v="1"/>
    <x v="0"/>
  </r>
  <r>
    <x v="0"/>
    <x v="0"/>
    <n v="2239233145"/>
    <x v="2"/>
    <n v="30510"/>
    <x v="1"/>
    <x v="0"/>
    <x v="46"/>
    <x v="2"/>
    <x v="0"/>
    <x v="0"/>
    <x v="2"/>
    <x v="0"/>
  </r>
  <r>
    <x v="0"/>
    <x v="0"/>
    <n v="2239233146"/>
    <x v="2"/>
    <n v="12870"/>
    <x v="1"/>
    <x v="0"/>
    <x v="46"/>
    <x v="2"/>
    <x v="0"/>
    <x v="0"/>
    <x v="2"/>
    <x v="0"/>
  </r>
  <r>
    <x v="0"/>
    <x v="0"/>
    <n v="2239233148"/>
    <x v="5"/>
    <n v="-7900"/>
    <x v="1"/>
    <x v="0"/>
    <x v="46"/>
    <x v="5"/>
    <x v="0"/>
    <x v="0"/>
    <x v="5"/>
    <x v="0"/>
  </r>
  <r>
    <x v="0"/>
    <x v="0"/>
    <n v="2239233148"/>
    <x v="6"/>
    <n v="10000"/>
    <x v="1"/>
    <x v="0"/>
    <x v="46"/>
    <x v="6"/>
    <x v="0"/>
    <x v="0"/>
    <x v="5"/>
    <x v="0"/>
  </r>
  <r>
    <x v="0"/>
    <x v="0"/>
    <n v="2239233149"/>
    <x v="5"/>
    <n v="-2600"/>
    <x v="1"/>
    <x v="0"/>
    <x v="46"/>
    <x v="5"/>
    <x v="0"/>
    <x v="0"/>
    <x v="5"/>
    <x v="0"/>
  </r>
  <r>
    <x v="0"/>
    <x v="0"/>
    <n v="2239233149"/>
    <x v="4"/>
    <n v="7900"/>
    <x v="1"/>
    <x v="0"/>
    <x v="46"/>
    <x v="4"/>
    <x v="0"/>
    <x v="0"/>
    <x v="4"/>
    <x v="0"/>
  </r>
  <r>
    <x v="0"/>
    <x v="0"/>
    <n v="2239233150"/>
    <x v="2"/>
    <n v="3300"/>
    <x v="1"/>
    <x v="0"/>
    <x v="46"/>
    <x v="2"/>
    <x v="0"/>
    <x v="0"/>
    <x v="2"/>
    <x v="0"/>
  </r>
  <r>
    <x v="0"/>
    <x v="0"/>
    <n v="2239233151"/>
    <x v="2"/>
    <n v="54780"/>
    <x v="1"/>
    <x v="0"/>
    <x v="46"/>
    <x v="2"/>
    <x v="0"/>
    <x v="0"/>
    <x v="2"/>
    <x v="0"/>
  </r>
  <r>
    <x v="0"/>
    <x v="0"/>
    <n v="2239233152"/>
    <x v="6"/>
    <n v="2000"/>
    <x v="1"/>
    <x v="0"/>
    <x v="46"/>
    <x v="6"/>
    <x v="0"/>
    <x v="0"/>
    <x v="5"/>
    <x v="0"/>
  </r>
  <r>
    <x v="0"/>
    <x v="0"/>
    <n v="2239233153"/>
    <x v="5"/>
    <n v="-6000"/>
    <x v="1"/>
    <x v="0"/>
    <x v="46"/>
    <x v="5"/>
    <x v="0"/>
    <x v="0"/>
    <x v="5"/>
    <x v="0"/>
  </r>
  <r>
    <x v="0"/>
    <x v="0"/>
    <n v="2239233153"/>
    <x v="6"/>
    <n v="10000"/>
    <x v="1"/>
    <x v="0"/>
    <x v="46"/>
    <x v="6"/>
    <x v="0"/>
    <x v="0"/>
    <x v="5"/>
    <x v="0"/>
  </r>
  <r>
    <x v="0"/>
    <x v="0"/>
    <n v="2239233155"/>
    <x v="5"/>
    <n v="-400"/>
    <x v="1"/>
    <x v="0"/>
    <x v="46"/>
    <x v="5"/>
    <x v="0"/>
    <x v="0"/>
    <x v="5"/>
    <x v="0"/>
  </r>
  <r>
    <x v="0"/>
    <x v="0"/>
    <n v="2239233155"/>
    <x v="4"/>
    <n v="5000"/>
    <x v="1"/>
    <x v="0"/>
    <x v="46"/>
    <x v="4"/>
    <x v="0"/>
    <x v="0"/>
    <x v="4"/>
    <x v="0"/>
  </r>
  <r>
    <x v="0"/>
    <x v="0"/>
    <n v="2239233157"/>
    <x v="5"/>
    <n v="-3600"/>
    <x v="1"/>
    <x v="0"/>
    <x v="46"/>
    <x v="5"/>
    <x v="0"/>
    <x v="0"/>
    <x v="5"/>
    <x v="0"/>
  </r>
  <r>
    <x v="0"/>
    <x v="0"/>
    <n v="2239233157"/>
    <x v="6"/>
    <n v="10000"/>
    <x v="1"/>
    <x v="0"/>
    <x v="46"/>
    <x v="6"/>
    <x v="0"/>
    <x v="0"/>
    <x v="5"/>
    <x v="0"/>
  </r>
  <r>
    <x v="0"/>
    <x v="0"/>
    <n v="2239233158"/>
    <x v="2"/>
    <n v="59290"/>
    <x v="1"/>
    <x v="0"/>
    <x v="46"/>
    <x v="2"/>
    <x v="0"/>
    <x v="0"/>
    <x v="2"/>
    <x v="0"/>
  </r>
  <r>
    <x v="0"/>
    <x v="0"/>
    <n v="2239233159"/>
    <x v="5"/>
    <n v="-600"/>
    <x v="1"/>
    <x v="0"/>
    <x v="46"/>
    <x v="5"/>
    <x v="0"/>
    <x v="0"/>
    <x v="5"/>
    <x v="0"/>
  </r>
  <r>
    <x v="0"/>
    <x v="0"/>
    <n v="2239233159"/>
    <x v="4"/>
    <n v="5000"/>
    <x v="1"/>
    <x v="0"/>
    <x v="46"/>
    <x v="4"/>
    <x v="0"/>
    <x v="0"/>
    <x v="4"/>
    <x v="0"/>
  </r>
  <r>
    <x v="0"/>
    <x v="0"/>
    <n v="2239233160"/>
    <x v="5"/>
    <n v="-400"/>
    <x v="1"/>
    <x v="0"/>
    <x v="46"/>
    <x v="5"/>
    <x v="0"/>
    <x v="0"/>
    <x v="5"/>
    <x v="0"/>
  </r>
  <r>
    <x v="0"/>
    <x v="0"/>
    <n v="2239233160"/>
    <x v="4"/>
    <n v="5000"/>
    <x v="1"/>
    <x v="0"/>
    <x v="46"/>
    <x v="4"/>
    <x v="0"/>
    <x v="0"/>
    <x v="4"/>
    <x v="0"/>
  </r>
  <r>
    <x v="0"/>
    <x v="0"/>
    <n v="2239233161"/>
    <x v="6"/>
    <n v="2000"/>
    <x v="1"/>
    <x v="0"/>
    <x v="46"/>
    <x v="6"/>
    <x v="0"/>
    <x v="0"/>
    <x v="5"/>
    <x v="0"/>
  </r>
  <r>
    <x v="0"/>
    <x v="0"/>
    <n v="2239233162"/>
    <x v="6"/>
    <n v="2000"/>
    <x v="1"/>
    <x v="0"/>
    <x v="46"/>
    <x v="6"/>
    <x v="0"/>
    <x v="0"/>
    <x v="5"/>
    <x v="0"/>
  </r>
  <r>
    <x v="0"/>
    <x v="0"/>
    <n v="2239233163"/>
    <x v="5"/>
    <n v="-1000"/>
    <x v="1"/>
    <x v="0"/>
    <x v="46"/>
    <x v="5"/>
    <x v="0"/>
    <x v="0"/>
    <x v="5"/>
    <x v="0"/>
  </r>
  <r>
    <x v="0"/>
    <x v="0"/>
    <n v="2239233163"/>
    <x v="6"/>
    <n v="5000"/>
    <x v="1"/>
    <x v="0"/>
    <x v="46"/>
    <x v="6"/>
    <x v="0"/>
    <x v="0"/>
    <x v="5"/>
    <x v="0"/>
  </r>
  <r>
    <x v="0"/>
    <x v="0"/>
    <n v="2239233165"/>
    <x v="6"/>
    <n v="2000"/>
    <x v="1"/>
    <x v="0"/>
    <x v="46"/>
    <x v="6"/>
    <x v="0"/>
    <x v="0"/>
    <x v="5"/>
    <x v="0"/>
  </r>
  <r>
    <x v="0"/>
    <x v="0"/>
    <n v="2239233166"/>
    <x v="2"/>
    <n v="7040"/>
    <x v="1"/>
    <x v="0"/>
    <x v="46"/>
    <x v="2"/>
    <x v="0"/>
    <x v="0"/>
    <x v="2"/>
    <x v="0"/>
  </r>
  <r>
    <x v="0"/>
    <x v="0"/>
    <n v="2239233167"/>
    <x v="2"/>
    <n v="6000"/>
    <x v="1"/>
    <x v="0"/>
    <x v="46"/>
    <x v="2"/>
    <x v="0"/>
    <x v="0"/>
    <x v="2"/>
    <x v="0"/>
  </r>
  <r>
    <x v="0"/>
    <x v="0"/>
    <n v="2239233168"/>
    <x v="5"/>
    <n v="-6000"/>
    <x v="1"/>
    <x v="0"/>
    <x v="46"/>
    <x v="5"/>
    <x v="0"/>
    <x v="0"/>
    <x v="5"/>
    <x v="0"/>
  </r>
  <r>
    <x v="0"/>
    <x v="0"/>
    <n v="2239233168"/>
    <x v="6"/>
    <n v="10000"/>
    <x v="1"/>
    <x v="0"/>
    <x v="46"/>
    <x v="6"/>
    <x v="0"/>
    <x v="0"/>
    <x v="5"/>
    <x v="0"/>
  </r>
  <r>
    <x v="0"/>
    <x v="0"/>
    <n v="2239233169"/>
    <x v="2"/>
    <n v="3000"/>
    <x v="1"/>
    <x v="0"/>
    <x v="46"/>
    <x v="2"/>
    <x v="0"/>
    <x v="0"/>
    <x v="2"/>
    <x v="0"/>
  </r>
  <r>
    <x v="0"/>
    <x v="0"/>
    <n v="2239233170"/>
    <x v="5"/>
    <n v="-3500"/>
    <x v="1"/>
    <x v="0"/>
    <x v="46"/>
    <x v="5"/>
    <x v="0"/>
    <x v="0"/>
    <x v="5"/>
    <x v="0"/>
  </r>
  <r>
    <x v="0"/>
    <x v="0"/>
    <n v="2239233170"/>
    <x v="6"/>
    <n v="10000"/>
    <x v="1"/>
    <x v="0"/>
    <x v="46"/>
    <x v="6"/>
    <x v="0"/>
    <x v="0"/>
    <x v="5"/>
    <x v="0"/>
  </r>
  <r>
    <x v="0"/>
    <x v="0"/>
    <n v="2239233171"/>
    <x v="5"/>
    <n v="-4000"/>
    <x v="1"/>
    <x v="0"/>
    <x v="46"/>
    <x v="5"/>
    <x v="0"/>
    <x v="0"/>
    <x v="5"/>
    <x v="0"/>
  </r>
  <r>
    <x v="0"/>
    <x v="0"/>
    <n v="2239233171"/>
    <x v="6"/>
    <n v="10000"/>
    <x v="1"/>
    <x v="0"/>
    <x v="46"/>
    <x v="6"/>
    <x v="0"/>
    <x v="0"/>
    <x v="5"/>
    <x v="0"/>
  </r>
  <r>
    <x v="0"/>
    <x v="0"/>
    <n v="2239233172"/>
    <x v="6"/>
    <n v="4000"/>
    <x v="1"/>
    <x v="0"/>
    <x v="46"/>
    <x v="6"/>
    <x v="0"/>
    <x v="0"/>
    <x v="5"/>
    <x v="0"/>
  </r>
  <r>
    <x v="0"/>
    <x v="0"/>
    <n v="2239233173"/>
    <x v="5"/>
    <n v="-1000"/>
    <x v="1"/>
    <x v="0"/>
    <x v="46"/>
    <x v="5"/>
    <x v="0"/>
    <x v="0"/>
    <x v="5"/>
    <x v="0"/>
  </r>
  <r>
    <x v="0"/>
    <x v="0"/>
    <n v="2239233173"/>
    <x v="6"/>
    <n v="5000"/>
    <x v="1"/>
    <x v="0"/>
    <x v="46"/>
    <x v="6"/>
    <x v="0"/>
    <x v="0"/>
    <x v="5"/>
    <x v="0"/>
  </r>
  <r>
    <x v="0"/>
    <x v="0"/>
    <n v="2239233174"/>
    <x v="2"/>
    <n v="6600"/>
    <x v="1"/>
    <x v="0"/>
    <x v="46"/>
    <x v="2"/>
    <x v="0"/>
    <x v="0"/>
    <x v="2"/>
    <x v="0"/>
  </r>
  <r>
    <x v="0"/>
    <x v="0"/>
    <n v="2239233175"/>
    <x v="5"/>
    <n v="-4300"/>
    <x v="1"/>
    <x v="0"/>
    <x v="46"/>
    <x v="5"/>
    <x v="0"/>
    <x v="0"/>
    <x v="5"/>
    <x v="0"/>
  </r>
  <r>
    <x v="0"/>
    <x v="0"/>
    <n v="2239233175"/>
    <x v="4"/>
    <n v="10000"/>
    <x v="1"/>
    <x v="0"/>
    <x v="46"/>
    <x v="4"/>
    <x v="0"/>
    <x v="0"/>
    <x v="4"/>
    <x v="0"/>
  </r>
  <r>
    <x v="0"/>
    <x v="0"/>
    <n v="2239233177"/>
    <x v="5"/>
    <n v="-920"/>
    <x v="1"/>
    <x v="0"/>
    <x v="46"/>
    <x v="5"/>
    <x v="0"/>
    <x v="0"/>
    <x v="5"/>
    <x v="0"/>
  </r>
  <r>
    <x v="0"/>
    <x v="0"/>
    <n v="2239233177"/>
    <x v="6"/>
    <n v="11000"/>
    <x v="1"/>
    <x v="0"/>
    <x v="46"/>
    <x v="6"/>
    <x v="0"/>
    <x v="0"/>
    <x v="5"/>
    <x v="0"/>
  </r>
  <r>
    <x v="0"/>
    <x v="0"/>
    <n v="2239233177"/>
    <x v="7"/>
    <n v="3270"/>
    <x v="1"/>
    <x v="0"/>
    <x v="46"/>
    <x v="7"/>
    <x v="0"/>
    <x v="0"/>
    <x v="1"/>
    <x v="0"/>
  </r>
  <r>
    <x v="0"/>
    <x v="0"/>
    <n v="2239233179"/>
    <x v="5"/>
    <n v="-3600"/>
    <x v="1"/>
    <x v="0"/>
    <x v="46"/>
    <x v="5"/>
    <x v="0"/>
    <x v="0"/>
    <x v="5"/>
    <x v="0"/>
  </r>
  <r>
    <x v="0"/>
    <x v="0"/>
    <n v="2239233179"/>
    <x v="6"/>
    <n v="10000"/>
    <x v="1"/>
    <x v="0"/>
    <x v="46"/>
    <x v="6"/>
    <x v="0"/>
    <x v="0"/>
    <x v="5"/>
    <x v="0"/>
  </r>
  <r>
    <x v="0"/>
    <x v="0"/>
    <n v="2239233180"/>
    <x v="5"/>
    <n v="-5000"/>
    <x v="1"/>
    <x v="0"/>
    <x v="46"/>
    <x v="5"/>
    <x v="0"/>
    <x v="0"/>
    <x v="5"/>
    <x v="0"/>
  </r>
  <r>
    <x v="0"/>
    <x v="0"/>
    <n v="2239233180"/>
    <x v="6"/>
    <n v="20000"/>
    <x v="1"/>
    <x v="0"/>
    <x v="46"/>
    <x v="6"/>
    <x v="0"/>
    <x v="0"/>
    <x v="5"/>
    <x v="0"/>
  </r>
  <r>
    <x v="0"/>
    <x v="0"/>
    <n v="2239233181"/>
    <x v="5"/>
    <n v="-700"/>
    <x v="1"/>
    <x v="0"/>
    <x v="46"/>
    <x v="5"/>
    <x v="0"/>
    <x v="0"/>
    <x v="5"/>
    <x v="0"/>
  </r>
  <r>
    <x v="0"/>
    <x v="0"/>
    <n v="2239233181"/>
    <x v="6"/>
    <n v="10000"/>
    <x v="1"/>
    <x v="0"/>
    <x v="46"/>
    <x v="6"/>
    <x v="0"/>
    <x v="0"/>
    <x v="5"/>
    <x v="0"/>
  </r>
  <r>
    <x v="0"/>
    <x v="0"/>
    <n v="2239233182"/>
    <x v="2"/>
    <n v="4400"/>
    <x v="1"/>
    <x v="0"/>
    <x v="46"/>
    <x v="2"/>
    <x v="0"/>
    <x v="0"/>
    <x v="2"/>
    <x v="0"/>
  </r>
  <r>
    <x v="0"/>
    <x v="0"/>
    <n v="2239233183"/>
    <x v="2"/>
    <n v="6600"/>
    <x v="1"/>
    <x v="0"/>
    <x v="46"/>
    <x v="2"/>
    <x v="0"/>
    <x v="0"/>
    <x v="2"/>
    <x v="0"/>
  </r>
  <r>
    <x v="0"/>
    <x v="0"/>
    <n v="2239233184"/>
    <x v="5"/>
    <n v="-3500"/>
    <x v="1"/>
    <x v="0"/>
    <x v="46"/>
    <x v="5"/>
    <x v="0"/>
    <x v="0"/>
    <x v="5"/>
    <x v="0"/>
  </r>
  <r>
    <x v="0"/>
    <x v="0"/>
    <n v="2239233184"/>
    <x v="6"/>
    <n v="10000"/>
    <x v="1"/>
    <x v="0"/>
    <x v="46"/>
    <x v="6"/>
    <x v="0"/>
    <x v="0"/>
    <x v="5"/>
    <x v="0"/>
  </r>
  <r>
    <x v="0"/>
    <x v="0"/>
    <n v="2239233185"/>
    <x v="6"/>
    <n v="4000"/>
    <x v="1"/>
    <x v="0"/>
    <x v="46"/>
    <x v="6"/>
    <x v="0"/>
    <x v="0"/>
    <x v="5"/>
    <x v="0"/>
  </r>
  <r>
    <x v="0"/>
    <x v="0"/>
    <n v="2239233186"/>
    <x v="6"/>
    <n v="4000"/>
    <x v="1"/>
    <x v="0"/>
    <x v="46"/>
    <x v="6"/>
    <x v="0"/>
    <x v="0"/>
    <x v="5"/>
    <x v="0"/>
  </r>
  <r>
    <x v="0"/>
    <x v="0"/>
    <n v="2239233188"/>
    <x v="6"/>
    <n v="2000"/>
    <x v="1"/>
    <x v="0"/>
    <x v="46"/>
    <x v="6"/>
    <x v="0"/>
    <x v="0"/>
    <x v="5"/>
    <x v="0"/>
  </r>
  <r>
    <x v="0"/>
    <x v="0"/>
    <n v="2239233189"/>
    <x v="2"/>
    <n v="4400"/>
    <x v="1"/>
    <x v="0"/>
    <x v="46"/>
    <x v="2"/>
    <x v="0"/>
    <x v="0"/>
    <x v="2"/>
    <x v="0"/>
  </r>
  <r>
    <x v="0"/>
    <x v="0"/>
    <n v="2239233190"/>
    <x v="5"/>
    <n v="-1000"/>
    <x v="1"/>
    <x v="0"/>
    <x v="46"/>
    <x v="5"/>
    <x v="0"/>
    <x v="0"/>
    <x v="5"/>
    <x v="0"/>
  </r>
  <r>
    <x v="0"/>
    <x v="0"/>
    <n v="2239233190"/>
    <x v="6"/>
    <n v="10000"/>
    <x v="1"/>
    <x v="0"/>
    <x v="46"/>
    <x v="6"/>
    <x v="0"/>
    <x v="0"/>
    <x v="5"/>
    <x v="0"/>
  </r>
  <r>
    <x v="0"/>
    <x v="0"/>
    <n v="2239233191"/>
    <x v="2"/>
    <n v="17490"/>
    <x v="1"/>
    <x v="0"/>
    <x v="46"/>
    <x v="2"/>
    <x v="0"/>
    <x v="0"/>
    <x v="2"/>
    <x v="0"/>
  </r>
  <r>
    <x v="0"/>
    <x v="0"/>
    <n v="2239233192"/>
    <x v="5"/>
    <n v="-13000"/>
    <x v="1"/>
    <x v="0"/>
    <x v="46"/>
    <x v="5"/>
    <x v="0"/>
    <x v="0"/>
    <x v="5"/>
    <x v="0"/>
  </r>
  <r>
    <x v="0"/>
    <x v="0"/>
    <n v="2239233192"/>
    <x v="6"/>
    <n v="20200"/>
    <x v="1"/>
    <x v="0"/>
    <x v="46"/>
    <x v="6"/>
    <x v="0"/>
    <x v="0"/>
    <x v="5"/>
    <x v="0"/>
  </r>
  <r>
    <x v="0"/>
    <x v="0"/>
    <n v="2239233193"/>
    <x v="5"/>
    <n v="-6100"/>
    <x v="1"/>
    <x v="0"/>
    <x v="46"/>
    <x v="5"/>
    <x v="0"/>
    <x v="0"/>
    <x v="5"/>
    <x v="0"/>
  </r>
  <r>
    <x v="0"/>
    <x v="0"/>
    <n v="2239233193"/>
    <x v="4"/>
    <n v="10500"/>
    <x v="1"/>
    <x v="0"/>
    <x v="46"/>
    <x v="4"/>
    <x v="0"/>
    <x v="0"/>
    <x v="4"/>
    <x v="0"/>
  </r>
  <r>
    <x v="0"/>
    <x v="0"/>
    <n v="2239233194"/>
    <x v="5"/>
    <n v="-1500"/>
    <x v="1"/>
    <x v="0"/>
    <x v="46"/>
    <x v="5"/>
    <x v="0"/>
    <x v="0"/>
    <x v="5"/>
    <x v="0"/>
  </r>
  <r>
    <x v="0"/>
    <x v="0"/>
    <n v="2239233194"/>
    <x v="6"/>
    <n v="5000"/>
    <x v="1"/>
    <x v="0"/>
    <x v="46"/>
    <x v="6"/>
    <x v="0"/>
    <x v="0"/>
    <x v="5"/>
    <x v="0"/>
  </r>
  <r>
    <x v="0"/>
    <x v="0"/>
    <n v="2239233195"/>
    <x v="2"/>
    <n v="47190"/>
    <x v="1"/>
    <x v="0"/>
    <x v="46"/>
    <x v="2"/>
    <x v="0"/>
    <x v="0"/>
    <x v="2"/>
    <x v="0"/>
  </r>
  <r>
    <x v="0"/>
    <x v="0"/>
    <n v="2239233196"/>
    <x v="3"/>
    <n v="31020"/>
    <x v="1"/>
    <x v="0"/>
    <x v="46"/>
    <x v="3"/>
    <x v="0"/>
    <x v="0"/>
    <x v="3"/>
    <x v="0"/>
  </r>
  <r>
    <x v="0"/>
    <x v="0"/>
    <n v="2239233198"/>
    <x v="2"/>
    <n v="6400"/>
    <x v="1"/>
    <x v="0"/>
    <x v="46"/>
    <x v="2"/>
    <x v="0"/>
    <x v="0"/>
    <x v="2"/>
    <x v="0"/>
  </r>
  <r>
    <x v="0"/>
    <x v="0"/>
    <n v="2239233200"/>
    <x v="6"/>
    <n v="3000"/>
    <x v="1"/>
    <x v="0"/>
    <x v="46"/>
    <x v="6"/>
    <x v="0"/>
    <x v="0"/>
    <x v="5"/>
    <x v="0"/>
  </r>
  <r>
    <x v="0"/>
    <x v="0"/>
    <n v="2239233201"/>
    <x v="5"/>
    <n v="-7250"/>
    <x v="1"/>
    <x v="0"/>
    <x v="46"/>
    <x v="5"/>
    <x v="0"/>
    <x v="0"/>
    <x v="5"/>
    <x v="0"/>
  </r>
  <r>
    <x v="0"/>
    <x v="0"/>
    <n v="2239233201"/>
    <x v="6"/>
    <n v="20000"/>
    <x v="1"/>
    <x v="0"/>
    <x v="46"/>
    <x v="6"/>
    <x v="0"/>
    <x v="0"/>
    <x v="5"/>
    <x v="0"/>
  </r>
  <r>
    <x v="0"/>
    <x v="0"/>
    <n v="2239233202"/>
    <x v="5"/>
    <n v="-2470"/>
    <x v="1"/>
    <x v="0"/>
    <x v="46"/>
    <x v="5"/>
    <x v="0"/>
    <x v="0"/>
    <x v="5"/>
    <x v="0"/>
  </r>
  <r>
    <x v="0"/>
    <x v="0"/>
    <n v="2239233202"/>
    <x v="6"/>
    <n v="10000"/>
    <x v="1"/>
    <x v="0"/>
    <x v="46"/>
    <x v="6"/>
    <x v="0"/>
    <x v="0"/>
    <x v="5"/>
    <x v="0"/>
  </r>
  <r>
    <x v="0"/>
    <x v="0"/>
    <n v="2239233202"/>
    <x v="7"/>
    <n v="2370"/>
    <x v="1"/>
    <x v="0"/>
    <x v="46"/>
    <x v="7"/>
    <x v="0"/>
    <x v="0"/>
    <x v="1"/>
    <x v="0"/>
  </r>
  <r>
    <x v="0"/>
    <x v="0"/>
    <n v="2239233203"/>
    <x v="2"/>
    <n v="9730"/>
    <x v="1"/>
    <x v="0"/>
    <x v="46"/>
    <x v="2"/>
    <x v="0"/>
    <x v="0"/>
    <x v="2"/>
    <x v="0"/>
  </r>
  <r>
    <x v="0"/>
    <x v="0"/>
    <n v="2239233203"/>
    <x v="7"/>
    <n v="4170"/>
    <x v="1"/>
    <x v="0"/>
    <x v="46"/>
    <x v="7"/>
    <x v="0"/>
    <x v="0"/>
    <x v="1"/>
    <x v="0"/>
  </r>
  <r>
    <x v="0"/>
    <x v="0"/>
    <n v="2239233204"/>
    <x v="2"/>
    <n v="60170"/>
    <x v="1"/>
    <x v="0"/>
    <x v="46"/>
    <x v="2"/>
    <x v="0"/>
    <x v="0"/>
    <x v="2"/>
    <x v="0"/>
  </r>
  <r>
    <x v="0"/>
    <x v="0"/>
    <n v="2239233205"/>
    <x v="5"/>
    <n v="-600"/>
    <x v="1"/>
    <x v="0"/>
    <x v="46"/>
    <x v="5"/>
    <x v="0"/>
    <x v="0"/>
    <x v="5"/>
    <x v="0"/>
  </r>
  <r>
    <x v="0"/>
    <x v="0"/>
    <n v="2239233205"/>
    <x v="4"/>
    <n v="5000"/>
    <x v="1"/>
    <x v="0"/>
    <x v="46"/>
    <x v="4"/>
    <x v="0"/>
    <x v="0"/>
    <x v="4"/>
    <x v="0"/>
  </r>
  <r>
    <x v="0"/>
    <x v="0"/>
    <n v="2239233206"/>
    <x v="6"/>
    <n v="3000"/>
    <x v="1"/>
    <x v="0"/>
    <x v="46"/>
    <x v="6"/>
    <x v="0"/>
    <x v="0"/>
    <x v="5"/>
    <x v="0"/>
  </r>
  <r>
    <x v="0"/>
    <x v="0"/>
    <n v="2239233207"/>
    <x v="5"/>
    <n v="-400"/>
    <x v="1"/>
    <x v="0"/>
    <x v="46"/>
    <x v="5"/>
    <x v="0"/>
    <x v="0"/>
    <x v="5"/>
    <x v="0"/>
  </r>
  <r>
    <x v="0"/>
    <x v="0"/>
    <n v="2239233207"/>
    <x v="4"/>
    <n v="6000"/>
    <x v="1"/>
    <x v="0"/>
    <x v="46"/>
    <x v="4"/>
    <x v="0"/>
    <x v="0"/>
    <x v="4"/>
    <x v="0"/>
  </r>
  <r>
    <x v="0"/>
    <x v="0"/>
    <n v="2239233208"/>
    <x v="3"/>
    <n v="2100"/>
    <x v="1"/>
    <x v="0"/>
    <x v="46"/>
    <x v="3"/>
    <x v="0"/>
    <x v="0"/>
    <x v="3"/>
    <x v="0"/>
  </r>
  <r>
    <x v="0"/>
    <x v="0"/>
    <n v="2239233209"/>
    <x v="2"/>
    <n v="56980"/>
    <x v="1"/>
    <x v="0"/>
    <x v="46"/>
    <x v="2"/>
    <x v="0"/>
    <x v="0"/>
    <x v="2"/>
    <x v="0"/>
  </r>
  <r>
    <x v="0"/>
    <x v="0"/>
    <n v="2239233210"/>
    <x v="5"/>
    <n v="-300"/>
    <x v="1"/>
    <x v="0"/>
    <x v="46"/>
    <x v="5"/>
    <x v="0"/>
    <x v="0"/>
    <x v="5"/>
    <x v="0"/>
  </r>
  <r>
    <x v="0"/>
    <x v="0"/>
    <n v="2239233210"/>
    <x v="4"/>
    <n v="6000"/>
    <x v="1"/>
    <x v="0"/>
    <x v="46"/>
    <x v="4"/>
    <x v="0"/>
    <x v="0"/>
    <x v="4"/>
    <x v="0"/>
  </r>
  <r>
    <x v="0"/>
    <x v="0"/>
    <n v="2239233211"/>
    <x v="5"/>
    <n v="-1500"/>
    <x v="1"/>
    <x v="0"/>
    <x v="46"/>
    <x v="5"/>
    <x v="0"/>
    <x v="0"/>
    <x v="5"/>
    <x v="0"/>
  </r>
  <r>
    <x v="0"/>
    <x v="0"/>
    <n v="2239233211"/>
    <x v="6"/>
    <n v="5000"/>
    <x v="1"/>
    <x v="0"/>
    <x v="46"/>
    <x v="6"/>
    <x v="0"/>
    <x v="0"/>
    <x v="5"/>
    <x v="0"/>
  </r>
  <r>
    <x v="0"/>
    <x v="0"/>
    <n v="2239233212"/>
    <x v="2"/>
    <n v="9500"/>
    <x v="1"/>
    <x v="0"/>
    <x v="46"/>
    <x v="2"/>
    <x v="0"/>
    <x v="0"/>
    <x v="2"/>
    <x v="0"/>
  </r>
  <r>
    <x v="0"/>
    <x v="0"/>
    <n v="2239233213"/>
    <x v="2"/>
    <n v="14938"/>
    <x v="1"/>
    <x v="0"/>
    <x v="46"/>
    <x v="2"/>
    <x v="0"/>
    <x v="0"/>
    <x v="2"/>
    <x v="0"/>
  </r>
  <r>
    <x v="0"/>
    <x v="0"/>
    <n v="2239233213"/>
    <x v="7"/>
    <n v="5820"/>
    <x v="1"/>
    <x v="0"/>
    <x v="46"/>
    <x v="7"/>
    <x v="0"/>
    <x v="0"/>
    <x v="1"/>
    <x v="0"/>
  </r>
  <r>
    <x v="0"/>
    <x v="0"/>
    <n v="2239233214"/>
    <x v="5"/>
    <n v="-4300"/>
    <x v="1"/>
    <x v="0"/>
    <x v="46"/>
    <x v="5"/>
    <x v="0"/>
    <x v="0"/>
    <x v="5"/>
    <x v="0"/>
  </r>
  <r>
    <x v="0"/>
    <x v="0"/>
    <n v="2239233214"/>
    <x v="4"/>
    <n v="10000"/>
    <x v="1"/>
    <x v="0"/>
    <x v="46"/>
    <x v="4"/>
    <x v="0"/>
    <x v="0"/>
    <x v="4"/>
    <x v="0"/>
  </r>
  <r>
    <x v="0"/>
    <x v="0"/>
    <n v="2239233215"/>
    <x v="3"/>
    <n v="6500"/>
    <x v="1"/>
    <x v="0"/>
    <x v="46"/>
    <x v="3"/>
    <x v="0"/>
    <x v="0"/>
    <x v="3"/>
    <x v="0"/>
  </r>
  <r>
    <x v="0"/>
    <x v="0"/>
    <n v="2239233216"/>
    <x v="8"/>
    <n v="9000"/>
    <x v="1"/>
    <x v="0"/>
    <x v="46"/>
    <x v="8"/>
    <x v="0"/>
    <x v="0"/>
    <x v="3"/>
    <x v="0"/>
  </r>
  <r>
    <x v="0"/>
    <x v="0"/>
    <n v="2239233217"/>
    <x v="2"/>
    <n v="40370"/>
    <x v="1"/>
    <x v="0"/>
    <x v="46"/>
    <x v="2"/>
    <x v="0"/>
    <x v="0"/>
    <x v="2"/>
    <x v="0"/>
  </r>
  <r>
    <x v="0"/>
    <x v="0"/>
    <n v="2239233218"/>
    <x v="3"/>
    <n v="7150"/>
    <x v="1"/>
    <x v="0"/>
    <x v="46"/>
    <x v="3"/>
    <x v="0"/>
    <x v="0"/>
    <x v="3"/>
    <x v="0"/>
  </r>
  <r>
    <x v="0"/>
    <x v="0"/>
    <n v="2239233219"/>
    <x v="2"/>
    <n v="10450"/>
    <x v="1"/>
    <x v="0"/>
    <x v="46"/>
    <x v="2"/>
    <x v="0"/>
    <x v="0"/>
    <x v="2"/>
    <x v="0"/>
  </r>
  <r>
    <x v="0"/>
    <x v="0"/>
    <n v="2239233220"/>
    <x v="2"/>
    <n v="10400"/>
    <x v="1"/>
    <x v="0"/>
    <x v="46"/>
    <x v="2"/>
    <x v="0"/>
    <x v="0"/>
    <x v="2"/>
    <x v="0"/>
  </r>
  <r>
    <x v="0"/>
    <x v="0"/>
    <n v="2239233220"/>
    <x v="7"/>
    <n v="2600"/>
    <x v="1"/>
    <x v="0"/>
    <x v="46"/>
    <x v="7"/>
    <x v="0"/>
    <x v="0"/>
    <x v="1"/>
    <x v="0"/>
  </r>
  <r>
    <x v="0"/>
    <x v="0"/>
    <n v="2239233221"/>
    <x v="5"/>
    <n v="-2000"/>
    <x v="1"/>
    <x v="0"/>
    <x v="46"/>
    <x v="5"/>
    <x v="0"/>
    <x v="0"/>
    <x v="5"/>
    <x v="0"/>
  </r>
  <r>
    <x v="0"/>
    <x v="0"/>
    <n v="2239233221"/>
    <x v="6"/>
    <n v="5000"/>
    <x v="1"/>
    <x v="0"/>
    <x v="46"/>
    <x v="6"/>
    <x v="0"/>
    <x v="0"/>
    <x v="5"/>
    <x v="0"/>
  </r>
  <r>
    <x v="0"/>
    <x v="0"/>
    <n v="2239233222"/>
    <x v="2"/>
    <n v="6500"/>
    <x v="1"/>
    <x v="0"/>
    <x v="46"/>
    <x v="2"/>
    <x v="0"/>
    <x v="0"/>
    <x v="2"/>
    <x v="0"/>
  </r>
  <r>
    <x v="0"/>
    <x v="0"/>
    <n v="2239233223"/>
    <x v="5"/>
    <n v="-10500"/>
    <x v="1"/>
    <x v="0"/>
    <x v="46"/>
    <x v="5"/>
    <x v="0"/>
    <x v="0"/>
    <x v="5"/>
    <x v="0"/>
  </r>
  <r>
    <x v="0"/>
    <x v="0"/>
    <n v="2239233223"/>
    <x v="6"/>
    <n v="20000"/>
    <x v="1"/>
    <x v="0"/>
    <x v="46"/>
    <x v="6"/>
    <x v="0"/>
    <x v="0"/>
    <x v="5"/>
    <x v="0"/>
  </r>
  <r>
    <x v="0"/>
    <x v="0"/>
    <n v="2239233224"/>
    <x v="2"/>
    <n v="6000"/>
    <x v="1"/>
    <x v="0"/>
    <x v="46"/>
    <x v="2"/>
    <x v="0"/>
    <x v="0"/>
    <x v="2"/>
    <x v="0"/>
  </r>
  <r>
    <x v="0"/>
    <x v="0"/>
    <n v="2239233224"/>
    <x v="7"/>
    <n v="1500"/>
    <x v="1"/>
    <x v="0"/>
    <x v="46"/>
    <x v="7"/>
    <x v="0"/>
    <x v="0"/>
    <x v="1"/>
    <x v="0"/>
  </r>
  <r>
    <x v="0"/>
    <x v="0"/>
    <n v="2239233226"/>
    <x v="5"/>
    <n v="-15400"/>
    <x v="1"/>
    <x v="0"/>
    <x v="46"/>
    <x v="5"/>
    <x v="0"/>
    <x v="0"/>
    <x v="5"/>
    <x v="0"/>
  </r>
  <r>
    <x v="0"/>
    <x v="0"/>
    <n v="2239233226"/>
    <x v="4"/>
    <n v="20000"/>
    <x v="1"/>
    <x v="0"/>
    <x v="46"/>
    <x v="4"/>
    <x v="0"/>
    <x v="0"/>
    <x v="4"/>
    <x v="0"/>
  </r>
  <r>
    <x v="0"/>
    <x v="0"/>
    <n v="2239233228"/>
    <x v="5"/>
    <n v="-7000"/>
    <x v="1"/>
    <x v="0"/>
    <x v="46"/>
    <x v="5"/>
    <x v="0"/>
    <x v="0"/>
    <x v="5"/>
    <x v="0"/>
  </r>
  <r>
    <x v="0"/>
    <x v="0"/>
    <n v="2239233228"/>
    <x v="6"/>
    <n v="10000"/>
    <x v="1"/>
    <x v="0"/>
    <x v="46"/>
    <x v="6"/>
    <x v="0"/>
    <x v="0"/>
    <x v="5"/>
    <x v="0"/>
  </r>
  <r>
    <x v="0"/>
    <x v="0"/>
    <n v="2239233229"/>
    <x v="2"/>
    <n v="7000"/>
    <x v="1"/>
    <x v="0"/>
    <x v="46"/>
    <x v="2"/>
    <x v="0"/>
    <x v="0"/>
    <x v="2"/>
    <x v="0"/>
  </r>
  <r>
    <x v="0"/>
    <x v="0"/>
    <n v="2239233230"/>
    <x v="2"/>
    <n v="23800"/>
    <x v="1"/>
    <x v="0"/>
    <x v="46"/>
    <x v="2"/>
    <x v="0"/>
    <x v="0"/>
    <x v="2"/>
    <x v="0"/>
  </r>
  <r>
    <x v="0"/>
    <x v="0"/>
    <n v="2239233233"/>
    <x v="8"/>
    <n v="8712"/>
    <x v="1"/>
    <x v="0"/>
    <x v="46"/>
    <x v="8"/>
    <x v="0"/>
    <x v="0"/>
    <x v="3"/>
    <x v="0"/>
  </r>
  <r>
    <x v="0"/>
    <x v="0"/>
    <n v="2239233234"/>
    <x v="2"/>
    <n v="15400"/>
    <x v="1"/>
    <x v="0"/>
    <x v="46"/>
    <x v="2"/>
    <x v="0"/>
    <x v="0"/>
    <x v="2"/>
    <x v="0"/>
  </r>
  <r>
    <x v="0"/>
    <x v="0"/>
    <n v="2239233236"/>
    <x v="2"/>
    <n v="10450"/>
    <x v="1"/>
    <x v="0"/>
    <x v="46"/>
    <x v="2"/>
    <x v="0"/>
    <x v="0"/>
    <x v="2"/>
    <x v="0"/>
  </r>
  <r>
    <x v="0"/>
    <x v="0"/>
    <n v="2239233237"/>
    <x v="5"/>
    <n v="-650"/>
    <x v="1"/>
    <x v="0"/>
    <x v="46"/>
    <x v="5"/>
    <x v="0"/>
    <x v="0"/>
    <x v="5"/>
    <x v="0"/>
  </r>
  <r>
    <x v="0"/>
    <x v="0"/>
    <n v="2239233237"/>
    <x v="6"/>
    <n v="8000"/>
    <x v="1"/>
    <x v="0"/>
    <x v="46"/>
    <x v="6"/>
    <x v="0"/>
    <x v="0"/>
    <x v="5"/>
    <x v="0"/>
  </r>
  <r>
    <x v="0"/>
    <x v="0"/>
    <n v="2239233238"/>
    <x v="5"/>
    <n v="-680"/>
    <x v="1"/>
    <x v="0"/>
    <x v="46"/>
    <x v="5"/>
    <x v="0"/>
    <x v="0"/>
    <x v="5"/>
    <x v="0"/>
  </r>
  <r>
    <x v="0"/>
    <x v="0"/>
    <n v="2239233238"/>
    <x v="6"/>
    <n v="11000"/>
    <x v="1"/>
    <x v="0"/>
    <x v="46"/>
    <x v="6"/>
    <x v="0"/>
    <x v="0"/>
    <x v="5"/>
    <x v="0"/>
  </r>
  <r>
    <x v="0"/>
    <x v="0"/>
    <n v="2239233239"/>
    <x v="3"/>
    <n v="7150"/>
    <x v="1"/>
    <x v="0"/>
    <x v="46"/>
    <x v="3"/>
    <x v="0"/>
    <x v="0"/>
    <x v="3"/>
    <x v="0"/>
  </r>
  <r>
    <x v="0"/>
    <x v="0"/>
    <n v="2239233240"/>
    <x v="6"/>
    <n v="10400"/>
    <x v="1"/>
    <x v="0"/>
    <x v="46"/>
    <x v="6"/>
    <x v="0"/>
    <x v="0"/>
    <x v="5"/>
    <x v="0"/>
  </r>
  <r>
    <x v="0"/>
    <x v="0"/>
    <n v="2239233240"/>
    <x v="7"/>
    <n v="2600"/>
    <x v="1"/>
    <x v="0"/>
    <x v="46"/>
    <x v="7"/>
    <x v="0"/>
    <x v="0"/>
    <x v="1"/>
    <x v="0"/>
  </r>
  <r>
    <x v="0"/>
    <x v="0"/>
    <n v="2239233241"/>
    <x v="2"/>
    <n v="14000"/>
    <x v="1"/>
    <x v="0"/>
    <x v="46"/>
    <x v="2"/>
    <x v="0"/>
    <x v="0"/>
    <x v="2"/>
    <x v="0"/>
  </r>
  <r>
    <x v="0"/>
    <x v="0"/>
    <n v="2239233243"/>
    <x v="2"/>
    <n v="3000"/>
    <x v="1"/>
    <x v="0"/>
    <x v="46"/>
    <x v="2"/>
    <x v="0"/>
    <x v="0"/>
    <x v="2"/>
    <x v="0"/>
  </r>
  <r>
    <x v="0"/>
    <x v="0"/>
    <n v="2239233246"/>
    <x v="5"/>
    <n v="-5000"/>
    <x v="1"/>
    <x v="0"/>
    <x v="46"/>
    <x v="5"/>
    <x v="0"/>
    <x v="0"/>
    <x v="5"/>
    <x v="0"/>
  </r>
  <r>
    <x v="0"/>
    <x v="0"/>
    <n v="2239233246"/>
    <x v="6"/>
    <n v="10200"/>
    <x v="1"/>
    <x v="0"/>
    <x v="46"/>
    <x v="6"/>
    <x v="0"/>
    <x v="0"/>
    <x v="5"/>
    <x v="0"/>
  </r>
  <r>
    <x v="0"/>
    <x v="0"/>
    <n v="2239233247"/>
    <x v="5"/>
    <n v="-4400"/>
    <x v="1"/>
    <x v="0"/>
    <x v="46"/>
    <x v="5"/>
    <x v="0"/>
    <x v="0"/>
    <x v="5"/>
    <x v="0"/>
  </r>
  <r>
    <x v="0"/>
    <x v="0"/>
    <n v="2239233247"/>
    <x v="4"/>
    <n v="10000"/>
    <x v="1"/>
    <x v="0"/>
    <x v="46"/>
    <x v="4"/>
    <x v="0"/>
    <x v="0"/>
    <x v="4"/>
    <x v="0"/>
  </r>
  <r>
    <x v="0"/>
    <x v="0"/>
    <n v="2239233248"/>
    <x v="5"/>
    <n v="-12500"/>
    <x v="1"/>
    <x v="0"/>
    <x v="46"/>
    <x v="5"/>
    <x v="0"/>
    <x v="0"/>
    <x v="5"/>
    <x v="0"/>
  </r>
  <r>
    <x v="0"/>
    <x v="0"/>
    <n v="2239233248"/>
    <x v="6"/>
    <n v="20000"/>
    <x v="1"/>
    <x v="0"/>
    <x v="46"/>
    <x v="6"/>
    <x v="0"/>
    <x v="0"/>
    <x v="5"/>
    <x v="0"/>
  </r>
  <r>
    <x v="0"/>
    <x v="0"/>
    <n v="2239233249"/>
    <x v="2"/>
    <n v="11990"/>
    <x v="1"/>
    <x v="0"/>
    <x v="46"/>
    <x v="2"/>
    <x v="0"/>
    <x v="0"/>
    <x v="2"/>
    <x v="0"/>
  </r>
  <r>
    <x v="0"/>
    <x v="0"/>
    <n v="2239233250"/>
    <x v="2"/>
    <n v="6500"/>
    <x v="1"/>
    <x v="0"/>
    <x v="46"/>
    <x v="2"/>
    <x v="0"/>
    <x v="0"/>
    <x v="2"/>
    <x v="0"/>
  </r>
  <r>
    <x v="0"/>
    <x v="0"/>
    <n v="2239233251"/>
    <x v="3"/>
    <n v="14000"/>
    <x v="1"/>
    <x v="0"/>
    <x v="46"/>
    <x v="3"/>
    <x v="0"/>
    <x v="0"/>
    <x v="3"/>
    <x v="0"/>
  </r>
  <r>
    <x v="0"/>
    <x v="0"/>
    <n v="2239233252"/>
    <x v="6"/>
    <n v="15000"/>
    <x v="1"/>
    <x v="0"/>
    <x v="46"/>
    <x v="6"/>
    <x v="0"/>
    <x v="0"/>
    <x v="5"/>
    <x v="0"/>
  </r>
  <r>
    <x v="0"/>
    <x v="0"/>
    <n v="2239233253"/>
    <x v="5"/>
    <n v="-600"/>
    <x v="1"/>
    <x v="0"/>
    <x v="46"/>
    <x v="5"/>
    <x v="0"/>
    <x v="0"/>
    <x v="5"/>
    <x v="0"/>
  </r>
  <r>
    <x v="0"/>
    <x v="0"/>
    <n v="2239233253"/>
    <x v="4"/>
    <n v="5000"/>
    <x v="1"/>
    <x v="0"/>
    <x v="46"/>
    <x v="4"/>
    <x v="0"/>
    <x v="0"/>
    <x v="4"/>
    <x v="0"/>
  </r>
  <r>
    <x v="0"/>
    <x v="0"/>
    <n v="2239233254"/>
    <x v="2"/>
    <n v="7680"/>
    <x v="1"/>
    <x v="0"/>
    <x v="46"/>
    <x v="2"/>
    <x v="0"/>
    <x v="0"/>
    <x v="2"/>
    <x v="0"/>
  </r>
  <r>
    <x v="0"/>
    <x v="0"/>
    <n v="2239233255"/>
    <x v="5"/>
    <n v="-7000"/>
    <x v="1"/>
    <x v="0"/>
    <x v="46"/>
    <x v="5"/>
    <x v="0"/>
    <x v="0"/>
    <x v="5"/>
    <x v="0"/>
  </r>
  <r>
    <x v="0"/>
    <x v="0"/>
    <n v="2239233255"/>
    <x v="6"/>
    <n v="10000"/>
    <x v="1"/>
    <x v="0"/>
    <x v="46"/>
    <x v="6"/>
    <x v="0"/>
    <x v="0"/>
    <x v="5"/>
    <x v="0"/>
  </r>
  <r>
    <x v="0"/>
    <x v="0"/>
    <n v="2239233256"/>
    <x v="3"/>
    <n v="5200"/>
    <x v="1"/>
    <x v="0"/>
    <x v="46"/>
    <x v="3"/>
    <x v="0"/>
    <x v="0"/>
    <x v="3"/>
    <x v="0"/>
  </r>
  <r>
    <x v="0"/>
    <x v="0"/>
    <n v="2239233256"/>
    <x v="7"/>
    <n v="1300"/>
    <x v="1"/>
    <x v="0"/>
    <x v="46"/>
    <x v="7"/>
    <x v="0"/>
    <x v="0"/>
    <x v="1"/>
    <x v="0"/>
  </r>
  <r>
    <x v="0"/>
    <x v="0"/>
    <n v="2239233257"/>
    <x v="3"/>
    <n v="5200"/>
    <x v="1"/>
    <x v="0"/>
    <x v="46"/>
    <x v="3"/>
    <x v="0"/>
    <x v="0"/>
    <x v="3"/>
    <x v="0"/>
  </r>
  <r>
    <x v="0"/>
    <x v="0"/>
    <n v="2239233257"/>
    <x v="7"/>
    <n v="1300"/>
    <x v="1"/>
    <x v="0"/>
    <x v="46"/>
    <x v="7"/>
    <x v="0"/>
    <x v="0"/>
    <x v="1"/>
    <x v="0"/>
  </r>
  <r>
    <x v="0"/>
    <x v="0"/>
    <n v="2239233260"/>
    <x v="3"/>
    <n v="18700"/>
    <x v="1"/>
    <x v="0"/>
    <x v="46"/>
    <x v="3"/>
    <x v="0"/>
    <x v="0"/>
    <x v="3"/>
    <x v="0"/>
  </r>
  <r>
    <x v="0"/>
    <x v="0"/>
    <n v="2239233261"/>
    <x v="5"/>
    <n v="-5600"/>
    <x v="1"/>
    <x v="0"/>
    <x v="46"/>
    <x v="5"/>
    <x v="0"/>
    <x v="0"/>
    <x v="5"/>
    <x v="0"/>
  </r>
  <r>
    <x v="0"/>
    <x v="0"/>
    <n v="2239233261"/>
    <x v="4"/>
    <n v="10000"/>
    <x v="1"/>
    <x v="0"/>
    <x v="46"/>
    <x v="4"/>
    <x v="0"/>
    <x v="0"/>
    <x v="4"/>
    <x v="0"/>
  </r>
  <r>
    <x v="0"/>
    <x v="0"/>
    <n v="2239233263"/>
    <x v="5"/>
    <n v="-6200"/>
    <x v="1"/>
    <x v="0"/>
    <x v="46"/>
    <x v="5"/>
    <x v="0"/>
    <x v="0"/>
    <x v="5"/>
    <x v="0"/>
  </r>
  <r>
    <x v="0"/>
    <x v="0"/>
    <n v="2239233263"/>
    <x v="6"/>
    <n v="10000"/>
    <x v="1"/>
    <x v="0"/>
    <x v="46"/>
    <x v="6"/>
    <x v="0"/>
    <x v="0"/>
    <x v="5"/>
    <x v="0"/>
  </r>
  <r>
    <x v="0"/>
    <x v="0"/>
    <n v="2239233264"/>
    <x v="5"/>
    <n v="-5500"/>
    <x v="1"/>
    <x v="0"/>
    <x v="46"/>
    <x v="5"/>
    <x v="0"/>
    <x v="0"/>
    <x v="5"/>
    <x v="0"/>
  </r>
  <r>
    <x v="0"/>
    <x v="0"/>
    <n v="2239233264"/>
    <x v="6"/>
    <n v="10000"/>
    <x v="1"/>
    <x v="0"/>
    <x v="46"/>
    <x v="6"/>
    <x v="0"/>
    <x v="0"/>
    <x v="5"/>
    <x v="0"/>
  </r>
  <r>
    <x v="0"/>
    <x v="0"/>
    <n v="2239233265"/>
    <x v="5"/>
    <n v="-2000"/>
    <x v="1"/>
    <x v="0"/>
    <x v="46"/>
    <x v="5"/>
    <x v="0"/>
    <x v="0"/>
    <x v="5"/>
    <x v="0"/>
  </r>
  <r>
    <x v="0"/>
    <x v="0"/>
    <n v="2239233265"/>
    <x v="6"/>
    <n v="5000"/>
    <x v="1"/>
    <x v="0"/>
    <x v="46"/>
    <x v="6"/>
    <x v="0"/>
    <x v="0"/>
    <x v="5"/>
    <x v="0"/>
  </r>
  <r>
    <x v="0"/>
    <x v="0"/>
    <n v="2239233266"/>
    <x v="5"/>
    <n v="-100"/>
    <x v="1"/>
    <x v="0"/>
    <x v="46"/>
    <x v="5"/>
    <x v="0"/>
    <x v="0"/>
    <x v="5"/>
    <x v="0"/>
  </r>
  <r>
    <x v="0"/>
    <x v="0"/>
    <n v="2239233266"/>
    <x v="6"/>
    <n v="11000"/>
    <x v="1"/>
    <x v="0"/>
    <x v="46"/>
    <x v="6"/>
    <x v="0"/>
    <x v="0"/>
    <x v="5"/>
    <x v="0"/>
  </r>
  <r>
    <x v="0"/>
    <x v="0"/>
    <n v="2239233267"/>
    <x v="5"/>
    <n v="-5200"/>
    <x v="1"/>
    <x v="0"/>
    <x v="46"/>
    <x v="5"/>
    <x v="0"/>
    <x v="0"/>
    <x v="5"/>
    <x v="0"/>
  </r>
  <r>
    <x v="0"/>
    <x v="0"/>
    <n v="2239233267"/>
    <x v="4"/>
    <n v="21000"/>
    <x v="1"/>
    <x v="0"/>
    <x v="46"/>
    <x v="4"/>
    <x v="0"/>
    <x v="0"/>
    <x v="4"/>
    <x v="0"/>
  </r>
  <r>
    <x v="0"/>
    <x v="0"/>
    <n v="2239235034"/>
    <x v="0"/>
    <n v="6500"/>
    <x v="1"/>
    <x v="0"/>
    <x v="12"/>
    <x v="0"/>
    <x v="0"/>
    <x v="0"/>
    <x v="0"/>
    <x v="0"/>
  </r>
  <r>
    <x v="0"/>
    <x v="0"/>
    <n v="2239235035"/>
    <x v="1"/>
    <n v="9420"/>
    <x v="1"/>
    <x v="0"/>
    <x v="12"/>
    <x v="1"/>
    <x v="0"/>
    <x v="0"/>
    <x v="1"/>
    <x v="0"/>
  </r>
  <r>
    <x v="0"/>
    <x v="0"/>
    <n v="2239235039"/>
    <x v="0"/>
    <n v="28550"/>
    <x v="1"/>
    <x v="0"/>
    <x v="12"/>
    <x v="0"/>
    <x v="0"/>
    <x v="0"/>
    <x v="0"/>
    <x v="0"/>
  </r>
  <r>
    <x v="0"/>
    <x v="0"/>
    <n v="2239235040"/>
    <x v="0"/>
    <n v="900"/>
    <x v="1"/>
    <x v="0"/>
    <x v="12"/>
    <x v="0"/>
    <x v="0"/>
    <x v="0"/>
    <x v="0"/>
    <x v="0"/>
  </r>
  <r>
    <x v="0"/>
    <x v="0"/>
    <n v="2239235041"/>
    <x v="0"/>
    <n v="8550"/>
    <x v="1"/>
    <x v="0"/>
    <x v="12"/>
    <x v="0"/>
    <x v="0"/>
    <x v="0"/>
    <x v="0"/>
    <x v="0"/>
  </r>
  <r>
    <x v="0"/>
    <x v="0"/>
    <n v="2239235042"/>
    <x v="0"/>
    <n v="8250"/>
    <x v="1"/>
    <x v="0"/>
    <x v="12"/>
    <x v="0"/>
    <x v="0"/>
    <x v="0"/>
    <x v="0"/>
    <x v="0"/>
  </r>
  <r>
    <x v="0"/>
    <x v="0"/>
    <n v="2239235043"/>
    <x v="0"/>
    <n v="13650"/>
    <x v="1"/>
    <x v="0"/>
    <x v="12"/>
    <x v="0"/>
    <x v="0"/>
    <x v="0"/>
    <x v="0"/>
    <x v="0"/>
  </r>
  <r>
    <x v="0"/>
    <x v="0"/>
    <n v="2239235044"/>
    <x v="0"/>
    <n v="4200"/>
    <x v="1"/>
    <x v="0"/>
    <x v="12"/>
    <x v="0"/>
    <x v="0"/>
    <x v="0"/>
    <x v="0"/>
    <x v="0"/>
  </r>
  <r>
    <x v="0"/>
    <x v="0"/>
    <n v="2239235045"/>
    <x v="0"/>
    <n v="9150"/>
    <x v="1"/>
    <x v="0"/>
    <x v="12"/>
    <x v="0"/>
    <x v="0"/>
    <x v="0"/>
    <x v="0"/>
    <x v="0"/>
  </r>
  <r>
    <x v="0"/>
    <x v="0"/>
    <n v="2239235046"/>
    <x v="1"/>
    <n v="14340"/>
    <x v="1"/>
    <x v="0"/>
    <x v="12"/>
    <x v="1"/>
    <x v="0"/>
    <x v="0"/>
    <x v="1"/>
    <x v="0"/>
  </r>
  <r>
    <x v="0"/>
    <x v="0"/>
    <n v="2239235047"/>
    <x v="0"/>
    <n v="2250"/>
    <x v="1"/>
    <x v="0"/>
    <x v="12"/>
    <x v="0"/>
    <x v="0"/>
    <x v="0"/>
    <x v="0"/>
    <x v="0"/>
  </r>
  <r>
    <x v="0"/>
    <x v="0"/>
    <n v="2239235048"/>
    <x v="0"/>
    <n v="900"/>
    <x v="1"/>
    <x v="0"/>
    <x v="12"/>
    <x v="0"/>
    <x v="0"/>
    <x v="0"/>
    <x v="0"/>
    <x v="0"/>
  </r>
  <r>
    <x v="0"/>
    <x v="0"/>
    <n v="2239235049"/>
    <x v="1"/>
    <n v="57880"/>
    <x v="1"/>
    <x v="0"/>
    <x v="12"/>
    <x v="1"/>
    <x v="0"/>
    <x v="0"/>
    <x v="1"/>
    <x v="0"/>
  </r>
  <r>
    <x v="0"/>
    <x v="0"/>
    <n v="2239235050"/>
    <x v="0"/>
    <n v="6570"/>
    <x v="1"/>
    <x v="0"/>
    <x v="12"/>
    <x v="0"/>
    <x v="0"/>
    <x v="0"/>
    <x v="0"/>
    <x v="0"/>
  </r>
  <r>
    <x v="0"/>
    <x v="0"/>
    <n v="2239235051"/>
    <x v="0"/>
    <n v="5970"/>
    <x v="1"/>
    <x v="0"/>
    <x v="12"/>
    <x v="0"/>
    <x v="0"/>
    <x v="0"/>
    <x v="0"/>
    <x v="0"/>
  </r>
  <r>
    <x v="0"/>
    <x v="0"/>
    <n v="2239235052"/>
    <x v="0"/>
    <n v="5250"/>
    <x v="1"/>
    <x v="0"/>
    <x v="12"/>
    <x v="0"/>
    <x v="0"/>
    <x v="0"/>
    <x v="0"/>
    <x v="0"/>
  </r>
  <r>
    <x v="0"/>
    <x v="0"/>
    <n v="2239235053"/>
    <x v="0"/>
    <n v="2850"/>
    <x v="1"/>
    <x v="0"/>
    <x v="12"/>
    <x v="0"/>
    <x v="0"/>
    <x v="0"/>
    <x v="0"/>
    <x v="0"/>
  </r>
  <r>
    <x v="0"/>
    <x v="0"/>
    <n v="2239235054"/>
    <x v="1"/>
    <n v="67520"/>
    <x v="1"/>
    <x v="0"/>
    <x v="12"/>
    <x v="1"/>
    <x v="0"/>
    <x v="0"/>
    <x v="1"/>
    <x v="0"/>
  </r>
  <r>
    <x v="0"/>
    <x v="0"/>
    <n v="2239235055"/>
    <x v="0"/>
    <n v="1800"/>
    <x v="1"/>
    <x v="0"/>
    <x v="12"/>
    <x v="0"/>
    <x v="0"/>
    <x v="0"/>
    <x v="0"/>
    <x v="0"/>
  </r>
  <r>
    <x v="0"/>
    <x v="0"/>
    <n v="2239235056"/>
    <x v="0"/>
    <n v="1800"/>
    <x v="1"/>
    <x v="0"/>
    <x v="12"/>
    <x v="0"/>
    <x v="0"/>
    <x v="0"/>
    <x v="0"/>
    <x v="0"/>
  </r>
  <r>
    <x v="0"/>
    <x v="0"/>
    <n v="2239235057"/>
    <x v="0"/>
    <n v="1800"/>
    <x v="1"/>
    <x v="0"/>
    <x v="12"/>
    <x v="0"/>
    <x v="0"/>
    <x v="0"/>
    <x v="0"/>
    <x v="0"/>
  </r>
  <r>
    <x v="0"/>
    <x v="0"/>
    <n v="2239235058"/>
    <x v="0"/>
    <n v="6720"/>
    <x v="1"/>
    <x v="0"/>
    <x v="12"/>
    <x v="0"/>
    <x v="0"/>
    <x v="0"/>
    <x v="0"/>
    <x v="0"/>
  </r>
  <r>
    <x v="0"/>
    <x v="0"/>
    <n v="2239235059"/>
    <x v="1"/>
    <n v="900"/>
    <x v="1"/>
    <x v="0"/>
    <x v="12"/>
    <x v="1"/>
    <x v="0"/>
    <x v="0"/>
    <x v="1"/>
    <x v="0"/>
  </r>
  <r>
    <x v="0"/>
    <x v="0"/>
    <n v="2239235060"/>
    <x v="1"/>
    <n v="12250"/>
    <x v="1"/>
    <x v="0"/>
    <x v="12"/>
    <x v="1"/>
    <x v="0"/>
    <x v="0"/>
    <x v="1"/>
    <x v="0"/>
  </r>
  <r>
    <x v="0"/>
    <x v="0"/>
    <n v="2239235061"/>
    <x v="2"/>
    <n v="12880"/>
    <x v="1"/>
    <x v="0"/>
    <x v="12"/>
    <x v="2"/>
    <x v="0"/>
    <x v="0"/>
    <x v="2"/>
    <x v="0"/>
  </r>
  <r>
    <x v="0"/>
    <x v="0"/>
    <n v="2239235062"/>
    <x v="2"/>
    <n v="14812"/>
    <x v="1"/>
    <x v="0"/>
    <x v="12"/>
    <x v="2"/>
    <x v="0"/>
    <x v="0"/>
    <x v="2"/>
    <x v="0"/>
  </r>
  <r>
    <x v="0"/>
    <x v="0"/>
    <n v="2239235063"/>
    <x v="6"/>
    <n v="3000"/>
    <x v="1"/>
    <x v="0"/>
    <x v="12"/>
    <x v="6"/>
    <x v="0"/>
    <x v="0"/>
    <x v="5"/>
    <x v="0"/>
  </r>
  <r>
    <x v="0"/>
    <x v="0"/>
    <n v="2239235064"/>
    <x v="2"/>
    <n v="6500"/>
    <x v="1"/>
    <x v="0"/>
    <x v="12"/>
    <x v="2"/>
    <x v="0"/>
    <x v="0"/>
    <x v="2"/>
    <x v="0"/>
  </r>
  <r>
    <x v="0"/>
    <x v="0"/>
    <n v="2239235065"/>
    <x v="2"/>
    <n v="37224"/>
    <x v="1"/>
    <x v="0"/>
    <x v="12"/>
    <x v="2"/>
    <x v="0"/>
    <x v="0"/>
    <x v="2"/>
    <x v="0"/>
  </r>
  <r>
    <x v="0"/>
    <x v="0"/>
    <n v="2239235065"/>
    <x v="7"/>
    <n v="8460"/>
    <x v="1"/>
    <x v="0"/>
    <x v="12"/>
    <x v="7"/>
    <x v="0"/>
    <x v="0"/>
    <x v="1"/>
    <x v="0"/>
  </r>
  <r>
    <x v="0"/>
    <x v="0"/>
    <n v="2239235066"/>
    <x v="2"/>
    <n v="4000"/>
    <x v="1"/>
    <x v="0"/>
    <x v="12"/>
    <x v="2"/>
    <x v="0"/>
    <x v="0"/>
    <x v="2"/>
    <x v="0"/>
  </r>
  <r>
    <x v="0"/>
    <x v="0"/>
    <n v="2239235067"/>
    <x v="2"/>
    <n v="3000"/>
    <x v="1"/>
    <x v="0"/>
    <x v="12"/>
    <x v="2"/>
    <x v="0"/>
    <x v="0"/>
    <x v="2"/>
    <x v="0"/>
  </r>
  <r>
    <x v="0"/>
    <x v="0"/>
    <n v="2239235068"/>
    <x v="2"/>
    <n v="2880"/>
    <x v="1"/>
    <x v="0"/>
    <x v="12"/>
    <x v="2"/>
    <x v="0"/>
    <x v="0"/>
    <x v="2"/>
    <x v="0"/>
  </r>
  <r>
    <x v="0"/>
    <x v="0"/>
    <n v="2239235068"/>
    <x v="7"/>
    <n v="1920"/>
    <x v="1"/>
    <x v="0"/>
    <x v="12"/>
    <x v="7"/>
    <x v="0"/>
    <x v="0"/>
    <x v="1"/>
    <x v="0"/>
  </r>
  <r>
    <x v="0"/>
    <x v="0"/>
    <n v="2239235069"/>
    <x v="6"/>
    <n v="3000"/>
    <x v="1"/>
    <x v="0"/>
    <x v="12"/>
    <x v="6"/>
    <x v="0"/>
    <x v="0"/>
    <x v="5"/>
    <x v="0"/>
  </r>
  <r>
    <x v="0"/>
    <x v="0"/>
    <n v="2239235070"/>
    <x v="6"/>
    <n v="3000"/>
    <x v="1"/>
    <x v="0"/>
    <x v="12"/>
    <x v="6"/>
    <x v="0"/>
    <x v="0"/>
    <x v="5"/>
    <x v="0"/>
  </r>
  <r>
    <x v="0"/>
    <x v="0"/>
    <n v="2239235071"/>
    <x v="2"/>
    <n v="4250"/>
    <x v="1"/>
    <x v="0"/>
    <x v="12"/>
    <x v="2"/>
    <x v="0"/>
    <x v="0"/>
    <x v="2"/>
    <x v="0"/>
  </r>
  <r>
    <x v="0"/>
    <x v="0"/>
    <n v="2239235074"/>
    <x v="4"/>
    <n v="4600"/>
    <x v="1"/>
    <x v="0"/>
    <x v="12"/>
    <x v="4"/>
    <x v="0"/>
    <x v="0"/>
    <x v="4"/>
    <x v="0"/>
  </r>
  <r>
    <x v="0"/>
    <x v="0"/>
    <n v="2239235075"/>
    <x v="4"/>
    <n v="5300"/>
    <x v="1"/>
    <x v="0"/>
    <x v="12"/>
    <x v="4"/>
    <x v="0"/>
    <x v="0"/>
    <x v="4"/>
    <x v="0"/>
  </r>
  <r>
    <x v="0"/>
    <x v="0"/>
    <n v="2239235076"/>
    <x v="4"/>
    <n v="5700"/>
    <x v="1"/>
    <x v="0"/>
    <x v="12"/>
    <x v="4"/>
    <x v="0"/>
    <x v="0"/>
    <x v="4"/>
    <x v="0"/>
  </r>
  <r>
    <x v="0"/>
    <x v="0"/>
    <n v="2239235077"/>
    <x v="4"/>
    <n v="5600"/>
    <x v="1"/>
    <x v="0"/>
    <x v="12"/>
    <x v="4"/>
    <x v="0"/>
    <x v="0"/>
    <x v="4"/>
    <x v="0"/>
  </r>
  <r>
    <x v="0"/>
    <x v="0"/>
    <n v="2239235078"/>
    <x v="5"/>
    <n v="-3250"/>
    <x v="1"/>
    <x v="0"/>
    <x v="12"/>
    <x v="5"/>
    <x v="0"/>
    <x v="0"/>
    <x v="5"/>
    <x v="0"/>
  </r>
  <r>
    <x v="0"/>
    <x v="0"/>
    <n v="2239235078"/>
    <x v="6"/>
    <n v="15000"/>
    <x v="1"/>
    <x v="0"/>
    <x v="12"/>
    <x v="6"/>
    <x v="0"/>
    <x v="0"/>
    <x v="5"/>
    <x v="0"/>
  </r>
  <r>
    <x v="0"/>
    <x v="0"/>
    <n v="2239235078"/>
    <x v="7"/>
    <n v="11750"/>
    <x v="1"/>
    <x v="0"/>
    <x v="12"/>
    <x v="7"/>
    <x v="0"/>
    <x v="0"/>
    <x v="1"/>
    <x v="0"/>
  </r>
  <r>
    <x v="0"/>
    <x v="0"/>
    <n v="2239235079"/>
    <x v="2"/>
    <n v="6500"/>
    <x v="1"/>
    <x v="0"/>
    <x v="12"/>
    <x v="2"/>
    <x v="0"/>
    <x v="0"/>
    <x v="2"/>
    <x v="0"/>
  </r>
  <r>
    <x v="0"/>
    <x v="0"/>
    <n v="2239235080"/>
    <x v="1"/>
    <n v="2580"/>
    <x v="1"/>
    <x v="0"/>
    <x v="12"/>
    <x v="1"/>
    <x v="0"/>
    <x v="0"/>
    <x v="1"/>
    <x v="0"/>
  </r>
  <r>
    <x v="0"/>
    <x v="0"/>
    <n v="2239235082"/>
    <x v="5"/>
    <n v="-400"/>
    <x v="1"/>
    <x v="0"/>
    <x v="12"/>
    <x v="5"/>
    <x v="0"/>
    <x v="0"/>
    <x v="5"/>
    <x v="0"/>
  </r>
  <r>
    <x v="0"/>
    <x v="0"/>
    <n v="2239235082"/>
    <x v="4"/>
    <n v="5000"/>
    <x v="1"/>
    <x v="0"/>
    <x v="12"/>
    <x v="4"/>
    <x v="0"/>
    <x v="0"/>
    <x v="4"/>
    <x v="0"/>
  </r>
  <r>
    <x v="0"/>
    <x v="0"/>
    <n v="2239235085"/>
    <x v="6"/>
    <n v="1900"/>
    <x v="1"/>
    <x v="0"/>
    <x v="12"/>
    <x v="6"/>
    <x v="0"/>
    <x v="0"/>
    <x v="5"/>
    <x v="0"/>
  </r>
  <r>
    <x v="0"/>
    <x v="0"/>
    <n v="2239235085"/>
    <x v="7"/>
    <n v="1900"/>
    <x v="1"/>
    <x v="0"/>
    <x v="12"/>
    <x v="7"/>
    <x v="0"/>
    <x v="0"/>
    <x v="1"/>
    <x v="0"/>
  </r>
  <r>
    <x v="0"/>
    <x v="0"/>
    <n v="2239235086"/>
    <x v="5"/>
    <n v="-11300"/>
    <x v="1"/>
    <x v="0"/>
    <x v="12"/>
    <x v="5"/>
    <x v="0"/>
    <x v="0"/>
    <x v="5"/>
    <x v="0"/>
  </r>
  <r>
    <x v="0"/>
    <x v="0"/>
    <n v="2239235086"/>
    <x v="6"/>
    <n v="20000"/>
    <x v="1"/>
    <x v="0"/>
    <x v="12"/>
    <x v="6"/>
    <x v="0"/>
    <x v="0"/>
    <x v="5"/>
    <x v="0"/>
  </r>
  <r>
    <x v="0"/>
    <x v="0"/>
    <n v="2239235086"/>
    <x v="7"/>
    <n v="1500"/>
    <x v="1"/>
    <x v="0"/>
    <x v="12"/>
    <x v="7"/>
    <x v="0"/>
    <x v="0"/>
    <x v="1"/>
    <x v="0"/>
  </r>
  <r>
    <x v="0"/>
    <x v="0"/>
    <n v="2239235087"/>
    <x v="5"/>
    <n v="-2000"/>
    <x v="1"/>
    <x v="0"/>
    <x v="12"/>
    <x v="5"/>
    <x v="0"/>
    <x v="0"/>
    <x v="5"/>
    <x v="0"/>
  </r>
  <r>
    <x v="0"/>
    <x v="0"/>
    <n v="2239235087"/>
    <x v="6"/>
    <n v="5000"/>
    <x v="1"/>
    <x v="0"/>
    <x v="12"/>
    <x v="6"/>
    <x v="0"/>
    <x v="0"/>
    <x v="5"/>
    <x v="0"/>
  </r>
  <r>
    <x v="0"/>
    <x v="0"/>
    <n v="2239235088"/>
    <x v="5"/>
    <n v="-3600"/>
    <x v="1"/>
    <x v="0"/>
    <x v="12"/>
    <x v="5"/>
    <x v="0"/>
    <x v="0"/>
    <x v="5"/>
    <x v="0"/>
  </r>
  <r>
    <x v="0"/>
    <x v="0"/>
    <n v="2239235088"/>
    <x v="6"/>
    <n v="30000"/>
    <x v="1"/>
    <x v="0"/>
    <x v="12"/>
    <x v="6"/>
    <x v="0"/>
    <x v="0"/>
    <x v="5"/>
    <x v="0"/>
  </r>
  <r>
    <x v="0"/>
    <x v="0"/>
    <n v="2239235090"/>
    <x v="2"/>
    <n v="3250"/>
    <x v="1"/>
    <x v="0"/>
    <x v="12"/>
    <x v="2"/>
    <x v="0"/>
    <x v="0"/>
    <x v="2"/>
    <x v="0"/>
  </r>
  <r>
    <x v="0"/>
    <x v="0"/>
    <n v="2239235091"/>
    <x v="2"/>
    <n v="15895"/>
    <x v="1"/>
    <x v="0"/>
    <x v="12"/>
    <x v="2"/>
    <x v="0"/>
    <x v="0"/>
    <x v="2"/>
    <x v="0"/>
  </r>
  <r>
    <x v="0"/>
    <x v="0"/>
    <n v="2239235091"/>
    <x v="7"/>
    <n v="14450"/>
    <x v="1"/>
    <x v="0"/>
    <x v="12"/>
    <x v="7"/>
    <x v="0"/>
    <x v="0"/>
    <x v="1"/>
    <x v="0"/>
  </r>
  <r>
    <x v="0"/>
    <x v="0"/>
    <n v="2239235092"/>
    <x v="2"/>
    <n v="16720"/>
    <x v="1"/>
    <x v="0"/>
    <x v="12"/>
    <x v="2"/>
    <x v="0"/>
    <x v="0"/>
    <x v="2"/>
    <x v="0"/>
  </r>
  <r>
    <x v="0"/>
    <x v="0"/>
    <n v="2239235092"/>
    <x v="7"/>
    <n v="9250"/>
    <x v="1"/>
    <x v="0"/>
    <x v="12"/>
    <x v="7"/>
    <x v="0"/>
    <x v="0"/>
    <x v="1"/>
    <x v="0"/>
  </r>
  <r>
    <x v="0"/>
    <x v="0"/>
    <n v="2239235093"/>
    <x v="5"/>
    <n v="-250"/>
    <x v="1"/>
    <x v="0"/>
    <x v="12"/>
    <x v="5"/>
    <x v="0"/>
    <x v="0"/>
    <x v="5"/>
    <x v="0"/>
  </r>
  <r>
    <x v="0"/>
    <x v="0"/>
    <n v="2239235093"/>
    <x v="6"/>
    <n v="3500"/>
    <x v="1"/>
    <x v="0"/>
    <x v="12"/>
    <x v="6"/>
    <x v="0"/>
    <x v="0"/>
    <x v="5"/>
    <x v="0"/>
  </r>
  <r>
    <x v="0"/>
    <x v="0"/>
    <n v="2239235094"/>
    <x v="6"/>
    <n v="6750"/>
    <x v="1"/>
    <x v="0"/>
    <x v="12"/>
    <x v="6"/>
    <x v="0"/>
    <x v="0"/>
    <x v="5"/>
    <x v="0"/>
  </r>
  <r>
    <x v="0"/>
    <x v="0"/>
    <n v="2239235095"/>
    <x v="5"/>
    <n v="-14400"/>
    <x v="1"/>
    <x v="0"/>
    <x v="12"/>
    <x v="5"/>
    <x v="0"/>
    <x v="0"/>
    <x v="5"/>
    <x v="0"/>
  </r>
  <r>
    <x v="0"/>
    <x v="0"/>
    <n v="2239235095"/>
    <x v="4"/>
    <n v="20000"/>
    <x v="1"/>
    <x v="0"/>
    <x v="12"/>
    <x v="4"/>
    <x v="0"/>
    <x v="0"/>
    <x v="4"/>
    <x v="0"/>
  </r>
  <r>
    <x v="0"/>
    <x v="0"/>
    <n v="2239235097"/>
    <x v="5"/>
    <n v="-1300"/>
    <x v="1"/>
    <x v="0"/>
    <x v="12"/>
    <x v="5"/>
    <x v="0"/>
    <x v="0"/>
    <x v="5"/>
    <x v="0"/>
  </r>
  <r>
    <x v="0"/>
    <x v="0"/>
    <n v="2239235097"/>
    <x v="6"/>
    <n v="13000"/>
    <x v="1"/>
    <x v="0"/>
    <x v="12"/>
    <x v="6"/>
    <x v="0"/>
    <x v="0"/>
    <x v="5"/>
    <x v="0"/>
  </r>
  <r>
    <x v="0"/>
    <x v="0"/>
    <n v="2239235098"/>
    <x v="1"/>
    <n v="1050"/>
    <x v="1"/>
    <x v="0"/>
    <x v="12"/>
    <x v="1"/>
    <x v="0"/>
    <x v="0"/>
    <x v="1"/>
    <x v="0"/>
  </r>
  <r>
    <x v="0"/>
    <x v="0"/>
    <n v="2239235099"/>
    <x v="2"/>
    <n v="22440"/>
    <x v="1"/>
    <x v="0"/>
    <x v="12"/>
    <x v="2"/>
    <x v="0"/>
    <x v="0"/>
    <x v="2"/>
    <x v="0"/>
  </r>
  <r>
    <x v="0"/>
    <x v="0"/>
    <n v="2239235100"/>
    <x v="2"/>
    <n v="18920"/>
    <x v="1"/>
    <x v="0"/>
    <x v="12"/>
    <x v="2"/>
    <x v="0"/>
    <x v="0"/>
    <x v="2"/>
    <x v="0"/>
  </r>
  <r>
    <x v="0"/>
    <x v="0"/>
    <n v="2239235100"/>
    <x v="7"/>
    <n v="5450"/>
    <x v="1"/>
    <x v="0"/>
    <x v="12"/>
    <x v="7"/>
    <x v="0"/>
    <x v="0"/>
    <x v="1"/>
    <x v="0"/>
  </r>
  <r>
    <x v="0"/>
    <x v="0"/>
    <n v="2239235101"/>
    <x v="2"/>
    <n v="35750"/>
    <x v="1"/>
    <x v="0"/>
    <x v="12"/>
    <x v="2"/>
    <x v="0"/>
    <x v="0"/>
    <x v="2"/>
    <x v="0"/>
  </r>
  <r>
    <x v="0"/>
    <x v="0"/>
    <n v="2239235102"/>
    <x v="5"/>
    <n v="-3500"/>
    <x v="1"/>
    <x v="0"/>
    <x v="12"/>
    <x v="5"/>
    <x v="0"/>
    <x v="0"/>
    <x v="5"/>
    <x v="0"/>
  </r>
  <r>
    <x v="0"/>
    <x v="0"/>
    <n v="2239235102"/>
    <x v="6"/>
    <n v="10000"/>
    <x v="1"/>
    <x v="0"/>
    <x v="12"/>
    <x v="6"/>
    <x v="0"/>
    <x v="0"/>
    <x v="5"/>
    <x v="0"/>
  </r>
  <r>
    <x v="0"/>
    <x v="0"/>
    <n v="2239235103"/>
    <x v="5"/>
    <n v="-550"/>
    <x v="1"/>
    <x v="0"/>
    <x v="12"/>
    <x v="5"/>
    <x v="0"/>
    <x v="0"/>
    <x v="5"/>
    <x v="0"/>
  </r>
  <r>
    <x v="0"/>
    <x v="0"/>
    <n v="2239235103"/>
    <x v="6"/>
    <n v="10000"/>
    <x v="1"/>
    <x v="0"/>
    <x v="12"/>
    <x v="6"/>
    <x v="0"/>
    <x v="0"/>
    <x v="5"/>
    <x v="0"/>
  </r>
  <r>
    <x v="0"/>
    <x v="0"/>
    <n v="2239235104"/>
    <x v="2"/>
    <n v="82060"/>
    <x v="1"/>
    <x v="0"/>
    <x v="12"/>
    <x v="2"/>
    <x v="0"/>
    <x v="0"/>
    <x v="2"/>
    <x v="0"/>
  </r>
  <r>
    <x v="0"/>
    <x v="0"/>
    <n v="2239235104"/>
    <x v="7"/>
    <n v="14250"/>
    <x v="1"/>
    <x v="0"/>
    <x v="12"/>
    <x v="7"/>
    <x v="0"/>
    <x v="0"/>
    <x v="1"/>
    <x v="0"/>
  </r>
  <r>
    <x v="0"/>
    <x v="0"/>
    <n v="2239235105"/>
    <x v="1"/>
    <n v="5900"/>
    <x v="1"/>
    <x v="0"/>
    <x v="12"/>
    <x v="1"/>
    <x v="0"/>
    <x v="0"/>
    <x v="1"/>
    <x v="0"/>
  </r>
  <r>
    <x v="0"/>
    <x v="0"/>
    <n v="2239235106"/>
    <x v="1"/>
    <n v="19300"/>
    <x v="1"/>
    <x v="0"/>
    <x v="12"/>
    <x v="1"/>
    <x v="0"/>
    <x v="0"/>
    <x v="1"/>
    <x v="0"/>
  </r>
  <r>
    <x v="0"/>
    <x v="0"/>
    <n v="2239235108"/>
    <x v="1"/>
    <n v="11800"/>
    <x v="1"/>
    <x v="0"/>
    <x v="12"/>
    <x v="1"/>
    <x v="0"/>
    <x v="0"/>
    <x v="1"/>
    <x v="0"/>
  </r>
  <r>
    <x v="0"/>
    <x v="0"/>
    <n v="2239235109"/>
    <x v="5"/>
    <n v="-1250"/>
    <x v="1"/>
    <x v="0"/>
    <x v="12"/>
    <x v="5"/>
    <x v="0"/>
    <x v="0"/>
    <x v="5"/>
    <x v="0"/>
  </r>
  <r>
    <x v="0"/>
    <x v="0"/>
    <n v="2239235109"/>
    <x v="6"/>
    <n v="5000"/>
    <x v="1"/>
    <x v="0"/>
    <x v="12"/>
    <x v="6"/>
    <x v="0"/>
    <x v="0"/>
    <x v="5"/>
    <x v="0"/>
  </r>
  <r>
    <x v="0"/>
    <x v="0"/>
    <n v="2239235111"/>
    <x v="1"/>
    <n v="900"/>
    <x v="1"/>
    <x v="0"/>
    <x v="12"/>
    <x v="1"/>
    <x v="0"/>
    <x v="0"/>
    <x v="1"/>
    <x v="0"/>
  </r>
  <r>
    <x v="0"/>
    <x v="0"/>
    <n v="2239235112"/>
    <x v="2"/>
    <n v="3300"/>
    <x v="1"/>
    <x v="0"/>
    <x v="12"/>
    <x v="2"/>
    <x v="0"/>
    <x v="0"/>
    <x v="2"/>
    <x v="0"/>
  </r>
  <r>
    <x v="0"/>
    <x v="0"/>
    <n v="2239235113"/>
    <x v="2"/>
    <n v="3250"/>
    <x v="1"/>
    <x v="0"/>
    <x v="12"/>
    <x v="2"/>
    <x v="0"/>
    <x v="0"/>
    <x v="2"/>
    <x v="0"/>
  </r>
  <r>
    <x v="0"/>
    <x v="0"/>
    <n v="2239235114"/>
    <x v="2"/>
    <n v="25245"/>
    <x v="1"/>
    <x v="0"/>
    <x v="12"/>
    <x v="2"/>
    <x v="0"/>
    <x v="0"/>
    <x v="2"/>
    <x v="0"/>
  </r>
  <r>
    <x v="0"/>
    <x v="0"/>
    <n v="2239235115"/>
    <x v="2"/>
    <n v="7150"/>
    <x v="1"/>
    <x v="0"/>
    <x v="12"/>
    <x v="2"/>
    <x v="0"/>
    <x v="0"/>
    <x v="2"/>
    <x v="0"/>
  </r>
  <r>
    <x v="0"/>
    <x v="0"/>
    <n v="2239235116"/>
    <x v="6"/>
    <n v="5800"/>
    <x v="1"/>
    <x v="0"/>
    <x v="12"/>
    <x v="6"/>
    <x v="0"/>
    <x v="0"/>
    <x v="5"/>
    <x v="0"/>
  </r>
  <r>
    <x v="0"/>
    <x v="0"/>
    <n v="2239235117"/>
    <x v="2"/>
    <n v="9295"/>
    <x v="1"/>
    <x v="0"/>
    <x v="12"/>
    <x v="2"/>
    <x v="0"/>
    <x v="0"/>
    <x v="2"/>
    <x v="0"/>
  </r>
  <r>
    <x v="0"/>
    <x v="0"/>
    <n v="2239235118"/>
    <x v="5"/>
    <n v="-500"/>
    <x v="1"/>
    <x v="0"/>
    <x v="12"/>
    <x v="5"/>
    <x v="0"/>
    <x v="0"/>
    <x v="5"/>
    <x v="0"/>
  </r>
  <r>
    <x v="0"/>
    <x v="0"/>
    <n v="2239235118"/>
    <x v="6"/>
    <n v="6000"/>
    <x v="1"/>
    <x v="0"/>
    <x v="12"/>
    <x v="6"/>
    <x v="0"/>
    <x v="0"/>
    <x v="5"/>
    <x v="0"/>
  </r>
  <r>
    <x v="0"/>
    <x v="0"/>
    <n v="2239235119"/>
    <x v="5"/>
    <n v="-4300"/>
    <x v="1"/>
    <x v="0"/>
    <x v="12"/>
    <x v="5"/>
    <x v="0"/>
    <x v="0"/>
    <x v="5"/>
    <x v="0"/>
  </r>
  <r>
    <x v="0"/>
    <x v="0"/>
    <n v="2239235119"/>
    <x v="6"/>
    <n v="10000"/>
    <x v="1"/>
    <x v="0"/>
    <x v="12"/>
    <x v="6"/>
    <x v="0"/>
    <x v="0"/>
    <x v="5"/>
    <x v="0"/>
  </r>
  <r>
    <x v="0"/>
    <x v="0"/>
    <n v="2239235120"/>
    <x v="2"/>
    <n v="6500"/>
    <x v="1"/>
    <x v="0"/>
    <x v="12"/>
    <x v="2"/>
    <x v="0"/>
    <x v="0"/>
    <x v="2"/>
    <x v="0"/>
  </r>
  <r>
    <x v="0"/>
    <x v="0"/>
    <n v="2239235121"/>
    <x v="5"/>
    <n v="-6000"/>
    <x v="1"/>
    <x v="0"/>
    <x v="12"/>
    <x v="5"/>
    <x v="0"/>
    <x v="0"/>
    <x v="5"/>
    <x v="0"/>
  </r>
  <r>
    <x v="0"/>
    <x v="0"/>
    <n v="2239235121"/>
    <x v="4"/>
    <n v="10600"/>
    <x v="1"/>
    <x v="0"/>
    <x v="12"/>
    <x v="4"/>
    <x v="0"/>
    <x v="0"/>
    <x v="4"/>
    <x v="0"/>
  </r>
  <r>
    <x v="0"/>
    <x v="0"/>
    <n v="2239235122"/>
    <x v="2"/>
    <n v="11495"/>
    <x v="1"/>
    <x v="0"/>
    <x v="12"/>
    <x v="2"/>
    <x v="0"/>
    <x v="0"/>
    <x v="2"/>
    <x v="0"/>
  </r>
  <r>
    <x v="0"/>
    <x v="0"/>
    <n v="2239235123"/>
    <x v="2"/>
    <n v="2750"/>
    <x v="1"/>
    <x v="0"/>
    <x v="12"/>
    <x v="2"/>
    <x v="0"/>
    <x v="0"/>
    <x v="2"/>
    <x v="0"/>
  </r>
  <r>
    <x v="0"/>
    <x v="0"/>
    <n v="2239235124"/>
    <x v="2"/>
    <n v="19250"/>
    <x v="1"/>
    <x v="0"/>
    <x v="12"/>
    <x v="2"/>
    <x v="0"/>
    <x v="0"/>
    <x v="2"/>
    <x v="0"/>
  </r>
  <r>
    <x v="0"/>
    <x v="0"/>
    <n v="2239235125"/>
    <x v="1"/>
    <n v="4500"/>
    <x v="1"/>
    <x v="0"/>
    <x v="12"/>
    <x v="1"/>
    <x v="0"/>
    <x v="0"/>
    <x v="1"/>
    <x v="0"/>
  </r>
  <r>
    <x v="0"/>
    <x v="0"/>
    <n v="2239235126"/>
    <x v="5"/>
    <n v="-5500"/>
    <x v="1"/>
    <x v="0"/>
    <x v="12"/>
    <x v="5"/>
    <x v="0"/>
    <x v="0"/>
    <x v="5"/>
    <x v="0"/>
  </r>
  <r>
    <x v="0"/>
    <x v="0"/>
    <n v="2239235126"/>
    <x v="6"/>
    <n v="20000"/>
    <x v="1"/>
    <x v="0"/>
    <x v="12"/>
    <x v="6"/>
    <x v="0"/>
    <x v="0"/>
    <x v="5"/>
    <x v="0"/>
  </r>
  <r>
    <x v="0"/>
    <x v="0"/>
    <n v="2239235127"/>
    <x v="5"/>
    <n v="-6250"/>
    <x v="1"/>
    <x v="0"/>
    <x v="12"/>
    <x v="5"/>
    <x v="0"/>
    <x v="0"/>
    <x v="5"/>
    <x v="0"/>
  </r>
  <r>
    <x v="0"/>
    <x v="0"/>
    <n v="2239235127"/>
    <x v="6"/>
    <n v="10000"/>
    <x v="1"/>
    <x v="0"/>
    <x v="12"/>
    <x v="6"/>
    <x v="0"/>
    <x v="0"/>
    <x v="5"/>
    <x v="0"/>
  </r>
  <r>
    <x v="0"/>
    <x v="0"/>
    <n v="2239235129"/>
    <x v="5"/>
    <n v="-700"/>
    <x v="1"/>
    <x v="0"/>
    <x v="12"/>
    <x v="5"/>
    <x v="0"/>
    <x v="0"/>
    <x v="5"/>
    <x v="0"/>
  </r>
  <r>
    <x v="0"/>
    <x v="0"/>
    <n v="2239235129"/>
    <x v="4"/>
    <n v="6000"/>
    <x v="1"/>
    <x v="0"/>
    <x v="12"/>
    <x v="4"/>
    <x v="0"/>
    <x v="0"/>
    <x v="4"/>
    <x v="0"/>
  </r>
  <r>
    <x v="0"/>
    <x v="0"/>
    <n v="2239235130"/>
    <x v="5"/>
    <n v="-1600"/>
    <x v="1"/>
    <x v="0"/>
    <x v="12"/>
    <x v="5"/>
    <x v="0"/>
    <x v="0"/>
    <x v="5"/>
    <x v="0"/>
  </r>
  <r>
    <x v="0"/>
    <x v="0"/>
    <n v="2239235130"/>
    <x v="6"/>
    <n v="12000"/>
    <x v="1"/>
    <x v="0"/>
    <x v="12"/>
    <x v="6"/>
    <x v="0"/>
    <x v="0"/>
    <x v="5"/>
    <x v="0"/>
  </r>
  <r>
    <x v="0"/>
    <x v="0"/>
    <n v="2239235130"/>
    <x v="7"/>
    <n v="2600"/>
    <x v="1"/>
    <x v="0"/>
    <x v="12"/>
    <x v="7"/>
    <x v="0"/>
    <x v="0"/>
    <x v="1"/>
    <x v="0"/>
  </r>
  <r>
    <x v="0"/>
    <x v="0"/>
    <n v="2239235131"/>
    <x v="6"/>
    <n v="7500"/>
    <x v="1"/>
    <x v="0"/>
    <x v="12"/>
    <x v="6"/>
    <x v="0"/>
    <x v="0"/>
    <x v="5"/>
    <x v="0"/>
  </r>
  <r>
    <x v="0"/>
    <x v="0"/>
    <n v="2239235132"/>
    <x v="2"/>
    <n v="19272"/>
    <x v="1"/>
    <x v="0"/>
    <x v="12"/>
    <x v="2"/>
    <x v="0"/>
    <x v="0"/>
    <x v="2"/>
    <x v="0"/>
  </r>
  <r>
    <x v="0"/>
    <x v="0"/>
    <n v="2239235133"/>
    <x v="2"/>
    <n v="8000"/>
    <x v="1"/>
    <x v="0"/>
    <x v="12"/>
    <x v="2"/>
    <x v="0"/>
    <x v="0"/>
    <x v="2"/>
    <x v="0"/>
  </r>
  <r>
    <x v="0"/>
    <x v="0"/>
    <n v="2239235134"/>
    <x v="1"/>
    <n v="1140"/>
    <x v="1"/>
    <x v="0"/>
    <x v="12"/>
    <x v="1"/>
    <x v="0"/>
    <x v="0"/>
    <x v="1"/>
    <x v="0"/>
  </r>
  <r>
    <x v="0"/>
    <x v="0"/>
    <n v="2239235135"/>
    <x v="5"/>
    <n v="-7120"/>
    <x v="1"/>
    <x v="0"/>
    <x v="12"/>
    <x v="5"/>
    <x v="0"/>
    <x v="0"/>
    <x v="5"/>
    <x v="0"/>
  </r>
  <r>
    <x v="0"/>
    <x v="0"/>
    <n v="2239235135"/>
    <x v="6"/>
    <n v="20000"/>
    <x v="1"/>
    <x v="0"/>
    <x v="12"/>
    <x v="6"/>
    <x v="0"/>
    <x v="0"/>
    <x v="5"/>
    <x v="0"/>
  </r>
  <r>
    <x v="0"/>
    <x v="0"/>
    <n v="2239235135"/>
    <x v="7"/>
    <n v="5520"/>
    <x v="1"/>
    <x v="0"/>
    <x v="12"/>
    <x v="7"/>
    <x v="0"/>
    <x v="0"/>
    <x v="1"/>
    <x v="0"/>
  </r>
  <r>
    <x v="0"/>
    <x v="0"/>
    <n v="2239235136"/>
    <x v="2"/>
    <n v="3300"/>
    <x v="1"/>
    <x v="0"/>
    <x v="12"/>
    <x v="2"/>
    <x v="0"/>
    <x v="0"/>
    <x v="2"/>
    <x v="0"/>
  </r>
  <r>
    <x v="0"/>
    <x v="0"/>
    <n v="2239235137"/>
    <x v="4"/>
    <n v="4600"/>
    <x v="1"/>
    <x v="0"/>
    <x v="12"/>
    <x v="4"/>
    <x v="0"/>
    <x v="0"/>
    <x v="4"/>
    <x v="0"/>
  </r>
  <r>
    <x v="0"/>
    <x v="0"/>
    <n v="2239235138"/>
    <x v="5"/>
    <n v="-7000"/>
    <x v="1"/>
    <x v="0"/>
    <x v="12"/>
    <x v="5"/>
    <x v="0"/>
    <x v="0"/>
    <x v="5"/>
    <x v="0"/>
  </r>
  <r>
    <x v="0"/>
    <x v="0"/>
    <n v="2239235138"/>
    <x v="6"/>
    <n v="10000"/>
    <x v="1"/>
    <x v="0"/>
    <x v="12"/>
    <x v="6"/>
    <x v="0"/>
    <x v="0"/>
    <x v="5"/>
    <x v="0"/>
  </r>
  <r>
    <x v="0"/>
    <x v="0"/>
    <n v="2239235139"/>
    <x v="5"/>
    <n v="-3015"/>
    <x v="1"/>
    <x v="0"/>
    <x v="12"/>
    <x v="5"/>
    <x v="0"/>
    <x v="0"/>
    <x v="5"/>
    <x v="0"/>
  </r>
  <r>
    <x v="0"/>
    <x v="0"/>
    <n v="2239235139"/>
    <x v="6"/>
    <n v="20000"/>
    <x v="1"/>
    <x v="0"/>
    <x v="12"/>
    <x v="6"/>
    <x v="0"/>
    <x v="0"/>
    <x v="5"/>
    <x v="0"/>
  </r>
  <r>
    <x v="0"/>
    <x v="0"/>
    <n v="2239235139"/>
    <x v="7"/>
    <n v="5415"/>
    <x v="1"/>
    <x v="0"/>
    <x v="12"/>
    <x v="7"/>
    <x v="0"/>
    <x v="0"/>
    <x v="1"/>
    <x v="0"/>
  </r>
  <r>
    <x v="0"/>
    <x v="0"/>
    <n v="2239235140"/>
    <x v="5"/>
    <n v="-12880"/>
    <x v="1"/>
    <x v="0"/>
    <x v="12"/>
    <x v="5"/>
    <x v="0"/>
    <x v="0"/>
    <x v="5"/>
    <x v="0"/>
  </r>
  <r>
    <x v="0"/>
    <x v="0"/>
    <n v="2239235140"/>
    <x v="6"/>
    <n v="40000"/>
    <x v="1"/>
    <x v="0"/>
    <x v="12"/>
    <x v="6"/>
    <x v="0"/>
    <x v="0"/>
    <x v="5"/>
    <x v="0"/>
  </r>
  <r>
    <x v="0"/>
    <x v="0"/>
    <n v="2239235141"/>
    <x v="2"/>
    <n v="7500"/>
    <x v="1"/>
    <x v="0"/>
    <x v="12"/>
    <x v="2"/>
    <x v="0"/>
    <x v="0"/>
    <x v="2"/>
    <x v="0"/>
  </r>
  <r>
    <x v="0"/>
    <x v="0"/>
    <n v="2239235142"/>
    <x v="1"/>
    <n v="7470"/>
    <x v="1"/>
    <x v="0"/>
    <x v="12"/>
    <x v="1"/>
    <x v="0"/>
    <x v="0"/>
    <x v="1"/>
    <x v="0"/>
  </r>
  <r>
    <x v="0"/>
    <x v="0"/>
    <n v="2239235143"/>
    <x v="2"/>
    <n v="23980"/>
    <x v="1"/>
    <x v="0"/>
    <x v="12"/>
    <x v="2"/>
    <x v="0"/>
    <x v="0"/>
    <x v="2"/>
    <x v="0"/>
  </r>
  <r>
    <x v="0"/>
    <x v="0"/>
    <n v="2239235144"/>
    <x v="2"/>
    <n v="8250"/>
    <x v="1"/>
    <x v="0"/>
    <x v="12"/>
    <x v="2"/>
    <x v="0"/>
    <x v="0"/>
    <x v="2"/>
    <x v="0"/>
  </r>
  <r>
    <x v="0"/>
    <x v="0"/>
    <n v="2239235145"/>
    <x v="2"/>
    <n v="17400"/>
    <x v="1"/>
    <x v="0"/>
    <x v="12"/>
    <x v="2"/>
    <x v="0"/>
    <x v="0"/>
    <x v="2"/>
    <x v="0"/>
  </r>
  <r>
    <x v="0"/>
    <x v="0"/>
    <n v="2239235146"/>
    <x v="5"/>
    <n v="-8100"/>
    <x v="1"/>
    <x v="0"/>
    <x v="12"/>
    <x v="5"/>
    <x v="0"/>
    <x v="0"/>
    <x v="5"/>
    <x v="0"/>
  </r>
  <r>
    <x v="0"/>
    <x v="0"/>
    <n v="2239235146"/>
    <x v="6"/>
    <n v="20000"/>
    <x v="1"/>
    <x v="0"/>
    <x v="12"/>
    <x v="6"/>
    <x v="0"/>
    <x v="0"/>
    <x v="5"/>
    <x v="0"/>
  </r>
  <r>
    <x v="0"/>
    <x v="0"/>
    <n v="2239235147"/>
    <x v="2"/>
    <n v="4180"/>
    <x v="1"/>
    <x v="0"/>
    <x v="12"/>
    <x v="2"/>
    <x v="0"/>
    <x v="0"/>
    <x v="2"/>
    <x v="0"/>
  </r>
  <r>
    <x v="0"/>
    <x v="0"/>
    <n v="2239235148"/>
    <x v="2"/>
    <n v="6500"/>
    <x v="1"/>
    <x v="0"/>
    <x v="12"/>
    <x v="2"/>
    <x v="0"/>
    <x v="0"/>
    <x v="2"/>
    <x v="0"/>
  </r>
  <r>
    <x v="0"/>
    <x v="0"/>
    <n v="2239235149"/>
    <x v="6"/>
    <n v="10500"/>
    <x v="1"/>
    <x v="0"/>
    <x v="12"/>
    <x v="6"/>
    <x v="0"/>
    <x v="0"/>
    <x v="5"/>
    <x v="0"/>
  </r>
  <r>
    <x v="0"/>
    <x v="0"/>
    <n v="2239235150"/>
    <x v="1"/>
    <n v="2040"/>
    <x v="1"/>
    <x v="0"/>
    <x v="12"/>
    <x v="1"/>
    <x v="0"/>
    <x v="0"/>
    <x v="1"/>
    <x v="0"/>
  </r>
  <r>
    <x v="0"/>
    <x v="0"/>
    <n v="2239235151"/>
    <x v="6"/>
    <n v="3000"/>
    <x v="1"/>
    <x v="0"/>
    <x v="12"/>
    <x v="6"/>
    <x v="0"/>
    <x v="0"/>
    <x v="5"/>
    <x v="0"/>
  </r>
  <r>
    <x v="0"/>
    <x v="0"/>
    <n v="2239235152"/>
    <x v="2"/>
    <n v="4800"/>
    <x v="1"/>
    <x v="0"/>
    <x v="12"/>
    <x v="2"/>
    <x v="0"/>
    <x v="0"/>
    <x v="2"/>
    <x v="0"/>
  </r>
  <r>
    <x v="0"/>
    <x v="0"/>
    <n v="2239235153"/>
    <x v="5"/>
    <n v="-16500"/>
    <x v="1"/>
    <x v="0"/>
    <x v="12"/>
    <x v="5"/>
    <x v="0"/>
    <x v="0"/>
    <x v="5"/>
    <x v="0"/>
  </r>
  <r>
    <x v="0"/>
    <x v="0"/>
    <n v="2239235153"/>
    <x v="6"/>
    <n v="20000"/>
    <x v="1"/>
    <x v="0"/>
    <x v="12"/>
    <x v="6"/>
    <x v="0"/>
    <x v="0"/>
    <x v="5"/>
    <x v="0"/>
  </r>
  <r>
    <x v="0"/>
    <x v="0"/>
    <n v="2239235154"/>
    <x v="2"/>
    <n v="15400"/>
    <x v="1"/>
    <x v="0"/>
    <x v="12"/>
    <x v="2"/>
    <x v="0"/>
    <x v="0"/>
    <x v="2"/>
    <x v="0"/>
  </r>
  <r>
    <x v="0"/>
    <x v="0"/>
    <n v="2239235155"/>
    <x v="5"/>
    <n v="-2500"/>
    <x v="1"/>
    <x v="0"/>
    <x v="12"/>
    <x v="5"/>
    <x v="0"/>
    <x v="0"/>
    <x v="5"/>
    <x v="0"/>
  </r>
  <r>
    <x v="0"/>
    <x v="0"/>
    <n v="2239235155"/>
    <x v="6"/>
    <n v="10000"/>
    <x v="1"/>
    <x v="0"/>
    <x v="12"/>
    <x v="6"/>
    <x v="0"/>
    <x v="0"/>
    <x v="5"/>
    <x v="0"/>
  </r>
  <r>
    <x v="0"/>
    <x v="0"/>
    <n v="2239235156"/>
    <x v="5"/>
    <n v="-200"/>
    <x v="1"/>
    <x v="0"/>
    <x v="12"/>
    <x v="5"/>
    <x v="0"/>
    <x v="0"/>
    <x v="5"/>
    <x v="0"/>
  </r>
  <r>
    <x v="0"/>
    <x v="0"/>
    <n v="2239235156"/>
    <x v="4"/>
    <n v="5500"/>
    <x v="1"/>
    <x v="0"/>
    <x v="12"/>
    <x v="4"/>
    <x v="0"/>
    <x v="0"/>
    <x v="4"/>
    <x v="0"/>
  </r>
  <r>
    <x v="0"/>
    <x v="0"/>
    <n v="2239235158"/>
    <x v="2"/>
    <n v="22900"/>
    <x v="1"/>
    <x v="0"/>
    <x v="12"/>
    <x v="2"/>
    <x v="0"/>
    <x v="0"/>
    <x v="2"/>
    <x v="0"/>
  </r>
  <r>
    <x v="0"/>
    <x v="0"/>
    <n v="2239235159"/>
    <x v="5"/>
    <n v="-2500"/>
    <x v="1"/>
    <x v="0"/>
    <x v="12"/>
    <x v="5"/>
    <x v="0"/>
    <x v="0"/>
    <x v="5"/>
    <x v="0"/>
  </r>
  <r>
    <x v="0"/>
    <x v="0"/>
    <n v="2239235159"/>
    <x v="6"/>
    <n v="10000"/>
    <x v="1"/>
    <x v="0"/>
    <x v="12"/>
    <x v="6"/>
    <x v="0"/>
    <x v="0"/>
    <x v="5"/>
    <x v="0"/>
  </r>
  <r>
    <x v="0"/>
    <x v="0"/>
    <n v="2239235160"/>
    <x v="5"/>
    <n v="-4300"/>
    <x v="1"/>
    <x v="0"/>
    <x v="12"/>
    <x v="5"/>
    <x v="0"/>
    <x v="0"/>
    <x v="5"/>
    <x v="0"/>
  </r>
  <r>
    <x v="0"/>
    <x v="0"/>
    <n v="2239235160"/>
    <x v="4"/>
    <n v="10000"/>
    <x v="1"/>
    <x v="0"/>
    <x v="12"/>
    <x v="4"/>
    <x v="0"/>
    <x v="0"/>
    <x v="4"/>
    <x v="0"/>
  </r>
  <r>
    <x v="0"/>
    <x v="0"/>
    <n v="2239235161"/>
    <x v="5"/>
    <n v="-3500"/>
    <x v="1"/>
    <x v="0"/>
    <x v="12"/>
    <x v="5"/>
    <x v="0"/>
    <x v="0"/>
    <x v="5"/>
    <x v="0"/>
  </r>
  <r>
    <x v="0"/>
    <x v="0"/>
    <n v="2239235161"/>
    <x v="6"/>
    <n v="10000"/>
    <x v="1"/>
    <x v="0"/>
    <x v="12"/>
    <x v="6"/>
    <x v="0"/>
    <x v="0"/>
    <x v="5"/>
    <x v="0"/>
  </r>
  <r>
    <x v="0"/>
    <x v="0"/>
    <n v="2239235162"/>
    <x v="2"/>
    <n v="6600"/>
    <x v="1"/>
    <x v="0"/>
    <x v="12"/>
    <x v="2"/>
    <x v="0"/>
    <x v="0"/>
    <x v="2"/>
    <x v="0"/>
  </r>
  <r>
    <x v="0"/>
    <x v="0"/>
    <n v="2239235163"/>
    <x v="5"/>
    <n v="-3500"/>
    <x v="1"/>
    <x v="0"/>
    <x v="12"/>
    <x v="5"/>
    <x v="0"/>
    <x v="0"/>
    <x v="5"/>
    <x v="0"/>
  </r>
  <r>
    <x v="0"/>
    <x v="0"/>
    <n v="2239235163"/>
    <x v="6"/>
    <n v="10000"/>
    <x v="1"/>
    <x v="0"/>
    <x v="12"/>
    <x v="6"/>
    <x v="0"/>
    <x v="0"/>
    <x v="5"/>
    <x v="0"/>
  </r>
  <r>
    <x v="0"/>
    <x v="0"/>
    <n v="2239235164"/>
    <x v="4"/>
    <n v="5300"/>
    <x v="1"/>
    <x v="0"/>
    <x v="12"/>
    <x v="4"/>
    <x v="0"/>
    <x v="0"/>
    <x v="4"/>
    <x v="0"/>
  </r>
  <r>
    <x v="0"/>
    <x v="0"/>
    <n v="2239237272"/>
    <x v="5"/>
    <n v="-4800"/>
    <x v="1"/>
    <x v="0"/>
    <x v="47"/>
    <x v="5"/>
    <x v="0"/>
    <x v="0"/>
    <x v="5"/>
    <x v="0"/>
  </r>
  <r>
    <x v="0"/>
    <x v="0"/>
    <n v="2239237272"/>
    <x v="6"/>
    <n v="15000"/>
    <x v="1"/>
    <x v="0"/>
    <x v="47"/>
    <x v="6"/>
    <x v="0"/>
    <x v="0"/>
    <x v="5"/>
    <x v="0"/>
  </r>
  <r>
    <x v="0"/>
    <x v="0"/>
    <n v="2239237272"/>
    <x v="7"/>
    <n v="1200"/>
    <x v="1"/>
    <x v="0"/>
    <x v="47"/>
    <x v="7"/>
    <x v="0"/>
    <x v="0"/>
    <x v="1"/>
    <x v="0"/>
  </r>
  <r>
    <x v="0"/>
    <x v="0"/>
    <n v="2239237273"/>
    <x v="1"/>
    <n v="9490"/>
    <x v="1"/>
    <x v="0"/>
    <x v="47"/>
    <x v="1"/>
    <x v="0"/>
    <x v="0"/>
    <x v="1"/>
    <x v="0"/>
  </r>
  <r>
    <x v="0"/>
    <x v="0"/>
    <n v="2239237274"/>
    <x v="1"/>
    <n v="1800"/>
    <x v="1"/>
    <x v="0"/>
    <x v="47"/>
    <x v="1"/>
    <x v="0"/>
    <x v="0"/>
    <x v="1"/>
    <x v="0"/>
  </r>
  <r>
    <x v="0"/>
    <x v="0"/>
    <n v="2239237275"/>
    <x v="1"/>
    <n v="3150"/>
    <x v="1"/>
    <x v="0"/>
    <x v="47"/>
    <x v="1"/>
    <x v="0"/>
    <x v="0"/>
    <x v="1"/>
    <x v="0"/>
  </r>
  <r>
    <x v="0"/>
    <x v="0"/>
    <n v="2239237276"/>
    <x v="1"/>
    <n v="6500"/>
    <x v="1"/>
    <x v="0"/>
    <x v="47"/>
    <x v="1"/>
    <x v="0"/>
    <x v="0"/>
    <x v="1"/>
    <x v="0"/>
  </r>
  <r>
    <x v="0"/>
    <x v="0"/>
    <n v="2239237277"/>
    <x v="1"/>
    <n v="1800"/>
    <x v="1"/>
    <x v="0"/>
    <x v="47"/>
    <x v="1"/>
    <x v="0"/>
    <x v="0"/>
    <x v="1"/>
    <x v="0"/>
  </r>
  <r>
    <x v="0"/>
    <x v="0"/>
    <n v="2239237278"/>
    <x v="1"/>
    <n v="900"/>
    <x v="1"/>
    <x v="0"/>
    <x v="47"/>
    <x v="1"/>
    <x v="0"/>
    <x v="0"/>
    <x v="1"/>
    <x v="0"/>
  </r>
  <r>
    <x v="0"/>
    <x v="0"/>
    <n v="2239237279"/>
    <x v="2"/>
    <n v="8340"/>
    <x v="1"/>
    <x v="0"/>
    <x v="47"/>
    <x v="2"/>
    <x v="0"/>
    <x v="0"/>
    <x v="2"/>
    <x v="0"/>
  </r>
  <r>
    <x v="0"/>
    <x v="0"/>
    <n v="2239237279"/>
    <x v="7"/>
    <n v="5560"/>
    <x v="1"/>
    <x v="0"/>
    <x v="47"/>
    <x v="7"/>
    <x v="0"/>
    <x v="0"/>
    <x v="1"/>
    <x v="0"/>
  </r>
  <r>
    <x v="0"/>
    <x v="0"/>
    <n v="2239237280"/>
    <x v="1"/>
    <n v="900"/>
    <x v="1"/>
    <x v="0"/>
    <x v="47"/>
    <x v="1"/>
    <x v="0"/>
    <x v="0"/>
    <x v="1"/>
    <x v="0"/>
  </r>
  <r>
    <x v="0"/>
    <x v="0"/>
    <n v="2239237281"/>
    <x v="1"/>
    <n v="1800"/>
    <x v="1"/>
    <x v="0"/>
    <x v="47"/>
    <x v="1"/>
    <x v="0"/>
    <x v="0"/>
    <x v="1"/>
    <x v="0"/>
  </r>
  <r>
    <x v="0"/>
    <x v="0"/>
    <n v="2239237282"/>
    <x v="1"/>
    <n v="2250"/>
    <x v="1"/>
    <x v="0"/>
    <x v="47"/>
    <x v="1"/>
    <x v="0"/>
    <x v="0"/>
    <x v="1"/>
    <x v="0"/>
  </r>
  <r>
    <x v="0"/>
    <x v="0"/>
    <n v="2239237283"/>
    <x v="1"/>
    <n v="2550"/>
    <x v="1"/>
    <x v="0"/>
    <x v="47"/>
    <x v="1"/>
    <x v="0"/>
    <x v="0"/>
    <x v="1"/>
    <x v="0"/>
  </r>
  <r>
    <x v="0"/>
    <x v="0"/>
    <n v="2239237285"/>
    <x v="2"/>
    <n v="33990"/>
    <x v="1"/>
    <x v="0"/>
    <x v="47"/>
    <x v="2"/>
    <x v="0"/>
    <x v="0"/>
    <x v="2"/>
    <x v="0"/>
  </r>
  <r>
    <x v="0"/>
    <x v="0"/>
    <n v="2239237286"/>
    <x v="2"/>
    <n v="15350"/>
    <x v="1"/>
    <x v="0"/>
    <x v="47"/>
    <x v="2"/>
    <x v="0"/>
    <x v="0"/>
    <x v="2"/>
    <x v="0"/>
  </r>
  <r>
    <x v="0"/>
    <x v="0"/>
    <n v="2239237288"/>
    <x v="5"/>
    <n v="-2500"/>
    <x v="1"/>
    <x v="0"/>
    <x v="47"/>
    <x v="5"/>
    <x v="0"/>
    <x v="0"/>
    <x v="5"/>
    <x v="0"/>
  </r>
  <r>
    <x v="0"/>
    <x v="0"/>
    <n v="2239237288"/>
    <x v="6"/>
    <n v="5000"/>
    <x v="1"/>
    <x v="0"/>
    <x v="47"/>
    <x v="6"/>
    <x v="0"/>
    <x v="0"/>
    <x v="5"/>
    <x v="0"/>
  </r>
  <r>
    <x v="0"/>
    <x v="0"/>
    <n v="2239237290"/>
    <x v="2"/>
    <n v="12045"/>
    <x v="1"/>
    <x v="0"/>
    <x v="47"/>
    <x v="2"/>
    <x v="0"/>
    <x v="0"/>
    <x v="2"/>
    <x v="0"/>
  </r>
  <r>
    <x v="0"/>
    <x v="0"/>
    <n v="2239237291"/>
    <x v="5"/>
    <n v="-400"/>
    <x v="1"/>
    <x v="0"/>
    <x v="47"/>
    <x v="5"/>
    <x v="0"/>
    <x v="0"/>
    <x v="5"/>
    <x v="0"/>
  </r>
  <r>
    <x v="0"/>
    <x v="0"/>
    <n v="2239237291"/>
    <x v="4"/>
    <n v="5000"/>
    <x v="1"/>
    <x v="0"/>
    <x v="47"/>
    <x v="4"/>
    <x v="0"/>
    <x v="0"/>
    <x v="4"/>
    <x v="0"/>
  </r>
  <r>
    <x v="0"/>
    <x v="0"/>
    <n v="2239237292"/>
    <x v="4"/>
    <n v="5700"/>
    <x v="1"/>
    <x v="0"/>
    <x v="47"/>
    <x v="4"/>
    <x v="0"/>
    <x v="0"/>
    <x v="4"/>
    <x v="0"/>
  </r>
  <r>
    <x v="0"/>
    <x v="0"/>
    <n v="2239237293"/>
    <x v="2"/>
    <n v="10450"/>
    <x v="1"/>
    <x v="0"/>
    <x v="47"/>
    <x v="2"/>
    <x v="0"/>
    <x v="0"/>
    <x v="2"/>
    <x v="0"/>
  </r>
  <r>
    <x v="0"/>
    <x v="0"/>
    <n v="2239237294"/>
    <x v="4"/>
    <n v="5300"/>
    <x v="1"/>
    <x v="0"/>
    <x v="47"/>
    <x v="4"/>
    <x v="0"/>
    <x v="0"/>
    <x v="4"/>
    <x v="0"/>
  </r>
  <r>
    <x v="0"/>
    <x v="0"/>
    <n v="2239237295"/>
    <x v="4"/>
    <n v="10300"/>
    <x v="1"/>
    <x v="0"/>
    <x v="47"/>
    <x v="4"/>
    <x v="0"/>
    <x v="0"/>
    <x v="4"/>
    <x v="0"/>
  </r>
  <r>
    <x v="0"/>
    <x v="0"/>
    <n v="2239237296"/>
    <x v="2"/>
    <n v="4500"/>
    <x v="1"/>
    <x v="0"/>
    <x v="47"/>
    <x v="2"/>
    <x v="0"/>
    <x v="0"/>
    <x v="2"/>
    <x v="0"/>
  </r>
  <r>
    <x v="0"/>
    <x v="0"/>
    <n v="2239237300"/>
    <x v="5"/>
    <n v="-4400"/>
    <x v="1"/>
    <x v="0"/>
    <x v="47"/>
    <x v="5"/>
    <x v="0"/>
    <x v="0"/>
    <x v="5"/>
    <x v="0"/>
  </r>
  <r>
    <x v="0"/>
    <x v="0"/>
    <n v="2239237300"/>
    <x v="4"/>
    <n v="10000"/>
    <x v="1"/>
    <x v="0"/>
    <x v="47"/>
    <x v="4"/>
    <x v="0"/>
    <x v="0"/>
    <x v="4"/>
    <x v="0"/>
  </r>
  <r>
    <x v="0"/>
    <x v="0"/>
    <n v="2239237301"/>
    <x v="2"/>
    <n v="49995"/>
    <x v="1"/>
    <x v="0"/>
    <x v="47"/>
    <x v="2"/>
    <x v="0"/>
    <x v="0"/>
    <x v="2"/>
    <x v="0"/>
  </r>
  <r>
    <x v="0"/>
    <x v="0"/>
    <n v="2239237302"/>
    <x v="2"/>
    <n v="5000"/>
    <x v="1"/>
    <x v="0"/>
    <x v="47"/>
    <x v="2"/>
    <x v="0"/>
    <x v="0"/>
    <x v="2"/>
    <x v="0"/>
  </r>
  <r>
    <x v="0"/>
    <x v="0"/>
    <n v="2239237303"/>
    <x v="2"/>
    <n v="10450"/>
    <x v="1"/>
    <x v="0"/>
    <x v="47"/>
    <x v="2"/>
    <x v="0"/>
    <x v="0"/>
    <x v="2"/>
    <x v="0"/>
  </r>
  <r>
    <x v="0"/>
    <x v="0"/>
    <n v="2239237304"/>
    <x v="2"/>
    <n v="40590"/>
    <x v="1"/>
    <x v="0"/>
    <x v="47"/>
    <x v="2"/>
    <x v="0"/>
    <x v="0"/>
    <x v="2"/>
    <x v="0"/>
  </r>
  <r>
    <x v="0"/>
    <x v="0"/>
    <n v="2239237305"/>
    <x v="2"/>
    <n v="3000"/>
    <x v="1"/>
    <x v="0"/>
    <x v="47"/>
    <x v="2"/>
    <x v="0"/>
    <x v="0"/>
    <x v="2"/>
    <x v="0"/>
  </r>
  <r>
    <x v="0"/>
    <x v="0"/>
    <n v="2239237306"/>
    <x v="3"/>
    <n v="10450"/>
    <x v="1"/>
    <x v="0"/>
    <x v="47"/>
    <x v="3"/>
    <x v="0"/>
    <x v="0"/>
    <x v="3"/>
    <x v="0"/>
  </r>
  <r>
    <x v="0"/>
    <x v="0"/>
    <n v="2239237308"/>
    <x v="5"/>
    <n v="-500"/>
    <x v="1"/>
    <x v="0"/>
    <x v="47"/>
    <x v="5"/>
    <x v="0"/>
    <x v="0"/>
    <x v="5"/>
    <x v="0"/>
  </r>
  <r>
    <x v="0"/>
    <x v="0"/>
    <n v="2239237308"/>
    <x v="6"/>
    <n v="5000"/>
    <x v="1"/>
    <x v="0"/>
    <x v="47"/>
    <x v="6"/>
    <x v="0"/>
    <x v="0"/>
    <x v="5"/>
    <x v="0"/>
  </r>
  <r>
    <x v="0"/>
    <x v="0"/>
    <n v="2239237309"/>
    <x v="3"/>
    <n v="19250"/>
    <x v="1"/>
    <x v="0"/>
    <x v="47"/>
    <x v="3"/>
    <x v="0"/>
    <x v="0"/>
    <x v="3"/>
    <x v="0"/>
  </r>
  <r>
    <x v="0"/>
    <x v="0"/>
    <n v="2239237310"/>
    <x v="2"/>
    <n v="3300"/>
    <x v="1"/>
    <x v="0"/>
    <x v="47"/>
    <x v="2"/>
    <x v="0"/>
    <x v="0"/>
    <x v="2"/>
    <x v="0"/>
  </r>
  <r>
    <x v="0"/>
    <x v="0"/>
    <n v="2239237311"/>
    <x v="2"/>
    <n v="8250"/>
    <x v="1"/>
    <x v="0"/>
    <x v="47"/>
    <x v="2"/>
    <x v="0"/>
    <x v="0"/>
    <x v="2"/>
    <x v="0"/>
  </r>
  <r>
    <x v="0"/>
    <x v="0"/>
    <n v="2239237312"/>
    <x v="5"/>
    <n v="-3500"/>
    <x v="1"/>
    <x v="0"/>
    <x v="47"/>
    <x v="5"/>
    <x v="0"/>
    <x v="0"/>
    <x v="5"/>
    <x v="0"/>
  </r>
  <r>
    <x v="0"/>
    <x v="0"/>
    <n v="2239237312"/>
    <x v="6"/>
    <n v="15000"/>
    <x v="1"/>
    <x v="0"/>
    <x v="47"/>
    <x v="6"/>
    <x v="0"/>
    <x v="0"/>
    <x v="5"/>
    <x v="0"/>
  </r>
  <r>
    <x v="0"/>
    <x v="0"/>
    <n v="2239237312"/>
    <x v="3"/>
    <n v="28600"/>
    <x v="1"/>
    <x v="0"/>
    <x v="47"/>
    <x v="3"/>
    <x v="0"/>
    <x v="0"/>
    <x v="3"/>
    <x v="0"/>
  </r>
  <r>
    <x v="0"/>
    <x v="0"/>
    <n v="2239237313"/>
    <x v="2"/>
    <n v="8250"/>
    <x v="1"/>
    <x v="0"/>
    <x v="47"/>
    <x v="2"/>
    <x v="0"/>
    <x v="0"/>
    <x v="2"/>
    <x v="0"/>
  </r>
  <r>
    <x v="0"/>
    <x v="0"/>
    <n v="2239237315"/>
    <x v="2"/>
    <n v="6500"/>
    <x v="1"/>
    <x v="0"/>
    <x v="47"/>
    <x v="2"/>
    <x v="0"/>
    <x v="0"/>
    <x v="2"/>
    <x v="0"/>
  </r>
  <r>
    <x v="0"/>
    <x v="0"/>
    <n v="2239237316"/>
    <x v="3"/>
    <n v="19250"/>
    <x v="1"/>
    <x v="0"/>
    <x v="47"/>
    <x v="3"/>
    <x v="0"/>
    <x v="0"/>
    <x v="3"/>
    <x v="0"/>
  </r>
  <r>
    <x v="0"/>
    <x v="0"/>
    <n v="2239237317"/>
    <x v="5"/>
    <n v="-5600"/>
    <x v="1"/>
    <x v="0"/>
    <x v="47"/>
    <x v="5"/>
    <x v="0"/>
    <x v="0"/>
    <x v="5"/>
    <x v="0"/>
  </r>
  <r>
    <x v="0"/>
    <x v="0"/>
    <n v="2239237317"/>
    <x v="4"/>
    <n v="10000"/>
    <x v="1"/>
    <x v="0"/>
    <x v="47"/>
    <x v="4"/>
    <x v="0"/>
    <x v="0"/>
    <x v="4"/>
    <x v="0"/>
  </r>
  <r>
    <x v="0"/>
    <x v="0"/>
    <n v="2239237320"/>
    <x v="5"/>
    <n v="-8600"/>
    <x v="1"/>
    <x v="0"/>
    <x v="47"/>
    <x v="5"/>
    <x v="0"/>
    <x v="0"/>
    <x v="5"/>
    <x v="0"/>
  </r>
  <r>
    <x v="0"/>
    <x v="0"/>
    <n v="2239237320"/>
    <x v="4"/>
    <n v="20000"/>
    <x v="1"/>
    <x v="0"/>
    <x v="47"/>
    <x v="4"/>
    <x v="0"/>
    <x v="0"/>
    <x v="4"/>
    <x v="0"/>
  </r>
  <r>
    <x v="0"/>
    <x v="0"/>
    <n v="2239237322"/>
    <x v="5"/>
    <n v="-19700"/>
    <x v="1"/>
    <x v="0"/>
    <x v="47"/>
    <x v="5"/>
    <x v="0"/>
    <x v="0"/>
    <x v="5"/>
    <x v="0"/>
  </r>
  <r>
    <x v="0"/>
    <x v="0"/>
    <n v="2239237322"/>
    <x v="4"/>
    <n v="25000"/>
    <x v="1"/>
    <x v="0"/>
    <x v="47"/>
    <x v="4"/>
    <x v="0"/>
    <x v="0"/>
    <x v="4"/>
    <x v="0"/>
  </r>
  <r>
    <x v="0"/>
    <x v="0"/>
    <n v="2239237323"/>
    <x v="2"/>
    <n v="15400"/>
    <x v="1"/>
    <x v="0"/>
    <x v="47"/>
    <x v="2"/>
    <x v="0"/>
    <x v="0"/>
    <x v="2"/>
    <x v="0"/>
  </r>
  <r>
    <x v="0"/>
    <x v="0"/>
    <n v="2239237324"/>
    <x v="2"/>
    <n v="3300"/>
    <x v="1"/>
    <x v="0"/>
    <x v="47"/>
    <x v="2"/>
    <x v="0"/>
    <x v="0"/>
    <x v="2"/>
    <x v="0"/>
  </r>
  <r>
    <x v="0"/>
    <x v="0"/>
    <n v="2239237325"/>
    <x v="2"/>
    <n v="15300"/>
    <x v="1"/>
    <x v="0"/>
    <x v="47"/>
    <x v="2"/>
    <x v="0"/>
    <x v="0"/>
    <x v="2"/>
    <x v="0"/>
  </r>
  <r>
    <x v="0"/>
    <x v="0"/>
    <n v="2239237326"/>
    <x v="2"/>
    <n v="4180"/>
    <x v="1"/>
    <x v="0"/>
    <x v="47"/>
    <x v="2"/>
    <x v="0"/>
    <x v="0"/>
    <x v="2"/>
    <x v="0"/>
  </r>
  <r>
    <x v="0"/>
    <x v="0"/>
    <n v="2239237327"/>
    <x v="2"/>
    <n v="13000"/>
    <x v="1"/>
    <x v="0"/>
    <x v="47"/>
    <x v="2"/>
    <x v="0"/>
    <x v="0"/>
    <x v="2"/>
    <x v="0"/>
  </r>
  <r>
    <x v="0"/>
    <x v="0"/>
    <n v="2239237329"/>
    <x v="2"/>
    <n v="11000"/>
    <x v="1"/>
    <x v="0"/>
    <x v="47"/>
    <x v="2"/>
    <x v="0"/>
    <x v="0"/>
    <x v="2"/>
    <x v="0"/>
  </r>
  <r>
    <x v="0"/>
    <x v="0"/>
    <n v="2239237330"/>
    <x v="2"/>
    <n v="9120"/>
    <x v="1"/>
    <x v="0"/>
    <x v="47"/>
    <x v="2"/>
    <x v="0"/>
    <x v="0"/>
    <x v="2"/>
    <x v="0"/>
  </r>
  <r>
    <x v="0"/>
    <x v="0"/>
    <n v="2239237332"/>
    <x v="2"/>
    <n v="35640"/>
    <x v="1"/>
    <x v="0"/>
    <x v="47"/>
    <x v="2"/>
    <x v="0"/>
    <x v="0"/>
    <x v="2"/>
    <x v="0"/>
  </r>
  <r>
    <x v="0"/>
    <x v="0"/>
    <n v="2239237333"/>
    <x v="3"/>
    <n v="42130"/>
    <x v="1"/>
    <x v="0"/>
    <x v="47"/>
    <x v="3"/>
    <x v="0"/>
    <x v="0"/>
    <x v="3"/>
    <x v="0"/>
  </r>
  <r>
    <x v="0"/>
    <x v="0"/>
    <n v="2239237334"/>
    <x v="2"/>
    <n v="15400"/>
    <x v="1"/>
    <x v="0"/>
    <x v="47"/>
    <x v="2"/>
    <x v="0"/>
    <x v="0"/>
    <x v="2"/>
    <x v="0"/>
  </r>
  <r>
    <x v="0"/>
    <x v="0"/>
    <n v="2239237335"/>
    <x v="5"/>
    <n v="-5400"/>
    <x v="1"/>
    <x v="0"/>
    <x v="47"/>
    <x v="5"/>
    <x v="0"/>
    <x v="0"/>
    <x v="5"/>
    <x v="0"/>
  </r>
  <r>
    <x v="0"/>
    <x v="0"/>
    <n v="2239237335"/>
    <x v="4"/>
    <n v="10000"/>
    <x v="1"/>
    <x v="0"/>
    <x v="47"/>
    <x v="4"/>
    <x v="0"/>
    <x v="0"/>
    <x v="4"/>
    <x v="0"/>
  </r>
  <r>
    <x v="0"/>
    <x v="0"/>
    <n v="2239237337"/>
    <x v="1"/>
    <n v="8750"/>
    <x v="1"/>
    <x v="0"/>
    <x v="47"/>
    <x v="1"/>
    <x v="0"/>
    <x v="0"/>
    <x v="1"/>
    <x v="0"/>
  </r>
  <r>
    <x v="0"/>
    <x v="0"/>
    <n v="2239237338"/>
    <x v="6"/>
    <n v="5000"/>
    <x v="1"/>
    <x v="0"/>
    <x v="47"/>
    <x v="6"/>
    <x v="0"/>
    <x v="0"/>
    <x v="5"/>
    <x v="0"/>
  </r>
  <r>
    <x v="0"/>
    <x v="0"/>
    <n v="2239237338"/>
    <x v="3"/>
    <n v="7150"/>
    <x v="1"/>
    <x v="0"/>
    <x v="47"/>
    <x v="3"/>
    <x v="0"/>
    <x v="0"/>
    <x v="3"/>
    <x v="0"/>
  </r>
  <r>
    <x v="0"/>
    <x v="0"/>
    <n v="2239237338"/>
    <x v="2"/>
    <n v="6050"/>
    <x v="1"/>
    <x v="0"/>
    <x v="47"/>
    <x v="2"/>
    <x v="0"/>
    <x v="0"/>
    <x v="2"/>
    <x v="0"/>
  </r>
  <r>
    <x v="0"/>
    <x v="0"/>
    <n v="2239237339"/>
    <x v="4"/>
    <n v="5700"/>
    <x v="1"/>
    <x v="0"/>
    <x v="47"/>
    <x v="4"/>
    <x v="0"/>
    <x v="0"/>
    <x v="4"/>
    <x v="0"/>
  </r>
  <r>
    <x v="0"/>
    <x v="0"/>
    <n v="2239237340"/>
    <x v="5"/>
    <n v="-2000"/>
    <x v="1"/>
    <x v="0"/>
    <x v="47"/>
    <x v="5"/>
    <x v="0"/>
    <x v="0"/>
    <x v="5"/>
    <x v="0"/>
  </r>
  <r>
    <x v="0"/>
    <x v="0"/>
    <n v="2239237340"/>
    <x v="6"/>
    <n v="5000"/>
    <x v="1"/>
    <x v="0"/>
    <x v="47"/>
    <x v="6"/>
    <x v="0"/>
    <x v="0"/>
    <x v="5"/>
    <x v="0"/>
  </r>
  <r>
    <x v="0"/>
    <x v="0"/>
    <n v="2239237341"/>
    <x v="4"/>
    <n v="4400"/>
    <x v="1"/>
    <x v="0"/>
    <x v="47"/>
    <x v="4"/>
    <x v="0"/>
    <x v="0"/>
    <x v="4"/>
    <x v="0"/>
  </r>
  <r>
    <x v="0"/>
    <x v="0"/>
    <n v="2239237342"/>
    <x v="5"/>
    <n v="-4100"/>
    <x v="1"/>
    <x v="0"/>
    <x v="47"/>
    <x v="5"/>
    <x v="0"/>
    <x v="0"/>
    <x v="5"/>
    <x v="0"/>
  </r>
  <r>
    <x v="0"/>
    <x v="0"/>
    <n v="2239237342"/>
    <x v="6"/>
    <n v="20000"/>
    <x v="1"/>
    <x v="0"/>
    <x v="47"/>
    <x v="6"/>
    <x v="0"/>
    <x v="0"/>
    <x v="5"/>
    <x v="0"/>
  </r>
  <r>
    <x v="0"/>
    <x v="0"/>
    <n v="2239237343"/>
    <x v="2"/>
    <n v="7500"/>
    <x v="1"/>
    <x v="0"/>
    <x v="47"/>
    <x v="2"/>
    <x v="0"/>
    <x v="0"/>
    <x v="2"/>
    <x v="0"/>
  </r>
  <r>
    <x v="0"/>
    <x v="0"/>
    <n v="2239237344"/>
    <x v="2"/>
    <n v="4180"/>
    <x v="1"/>
    <x v="0"/>
    <x v="47"/>
    <x v="2"/>
    <x v="0"/>
    <x v="0"/>
    <x v="2"/>
    <x v="0"/>
  </r>
  <r>
    <x v="0"/>
    <x v="0"/>
    <n v="2239237345"/>
    <x v="2"/>
    <n v="15400"/>
    <x v="1"/>
    <x v="0"/>
    <x v="47"/>
    <x v="2"/>
    <x v="0"/>
    <x v="0"/>
    <x v="2"/>
    <x v="0"/>
  </r>
  <r>
    <x v="0"/>
    <x v="0"/>
    <n v="2239240348"/>
    <x v="1"/>
    <n v="11050"/>
    <x v="1"/>
    <x v="0"/>
    <x v="11"/>
    <x v="1"/>
    <x v="0"/>
    <x v="0"/>
    <x v="1"/>
    <x v="0"/>
  </r>
  <r>
    <x v="0"/>
    <x v="0"/>
    <n v="2239240349"/>
    <x v="1"/>
    <n v="32700"/>
    <x v="1"/>
    <x v="0"/>
    <x v="11"/>
    <x v="1"/>
    <x v="0"/>
    <x v="0"/>
    <x v="1"/>
    <x v="0"/>
  </r>
  <r>
    <x v="0"/>
    <x v="0"/>
    <n v="2239240352"/>
    <x v="6"/>
    <n v="3750"/>
    <x v="1"/>
    <x v="0"/>
    <x v="11"/>
    <x v="6"/>
    <x v="0"/>
    <x v="0"/>
    <x v="5"/>
    <x v="0"/>
  </r>
  <r>
    <x v="0"/>
    <x v="0"/>
    <n v="2239240353"/>
    <x v="1"/>
    <n v="13650"/>
    <x v="1"/>
    <x v="0"/>
    <x v="11"/>
    <x v="1"/>
    <x v="0"/>
    <x v="0"/>
    <x v="1"/>
    <x v="0"/>
  </r>
  <r>
    <x v="0"/>
    <x v="0"/>
    <n v="2239240354"/>
    <x v="1"/>
    <n v="26340"/>
    <x v="1"/>
    <x v="0"/>
    <x v="11"/>
    <x v="1"/>
    <x v="0"/>
    <x v="0"/>
    <x v="1"/>
    <x v="0"/>
  </r>
  <r>
    <x v="0"/>
    <x v="0"/>
    <n v="2239240355"/>
    <x v="1"/>
    <n v="42600"/>
    <x v="1"/>
    <x v="0"/>
    <x v="11"/>
    <x v="1"/>
    <x v="0"/>
    <x v="0"/>
    <x v="1"/>
    <x v="0"/>
  </r>
  <r>
    <x v="0"/>
    <x v="0"/>
    <n v="2239240356"/>
    <x v="1"/>
    <n v="2040"/>
    <x v="1"/>
    <x v="0"/>
    <x v="11"/>
    <x v="1"/>
    <x v="0"/>
    <x v="0"/>
    <x v="1"/>
    <x v="0"/>
  </r>
  <r>
    <x v="0"/>
    <x v="0"/>
    <n v="2239240357"/>
    <x v="1"/>
    <n v="18370"/>
    <x v="1"/>
    <x v="0"/>
    <x v="11"/>
    <x v="1"/>
    <x v="0"/>
    <x v="0"/>
    <x v="1"/>
    <x v="0"/>
  </r>
  <r>
    <x v="0"/>
    <x v="0"/>
    <n v="2239240358"/>
    <x v="1"/>
    <n v="20200"/>
    <x v="1"/>
    <x v="0"/>
    <x v="11"/>
    <x v="1"/>
    <x v="0"/>
    <x v="0"/>
    <x v="1"/>
    <x v="0"/>
  </r>
  <r>
    <x v="0"/>
    <x v="0"/>
    <n v="2239240359"/>
    <x v="1"/>
    <n v="5700"/>
    <x v="1"/>
    <x v="0"/>
    <x v="11"/>
    <x v="1"/>
    <x v="0"/>
    <x v="0"/>
    <x v="1"/>
    <x v="0"/>
  </r>
  <r>
    <x v="0"/>
    <x v="0"/>
    <n v="2239240360"/>
    <x v="1"/>
    <n v="12800"/>
    <x v="1"/>
    <x v="0"/>
    <x v="11"/>
    <x v="1"/>
    <x v="0"/>
    <x v="0"/>
    <x v="1"/>
    <x v="0"/>
  </r>
  <r>
    <x v="0"/>
    <x v="0"/>
    <n v="2239240361"/>
    <x v="1"/>
    <n v="1050"/>
    <x v="1"/>
    <x v="0"/>
    <x v="11"/>
    <x v="1"/>
    <x v="0"/>
    <x v="0"/>
    <x v="1"/>
    <x v="0"/>
  </r>
  <r>
    <x v="0"/>
    <x v="0"/>
    <n v="2239240362"/>
    <x v="1"/>
    <n v="3150"/>
    <x v="1"/>
    <x v="0"/>
    <x v="11"/>
    <x v="1"/>
    <x v="0"/>
    <x v="0"/>
    <x v="1"/>
    <x v="0"/>
  </r>
  <r>
    <x v="0"/>
    <x v="0"/>
    <n v="2239240363"/>
    <x v="1"/>
    <n v="13180"/>
    <x v="1"/>
    <x v="0"/>
    <x v="11"/>
    <x v="1"/>
    <x v="0"/>
    <x v="0"/>
    <x v="1"/>
    <x v="0"/>
  </r>
  <r>
    <x v="0"/>
    <x v="0"/>
    <n v="2239240364"/>
    <x v="1"/>
    <n v="9000"/>
    <x v="1"/>
    <x v="0"/>
    <x v="11"/>
    <x v="1"/>
    <x v="0"/>
    <x v="0"/>
    <x v="1"/>
    <x v="0"/>
  </r>
  <r>
    <x v="0"/>
    <x v="0"/>
    <n v="2239240365"/>
    <x v="1"/>
    <n v="5400"/>
    <x v="1"/>
    <x v="0"/>
    <x v="11"/>
    <x v="1"/>
    <x v="0"/>
    <x v="0"/>
    <x v="1"/>
    <x v="0"/>
  </r>
  <r>
    <x v="0"/>
    <x v="0"/>
    <n v="2239240366"/>
    <x v="1"/>
    <n v="14310"/>
    <x v="1"/>
    <x v="0"/>
    <x v="11"/>
    <x v="1"/>
    <x v="0"/>
    <x v="0"/>
    <x v="1"/>
    <x v="0"/>
  </r>
  <r>
    <x v="0"/>
    <x v="0"/>
    <n v="2239240367"/>
    <x v="1"/>
    <n v="900"/>
    <x v="1"/>
    <x v="0"/>
    <x v="11"/>
    <x v="1"/>
    <x v="0"/>
    <x v="0"/>
    <x v="1"/>
    <x v="0"/>
  </r>
  <r>
    <x v="0"/>
    <x v="0"/>
    <n v="2239240368"/>
    <x v="1"/>
    <n v="20200"/>
    <x v="1"/>
    <x v="0"/>
    <x v="11"/>
    <x v="1"/>
    <x v="0"/>
    <x v="0"/>
    <x v="1"/>
    <x v="0"/>
  </r>
  <r>
    <x v="0"/>
    <x v="0"/>
    <n v="2239240369"/>
    <x v="1"/>
    <n v="1140"/>
    <x v="1"/>
    <x v="0"/>
    <x v="11"/>
    <x v="1"/>
    <x v="0"/>
    <x v="0"/>
    <x v="1"/>
    <x v="0"/>
  </r>
  <r>
    <x v="0"/>
    <x v="0"/>
    <n v="2239240370"/>
    <x v="1"/>
    <n v="12870"/>
    <x v="1"/>
    <x v="0"/>
    <x v="11"/>
    <x v="1"/>
    <x v="0"/>
    <x v="0"/>
    <x v="1"/>
    <x v="0"/>
  </r>
  <r>
    <x v="0"/>
    <x v="0"/>
    <n v="2239240371"/>
    <x v="1"/>
    <n v="21800"/>
    <x v="1"/>
    <x v="0"/>
    <x v="11"/>
    <x v="1"/>
    <x v="0"/>
    <x v="0"/>
    <x v="1"/>
    <x v="0"/>
  </r>
  <r>
    <x v="0"/>
    <x v="0"/>
    <n v="2239240372"/>
    <x v="1"/>
    <n v="3000"/>
    <x v="1"/>
    <x v="0"/>
    <x v="11"/>
    <x v="1"/>
    <x v="0"/>
    <x v="0"/>
    <x v="1"/>
    <x v="0"/>
  </r>
  <r>
    <x v="0"/>
    <x v="0"/>
    <n v="2239240373"/>
    <x v="1"/>
    <n v="900"/>
    <x v="1"/>
    <x v="0"/>
    <x v="11"/>
    <x v="1"/>
    <x v="0"/>
    <x v="0"/>
    <x v="1"/>
    <x v="0"/>
  </r>
  <r>
    <x v="0"/>
    <x v="0"/>
    <n v="2239240374"/>
    <x v="1"/>
    <n v="8760"/>
    <x v="1"/>
    <x v="0"/>
    <x v="11"/>
    <x v="1"/>
    <x v="0"/>
    <x v="0"/>
    <x v="1"/>
    <x v="0"/>
  </r>
  <r>
    <x v="0"/>
    <x v="0"/>
    <n v="2239240375"/>
    <x v="1"/>
    <n v="17200"/>
    <x v="1"/>
    <x v="0"/>
    <x v="11"/>
    <x v="1"/>
    <x v="0"/>
    <x v="0"/>
    <x v="1"/>
    <x v="0"/>
  </r>
  <r>
    <x v="0"/>
    <x v="0"/>
    <n v="2239240376"/>
    <x v="5"/>
    <n v="-2550"/>
    <x v="1"/>
    <x v="0"/>
    <x v="11"/>
    <x v="5"/>
    <x v="0"/>
    <x v="0"/>
    <x v="5"/>
    <x v="0"/>
  </r>
  <r>
    <x v="0"/>
    <x v="0"/>
    <n v="2239240376"/>
    <x v="6"/>
    <n v="20000"/>
    <x v="1"/>
    <x v="0"/>
    <x v="11"/>
    <x v="6"/>
    <x v="0"/>
    <x v="0"/>
    <x v="5"/>
    <x v="0"/>
  </r>
  <r>
    <x v="0"/>
    <x v="0"/>
    <n v="2239240377"/>
    <x v="1"/>
    <n v="7470"/>
    <x v="1"/>
    <x v="0"/>
    <x v="11"/>
    <x v="1"/>
    <x v="0"/>
    <x v="0"/>
    <x v="1"/>
    <x v="0"/>
  </r>
  <r>
    <x v="0"/>
    <x v="0"/>
    <n v="2239240378"/>
    <x v="1"/>
    <n v="2250"/>
    <x v="1"/>
    <x v="0"/>
    <x v="11"/>
    <x v="1"/>
    <x v="0"/>
    <x v="0"/>
    <x v="1"/>
    <x v="0"/>
  </r>
  <r>
    <x v="0"/>
    <x v="0"/>
    <n v="2239240379"/>
    <x v="1"/>
    <n v="1800"/>
    <x v="1"/>
    <x v="0"/>
    <x v="11"/>
    <x v="1"/>
    <x v="0"/>
    <x v="0"/>
    <x v="1"/>
    <x v="0"/>
  </r>
  <r>
    <x v="0"/>
    <x v="0"/>
    <n v="2239240380"/>
    <x v="1"/>
    <n v="8750"/>
    <x v="1"/>
    <x v="0"/>
    <x v="11"/>
    <x v="1"/>
    <x v="0"/>
    <x v="0"/>
    <x v="1"/>
    <x v="0"/>
  </r>
  <r>
    <x v="0"/>
    <x v="0"/>
    <n v="2239240381"/>
    <x v="1"/>
    <n v="12600"/>
    <x v="1"/>
    <x v="0"/>
    <x v="11"/>
    <x v="1"/>
    <x v="0"/>
    <x v="0"/>
    <x v="1"/>
    <x v="0"/>
  </r>
  <r>
    <x v="0"/>
    <x v="0"/>
    <n v="2239240382"/>
    <x v="1"/>
    <n v="12800"/>
    <x v="1"/>
    <x v="0"/>
    <x v="11"/>
    <x v="1"/>
    <x v="0"/>
    <x v="0"/>
    <x v="1"/>
    <x v="0"/>
  </r>
  <r>
    <x v="0"/>
    <x v="0"/>
    <n v="2239240383"/>
    <x v="1"/>
    <n v="11100"/>
    <x v="1"/>
    <x v="0"/>
    <x v="11"/>
    <x v="1"/>
    <x v="0"/>
    <x v="0"/>
    <x v="1"/>
    <x v="0"/>
  </r>
  <r>
    <x v="0"/>
    <x v="0"/>
    <n v="2239240384"/>
    <x v="1"/>
    <n v="11280"/>
    <x v="1"/>
    <x v="0"/>
    <x v="11"/>
    <x v="1"/>
    <x v="0"/>
    <x v="0"/>
    <x v="1"/>
    <x v="0"/>
  </r>
  <r>
    <x v="0"/>
    <x v="0"/>
    <n v="2239240385"/>
    <x v="3"/>
    <n v="7084"/>
    <x v="1"/>
    <x v="0"/>
    <x v="11"/>
    <x v="3"/>
    <x v="0"/>
    <x v="0"/>
    <x v="3"/>
    <x v="0"/>
  </r>
  <r>
    <x v="0"/>
    <x v="0"/>
    <n v="2239240386"/>
    <x v="1"/>
    <n v="18880"/>
    <x v="1"/>
    <x v="0"/>
    <x v="11"/>
    <x v="1"/>
    <x v="0"/>
    <x v="0"/>
    <x v="1"/>
    <x v="0"/>
  </r>
  <r>
    <x v="0"/>
    <x v="0"/>
    <n v="2239240387"/>
    <x v="6"/>
    <n v="6440"/>
    <x v="1"/>
    <x v="0"/>
    <x v="11"/>
    <x v="6"/>
    <x v="0"/>
    <x v="0"/>
    <x v="5"/>
    <x v="0"/>
  </r>
  <r>
    <x v="0"/>
    <x v="0"/>
    <n v="2239240388"/>
    <x v="1"/>
    <n v="6440"/>
    <x v="1"/>
    <x v="0"/>
    <x v="11"/>
    <x v="1"/>
    <x v="0"/>
    <x v="0"/>
    <x v="1"/>
    <x v="0"/>
  </r>
  <r>
    <x v="0"/>
    <x v="0"/>
    <n v="2239240390"/>
    <x v="6"/>
    <n v="5250"/>
    <x v="1"/>
    <x v="0"/>
    <x v="11"/>
    <x v="6"/>
    <x v="0"/>
    <x v="0"/>
    <x v="5"/>
    <x v="0"/>
  </r>
  <r>
    <x v="0"/>
    <x v="0"/>
    <n v="2239240390"/>
    <x v="7"/>
    <n v="2250"/>
    <x v="1"/>
    <x v="0"/>
    <x v="11"/>
    <x v="7"/>
    <x v="0"/>
    <x v="0"/>
    <x v="1"/>
    <x v="0"/>
  </r>
  <r>
    <x v="0"/>
    <x v="0"/>
    <n v="2239240392"/>
    <x v="2"/>
    <n v="9730"/>
    <x v="1"/>
    <x v="0"/>
    <x v="11"/>
    <x v="2"/>
    <x v="0"/>
    <x v="0"/>
    <x v="2"/>
    <x v="0"/>
  </r>
  <r>
    <x v="0"/>
    <x v="0"/>
    <n v="2239240392"/>
    <x v="7"/>
    <n v="4170"/>
    <x v="1"/>
    <x v="0"/>
    <x v="11"/>
    <x v="7"/>
    <x v="0"/>
    <x v="0"/>
    <x v="1"/>
    <x v="0"/>
  </r>
  <r>
    <x v="0"/>
    <x v="0"/>
    <n v="2239240393"/>
    <x v="1"/>
    <n v="2190"/>
    <x v="1"/>
    <x v="0"/>
    <x v="11"/>
    <x v="1"/>
    <x v="0"/>
    <x v="0"/>
    <x v="1"/>
    <x v="0"/>
  </r>
  <r>
    <x v="0"/>
    <x v="0"/>
    <n v="2239240394"/>
    <x v="1"/>
    <n v="900"/>
    <x v="1"/>
    <x v="0"/>
    <x v="11"/>
    <x v="1"/>
    <x v="0"/>
    <x v="0"/>
    <x v="1"/>
    <x v="0"/>
  </r>
  <r>
    <x v="0"/>
    <x v="0"/>
    <n v="2239240396"/>
    <x v="1"/>
    <n v="900"/>
    <x v="1"/>
    <x v="0"/>
    <x v="11"/>
    <x v="1"/>
    <x v="0"/>
    <x v="0"/>
    <x v="1"/>
    <x v="0"/>
  </r>
  <r>
    <x v="0"/>
    <x v="0"/>
    <n v="2239240397"/>
    <x v="6"/>
    <n v="14700"/>
    <x v="1"/>
    <x v="0"/>
    <x v="11"/>
    <x v="6"/>
    <x v="0"/>
    <x v="0"/>
    <x v="5"/>
    <x v="0"/>
  </r>
  <r>
    <x v="0"/>
    <x v="0"/>
    <n v="2239240399"/>
    <x v="6"/>
    <n v="3150"/>
    <x v="1"/>
    <x v="0"/>
    <x v="11"/>
    <x v="6"/>
    <x v="0"/>
    <x v="0"/>
    <x v="5"/>
    <x v="0"/>
  </r>
  <r>
    <x v="0"/>
    <x v="0"/>
    <n v="2239240399"/>
    <x v="7"/>
    <n v="1350"/>
    <x v="1"/>
    <x v="0"/>
    <x v="11"/>
    <x v="7"/>
    <x v="0"/>
    <x v="0"/>
    <x v="1"/>
    <x v="0"/>
  </r>
  <r>
    <x v="0"/>
    <x v="0"/>
    <n v="2239240401"/>
    <x v="6"/>
    <n v="11950"/>
    <x v="1"/>
    <x v="0"/>
    <x v="11"/>
    <x v="6"/>
    <x v="0"/>
    <x v="0"/>
    <x v="5"/>
    <x v="0"/>
  </r>
  <r>
    <x v="0"/>
    <x v="0"/>
    <n v="2239240402"/>
    <x v="1"/>
    <n v="1350"/>
    <x v="1"/>
    <x v="0"/>
    <x v="11"/>
    <x v="1"/>
    <x v="0"/>
    <x v="0"/>
    <x v="1"/>
    <x v="0"/>
  </r>
  <r>
    <x v="0"/>
    <x v="0"/>
    <n v="2239240404"/>
    <x v="3"/>
    <n v="2400"/>
    <x v="1"/>
    <x v="0"/>
    <x v="11"/>
    <x v="3"/>
    <x v="0"/>
    <x v="0"/>
    <x v="3"/>
    <x v="0"/>
  </r>
  <r>
    <x v="0"/>
    <x v="0"/>
    <n v="2239240404"/>
    <x v="7"/>
    <n v="2400"/>
    <x v="1"/>
    <x v="0"/>
    <x v="11"/>
    <x v="7"/>
    <x v="0"/>
    <x v="0"/>
    <x v="1"/>
    <x v="0"/>
  </r>
  <r>
    <x v="0"/>
    <x v="0"/>
    <n v="2239240405"/>
    <x v="2"/>
    <n v="18315"/>
    <x v="1"/>
    <x v="0"/>
    <x v="11"/>
    <x v="2"/>
    <x v="0"/>
    <x v="0"/>
    <x v="2"/>
    <x v="0"/>
  </r>
  <r>
    <x v="0"/>
    <x v="0"/>
    <n v="2239240406"/>
    <x v="2"/>
    <n v="29700"/>
    <x v="1"/>
    <x v="0"/>
    <x v="11"/>
    <x v="2"/>
    <x v="0"/>
    <x v="0"/>
    <x v="2"/>
    <x v="0"/>
  </r>
  <r>
    <x v="0"/>
    <x v="0"/>
    <n v="2239240407"/>
    <x v="1"/>
    <n v="2280"/>
    <x v="1"/>
    <x v="0"/>
    <x v="11"/>
    <x v="1"/>
    <x v="0"/>
    <x v="0"/>
    <x v="1"/>
    <x v="0"/>
  </r>
  <r>
    <x v="0"/>
    <x v="0"/>
    <n v="2239240409"/>
    <x v="1"/>
    <n v="900"/>
    <x v="1"/>
    <x v="0"/>
    <x v="11"/>
    <x v="1"/>
    <x v="0"/>
    <x v="0"/>
    <x v="1"/>
    <x v="0"/>
  </r>
  <r>
    <x v="0"/>
    <x v="0"/>
    <n v="2239240410"/>
    <x v="1"/>
    <n v="900"/>
    <x v="1"/>
    <x v="0"/>
    <x v="11"/>
    <x v="1"/>
    <x v="0"/>
    <x v="0"/>
    <x v="1"/>
    <x v="0"/>
  </r>
  <r>
    <x v="0"/>
    <x v="0"/>
    <n v="2239240411"/>
    <x v="3"/>
    <n v="1500"/>
    <x v="1"/>
    <x v="0"/>
    <x v="11"/>
    <x v="3"/>
    <x v="0"/>
    <x v="0"/>
    <x v="3"/>
    <x v="0"/>
  </r>
  <r>
    <x v="0"/>
    <x v="0"/>
    <n v="2239240412"/>
    <x v="5"/>
    <n v="-9650"/>
    <x v="1"/>
    <x v="0"/>
    <x v="11"/>
    <x v="5"/>
    <x v="0"/>
    <x v="0"/>
    <x v="5"/>
    <x v="0"/>
  </r>
  <r>
    <x v="0"/>
    <x v="0"/>
    <n v="2239240412"/>
    <x v="6"/>
    <n v="30000"/>
    <x v="1"/>
    <x v="0"/>
    <x v="11"/>
    <x v="6"/>
    <x v="0"/>
    <x v="0"/>
    <x v="5"/>
    <x v="0"/>
  </r>
  <r>
    <x v="0"/>
    <x v="0"/>
    <n v="2239240412"/>
    <x v="7"/>
    <n v="19450"/>
    <x v="1"/>
    <x v="0"/>
    <x v="11"/>
    <x v="7"/>
    <x v="0"/>
    <x v="0"/>
    <x v="1"/>
    <x v="0"/>
  </r>
  <r>
    <x v="0"/>
    <x v="0"/>
    <n v="2239240413"/>
    <x v="4"/>
    <n v="16500"/>
    <x v="1"/>
    <x v="0"/>
    <x v="11"/>
    <x v="4"/>
    <x v="0"/>
    <x v="0"/>
    <x v="4"/>
    <x v="0"/>
  </r>
  <r>
    <x v="0"/>
    <x v="0"/>
    <n v="2239240414"/>
    <x v="1"/>
    <n v="1200"/>
    <x v="1"/>
    <x v="0"/>
    <x v="11"/>
    <x v="1"/>
    <x v="0"/>
    <x v="0"/>
    <x v="1"/>
    <x v="0"/>
  </r>
  <r>
    <x v="0"/>
    <x v="0"/>
    <n v="2239240416"/>
    <x v="2"/>
    <n v="16445"/>
    <x v="1"/>
    <x v="0"/>
    <x v="11"/>
    <x v="2"/>
    <x v="0"/>
    <x v="0"/>
    <x v="2"/>
    <x v="0"/>
  </r>
  <r>
    <x v="0"/>
    <x v="0"/>
    <n v="2239240417"/>
    <x v="2"/>
    <n v="2500"/>
    <x v="1"/>
    <x v="0"/>
    <x v="11"/>
    <x v="2"/>
    <x v="0"/>
    <x v="0"/>
    <x v="2"/>
    <x v="0"/>
  </r>
  <r>
    <x v="0"/>
    <x v="0"/>
    <n v="2239240418"/>
    <x v="1"/>
    <n v="15250"/>
    <x v="1"/>
    <x v="0"/>
    <x v="11"/>
    <x v="1"/>
    <x v="0"/>
    <x v="0"/>
    <x v="1"/>
    <x v="0"/>
  </r>
  <r>
    <x v="0"/>
    <x v="0"/>
    <n v="2239240420"/>
    <x v="5"/>
    <n v="-600"/>
    <x v="1"/>
    <x v="0"/>
    <x v="11"/>
    <x v="5"/>
    <x v="0"/>
    <x v="0"/>
    <x v="5"/>
    <x v="0"/>
  </r>
  <r>
    <x v="0"/>
    <x v="0"/>
    <n v="2239240420"/>
    <x v="4"/>
    <n v="5000"/>
    <x v="1"/>
    <x v="0"/>
    <x v="11"/>
    <x v="4"/>
    <x v="0"/>
    <x v="0"/>
    <x v="4"/>
    <x v="0"/>
  </r>
  <r>
    <x v="0"/>
    <x v="0"/>
    <n v="2239240421"/>
    <x v="1"/>
    <n v="1950"/>
    <x v="1"/>
    <x v="0"/>
    <x v="11"/>
    <x v="1"/>
    <x v="0"/>
    <x v="0"/>
    <x v="1"/>
    <x v="0"/>
  </r>
  <r>
    <x v="0"/>
    <x v="0"/>
    <n v="2239240422"/>
    <x v="3"/>
    <n v="3850"/>
    <x v="1"/>
    <x v="0"/>
    <x v="11"/>
    <x v="3"/>
    <x v="0"/>
    <x v="0"/>
    <x v="3"/>
    <x v="0"/>
  </r>
  <r>
    <x v="0"/>
    <x v="0"/>
    <n v="2239240423"/>
    <x v="5"/>
    <n v="-6250"/>
    <x v="1"/>
    <x v="0"/>
    <x v="11"/>
    <x v="5"/>
    <x v="0"/>
    <x v="0"/>
    <x v="5"/>
    <x v="0"/>
  </r>
  <r>
    <x v="0"/>
    <x v="0"/>
    <n v="2239240423"/>
    <x v="6"/>
    <n v="10000"/>
    <x v="1"/>
    <x v="0"/>
    <x v="11"/>
    <x v="6"/>
    <x v="0"/>
    <x v="0"/>
    <x v="5"/>
    <x v="0"/>
  </r>
  <r>
    <x v="0"/>
    <x v="0"/>
    <n v="2239240424"/>
    <x v="5"/>
    <n v="-300"/>
    <x v="1"/>
    <x v="0"/>
    <x v="11"/>
    <x v="5"/>
    <x v="0"/>
    <x v="0"/>
    <x v="5"/>
    <x v="0"/>
  </r>
  <r>
    <x v="0"/>
    <x v="0"/>
    <n v="2239240424"/>
    <x v="6"/>
    <n v="10000"/>
    <x v="1"/>
    <x v="0"/>
    <x v="11"/>
    <x v="6"/>
    <x v="0"/>
    <x v="0"/>
    <x v="5"/>
    <x v="0"/>
  </r>
  <r>
    <x v="0"/>
    <x v="0"/>
    <n v="2239240424"/>
    <x v="7"/>
    <n v="9700"/>
    <x v="1"/>
    <x v="0"/>
    <x v="11"/>
    <x v="7"/>
    <x v="0"/>
    <x v="0"/>
    <x v="1"/>
    <x v="0"/>
  </r>
  <r>
    <x v="0"/>
    <x v="0"/>
    <n v="2239240425"/>
    <x v="4"/>
    <n v="5300"/>
    <x v="1"/>
    <x v="0"/>
    <x v="11"/>
    <x v="4"/>
    <x v="0"/>
    <x v="0"/>
    <x v="4"/>
    <x v="0"/>
  </r>
  <r>
    <x v="0"/>
    <x v="0"/>
    <n v="2239240426"/>
    <x v="3"/>
    <n v="78265"/>
    <x v="1"/>
    <x v="0"/>
    <x v="11"/>
    <x v="3"/>
    <x v="0"/>
    <x v="0"/>
    <x v="3"/>
    <x v="0"/>
  </r>
  <r>
    <x v="0"/>
    <x v="0"/>
    <n v="2239240426"/>
    <x v="7"/>
    <n v="11750"/>
    <x v="1"/>
    <x v="0"/>
    <x v="11"/>
    <x v="7"/>
    <x v="0"/>
    <x v="0"/>
    <x v="1"/>
    <x v="0"/>
  </r>
  <r>
    <x v="0"/>
    <x v="0"/>
    <n v="2239240427"/>
    <x v="5"/>
    <n v="-5400"/>
    <x v="1"/>
    <x v="0"/>
    <x v="11"/>
    <x v="5"/>
    <x v="0"/>
    <x v="0"/>
    <x v="5"/>
    <x v="0"/>
  </r>
  <r>
    <x v="0"/>
    <x v="0"/>
    <n v="2239240427"/>
    <x v="4"/>
    <n v="10000"/>
    <x v="1"/>
    <x v="0"/>
    <x v="11"/>
    <x v="4"/>
    <x v="0"/>
    <x v="0"/>
    <x v="4"/>
    <x v="0"/>
  </r>
  <r>
    <x v="0"/>
    <x v="0"/>
    <n v="2239240428"/>
    <x v="5"/>
    <n v="-3500"/>
    <x v="1"/>
    <x v="0"/>
    <x v="11"/>
    <x v="5"/>
    <x v="0"/>
    <x v="0"/>
    <x v="5"/>
    <x v="0"/>
  </r>
  <r>
    <x v="0"/>
    <x v="0"/>
    <n v="2239240428"/>
    <x v="6"/>
    <n v="5000"/>
    <x v="1"/>
    <x v="0"/>
    <x v="11"/>
    <x v="6"/>
    <x v="0"/>
    <x v="0"/>
    <x v="5"/>
    <x v="0"/>
  </r>
  <r>
    <x v="0"/>
    <x v="0"/>
    <n v="2239240429"/>
    <x v="2"/>
    <n v="29645"/>
    <x v="1"/>
    <x v="0"/>
    <x v="11"/>
    <x v="2"/>
    <x v="0"/>
    <x v="0"/>
    <x v="2"/>
    <x v="0"/>
  </r>
  <r>
    <x v="0"/>
    <x v="0"/>
    <n v="2239240430"/>
    <x v="5"/>
    <n v="-1800"/>
    <x v="1"/>
    <x v="0"/>
    <x v="11"/>
    <x v="5"/>
    <x v="0"/>
    <x v="0"/>
    <x v="5"/>
    <x v="0"/>
  </r>
  <r>
    <x v="0"/>
    <x v="0"/>
    <n v="2239240430"/>
    <x v="6"/>
    <n v="25000"/>
    <x v="1"/>
    <x v="0"/>
    <x v="11"/>
    <x v="6"/>
    <x v="0"/>
    <x v="0"/>
    <x v="5"/>
    <x v="0"/>
  </r>
  <r>
    <x v="0"/>
    <x v="0"/>
    <n v="2239240431"/>
    <x v="3"/>
    <n v="10900"/>
    <x v="1"/>
    <x v="0"/>
    <x v="11"/>
    <x v="3"/>
    <x v="0"/>
    <x v="0"/>
    <x v="3"/>
    <x v="0"/>
  </r>
  <r>
    <x v="0"/>
    <x v="0"/>
    <n v="2239240431"/>
    <x v="7"/>
    <n v="10900"/>
    <x v="1"/>
    <x v="0"/>
    <x v="11"/>
    <x v="7"/>
    <x v="0"/>
    <x v="0"/>
    <x v="1"/>
    <x v="0"/>
  </r>
  <r>
    <x v="0"/>
    <x v="0"/>
    <n v="2239240432"/>
    <x v="2"/>
    <n v="49500"/>
    <x v="1"/>
    <x v="0"/>
    <x v="11"/>
    <x v="2"/>
    <x v="0"/>
    <x v="0"/>
    <x v="2"/>
    <x v="0"/>
  </r>
  <r>
    <x v="0"/>
    <x v="0"/>
    <n v="2239240433"/>
    <x v="8"/>
    <n v="30000"/>
    <x v="1"/>
    <x v="0"/>
    <x v="11"/>
    <x v="8"/>
    <x v="0"/>
    <x v="0"/>
    <x v="3"/>
    <x v="0"/>
  </r>
  <r>
    <x v="0"/>
    <x v="0"/>
    <n v="2239240433"/>
    <x v="7"/>
    <n v="4000"/>
    <x v="1"/>
    <x v="0"/>
    <x v="11"/>
    <x v="7"/>
    <x v="0"/>
    <x v="0"/>
    <x v="1"/>
    <x v="0"/>
  </r>
  <r>
    <x v="0"/>
    <x v="0"/>
    <n v="2239240434"/>
    <x v="2"/>
    <n v="3750"/>
    <x v="1"/>
    <x v="0"/>
    <x v="11"/>
    <x v="2"/>
    <x v="0"/>
    <x v="0"/>
    <x v="2"/>
    <x v="0"/>
  </r>
  <r>
    <x v="0"/>
    <x v="0"/>
    <n v="2239240436"/>
    <x v="5"/>
    <n v="-1250"/>
    <x v="1"/>
    <x v="0"/>
    <x v="11"/>
    <x v="5"/>
    <x v="0"/>
    <x v="0"/>
    <x v="5"/>
    <x v="0"/>
  </r>
  <r>
    <x v="0"/>
    <x v="0"/>
    <n v="2239240436"/>
    <x v="6"/>
    <n v="5000"/>
    <x v="1"/>
    <x v="0"/>
    <x v="11"/>
    <x v="6"/>
    <x v="0"/>
    <x v="0"/>
    <x v="5"/>
    <x v="0"/>
  </r>
  <r>
    <x v="0"/>
    <x v="0"/>
    <n v="2239240437"/>
    <x v="2"/>
    <n v="3250"/>
    <x v="1"/>
    <x v="0"/>
    <x v="11"/>
    <x v="2"/>
    <x v="0"/>
    <x v="0"/>
    <x v="2"/>
    <x v="0"/>
  </r>
  <r>
    <x v="0"/>
    <x v="0"/>
    <n v="2239240438"/>
    <x v="2"/>
    <n v="7000"/>
    <x v="1"/>
    <x v="0"/>
    <x v="11"/>
    <x v="2"/>
    <x v="0"/>
    <x v="0"/>
    <x v="2"/>
    <x v="0"/>
  </r>
  <r>
    <x v="0"/>
    <x v="0"/>
    <n v="2239240439"/>
    <x v="5"/>
    <n v="-3500"/>
    <x v="1"/>
    <x v="0"/>
    <x v="11"/>
    <x v="5"/>
    <x v="0"/>
    <x v="0"/>
    <x v="5"/>
    <x v="0"/>
  </r>
  <r>
    <x v="0"/>
    <x v="0"/>
    <n v="2239240439"/>
    <x v="6"/>
    <n v="10000"/>
    <x v="1"/>
    <x v="0"/>
    <x v="11"/>
    <x v="6"/>
    <x v="0"/>
    <x v="0"/>
    <x v="5"/>
    <x v="0"/>
  </r>
  <r>
    <x v="0"/>
    <x v="0"/>
    <n v="2239240440"/>
    <x v="1"/>
    <n v="4350"/>
    <x v="1"/>
    <x v="0"/>
    <x v="11"/>
    <x v="1"/>
    <x v="0"/>
    <x v="0"/>
    <x v="1"/>
    <x v="0"/>
  </r>
  <r>
    <x v="0"/>
    <x v="0"/>
    <n v="2239240442"/>
    <x v="6"/>
    <n v="1500"/>
    <x v="1"/>
    <x v="0"/>
    <x v="11"/>
    <x v="6"/>
    <x v="0"/>
    <x v="0"/>
    <x v="5"/>
    <x v="0"/>
  </r>
  <r>
    <x v="0"/>
    <x v="0"/>
    <n v="2239240443"/>
    <x v="5"/>
    <n v="-7000"/>
    <x v="1"/>
    <x v="0"/>
    <x v="11"/>
    <x v="5"/>
    <x v="0"/>
    <x v="0"/>
    <x v="5"/>
    <x v="0"/>
  </r>
  <r>
    <x v="0"/>
    <x v="0"/>
    <n v="2239240443"/>
    <x v="6"/>
    <n v="10000"/>
    <x v="1"/>
    <x v="0"/>
    <x v="11"/>
    <x v="6"/>
    <x v="0"/>
    <x v="0"/>
    <x v="5"/>
    <x v="0"/>
  </r>
  <r>
    <x v="0"/>
    <x v="0"/>
    <n v="2239240444"/>
    <x v="2"/>
    <n v="1500"/>
    <x v="1"/>
    <x v="0"/>
    <x v="11"/>
    <x v="2"/>
    <x v="0"/>
    <x v="0"/>
    <x v="2"/>
    <x v="0"/>
  </r>
  <r>
    <x v="0"/>
    <x v="0"/>
    <n v="2239240445"/>
    <x v="2"/>
    <n v="47850"/>
    <x v="1"/>
    <x v="0"/>
    <x v="11"/>
    <x v="2"/>
    <x v="0"/>
    <x v="0"/>
    <x v="2"/>
    <x v="0"/>
  </r>
  <r>
    <x v="0"/>
    <x v="0"/>
    <n v="2239240447"/>
    <x v="2"/>
    <n v="4950"/>
    <x v="1"/>
    <x v="0"/>
    <x v="11"/>
    <x v="2"/>
    <x v="0"/>
    <x v="0"/>
    <x v="2"/>
    <x v="0"/>
  </r>
  <r>
    <x v="0"/>
    <x v="0"/>
    <n v="2239240448"/>
    <x v="1"/>
    <n v="6000"/>
    <x v="1"/>
    <x v="0"/>
    <x v="11"/>
    <x v="1"/>
    <x v="0"/>
    <x v="0"/>
    <x v="1"/>
    <x v="0"/>
  </r>
  <r>
    <x v="0"/>
    <x v="0"/>
    <n v="2239240449"/>
    <x v="1"/>
    <n v="1050"/>
    <x v="1"/>
    <x v="0"/>
    <x v="11"/>
    <x v="1"/>
    <x v="0"/>
    <x v="0"/>
    <x v="1"/>
    <x v="0"/>
  </r>
  <r>
    <x v="0"/>
    <x v="0"/>
    <n v="2239240450"/>
    <x v="2"/>
    <n v="18744"/>
    <x v="1"/>
    <x v="0"/>
    <x v="11"/>
    <x v="2"/>
    <x v="0"/>
    <x v="0"/>
    <x v="2"/>
    <x v="0"/>
  </r>
  <r>
    <x v="0"/>
    <x v="0"/>
    <n v="2239240451"/>
    <x v="2"/>
    <n v="5000"/>
    <x v="1"/>
    <x v="0"/>
    <x v="11"/>
    <x v="2"/>
    <x v="0"/>
    <x v="0"/>
    <x v="2"/>
    <x v="0"/>
  </r>
  <r>
    <x v="0"/>
    <x v="0"/>
    <n v="2239240452"/>
    <x v="3"/>
    <n v="13750"/>
    <x v="1"/>
    <x v="0"/>
    <x v="11"/>
    <x v="3"/>
    <x v="0"/>
    <x v="0"/>
    <x v="3"/>
    <x v="0"/>
  </r>
  <r>
    <x v="0"/>
    <x v="0"/>
    <n v="2239240453"/>
    <x v="2"/>
    <n v="40040"/>
    <x v="1"/>
    <x v="0"/>
    <x v="11"/>
    <x v="2"/>
    <x v="0"/>
    <x v="0"/>
    <x v="2"/>
    <x v="0"/>
  </r>
  <r>
    <x v="0"/>
    <x v="0"/>
    <n v="2239240454"/>
    <x v="5"/>
    <n v="-4900"/>
    <x v="1"/>
    <x v="0"/>
    <x v="11"/>
    <x v="5"/>
    <x v="0"/>
    <x v="0"/>
    <x v="5"/>
    <x v="0"/>
  </r>
  <r>
    <x v="0"/>
    <x v="0"/>
    <n v="2239240454"/>
    <x v="6"/>
    <n v="10000"/>
    <x v="1"/>
    <x v="0"/>
    <x v="11"/>
    <x v="6"/>
    <x v="0"/>
    <x v="0"/>
    <x v="5"/>
    <x v="0"/>
  </r>
  <r>
    <x v="0"/>
    <x v="0"/>
    <n v="2239240455"/>
    <x v="5"/>
    <n v="-1000"/>
    <x v="1"/>
    <x v="0"/>
    <x v="11"/>
    <x v="5"/>
    <x v="0"/>
    <x v="0"/>
    <x v="5"/>
    <x v="0"/>
  </r>
  <r>
    <x v="0"/>
    <x v="0"/>
    <n v="2239240455"/>
    <x v="6"/>
    <n v="7000"/>
    <x v="1"/>
    <x v="0"/>
    <x v="11"/>
    <x v="6"/>
    <x v="0"/>
    <x v="0"/>
    <x v="5"/>
    <x v="0"/>
  </r>
  <r>
    <x v="0"/>
    <x v="0"/>
    <n v="2239240456"/>
    <x v="4"/>
    <n v="4600"/>
    <x v="1"/>
    <x v="0"/>
    <x v="11"/>
    <x v="4"/>
    <x v="0"/>
    <x v="0"/>
    <x v="4"/>
    <x v="0"/>
  </r>
  <r>
    <x v="0"/>
    <x v="0"/>
    <n v="2239240457"/>
    <x v="6"/>
    <n v="3000"/>
    <x v="1"/>
    <x v="0"/>
    <x v="11"/>
    <x v="6"/>
    <x v="0"/>
    <x v="0"/>
    <x v="5"/>
    <x v="0"/>
  </r>
  <r>
    <x v="0"/>
    <x v="0"/>
    <n v="2239240458"/>
    <x v="5"/>
    <n v="-1200"/>
    <x v="1"/>
    <x v="0"/>
    <x v="11"/>
    <x v="5"/>
    <x v="0"/>
    <x v="0"/>
    <x v="5"/>
    <x v="0"/>
  </r>
  <r>
    <x v="0"/>
    <x v="0"/>
    <n v="2239240458"/>
    <x v="6"/>
    <n v="5000"/>
    <x v="1"/>
    <x v="0"/>
    <x v="11"/>
    <x v="6"/>
    <x v="0"/>
    <x v="0"/>
    <x v="5"/>
    <x v="0"/>
  </r>
  <r>
    <x v="0"/>
    <x v="0"/>
    <n v="2239240459"/>
    <x v="2"/>
    <n v="15000"/>
    <x v="1"/>
    <x v="0"/>
    <x v="11"/>
    <x v="2"/>
    <x v="0"/>
    <x v="0"/>
    <x v="2"/>
    <x v="0"/>
  </r>
  <r>
    <x v="0"/>
    <x v="0"/>
    <n v="2239240460"/>
    <x v="2"/>
    <n v="4950"/>
    <x v="1"/>
    <x v="0"/>
    <x v="11"/>
    <x v="2"/>
    <x v="0"/>
    <x v="0"/>
    <x v="2"/>
    <x v="0"/>
  </r>
  <r>
    <x v="0"/>
    <x v="0"/>
    <n v="2239240461"/>
    <x v="8"/>
    <n v="76450"/>
    <x v="1"/>
    <x v="0"/>
    <x v="11"/>
    <x v="8"/>
    <x v="0"/>
    <x v="0"/>
    <x v="3"/>
    <x v="0"/>
  </r>
  <r>
    <x v="0"/>
    <x v="0"/>
    <n v="2239240462"/>
    <x v="2"/>
    <n v="68530"/>
    <x v="1"/>
    <x v="0"/>
    <x v="11"/>
    <x v="2"/>
    <x v="0"/>
    <x v="0"/>
    <x v="2"/>
    <x v="0"/>
  </r>
  <r>
    <x v="0"/>
    <x v="0"/>
    <n v="2239240463"/>
    <x v="2"/>
    <n v="11550"/>
    <x v="1"/>
    <x v="0"/>
    <x v="11"/>
    <x v="2"/>
    <x v="0"/>
    <x v="0"/>
    <x v="2"/>
    <x v="0"/>
  </r>
  <r>
    <x v="0"/>
    <x v="0"/>
    <n v="2239240464"/>
    <x v="5"/>
    <n v="-6400"/>
    <x v="1"/>
    <x v="0"/>
    <x v="11"/>
    <x v="5"/>
    <x v="0"/>
    <x v="0"/>
    <x v="5"/>
    <x v="0"/>
  </r>
  <r>
    <x v="0"/>
    <x v="0"/>
    <n v="2239240464"/>
    <x v="6"/>
    <n v="10000"/>
    <x v="1"/>
    <x v="0"/>
    <x v="11"/>
    <x v="6"/>
    <x v="0"/>
    <x v="0"/>
    <x v="5"/>
    <x v="0"/>
  </r>
  <r>
    <x v="0"/>
    <x v="0"/>
    <n v="2239240465"/>
    <x v="6"/>
    <n v="3000"/>
    <x v="1"/>
    <x v="0"/>
    <x v="11"/>
    <x v="6"/>
    <x v="0"/>
    <x v="0"/>
    <x v="5"/>
    <x v="0"/>
  </r>
  <r>
    <x v="0"/>
    <x v="0"/>
    <n v="2239240466"/>
    <x v="2"/>
    <n v="90090"/>
    <x v="1"/>
    <x v="0"/>
    <x v="11"/>
    <x v="2"/>
    <x v="0"/>
    <x v="0"/>
    <x v="2"/>
    <x v="0"/>
  </r>
  <r>
    <x v="0"/>
    <x v="0"/>
    <n v="2239240467"/>
    <x v="2"/>
    <n v="21450"/>
    <x v="1"/>
    <x v="0"/>
    <x v="11"/>
    <x v="2"/>
    <x v="0"/>
    <x v="0"/>
    <x v="2"/>
    <x v="0"/>
  </r>
  <r>
    <x v="0"/>
    <x v="0"/>
    <n v="2239240468"/>
    <x v="2"/>
    <n v="3850"/>
    <x v="1"/>
    <x v="0"/>
    <x v="11"/>
    <x v="2"/>
    <x v="0"/>
    <x v="0"/>
    <x v="2"/>
    <x v="0"/>
  </r>
  <r>
    <x v="0"/>
    <x v="0"/>
    <n v="2239240469"/>
    <x v="2"/>
    <n v="46200"/>
    <x v="1"/>
    <x v="0"/>
    <x v="11"/>
    <x v="2"/>
    <x v="0"/>
    <x v="0"/>
    <x v="2"/>
    <x v="0"/>
  </r>
  <r>
    <x v="0"/>
    <x v="0"/>
    <n v="2239240470"/>
    <x v="5"/>
    <n v="-6200"/>
    <x v="1"/>
    <x v="0"/>
    <x v="11"/>
    <x v="5"/>
    <x v="0"/>
    <x v="0"/>
    <x v="5"/>
    <x v="0"/>
  </r>
  <r>
    <x v="0"/>
    <x v="0"/>
    <n v="2239240470"/>
    <x v="6"/>
    <n v="10000"/>
    <x v="1"/>
    <x v="0"/>
    <x v="11"/>
    <x v="6"/>
    <x v="0"/>
    <x v="0"/>
    <x v="5"/>
    <x v="0"/>
  </r>
  <r>
    <x v="0"/>
    <x v="0"/>
    <n v="2239240471"/>
    <x v="4"/>
    <n v="4600"/>
    <x v="1"/>
    <x v="0"/>
    <x v="11"/>
    <x v="4"/>
    <x v="0"/>
    <x v="0"/>
    <x v="4"/>
    <x v="0"/>
  </r>
  <r>
    <x v="0"/>
    <x v="0"/>
    <n v="2239240472"/>
    <x v="5"/>
    <n v="-970"/>
    <x v="1"/>
    <x v="0"/>
    <x v="11"/>
    <x v="5"/>
    <x v="0"/>
    <x v="0"/>
    <x v="5"/>
    <x v="0"/>
  </r>
  <r>
    <x v="0"/>
    <x v="0"/>
    <n v="2239240472"/>
    <x v="6"/>
    <n v="5000"/>
    <x v="1"/>
    <x v="0"/>
    <x v="11"/>
    <x v="6"/>
    <x v="0"/>
    <x v="0"/>
    <x v="5"/>
    <x v="0"/>
  </r>
  <r>
    <x v="0"/>
    <x v="0"/>
    <n v="2239240472"/>
    <x v="2"/>
    <n v="12000"/>
    <x v="1"/>
    <x v="0"/>
    <x v="11"/>
    <x v="2"/>
    <x v="0"/>
    <x v="0"/>
    <x v="2"/>
    <x v="0"/>
  </r>
  <r>
    <x v="0"/>
    <x v="0"/>
    <n v="2239240472"/>
    <x v="7"/>
    <n v="2370"/>
    <x v="1"/>
    <x v="0"/>
    <x v="11"/>
    <x v="7"/>
    <x v="0"/>
    <x v="0"/>
    <x v="1"/>
    <x v="0"/>
  </r>
  <r>
    <x v="0"/>
    <x v="0"/>
    <n v="2239240473"/>
    <x v="2"/>
    <n v="30690"/>
    <x v="1"/>
    <x v="0"/>
    <x v="11"/>
    <x v="2"/>
    <x v="0"/>
    <x v="0"/>
    <x v="2"/>
    <x v="0"/>
  </r>
  <r>
    <x v="0"/>
    <x v="0"/>
    <n v="2239240474"/>
    <x v="3"/>
    <n v="15950"/>
    <x v="1"/>
    <x v="0"/>
    <x v="11"/>
    <x v="3"/>
    <x v="0"/>
    <x v="0"/>
    <x v="3"/>
    <x v="0"/>
  </r>
  <r>
    <x v="0"/>
    <x v="0"/>
    <n v="2239240475"/>
    <x v="5"/>
    <n v="-4300"/>
    <x v="1"/>
    <x v="0"/>
    <x v="11"/>
    <x v="5"/>
    <x v="0"/>
    <x v="0"/>
    <x v="5"/>
    <x v="0"/>
  </r>
  <r>
    <x v="0"/>
    <x v="0"/>
    <n v="2239240475"/>
    <x v="4"/>
    <n v="10000"/>
    <x v="1"/>
    <x v="0"/>
    <x v="11"/>
    <x v="4"/>
    <x v="0"/>
    <x v="0"/>
    <x v="4"/>
    <x v="0"/>
  </r>
  <r>
    <x v="0"/>
    <x v="0"/>
    <n v="2239240476"/>
    <x v="2"/>
    <n v="79090"/>
    <x v="1"/>
    <x v="0"/>
    <x v="11"/>
    <x v="2"/>
    <x v="0"/>
    <x v="0"/>
    <x v="2"/>
    <x v="0"/>
  </r>
  <r>
    <x v="0"/>
    <x v="0"/>
    <n v="2239240477"/>
    <x v="2"/>
    <n v="41900"/>
    <x v="1"/>
    <x v="0"/>
    <x v="11"/>
    <x v="2"/>
    <x v="0"/>
    <x v="0"/>
    <x v="2"/>
    <x v="0"/>
  </r>
  <r>
    <x v="0"/>
    <x v="0"/>
    <n v="2239240478"/>
    <x v="2"/>
    <n v="8250"/>
    <x v="1"/>
    <x v="0"/>
    <x v="11"/>
    <x v="2"/>
    <x v="0"/>
    <x v="0"/>
    <x v="2"/>
    <x v="0"/>
  </r>
  <r>
    <x v="0"/>
    <x v="0"/>
    <n v="2239240479"/>
    <x v="1"/>
    <n v="900"/>
    <x v="1"/>
    <x v="0"/>
    <x v="11"/>
    <x v="1"/>
    <x v="0"/>
    <x v="0"/>
    <x v="1"/>
    <x v="0"/>
  </r>
  <r>
    <x v="0"/>
    <x v="0"/>
    <n v="2239240480"/>
    <x v="2"/>
    <n v="11550"/>
    <x v="1"/>
    <x v="0"/>
    <x v="11"/>
    <x v="2"/>
    <x v="0"/>
    <x v="0"/>
    <x v="2"/>
    <x v="0"/>
  </r>
  <r>
    <x v="0"/>
    <x v="0"/>
    <n v="2239240481"/>
    <x v="2"/>
    <n v="36000"/>
    <x v="1"/>
    <x v="0"/>
    <x v="11"/>
    <x v="2"/>
    <x v="0"/>
    <x v="0"/>
    <x v="2"/>
    <x v="0"/>
  </r>
  <r>
    <x v="0"/>
    <x v="0"/>
    <n v="2239240482"/>
    <x v="8"/>
    <n v="12500"/>
    <x v="1"/>
    <x v="0"/>
    <x v="11"/>
    <x v="8"/>
    <x v="0"/>
    <x v="0"/>
    <x v="3"/>
    <x v="0"/>
  </r>
  <r>
    <x v="0"/>
    <x v="0"/>
    <n v="2239240483"/>
    <x v="1"/>
    <n v="7020"/>
    <x v="1"/>
    <x v="0"/>
    <x v="11"/>
    <x v="1"/>
    <x v="0"/>
    <x v="0"/>
    <x v="1"/>
    <x v="0"/>
  </r>
  <r>
    <x v="0"/>
    <x v="0"/>
    <n v="2239240485"/>
    <x v="2"/>
    <n v="24750"/>
    <x v="1"/>
    <x v="0"/>
    <x v="11"/>
    <x v="2"/>
    <x v="0"/>
    <x v="0"/>
    <x v="2"/>
    <x v="0"/>
  </r>
  <r>
    <x v="0"/>
    <x v="0"/>
    <n v="2239240486"/>
    <x v="2"/>
    <n v="3300"/>
    <x v="1"/>
    <x v="0"/>
    <x v="11"/>
    <x v="2"/>
    <x v="0"/>
    <x v="0"/>
    <x v="2"/>
    <x v="0"/>
  </r>
  <r>
    <x v="0"/>
    <x v="0"/>
    <n v="2239240487"/>
    <x v="3"/>
    <n v="5500"/>
    <x v="1"/>
    <x v="0"/>
    <x v="11"/>
    <x v="3"/>
    <x v="0"/>
    <x v="0"/>
    <x v="3"/>
    <x v="0"/>
  </r>
  <r>
    <x v="0"/>
    <x v="0"/>
    <n v="2239240488"/>
    <x v="2"/>
    <n v="11550"/>
    <x v="1"/>
    <x v="0"/>
    <x v="11"/>
    <x v="2"/>
    <x v="0"/>
    <x v="0"/>
    <x v="2"/>
    <x v="0"/>
  </r>
  <r>
    <x v="0"/>
    <x v="0"/>
    <n v="2239240489"/>
    <x v="2"/>
    <n v="22500"/>
    <x v="1"/>
    <x v="0"/>
    <x v="11"/>
    <x v="2"/>
    <x v="0"/>
    <x v="0"/>
    <x v="2"/>
    <x v="0"/>
  </r>
  <r>
    <x v="0"/>
    <x v="0"/>
    <n v="2239240490"/>
    <x v="5"/>
    <n v="-4400"/>
    <x v="1"/>
    <x v="0"/>
    <x v="11"/>
    <x v="5"/>
    <x v="0"/>
    <x v="0"/>
    <x v="5"/>
    <x v="0"/>
  </r>
  <r>
    <x v="0"/>
    <x v="0"/>
    <n v="2239240490"/>
    <x v="4"/>
    <n v="10000"/>
    <x v="1"/>
    <x v="0"/>
    <x v="11"/>
    <x v="4"/>
    <x v="0"/>
    <x v="0"/>
    <x v="4"/>
    <x v="0"/>
  </r>
  <r>
    <x v="0"/>
    <x v="0"/>
    <n v="2239240491"/>
    <x v="3"/>
    <n v="12500"/>
    <x v="1"/>
    <x v="0"/>
    <x v="11"/>
    <x v="3"/>
    <x v="0"/>
    <x v="0"/>
    <x v="3"/>
    <x v="0"/>
  </r>
  <r>
    <x v="0"/>
    <x v="0"/>
    <n v="2239240492"/>
    <x v="2"/>
    <n v="6500"/>
    <x v="1"/>
    <x v="0"/>
    <x v="11"/>
    <x v="2"/>
    <x v="0"/>
    <x v="0"/>
    <x v="2"/>
    <x v="0"/>
  </r>
  <r>
    <x v="0"/>
    <x v="0"/>
    <n v="2239240493"/>
    <x v="5"/>
    <n v="-700"/>
    <x v="1"/>
    <x v="0"/>
    <x v="11"/>
    <x v="5"/>
    <x v="0"/>
    <x v="0"/>
    <x v="5"/>
    <x v="0"/>
  </r>
  <r>
    <x v="0"/>
    <x v="0"/>
    <n v="2239240493"/>
    <x v="4"/>
    <n v="6000"/>
    <x v="1"/>
    <x v="0"/>
    <x v="11"/>
    <x v="4"/>
    <x v="0"/>
    <x v="0"/>
    <x v="4"/>
    <x v="0"/>
  </r>
  <r>
    <x v="0"/>
    <x v="0"/>
    <n v="2239240495"/>
    <x v="6"/>
    <n v="10000"/>
    <x v="1"/>
    <x v="0"/>
    <x v="11"/>
    <x v="6"/>
    <x v="0"/>
    <x v="0"/>
    <x v="5"/>
    <x v="0"/>
  </r>
  <r>
    <x v="0"/>
    <x v="0"/>
    <n v="2239240497"/>
    <x v="6"/>
    <n v="1"/>
    <x v="1"/>
    <x v="0"/>
    <x v="11"/>
    <x v="6"/>
    <x v="0"/>
    <x v="0"/>
    <x v="5"/>
    <x v="0"/>
  </r>
  <r>
    <x v="0"/>
    <x v="0"/>
    <n v="2239240498"/>
    <x v="5"/>
    <n v="-2500"/>
    <x v="1"/>
    <x v="0"/>
    <x v="11"/>
    <x v="5"/>
    <x v="0"/>
    <x v="0"/>
    <x v="5"/>
    <x v="0"/>
  </r>
  <r>
    <x v="0"/>
    <x v="0"/>
    <n v="2239240498"/>
    <x v="6"/>
    <n v="10000"/>
    <x v="1"/>
    <x v="0"/>
    <x v="11"/>
    <x v="6"/>
    <x v="0"/>
    <x v="0"/>
    <x v="5"/>
    <x v="0"/>
  </r>
  <r>
    <x v="0"/>
    <x v="0"/>
    <n v="2239240502"/>
    <x v="2"/>
    <n v="24750"/>
    <x v="1"/>
    <x v="0"/>
    <x v="11"/>
    <x v="2"/>
    <x v="0"/>
    <x v="0"/>
    <x v="2"/>
    <x v="0"/>
  </r>
  <r>
    <x v="0"/>
    <x v="0"/>
    <n v="2239240503"/>
    <x v="5"/>
    <n v="-10480"/>
    <x v="1"/>
    <x v="0"/>
    <x v="11"/>
    <x v="5"/>
    <x v="0"/>
    <x v="0"/>
    <x v="5"/>
    <x v="0"/>
  </r>
  <r>
    <x v="0"/>
    <x v="0"/>
    <n v="2239240503"/>
    <x v="6"/>
    <n v="40000"/>
    <x v="1"/>
    <x v="0"/>
    <x v="11"/>
    <x v="6"/>
    <x v="0"/>
    <x v="0"/>
    <x v="5"/>
    <x v="0"/>
  </r>
  <r>
    <x v="0"/>
    <x v="0"/>
    <n v="2239240504"/>
    <x v="1"/>
    <n v="1800"/>
    <x v="1"/>
    <x v="0"/>
    <x v="11"/>
    <x v="1"/>
    <x v="0"/>
    <x v="0"/>
    <x v="1"/>
    <x v="0"/>
  </r>
  <r>
    <x v="0"/>
    <x v="0"/>
    <n v="2239240505"/>
    <x v="5"/>
    <n v="-3000"/>
    <x v="1"/>
    <x v="0"/>
    <x v="11"/>
    <x v="5"/>
    <x v="0"/>
    <x v="0"/>
    <x v="5"/>
    <x v="0"/>
  </r>
  <r>
    <x v="0"/>
    <x v="0"/>
    <n v="2239240505"/>
    <x v="6"/>
    <n v="10200"/>
    <x v="1"/>
    <x v="0"/>
    <x v="11"/>
    <x v="6"/>
    <x v="0"/>
    <x v="0"/>
    <x v="5"/>
    <x v="0"/>
  </r>
  <r>
    <x v="0"/>
    <x v="0"/>
    <n v="2239240506"/>
    <x v="5"/>
    <n v="-3270"/>
    <x v="1"/>
    <x v="0"/>
    <x v="11"/>
    <x v="5"/>
    <x v="0"/>
    <x v="0"/>
    <x v="5"/>
    <x v="0"/>
  </r>
  <r>
    <x v="0"/>
    <x v="0"/>
    <n v="2239240506"/>
    <x v="6"/>
    <n v="20000"/>
    <x v="1"/>
    <x v="0"/>
    <x v="11"/>
    <x v="6"/>
    <x v="0"/>
    <x v="0"/>
    <x v="5"/>
    <x v="0"/>
  </r>
  <r>
    <x v="0"/>
    <x v="0"/>
    <n v="2239240507"/>
    <x v="5"/>
    <n v="-1500"/>
    <x v="1"/>
    <x v="0"/>
    <x v="11"/>
    <x v="5"/>
    <x v="0"/>
    <x v="0"/>
    <x v="5"/>
    <x v="0"/>
  </r>
  <r>
    <x v="0"/>
    <x v="0"/>
    <n v="2239240507"/>
    <x v="6"/>
    <n v="5000"/>
    <x v="1"/>
    <x v="0"/>
    <x v="11"/>
    <x v="6"/>
    <x v="0"/>
    <x v="0"/>
    <x v="5"/>
    <x v="0"/>
  </r>
  <r>
    <x v="0"/>
    <x v="0"/>
    <n v="2239240509"/>
    <x v="2"/>
    <n v="9900"/>
    <x v="1"/>
    <x v="0"/>
    <x v="11"/>
    <x v="2"/>
    <x v="0"/>
    <x v="0"/>
    <x v="2"/>
    <x v="0"/>
  </r>
  <r>
    <x v="0"/>
    <x v="0"/>
    <n v="2239240510"/>
    <x v="6"/>
    <n v="20000"/>
    <x v="1"/>
    <x v="0"/>
    <x v="11"/>
    <x v="6"/>
    <x v="0"/>
    <x v="0"/>
    <x v="5"/>
    <x v="0"/>
  </r>
  <r>
    <x v="0"/>
    <x v="0"/>
    <n v="2239240511"/>
    <x v="5"/>
    <n v="-500"/>
    <x v="1"/>
    <x v="0"/>
    <x v="11"/>
    <x v="5"/>
    <x v="0"/>
    <x v="0"/>
    <x v="5"/>
    <x v="0"/>
  </r>
  <r>
    <x v="0"/>
    <x v="0"/>
    <n v="2239240511"/>
    <x v="6"/>
    <n v="10000"/>
    <x v="1"/>
    <x v="0"/>
    <x v="11"/>
    <x v="6"/>
    <x v="0"/>
    <x v="0"/>
    <x v="5"/>
    <x v="0"/>
  </r>
  <r>
    <x v="0"/>
    <x v="0"/>
    <n v="2239240512"/>
    <x v="2"/>
    <n v="6600"/>
    <x v="1"/>
    <x v="0"/>
    <x v="11"/>
    <x v="2"/>
    <x v="0"/>
    <x v="0"/>
    <x v="2"/>
    <x v="0"/>
  </r>
  <r>
    <x v="0"/>
    <x v="0"/>
    <n v="2239240513"/>
    <x v="5"/>
    <n v="-5400"/>
    <x v="1"/>
    <x v="0"/>
    <x v="11"/>
    <x v="5"/>
    <x v="0"/>
    <x v="0"/>
    <x v="5"/>
    <x v="0"/>
  </r>
  <r>
    <x v="0"/>
    <x v="0"/>
    <n v="2239240513"/>
    <x v="4"/>
    <n v="10000"/>
    <x v="1"/>
    <x v="0"/>
    <x v="11"/>
    <x v="4"/>
    <x v="0"/>
    <x v="0"/>
    <x v="4"/>
    <x v="0"/>
  </r>
  <r>
    <x v="0"/>
    <x v="0"/>
    <n v="2239240514"/>
    <x v="2"/>
    <n v="24090"/>
    <x v="1"/>
    <x v="0"/>
    <x v="11"/>
    <x v="2"/>
    <x v="0"/>
    <x v="0"/>
    <x v="2"/>
    <x v="0"/>
  </r>
  <r>
    <x v="0"/>
    <x v="0"/>
    <n v="2239240515"/>
    <x v="2"/>
    <n v="6500"/>
    <x v="1"/>
    <x v="0"/>
    <x v="11"/>
    <x v="2"/>
    <x v="0"/>
    <x v="0"/>
    <x v="2"/>
    <x v="0"/>
  </r>
  <r>
    <x v="0"/>
    <x v="0"/>
    <n v="2239240516"/>
    <x v="5"/>
    <n v="-100"/>
    <x v="1"/>
    <x v="0"/>
    <x v="11"/>
    <x v="5"/>
    <x v="0"/>
    <x v="0"/>
    <x v="5"/>
    <x v="0"/>
  </r>
  <r>
    <x v="0"/>
    <x v="0"/>
    <n v="2239240516"/>
    <x v="6"/>
    <n v="10000"/>
    <x v="1"/>
    <x v="0"/>
    <x v="11"/>
    <x v="6"/>
    <x v="0"/>
    <x v="0"/>
    <x v="5"/>
    <x v="0"/>
  </r>
  <r>
    <x v="0"/>
    <x v="0"/>
    <n v="2239240516"/>
    <x v="2"/>
    <n v="14300"/>
    <x v="1"/>
    <x v="0"/>
    <x v="11"/>
    <x v="2"/>
    <x v="0"/>
    <x v="0"/>
    <x v="2"/>
    <x v="0"/>
  </r>
  <r>
    <x v="0"/>
    <x v="0"/>
    <n v="2239240518"/>
    <x v="5"/>
    <n v="-400"/>
    <x v="1"/>
    <x v="0"/>
    <x v="11"/>
    <x v="5"/>
    <x v="0"/>
    <x v="0"/>
    <x v="5"/>
    <x v="0"/>
  </r>
  <r>
    <x v="0"/>
    <x v="0"/>
    <n v="2239240518"/>
    <x v="4"/>
    <n v="5000"/>
    <x v="1"/>
    <x v="0"/>
    <x v="11"/>
    <x v="4"/>
    <x v="0"/>
    <x v="0"/>
    <x v="4"/>
    <x v="0"/>
  </r>
  <r>
    <x v="0"/>
    <x v="0"/>
    <n v="2239240519"/>
    <x v="6"/>
    <n v="7000"/>
    <x v="1"/>
    <x v="0"/>
    <x v="11"/>
    <x v="6"/>
    <x v="0"/>
    <x v="0"/>
    <x v="5"/>
    <x v="0"/>
  </r>
  <r>
    <x v="0"/>
    <x v="0"/>
    <n v="2239240520"/>
    <x v="5"/>
    <n v="-9100"/>
    <x v="1"/>
    <x v="0"/>
    <x v="11"/>
    <x v="5"/>
    <x v="0"/>
    <x v="0"/>
    <x v="5"/>
    <x v="0"/>
  </r>
  <r>
    <x v="0"/>
    <x v="0"/>
    <n v="2239240520"/>
    <x v="6"/>
    <n v="40000"/>
    <x v="1"/>
    <x v="0"/>
    <x v="11"/>
    <x v="6"/>
    <x v="0"/>
    <x v="0"/>
    <x v="5"/>
    <x v="0"/>
  </r>
  <r>
    <x v="0"/>
    <x v="0"/>
    <n v="2239240521"/>
    <x v="5"/>
    <n v="-500"/>
    <x v="1"/>
    <x v="0"/>
    <x v="11"/>
    <x v="5"/>
    <x v="0"/>
    <x v="0"/>
    <x v="5"/>
    <x v="0"/>
  </r>
  <r>
    <x v="0"/>
    <x v="0"/>
    <n v="2239240521"/>
    <x v="4"/>
    <n v="6200"/>
    <x v="1"/>
    <x v="0"/>
    <x v="11"/>
    <x v="4"/>
    <x v="0"/>
    <x v="0"/>
    <x v="4"/>
    <x v="0"/>
  </r>
  <r>
    <x v="0"/>
    <x v="0"/>
    <n v="2239240523"/>
    <x v="5"/>
    <n v="-4400"/>
    <x v="1"/>
    <x v="0"/>
    <x v="11"/>
    <x v="5"/>
    <x v="0"/>
    <x v="0"/>
    <x v="5"/>
    <x v="0"/>
  </r>
  <r>
    <x v="0"/>
    <x v="0"/>
    <n v="2239240523"/>
    <x v="4"/>
    <n v="10000"/>
    <x v="1"/>
    <x v="0"/>
    <x v="11"/>
    <x v="4"/>
    <x v="0"/>
    <x v="0"/>
    <x v="4"/>
    <x v="0"/>
  </r>
  <r>
    <x v="0"/>
    <x v="0"/>
    <n v="2239240524"/>
    <x v="5"/>
    <n v="-2000"/>
    <x v="1"/>
    <x v="0"/>
    <x v="11"/>
    <x v="5"/>
    <x v="0"/>
    <x v="0"/>
    <x v="5"/>
    <x v="0"/>
  </r>
  <r>
    <x v="0"/>
    <x v="0"/>
    <n v="2239240524"/>
    <x v="6"/>
    <n v="15000"/>
    <x v="1"/>
    <x v="0"/>
    <x v="11"/>
    <x v="6"/>
    <x v="0"/>
    <x v="0"/>
    <x v="5"/>
    <x v="0"/>
  </r>
  <r>
    <x v="0"/>
    <x v="0"/>
    <n v="2239245015"/>
    <x v="5"/>
    <n v="-7000"/>
    <x v="1"/>
    <x v="0"/>
    <x v="13"/>
    <x v="5"/>
    <x v="0"/>
    <x v="0"/>
    <x v="5"/>
    <x v="0"/>
  </r>
  <r>
    <x v="0"/>
    <x v="0"/>
    <n v="2239245015"/>
    <x v="6"/>
    <n v="20000"/>
    <x v="1"/>
    <x v="0"/>
    <x v="13"/>
    <x v="6"/>
    <x v="0"/>
    <x v="0"/>
    <x v="5"/>
    <x v="0"/>
  </r>
  <r>
    <x v="0"/>
    <x v="0"/>
    <n v="2239245016"/>
    <x v="1"/>
    <n v="4500"/>
    <x v="1"/>
    <x v="0"/>
    <x v="13"/>
    <x v="1"/>
    <x v="0"/>
    <x v="0"/>
    <x v="1"/>
    <x v="0"/>
  </r>
  <r>
    <x v="0"/>
    <x v="0"/>
    <n v="2239245017"/>
    <x v="1"/>
    <n v="3390"/>
    <x v="1"/>
    <x v="0"/>
    <x v="13"/>
    <x v="1"/>
    <x v="0"/>
    <x v="0"/>
    <x v="1"/>
    <x v="0"/>
  </r>
  <r>
    <x v="0"/>
    <x v="0"/>
    <n v="2239245018"/>
    <x v="1"/>
    <n v="30050"/>
    <x v="1"/>
    <x v="0"/>
    <x v="13"/>
    <x v="1"/>
    <x v="0"/>
    <x v="0"/>
    <x v="1"/>
    <x v="0"/>
  </r>
  <r>
    <x v="0"/>
    <x v="0"/>
    <n v="2239245019"/>
    <x v="5"/>
    <n v="-2050"/>
    <x v="1"/>
    <x v="0"/>
    <x v="13"/>
    <x v="5"/>
    <x v="0"/>
    <x v="0"/>
    <x v="5"/>
    <x v="0"/>
  </r>
  <r>
    <x v="0"/>
    <x v="0"/>
    <n v="2239245019"/>
    <x v="6"/>
    <n v="40000"/>
    <x v="1"/>
    <x v="0"/>
    <x v="13"/>
    <x v="6"/>
    <x v="0"/>
    <x v="0"/>
    <x v="5"/>
    <x v="0"/>
  </r>
  <r>
    <x v="0"/>
    <x v="0"/>
    <n v="2239245020"/>
    <x v="2"/>
    <n v="25850"/>
    <x v="1"/>
    <x v="0"/>
    <x v="13"/>
    <x v="2"/>
    <x v="0"/>
    <x v="0"/>
    <x v="2"/>
    <x v="0"/>
  </r>
  <r>
    <x v="0"/>
    <x v="0"/>
    <n v="2239245021"/>
    <x v="1"/>
    <n v="2400"/>
    <x v="1"/>
    <x v="0"/>
    <x v="13"/>
    <x v="1"/>
    <x v="0"/>
    <x v="0"/>
    <x v="1"/>
    <x v="0"/>
  </r>
  <r>
    <x v="0"/>
    <x v="0"/>
    <n v="2239245022"/>
    <x v="2"/>
    <n v="4500"/>
    <x v="1"/>
    <x v="0"/>
    <x v="13"/>
    <x v="2"/>
    <x v="0"/>
    <x v="0"/>
    <x v="2"/>
    <x v="0"/>
  </r>
  <r>
    <x v="0"/>
    <x v="0"/>
    <n v="2239245023"/>
    <x v="2"/>
    <n v="3000"/>
    <x v="1"/>
    <x v="0"/>
    <x v="13"/>
    <x v="2"/>
    <x v="0"/>
    <x v="0"/>
    <x v="2"/>
    <x v="0"/>
  </r>
  <r>
    <x v="0"/>
    <x v="0"/>
    <n v="2239245024"/>
    <x v="2"/>
    <n v="15400"/>
    <x v="1"/>
    <x v="0"/>
    <x v="13"/>
    <x v="2"/>
    <x v="0"/>
    <x v="0"/>
    <x v="2"/>
    <x v="0"/>
  </r>
  <r>
    <x v="0"/>
    <x v="0"/>
    <n v="2239245025"/>
    <x v="2"/>
    <n v="14795"/>
    <x v="1"/>
    <x v="0"/>
    <x v="13"/>
    <x v="2"/>
    <x v="0"/>
    <x v="0"/>
    <x v="2"/>
    <x v="0"/>
  </r>
  <r>
    <x v="0"/>
    <x v="0"/>
    <n v="2239245027"/>
    <x v="5"/>
    <n v="-4050"/>
    <x v="1"/>
    <x v="0"/>
    <x v="13"/>
    <x v="5"/>
    <x v="0"/>
    <x v="0"/>
    <x v="5"/>
    <x v="0"/>
  </r>
  <r>
    <x v="0"/>
    <x v="0"/>
    <n v="2239245027"/>
    <x v="6"/>
    <n v="20000"/>
    <x v="1"/>
    <x v="0"/>
    <x v="13"/>
    <x v="6"/>
    <x v="0"/>
    <x v="0"/>
    <x v="5"/>
    <x v="0"/>
  </r>
  <r>
    <x v="0"/>
    <x v="0"/>
    <n v="2239245028"/>
    <x v="3"/>
    <n v="15565"/>
    <x v="1"/>
    <x v="0"/>
    <x v="13"/>
    <x v="3"/>
    <x v="0"/>
    <x v="0"/>
    <x v="3"/>
    <x v="0"/>
  </r>
  <r>
    <x v="0"/>
    <x v="0"/>
    <n v="2239245028"/>
    <x v="7"/>
    <n v="5450"/>
    <x v="1"/>
    <x v="0"/>
    <x v="13"/>
    <x v="7"/>
    <x v="0"/>
    <x v="0"/>
    <x v="1"/>
    <x v="0"/>
  </r>
  <r>
    <x v="0"/>
    <x v="0"/>
    <n v="2239245029"/>
    <x v="2"/>
    <n v="43560"/>
    <x v="1"/>
    <x v="0"/>
    <x v="13"/>
    <x v="2"/>
    <x v="0"/>
    <x v="0"/>
    <x v="2"/>
    <x v="0"/>
  </r>
  <r>
    <x v="0"/>
    <x v="0"/>
    <n v="2239245030"/>
    <x v="1"/>
    <n v="2400"/>
    <x v="1"/>
    <x v="0"/>
    <x v="13"/>
    <x v="1"/>
    <x v="0"/>
    <x v="0"/>
    <x v="1"/>
    <x v="0"/>
  </r>
  <r>
    <x v="0"/>
    <x v="0"/>
    <n v="2239245034"/>
    <x v="6"/>
    <n v="2000"/>
    <x v="1"/>
    <x v="0"/>
    <x v="13"/>
    <x v="6"/>
    <x v="0"/>
    <x v="0"/>
    <x v="5"/>
    <x v="0"/>
  </r>
  <r>
    <x v="0"/>
    <x v="0"/>
    <n v="2239245035"/>
    <x v="5"/>
    <n v="-8000"/>
    <x v="1"/>
    <x v="0"/>
    <x v="13"/>
    <x v="5"/>
    <x v="0"/>
    <x v="0"/>
    <x v="5"/>
    <x v="0"/>
  </r>
  <r>
    <x v="0"/>
    <x v="0"/>
    <n v="2239245035"/>
    <x v="6"/>
    <n v="10000"/>
    <x v="1"/>
    <x v="0"/>
    <x v="13"/>
    <x v="6"/>
    <x v="0"/>
    <x v="0"/>
    <x v="5"/>
    <x v="0"/>
  </r>
  <r>
    <x v="0"/>
    <x v="0"/>
    <n v="2239245036"/>
    <x v="4"/>
    <n v="5700"/>
    <x v="1"/>
    <x v="0"/>
    <x v="13"/>
    <x v="4"/>
    <x v="0"/>
    <x v="0"/>
    <x v="4"/>
    <x v="0"/>
  </r>
  <r>
    <x v="0"/>
    <x v="0"/>
    <n v="2239245037"/>
    <x v="5"/>
    <n v="-1100"/>
    <x v="1"/>
    <x v="0"/>
    <x v="13"/>
    <x v="5"/>
    <x v="0"/>
    <x v="0"/>
    <x v="5"/>
    <x v="0"/>
  </r>
  <r>
    <x v="0"/>
    <x v="0"/>
    <n v="2239245037"/>
    <x v="4"/>
    <n v="5500"/>
    <x v="1"/>
    <x v="0"/>
    <x v="13"/>
    <x v="4"/>
    <x v="0"/>
    <x v="0"/>
    <x v="4"/>
    <x v="0"/>
  </r>
  <r>
    <x v="0"/>
    <x v="0"/>
    <n v="2239245038"/>
    <x v="4"/>
    <n v="14500"/>
    <x v="1"/>
    <x v="0"/>
    <x v="13"/>
    <x v="4"/>
    <x v="0"/>
    <x v="0"/>
    <x v="4"/>
    <x v="0"/>
  </r>
  <r>
    <x v="0"/>
    <x v="0"/>
    <n v="2239245039"/>
    <x v="5"/>
    <n v="-5600"/>
    <x v="1"/>
    <x v="0"/>
    <x v="13"/>
    <x v="5"/>
    <x v="0"/>
    <x v="0"/>
    <x v="5"/>
    <x v="0"/>
  </r>
  <r>
    <x v="0"/>
    <x v="0"/>
    <n v="2239245039"/>
    <x v="4"/>
    <n v="10000"/>
    <x v="1"/>
    <x v="0"/>
    <x v="13"/>
    <x v="4"/>
    <x v="0"/>
    <x v="0"/>
    <x v="4"/>
    <x v="0"/>
  </r>
  <r>
    <x v="0"/>
    <x v="0"/>
    <n v="2239245040"/>
    <x v="3"/>
    <n v="16043"/>
    <x v="1"/>
    <x v="0"/>
    <x v="13"/>
    <x v="3"/>
    <x v="0"/>
    <x v="0"/>
    <x v="3"/>
    <x v="0"/>
  </r>
  <r>
    <x v="0"/>
    <x v="0"/>
    <n v="2239245041"/>
    <x v="5"/>
    <n v="-400"/>
    <x v="1"/>
    <x v="0"/>
    <x v="13"/>
    <x v="5"/>
    <x v="0"/>
    <x v="0"/>
    <x v="5"/>
    <x v="0"/>
  </r>
  <r>
    <x v="0"/>
    <x v="0"/>
    <n v="2239245041"/>
    <x v="4"/>
    <n v="5000"/>
    <x v="1"/>
    <x v="0"/>
    <x v="13"/>
    <x v="4"/>
    <x v="0"/>
    <x v="0"/>
    <x v="4"/>
    <x v="0"/>
  </r>
  <r>
    <x v="0"/>
    <x v="0"/>
    <n v="2239245042"/>
    <x v="5"/>
    <n v="-6000"/>
    <x v="1"/>
    <x v="0"/>
    <x v="13"/>
    <x v="5"/>
    <x v="0"/>
    <x v="0"/>
    <x v="5"/>
    <x v="0"/>
  </r>
  <r>
    <x v="0"/>
    <x v="0"/>
    <n v="2239245042"/>
    <x v="6"/>
    <n v="10000"/>
    <x v="1"/>
    <x v="0"/>
    <x v="13"/>
    <x v="6"/>
    <x v="0"/>
    <x v="0"/>
    <x v="5"/>
    <x v="0"/>
  </r>
  <r>
    <x v="0"/>
    <x v="0"/>
    <n v="2239245043"/>
    <x v="1"/>
    <n v="7320"/>
    <x v="1"/>
    <x v="0"/>
    <x v="13"/>
    <x v="1"/>
    <x v="0"/>
    <x v="0"/>
    <x v="1"/>
    <x v="0"/>
  </r>
  <r>
    <x v="0"/>
    <x v="0"/>
    <n v="2239245045"/>
    <x v="2"/>
    <n v="18918"/>
    <x v="1"/>
    <x v="0"/>
    <x v="13"/>
    <x v="2"/>
    <x v="0"/>
    <x v="0"/>
    <x v="2"/>
    <x v="0"/>
  </r>
  <r>
    <x v="0"/>
    <x v="0"/>
    <n v="2239245046"/>
    <x v="5"/>
    <n v="-6100"/>
    <x v="1"/>
    <x v="0"/>
    <x v="13"/>
    <x v="5"/>
    <x v="0"/>
    <x v="0"/>
    <x v="5"/>
    <x v="0"/>
  </r>
  <r>
    <x v="0"/>
    <x v="0"/>
    <n v="2239245046"/>
    <x v="4"/>
    <n v="10500"/>
    <x v="1"/>
    <x v="0"/>
    <x v="13"/>
    <x v="4"/>
    <x v="0"/>
    <x v="0"/>
    <x v="4"/>
    <x v="0"/>
  </r>
  <r>
    <x v="0"/>
    <x v="0"/>
    <n v="2239245047"/>
    <x v="5"/>
    <n v="-14000"/>
    <x v="1"/>
    <x v="0"/>
    <x v="13"/>
    <x v="5"/>
    <x v="0"/>
    <x v="0"/>
    <x v="5"/>
    <x v="0"/>
  </r>
  <r>
    <x v="0"/>
    <x v="0"/>
    <n v="2239245047"/>
    <x v="6"/>
    <n v="20000"/>
    <x v="1"/>
    <x v="0"/>
    <x v="13"/>
    <x v="6"/>
    <x v="0"/>
    <x v="0"/>
    <x v="5"/>
    <x v="0"/>
  </r>
  <r>
    <x v="0"/>
    <x v="0"/>
    <n v="2239245049"/>
    <x v="2"/>
    <n v="29645"/>
    <x v="1"/>
    <x v="0"/>
    <x v="13"/>
    <x v="2"/>
    <x v="0"/>
    <x v="0"/>
    <x v="2"/>
    <x v="0"/>
  </r>
  <r>
    <x v="0"/>
    <x v="0"/>
    <n v="2239245051"/>
    <x v="5"/>
    <n v="-600"/>
    <x v="1"/>
    <x v="0"/>
    <x v="13"/>
    <x v="5"/>
    <x v="0"/>
    <x v="0"/>
    <x v="5"/>
    <x v="0"/>
  </r>
  <r>
    <x v="0"/>
    <x v="0"/>
    <n v="2239245051"/>
    <x v="4"/>
    <n v="5000"/>
    <x v="1"/>
    <x v="0"/>
    <x v="13"/>
    <x v="4"/>
    <x v="0"/>
    <x v="0"/>
    <x v="4"/>
    <x v="0"/>
  </r>
  <r>
    <x v="0"/>
    <x v="0"/>
    <n v="2239245052"/>
    <x v="5"/>
    <n v="-8000"/>
    <x v="1"/>
    <x v="0"/>
    <x v="13"/>
    <x v="5"/>
    <x v="0"/>
    <x v="0"/>
    <x v="5"/>
    <x v="0"/>
  </r>
  <r>
    <x v="0"/>
    <x v="0"/>
    <n v="2239245052"/>
    <x v="6"/>
    <n v="10000"/>
    <x v="1"/>
    <x v="0"/>
    <x v="13"/>
    <x v="6"/>
    <x v="0"/>
    <x v="0"/>
    <x v="5"/>
    <x v="0"/>
  </r>
  <r>
    <x v="0"/>
    <x v="0"/>
    <n v="2239245055"/>
    <x v="5"/>
    <n v="-600"/>
    <x v="1"/>
    <x v="0"/>
    <x v="13"/>
    <x v="5"/>
    <x v="0"/>
    <x v="0"/>
    <x v="5"/>
    <x v="0"/>
  </r>
  <r>
    <x v="0"/>
    <x v="0"/>
    <n v="2239245055"/>
    <x v="4"/>
    <n v="5000"/>
    <x v="1"/>
    <x v="0"/>
    <x v="13"/>
    <x v="4"/>
    <x v="0"/>
    <x v="0"/>
    <x v="4"/>
    <x v="0"/>
  </r>
  <r>
    <x v="0"/>
    <x v="0"/>
    <n v="2239245056"/>
    <x v="6"/>
    <n v="1000"/>
    <x v="1"/>
    <x v="0"/>
    <x v="13"/>
    <x v="6"/>
    <x v="0"/>
    <x v="0"/>
    <x v="5"/>
    <x v="0"/>
  </r>
  <r>
    <x v="0"/>
    <x v="0"/>
    <n v="2239245057"/>
    <x v="2"/>
    <n v="3250"/>
    <x v="1"/>
    <x v="0"/>
    <x v="13"/>
    <x v="2"/>
    <x v="0"/>
    <x v="0"/>
    <x v="2"/>
    <x v="0"/>
  </r>
  <r>
    <x v="0"/>
    <x v="0"/>
    <n v="2239245058"/>
    <x v="1"/>
    <n v="3600"/>
    <x v="1"/>
    <x v="0"/>
    <x v="13"/>
    <x v="1"/>
    <x v="0"/>
    <x v="0"/>
    <x v="1"/>
    <x v="0"/>
  </r>
  <r>
    <x v="0"/>
    <x v="0"/>
    <n v="2239245059"/>
    <x v="5"/>
    <n v="-2600"/>
    <x v="1"/>
    <x v="0"/>
    <x v="13"/>
    <x v="5"/>
    <x v="0"/>
    <x v="0"/>
    <x v="5"/>
    <x v="0"/>
  </r>
  <r>
    <x v="0"/>
    <x v="0"/>
    <n v="2239245059"/>
    <x v="6"/>
    <n v="30000"/>
    <x v="1"/>
    <x v="0"/>
    <x v="13"/>
    <x v="6"/>
    <x v="0"/>
    <x v="0"/>
    <x v="5"/>
    <x v="0"/>
  </r>
  <r>
    <x v="0"/>
    <x v="0"/>
    <n v="2239245060"/>
    <x v="1"/>
    <n v="3300"/>
    <x v="1"/>
    <x v="0"/>
    <x v="13"/>
    <x v="1"/>
    <x v="0"/>
    <x v="0"/>
    <x v="1"/>
    <x v="0"/>
  </r>
  <r>
    <x v="0"/>
    <x v="0"/>
    <n v="2239245062"/>
    <x v="6"/>
    <n v="2000"/>
    <x v="1"/>
    <x v="0"/>
    <x v="13"/>
    <x v="6"/>
    <x v="0"/>
    <x v="0"/>
    <x v="5"/>
    <x v="0"/>
  </r>
  <r>
    <x v="0"/>
    <x v="0"/>
    <n v="2239245063"/>
    <x v="3"/>
    <n v="72215"/>
    <x v="1"/>
    <x v="0"/>
    <x v="13"/>
    <x v="3"/>
    <x v="0"/>
    <x v="0"/>
    <x v="3"/>
    <x v="0"/>
  </r>
  <r>
    <x v="0"/>
    <x v="0"/>
    <n v="2239245064"/>
    <x v="2"/>
    <n v="39710"/>
    <x v="1"/>
    <x v="0"/>
    <x v="13"/>
    <x v="2"/>
    <x v="0"/>
    <x v="0"/>
    <x v="2"/>
    <x v="0"/>
  </r>
  <r>
    <x v="0"/>
    <x v="0"/>
    <n v="2239245065"/>
    <x v="2"/>
    <n v="1100"/>
    <x v="1"/>
    <x v="0"/>
    <x v="13"/>
    <x v="2"/>
    <x v="0"/>
    <x v="0"/>
    <x v="2"/>
    <x v="0"/>
  </r>
  <r>
    <x v="0"/>
    <x v="0"/>
    <n v="2239245066"/>
    <x v="5"/>
    <n v="-6000"/>
    <x v="1"/>
    <x v="0"/>
    <x v="13"/>
    <x v="5"/>
    <x v="0"/>
    <x v="0"/>
    <x v="5"/>
    <x v="0"/>
  </r>
  <r>
    <x v="0"/>
    <x v="0"/>
    <n v="2239245066"/>
    <x v="6"/>
    <n v="10000"/>
    <x v="1"/>
    <x v="0"/>
    <x v="13"/>
    <x v="6"/>
    <x v="0"/>
    <x v="0"/>
    <x v="5"/>
    <x v="0"/>
  </r>
  <r>
    <x v="0"/>
    <x v="0"/>
    <n v="2239245067"/>
    <x v="2"/>
    <n v="30195"/>
    <x v="1"/>
    <x v="0"/>
    <x v="13"/>
    <x v="2"/>
    <x v="0"/>
    <x v="0"/>
    <x v="2"/>
    <x v="0"/>
  </r>
  <r>
    <x v="0"/>
    <x v="0"/>
    <n v="2239245068"/>
    <x v="5"/>
    <n v="-4000"/>
    <x v="1"/>
    <x v="0"/>
    <x v="13"/>
    <x v="5"/>
    <x v="0"/>
    <x v="0"/>
    <x v="5"/>
    <x v="0"/>
  </r>
  <r>
    <x v="0"/>
    <x v="0"/>
    <n v="2239245068"/>
    <x v="6"/>
    <n v="10000"/>
    <x v="1"/>
    <x v="0"/>
    <x v="13"/>
    <x v="6"/>
    <x v="0"/>
    <x v="0"/>
    <x v="5"/>
    <x v="0"/>
  </r>
  <r>
    <x v="0"/>
    <x v="0"/>
    <n v="2239245069"/>
    <x v="3"/>
    <n v="1000"/>
    <x v="1"/>
    <x v="0"/>
    <x v="13"/>
    <x v="3"/>
    <x v="0"/>
    <x v="0"/>
    <x v="3"/>
    <x v="0"/>
  </r>
  <r>
    <x v="0"/>
    <x v="0"/>
    <n v="2239245070"/>
    <x v="2"/>
    <n v="2000"/>
    <x v="1"/>
    <x v="0"/>
    <x v="13"/>
    <x v="2"/>
    <x v="0"/>
    <x v="0"/>
    <x v="2"/>
    <x v="0"/>
  </r>
  <r>
    <x v="0"/>
    <x v="0"/>
    <n v="2239245072"/>
    <x v="2"/>
    <n v="2000"/>
    <x v="1"/>
    <x v="0"/>
    <x v="13"/>
    <x v="2"/>
    <x v="0"/>
    <x v="0"/>
    <x v="2"/>
    <x v="0"/>
  </r>
  <r>
    <x v="0"/>
    <x v="0"/>
    <n v="2239245073"/>
    <x v="2"/>
    <n v="5445"/>
    <x v="1"/>
    <x v="0"/>
    <x v="13"/>
    <x v="2"/>
    <x v="0"/>
    <x v="0"/>
    <x v="2"/>
    <x v="0"/>
  </r>
  <r>
    <x v="0"/>
    <x v="0"/>
    <n v="2239245074"/>
    <x v="5"/>
    <n v="-7000"/>
    <x v="1"/>
    <x v="0"/>
    <x v="13"/>
    <x v="5"/>
    <x v="0"/>
    <x v="0"/>
    <x v="5"/>
    <x v="0"/>
  </r>
  <r>
    <x v="0"/>
    <x v="0"/>
    <n v="2239245074"/>
    <x v="6"/>
    <n v="10000"/>
    <x v="1"/>
    <x v="0"/>
    <x v="13"/>
    <x v="6"/>
    <x v="0"/>
    <x v="0"/>
    <x v="5"/>
    <x v="0"/>
  </r>
  <r>
    <x v="0"/>
    <x v="0"/>
    <n v="2239245075"/>
    <x v="2"/>
    <n v="1100"/>
    <x v="1"/>
    <x v="0"/>
    <x v="13"/>
    <x v="2"/>
    <x v="0"/>
    <x v="0"/>
    <x v="2"/>
    <x v="0"/>
  </r>
  <r>
    <x v="0"/>
    <x v="0"/>
    <n v="2239245076"/>
    <x v="5"/>
    <n v="-1500"/>
    <x v="1"/>
    <x v="0"/>
    <x v="13"/>
    <x v="5"/>
    <x v="0"/>
    <x v="0"/>
    <x v="5"/>
    <x v="0"/>
  </r>
  <r>
    <x v="0"/>
    <x v="0"/>
    <n v="2239245076"/>
    <x v="6"/>
    <n v="12000"/>
    <x v="1"/>
    <x v="0"/>
    <x v="13"/>
    <x v="6"/>
    <x v="0"/>
    <x v="0"/>
    <x v="5"/>
    <x v="0"/>
  </r>
  <r>
    <x v="0"/>
    <x v="0"/>
    <n v="2239245077"/>
    <x v="2"/>
    <n v="8800"/>
    <x v="1"/>
    <x v="0"/>
    <x v="13"/>
    <x v="2"/>
    <x v="0"/>
    <x v="0"/>
    <x v="2"/>
    <x v="0"/>
  </r>
  <r>
    <x v="0"/>
    <x v="0"/>
    <n v="2239245078"/>
    <x v="5"/>
    <n v="-5600"/>
    <x v="1"/>
    <x v="0"/>
    <x v="13"/>
    <x v="5"/>
    <x v="0"/>
    <x v="0"/>
    <x v="5"/>
    <x v="0"/>
  </r>
  <r>
    <x v="0"/>
    <x v="0"/>
    <n v="2239245078"/>
    <x v="4"/>
    <n v="10000"/>
    <x v="1"/>
    <x v="0"/>
    <x v="13"/>
    <x v="4"/>
    <x v="0"/>
    <x v="0"/>
    <x v="4"/>
    <x v="0"/>
  </r>
  <r>
    <x v="0"/>
    <x v="0"/>
    <n v="2239245079"/>
    <x v="2"/>
    <n v="7150"/>
    <x v="1"/>
    <x v="0"/>
    <x v="13"/>
    <x v="2"/>
    <x v="0"/>
    <x v="0"/>
    <x v="2"/>
    <x v="0"/>
  </r>
  <r>
    <x v="0"/>
    <x v="0"/>
    <n v="2239245080"/>
    <x v="5"/>
    <n v="-3000"/>
    <x v="1"/>
    <x v="0"/>
    <x v="13"/>
    <x v="5"/>
    <x v="0"/>
    <x v="0"/>
    <x v="5"/>
    <x v="0"/>
  </r>
  <r>
    <x v="0"/>
    <x v="0"/>
    <n v="2239245080"/>
    <x v="6"/>
    <n v="5000"/>
    <x v="1"/>
    <x v="0"/>
    <x v="13"/>
    <x v="6"/>
    <x v="0"/>
    <x v="0"/>
    <x v="5"/>
    <x v="0"/>
  </r>
  <r>
    <x v="0"/>
    <x v="0"/>
    <n v="2239245081"/>
    <x v="2"/>
    <n v="18095"/>
    <x v="1"/>
    <x v="0"/>
    <x v="13"/>
    <x v="2"/>
    <x v="0"/>
    <x v="0"/>
    <x v="2"/>
    <x v="0"/>
  </r>
  <r>
    <x v="0"/>
    <x v="0"/>
    <n v="2239245082"/>
    <x v="5"/>
    <n v="-15600"/>
    <x v="1"/>
    <x v="0"/>
    <x v="13"/>
    <x v="5"/>
    <x v="0"/>
    <x v="0"/>
    <x v="5"/>
    <x v="0"/>
  </r>
  <r>
    <x v="0"/>
    <x v="0"/>
    <n v="2239245082"/>
    <x v="4"/>
    <n v="20000"/>
    <x v="1"/>
    <x v="0"/>
    <x v="13"/>
    <x v="4"/>
    <x v="0"/>
    <x v="0"/>
    <x v="4"/>
    <x v="0"/>
  </r>
  <r>
    <x v="0"/>
    <x v="0"/>
    <n v="2239245083"/>
    <x v="1"/>
    <n v="15150"/>
    <x v="1"/>
    <x v="0"/>
    <x v="13"/>
    <x v="1"/>
    <x v="0"/>
    <x v="0"/>
    <x v="1"/>
    <x v="0"/>
  </r>
  <r>
    <x v="0"/>
    <x v="0"/>
    <n v="2239245084"/>
    <x v="2"/>
    <n v="1100"/>
    <x v="1"/>
    <x v="0"/>
    <x v="13"/>
    <x v="2"/>
    <x v="0"/>
    <x v="0"/>
    <x v="2"/>
    <x v="0"/>
  </r>
  <r>
    <x v="0"/>
    <x v="0"/>
    <n v="2239245085"/>
    <x v="6"/>
    <n v="2000"/>
    <x v="1"/>
    <x v="0"/>
    <x v="13"/>
    <x v="6"/>
    <x v="0"/>
    <x v="0"/>
    <x v="5"/>
    <x v="0"/>
  </r>
  <r>
    <x v="0"/>
    <x v="0"/>
    <n v="2239245087"/>
    <x v="1"/>
    <n v="1650"/>
    <x v="1"/>
    <x v="0"/>
    <x v="13"/>
    <x v="1"/>
    <x v="0"/>
    <x v="0"/>
    <x v="1"/>
    <x v="0"/>
  </r>
  <r>
    <x v="0"/>
    <x v="0"/>
    <n v="2239245089"/>
    <x v="2"/>
    <n v="40150"/>
    <x v="1"/>
    <x v="0"/>
    <x v="13"/>
    <x v="2"/>
    <x v="0"/>
    <x v="0"/>
    <x v="2"/>
    <x v="0"/>
  </r>
  <r>
    <x v="0"/>
    <x v="0"/>
    <n v="2239245090"/>
    <x v="6"/>
    <n v="3000"/>
    <x v="1"/>
    <x v="0"/>
    <x v="13"/>
    <x v="6"/>
    <x v="0"/>
    <x v="0"/>
    <x v="5"/>
    <x v="0"/>
  </r>
  <r>
    <x v="0"/>
    <x v="0"/>
    <n v="2239245091"/>
    <x v="6"/>
    <n v="2000"/>
    <x v="1"/>
    <x v="0"/>
    <x v="13"/>
    <x v="6"/>
    <x v="0"/>
    <x v="0"/>
    <x v="5"/>
    <x v="0"/>
  </r>
  <r>
    <x v="0"/>
    <x v="0"/>
    <n v="2239245092"/>
    <x v="2"/>
    <n v="3300"/>
    <x v="1"/>
    <x v="0"/>
    <x v="13"/>
    <x v="2"/>
    <x v="0"/>
    <x v="0"/>
    <x v="2"/>
    <x v="0"/>
  </r>
  <r>
    <x v="0"/>
    <x v="0"/>
    <n v="2239245093"/>
    <x v="5"/>
    <n v="-10250"/>
    <x v="1"/>
    <x v="0"/>
    <x v="13"/>
    <x v="5"/>
    <x v="0"/>
    <x v="0"/>
    <x v="5"/>
    <x v="0"/>
  </r>
  <r>
    <x v="0"/>
    <x v="0"/>
    <n v="2239245093"/>
    <x v="6"/>
    <n v="21500"/>
    <x v="1"/>
    <x v="0"/>
    <x v="13"/>
    <x v="6"/>
    <x v="0"/>
    <x v="0"/>
    <x v="5"/>
    <x v="0"/>
  </r>
  <r>
    <x v="0"/>
    <x v="0"/>
    <n v="2239245095"/>
    <x v="6"/>
    <n v="1000"/>
    <x v="1"/>
    <x v="0"/>
    <x v="13"/>
    <x v="6"/>
    <x v="0"/>
    <x v="0"/>
    <x v="5"/>
    <x v="0"/>
  </r>
  <r>
    <x v="0"/>
    <x v="0"/>
    <n v="2239245096"/>
    <x v="5"/>
    <n v="-2000"/>
    <x v="1"/>
    <x v="0"/>
    <x v="13"/>
    <x v="5"/>
    <x v="0"/>
    <x v="0"/>
    <x v="5"/>
    <x v="0"/>
  </r>
  <r>
    <x v="0"/>
    <x v="0"/>
    <n v="2239245096"/>
    <x v="6"/>
    <n v="10000"/>
    <x v="1"/>
    <x v="0"/>
    <x v="13"/>
    <x v="6"/>
    <x v="0"/>
    <x v="0"/>
    <x v="5"/>
    <x v="0"/>
  </r>
  <r>
    <x v="0"/>
    <x v="0"/>
    <n v="2239245097"/>
    <x v="2"/>
    <n v="28875"/>
    <x v="1"/>
    <x v="0"/>
    <x v="13"/>
    <x v="2"/>
    <x v="0"/>
    <x v="0"/>
    <x v="2"/>
    <x v="0"/>
  </r>
  <r>
    <x v="0"/>
    <x v="0"/>
    <n v="2239245098"/>
    <x v="2"/>
    <n v="1000"/>
    <x v="1"/>
    <x v="0"/>
    <x v="13"/>
    <x v="2"/>
    <x v="0"/>
    <x v="0"/>
    <x v="2"/>
    <x v="0"/>
  </r>
  <r>
    <x v="0"/>
    <x v="0"/>
    <n v="2239245099"/>
    <x v="2"/>
    <n v="5500"/>
    <x v="1"/>
    <x v="0"/>
    <x v="13"/>
    <x v="2"/>
    <x v="0"/>
    <x v="0"/>
    <x v="2"/>
    <x v="0"/>
  </r>
  <r>
    <x v="0"/>
    <x v="0"/>
    <n v="2239245100"/>
    <x v="5"/>
    <n v="-6000"/>
    <x v="1"/>
    <x v="0"/>
    <x v="13"/>
    <x v="5"/>
    <x v="0"/>
    <x v="0"/>
    <x v="5"/>
    <x v="0"/>
  </r>
  <r>
    <x v="0"/>
    <x v="0"/>
    <n v="2239245100"/>
    <x v="4"/>
    <n v="10600"/>
    <x v="1"/>
    <x v="0"/>
    <x v="13"/>
    <x v="4"/>
    <x v="0"/>
    <x v="0"/>
    <x v="4"/>
    <x v="0"/>
  </r>
  <r>
    <x v="0"/>
    <x v="0"/>
    <n v="2239245101"/>
    <x v="5"/>
    <n v="-5600"/>
    <x v="1"/>
    <x v="0"/>
    <x v="13"/>
    <x v="5"/>
    <x v="0"/>
    <x v="0"/>
    <x v="5"/>
    <x v="0"/>
  </r>
  <r>
    <x v="0"/>
    <x v="0"/>
    <n v="2239245101"/>
    <x v="4"/>
    <n v="10000"/>
    <x v="1"/>
    <x v="0"/>
    <x v="13"/>
    <x v="4"/>
    <x v="0"/>
    <x v="0"/>
    <x v="4"/>
    <x v="0"/>
  </r>
  <r>
    <x v="0"/>
    <x v="0"/>
    <n v="2239245102"/>
    <x v="1"/>
    <n v="1860"/>
    <x v="1"/>
    <x v="0"/>
    <x v="13"/>
    <x v="1"/>
    <x v="0"/>
    <x v="0"/>
    <x v="1"/>
    <x v="0"/>
  </r>
  <r>
    <x v="0"/>
    <x v="0"/>
    <n v="2239245103"/>
    <x v="6"/>
    <n v="3200"/>
    <x v="1"/>
    <x v="0"/>
    <x v="13"/>
    <x v="6"/>
    <x v="0"/>
    <x v="0"/>
    <x v="5"/>
    <x v="0"/>
  </r>
  <r>
    <x v="0"/>
    <x v="0"/>
    <n v="2239245104"/>
    <x v="2"/>
    <n v="22792"/>
    <x v="1"/>
    <x v="0"/>
    <x v="13"/>
    <x v="2"/>
    <x v="0"/>
    <x v="0"/>
    <x v="2"/>
    <x v="0"/>
  </r>
  <r>
    <x v="0"/>
    <x v="0"/>
    <n v="2239245106"/>
    <x v="5"/>
    <n v="-3400"/>
    <x v="1"/>
    <x v="0"/>
    <x v="13"/>
    <x v="5"/>
    <x v="0"/>
    <x v="0"/>
    <x v="5"/>
    <x v="0"/>
  </r>
  <r>
    <x v="0"/>
    <x v="0"/>
    <n v="2239245106"/>
    <x v="6"/>
    <n v="25000"/>
    <x v="1"/>
    <x v="0"/>
    <x v="13"/>
    <x v="6"/>
    <x v="0"/>
    <x v="0"/>
    <x v="5"/>
    <x v="0"/>
  </r>
  <r>
    <x v="0"/>
    <x v="0"/>
    <n v="2239245107"/>
    <x v="5"/>
    <n v="-4300"/>
    <x v="1"/>
    <x v="0"/>
    <x v="13"/>
    <x v="5"/>
    <x v="0"/>
    <x v="0"/>
    <x v="5"/>
    <x v="0"/>
  </r>
  <r>
    <x v="0"/>
    <x v="0"/>
    <n v="2239245107"/>
    <x v="4"/>
    <n v="10000"/>
    <x v="1"/>
    <x v="0"/>
    <x v="13"/>
    <x v="4"/>
    <x v="0"/>
    <x v="0"/>
    <x v="4"/>
    <x v="0"/>
  </r>
  <r>
    <x v="0"/>
    <x v="0"/>
    <n v="2239245108"/>
    <x v="2"/>
    <n v="8250"/>
    <x v="1"/>
    <x v="0"/>
    <x v="13"/>
    <x v="2"/>
    <x v="0"/>
    <x v="0"/>
    <x v="2"/>
    <x v="0"/>
  </r>
  <r>
    <x v="0"/>
    <x v="0"/>
    <n v="2239245109"/>
    <x v="2"/>
    <n v="7500"/>
    <x v="1"/>
    <x v="0"/>
    <x v="13"/>
    <x v="2"/>
    <x v="0"/>
    <x v="0"/>
    <x v="2"/>
    <x v="0"/>
  </r>
  <r>
    <x v="0"/>
    <x v="0"/>
    <n v="2239245110"/>
    <x v="5"/>
    <n v="-500"/>
    <x v="1"/>
    <x v="0"/>
    <x v="13"/>
    <x v="5"/>
    <x v="0"/>
    <x v="0"/>
    <x v="5"/>
    <x v="0"/>
  </r>
  <r>
    <x v="0"/>
    <x v="0"/>
    <n v="2239245110"/>
    <x v="6"/>
    <n v="10000"/>
    <x v="1"/>
    <x v="0"/>
    <x v="13"/>
    <x v="6"/>
    <x v="0"/>
    <x v="0"/>
    <x v="5"/>
    <x v="0"/>
  </r>
  <r>
    <x v="0"/>
    <x v="0"/>
    <n v="2239245113"/>
    <x v="2"/>
    <n v="7500"/>
    <x v="1"/>
    <x v="0"/>
    <x v="13"/>
    <x v="2"/>
    <x v="0"/>
    <x v="0"/>
    <x v="2"/>
    <x v="0"/>
  </r>
  <r>
    <x v="0"/>
    <x v="0"/>
    <n v="2239245114"/>
    <x v="2"/>
    <n v="6500"/>
    <x v="1"/>
    <x v="0"/>
    <x v="13"/>
    <x v="2"/>
    <x v="0"/>
    <x v="0"/>
    <x v="2"/>
    <x v="0"/>
  </r>
  <r>
    <x v="0"/>
    <x v="0"/>
    <n v="2239245116"/>
    <x v="5"/>
    <n v="-5500"/>
    <x v="1"/>
    <x v="0"/>
    <x v="13"/>
    <x v="5"/>
    <x v="0"/>
    <x v="0"/>
    <x v="5"/>
    <x v="0"/>
  </r>
  <r>
    <x v="0"/>
    <x v="0"/>
    <n v="2239245116"/>
    <x v="6"/>
    <n v="30000"/>
    <x v="1"/>
    <x v="0"/>
    <x v="13"/>
    <x v="6"/>
    <x v="0"/>
    <x v="0"/>
    <x v="5"/>
    <x v="0"/>
  </r>
  <r>
    <x v="0"/>
    <x v="0"/>
    <n v="2239245117"/>
    <x v="2"/>
    <n v="4000"/>
    <x v="1"/>
    <x v="0"/>
    <x v="13"/>
    <x v="2"/>
    <x v="0"/>
    <x v="0"/>
    <x v="2"/>
    <x v="0"/>
  </r>
  <r>
    <x v="0"/>
    <x v="0"/>
    <n v="2239245119"/>
    <x v="2"/>
    <n v="8250"/>
    <x v="1"/>
    <x v="0"/>
    <x v="13"/>
    <x v="2"/>
    <x v="0"/>
    <x v="0"/>
    <x v="2"/>
    <x v="0"/>
  </r>
  <r>
    <x v="0"/>
    <x v="0"/>
    <n v="2239245120"/>
    <x v="3"/>
    <n v="44440"/>
    <x v="1"/>
    <x v="0"/>
    <x v="13"/>
    <x v="3"/>
    <x v="0"/>
    <x v="0"/>
    <x v="3"/>
    <x v="0"/>
  </r>
  <r>
    <x v="0"/>
    <x v="0"/>
    <n v="2239245121"/>
    <x v="2"/>
    <n v="37400"/>
    <x v="1"/>
    <x v="0"/>
    <x v="13"/>
    <x v="2"/>
    <x v="0"/>
    <x v="0"/>
    <x v="2"/>
    <x v="0"/>
  </r>
  <r>
    <x v="0"/>
    <x v="0"/>
    <n v="2239245122"/>
    <x v="5"/>
    <n v="-1100"/>
    <x v="1"/>
    <x v="0"/>
    <x v="13"/>
    <x v="5"/>
    <x v="0"/>
    <x v="0"/>
    <x v="5"/>
    <x v="0"/>
  </r>
  <r>
    <x v="0"/>
    <x v="0"/>
    <n v="2239245122"/>
    <x v="4"/>
    <n v="5500"/>
    <x v="1"/>
    <x v="0"/>
    <x v="13"/>
    <x v="4"/>
    <x v="0"/>
    <x v="0"/>
    <x v="4"/>
    <x v="0"/>
  </r>
  <r>
    <x v="0"/>
    <x v="0"/>
    <n v="2239245124"/>
    <x v="2"/>
    <n v="20790"/>
    <x v="1"/>
    <x v="0"/>
    <x v="13"/>
    <x v="2"/>
    <x v="0"/>
    <x v="0"/>
    <x v="2"/>
    <x v="0"/>
  </r>
  <r>
    <x v="0"/>
    <x v="0"/>
    <n v="2239245125"/>
    <x v="2"/>
    <n v="7500"/>
    <x v="1"/>
    <x v="0"/>
    <x v="13"/>
    <x v="2"/>
    <x v="0"/>
    <x v="0"/>
    <x v="2"/>
    <x v="0"/>
  </r>
  <r>
    <x v="0"/>
    <x v="0"/>
    <n v="2239245126"/>
    <x v="4"/>
    <n v="5300"/>
    <x v="1"/>
    <x v="0"/>
    <x v="13"/>
    <x v="4"/>
    <x v="0"/>
    <x v="0"/>
    <x v="4"/>
    <x v="0"/>
  </r>
  <r>
    <x v="0"/>
    <x v="0"/>
    <n v="2239245127"/>
    <x v="1"/>
    <n v="1140"/>
    <x v="1"/>
    <x v="0"/>
    <x v="13"/>
    <x v="1"/>
    <x v="0"/>
    <x v="0"/>
    <x v="1"/>
    <x v="0"/>
  </r>
  <r>
    <x v="0"/>
    <x v="0"/>
    <n v="2239245128"/>
    <x v="2"/>
    <n v="13530"/>
    <x v="1"/>
    <x v="0"/>
    <x v="13"/>
    <x v="2"/>
    <x v="0"/>
    <x v="0"/>
    <x v="2"/>
    <x v="0"/>
  </r>
  <r>
    <x v="0"/>
    <x v="0"/>
    <n v="2239245129"/>
    <x v="5"/>
    <n v="-2000"/>
    <x v="1"/>
    <x v="0"/>
    <x v="13"/>
    <x v="5"/>
    <x v="0"/>
    <x v="0"/>
    <x v="5"/>
    <x v="0"/>
  </r>
  <r>
    <x v="0"/>
    <x v="0"/>
    <n v="2239245129"/>
    <x v="6"/>
    <n v="10000"/>
    <x v="1"/>
    <x v="0"/>
    <x v="13"/>
    <x v="6"/>
    <x v="0"/>
    <x v="0"/>
    <x v="5"/>
    <x v="0"/>
  </r>
  <r>
    <x v="0"/>
    <x v="0"/>
    <n v="2239245130"/>
    <x v="2"/>
    <n v="19140"/>
    <x v="1"/>
    <x v="0"/>
    <x v="13"/>
    <x v="2"/>
    <x v="0"/>
    <x v="0"/>
    <x v="2"/>
    <x v="0"/>
  </r>
  <r>
    <x v="0"/>
    <x v="0"/>
    <n v="2239245131"/>
    <x v="6"/>
    <n v="2400"/>
    <x v="1"/>
    <x v="0"/>
    <x v="13"/>
    <x v="6"/>
    <x v="0"/>
    <x v="0"/>
    <x v="5"/>
    <x v="0"/>
  </r>
  <r>
    <x v="0"/>
    <x v="0"/>
    <n v="2239245132"/>
    <x v="1"/>
    <n v="6750"/>
    <x v="1"/>
    <x v="0"/>
    <x v="13"/>
    <x v="1"/>
    <x v="0"/>
    <x v="0"/>
    <x v="1"/>
    <x v="0"/>
  </r>
  <r>
    <x v="0"/>
    <x v="0"/>
    <n v="2239245133"/>
    <x v="5"/>
    <n v="-300"/>
    <x v="1"/>
    <x v="0"/>
    <x v="13"/>
    <x v="5"/>
    <x v="0"/>
    <x v="0"/>
    <x v="5"/>
    <x v="0"/>
  </r>
  <r>
    <x v="0"/>
    <x v="0"/>
    <n v="2239245133"/>
    <x v="4"/>
    <n v="11500"/>
    <x v="1"/>
    <x v="0"/>
    <x v="13"/>
    <x v="4"/>
    <x v="0"/>
    <x v="0"/>
    <x v="4"/>
    <x v="0"/>
  </r>
  <r>
    <x v="0"/>
    <x v="0"/>
    <n v="2239245134"/>
    <x v="2"/>
    <n v="51590"/>
    <x v="1"/>
    <x v="0"/>
    <x v="13"/>
    <x v="2"/>
    <x v="0"/>
    <x v="0"/>
    <x v="2"/>
    <x v="0"/>
  </r>
  <r>
    <x v="0"/>
    <x v="0"/>
    <n v="2239245135"/>
    <x v="2"/>
    <n v="10450"/>
    <x v="1"/>
    <x v="0"/>
    <x v="13"/>
    <x v="2"/>
    <x v="0"/>
    <x v="0"/>
    <x v="2"/>
    <x v="0"/>
  </r>
  <r>
    <x v="0"/>
    <x v="0"/>
    <n v="2239245136"/>
    <x v="2"/>
    <n v="17500"/>
    <x v="1"/>
    <x v="0"/>
    <x v="13"/>
    <x v="2"/>
    <x v="0"/>
    <x v="0"/>
    <x v="2"/>
    <x v="0"/>
  </r>
  <r>
    <x v="0"/>
    <x v="0"/>
    <n v="2239245137"/>
    <x v="3"/>
    <n v="5200"/>
    <x v="1"/>
    <x v="0"/>
    <x v="13"/>
    <x v="3"/>
    <x v="0"/>
    <x v="0"/>
    <x v="3"/>
    <x v="0"/>
  </r>
  <r>
    <x v="0"/>
    <x v="0"/>
    <n v="2239245137"/>
    <x v="7"/>
    <n v="1300"/>
    <x v="1"/>
    <x v="0"/>
    <x v="13"/>
    <x v="7"/>
    <x v="0"/>
    <x v="0"/>
    <x v="1"/>
    <x v="0"/>
  </r>
  <r>
    <x v="0"/>
    <x v="0"/>
    <n v="2239245138"/>
    <x v="2"/>
    <n v="14300"/>
    <x v="1"/>
    <x v="0"/>
    <x v="13"/>
    <x v="2"/>
    <x v="0"/>
    <x v="0"/>
    <x v="2"/>
    <x v="0"/>
  </r>
  <r>
    <x v="0"/>
    <x v="0"/>
    <n v="2239245140"/>
    <x v="5"/>
    <n v="-7170"/>
    <x v="1"/>
    <x v="0"/>
    <x v="13"/>
    <x v="5"/>
    <x v="0"/>
    <x v="0"/>
    <x v="5"/>
    <x v="0"/>
  </r>
  <r>
    <x v="0"/>
    <x v="0"/>
    <n v="2239245140"/>
    <x v="6"/>
    <n v="20000"/>
    <x v="1"/>
    <x v="0"/>
    <x v="13"/>
    <x v="6"/>
    <x v="0"/>
    <x v="0"/>
    <x v="5"/>
    <x v="0"/>
  </r>
  <r>
    <x v="0"/>
    <x v="0"/>
    <n v="2239245140"/>
    <x v="7"/>
    <n v="3570"/>
    <x v="1"/>
    <x v="0"/>
    <x v="13"/>
    <x v="7"/>
    <x v="0"/>
    <x v="0"/>
    <x v="1"/>
    <x v="0"/>
  </r>
  <r>
    <x v="0"/>
    <x v="0"/>
    <n v="2239245141"/>
    <x v="5"/>
    <n v="-500"/>
    <x v="1"/>
    <x v="0"/>
    <x v="13"/>
    <x v="5"/>
    <x v="0"/>
    <x v="0"/>
    <x v="5"/>
    <x v="0"/>
  </r>
  <r>
    <x v="0"/>
    <x v="0"/>
    <n v="2239245141"/>
    <x v="6"/>
    <n v="10000"/>
    <x v="1"/>
    <x v="0"/>
    <x v="13"/>
    <x v="6"/>
    <x v="0"/>
    <x v="0"/>
    <x v="5"/>
    <x v="0"/>
  </r>
  <r>
    <x v="0"/>
    <x v="0"/>
    <n v="2239245142"/>
    <x v="2"/>
    <n v="55990"/>
    <x v="1"/>
    <x v="0"/>
    <x v="13"/>
    <x v="2"/>
    <x v="0"/>
    <x v="0"/>
    <x v="2"/>
    <x v="0"/>
  </r>
  <r>
    <x v="0"/>
    <x v="0"/>
    <n v="2239245143"/>
    <x v="3"/>
    <n v="7500"/>
    <x v="1"/>
    <x v="0"/>
    <x v="13"/>
    <x v="3"/>
    <x v="0"/>
    <x v="0"/>
    <x v="3"/>
    <x v="0"/>
  </r>
  <r>
    <x v="0"/>
    <x v="0"/>
    <n v="2239245144"/>
    <x v="4"/>
    <n v="5700"/>
    <x v="1"/>
    <x v="0"/>
    <x v="13"/>
    <x v="4"/>
    <x v="0"/>
    <x v="0"/>
    <x v="4"/>
    <x v="0"/>
  </r>
  <r>
    <x v="0"/>
    <x v="0"/>
    <n v="2239245145"/>
    <x v="2"/>
    <n v="14245"/>
    <x v="1"/>
    <x v="0"/>
    <x v="13"/>
    <x v="2"/>
    <x v="0"/>
    <x v="0"/>
    <x v="2"/>
    <x v="0"/>
  </r>
  <r>
    <x v="0"/>
    <x v="0"/>
    <n v="2239245146"/>
    <x v="5"/>
    <n v="-2000"/>
    <x v="1"/>
    <x v="0"/>
    <x v="13"/>
    <x v="5"/>
    <x v="0"/>
    <x v="0"/>
    <x v="5"/>
    <x v="0"/>
  </r>
  <r>
    <x v="0"/>
    <x v="0"/>
    <n v="2239245146"/>
    <x v="6"/>
    <n v="5000"/>
    <x v="1"/>
    <x v="0"/>
    <x v="13"/>
    <x v="6"/>
    <x v="0"/>
    <x v="0"/>
    <x v="5"/>
    <x v="0"/>
  </r>
  <r>
    <x v="0"/>
    <x v="0"/>
    <n v="2239245147"/>
    <x v="2"/>
    <n v="7150"/>
    <x v="1"/>
    <x v="0"/>
    <x v="13"/>
    <x v="2"/>
    <x v="0"/>
    <x v="0"/>
    <x v="2"/>
    <x v="0"/>
  </r>
  <r>
    <x v="0"/>
    <x v="0"/>
    <n v="2239245148"/>
    <x v="5"/>
    <n v="-6000"/>
    <x v="1"/>
    <x v="0"/>
    <x v="13"/>
    <x v="5"/>
    <x v="0"/>
    <x v="0"/>
    <x v="5"/>
    <x v="0"/>
  </r>
  <r>
    <x v="0"/>
    <x v="0"/>
    <n v="2239245148"/>
    <x v="6"/>
    <n v="20000"/>
    <x v="1"/>
    <x v="0"/>
    <x v="13"/>
    <x v="6"/>
    <x v="0"/>
    <x v="0"/>
    <x v="5"/>
    <x v="0"/>
  </r>
  <r>
    <x v="0"/>
    <x v="0"/>
    <n v="2239245149"/>
    <x v="3"/>
    <n v="21945"/>
    <x v="1"/>
    <x v="0"/>
    <x v="13"/>
    <x v="3"/>
    <x v="0"/>
    <x v="0"/>
    <x v="3"/>
    <x v="0"/>
  </r>
  <r>
    <x v="0"/>
    <x v="0"/>
    <n v="2239245151"/>
    <x v="5"/>
    <n v="-14400"/>
    <x v="1"/>
    <x v="0"/>
    <x v="13"/>
    <x v="5"/>
    <x v="0"/>
    <x v="0"/>
    <x v="5"/>
    <x v="0"/>
  </r>
  <r>
    <x v="0"/>
    <x v="0"/>
    <n v="2239245151"/>
    <x v="4"/>
    <n v="20000"/>
    <x v="1"/>
    <x v="0"/>
    <x v="13"/>
    <x v="4"/>
    <x v="0"/>
    <x v="0"/>
    <x v="4"/>
    <x v="0"/>
  </r>
  <r>
    <x v="0"/>
    <x v="0"/>
    <n v="2239245152"/>
    <x v="2"/>
    <n v="7500"/>
    <x v="1"/>
    <x v="0"/>
    <x v="13"/>
    <x v="2"/>
    <x v="0"/>
    <x v="0"/>
    <x v="2"/>
    <x v="0"/>
  </r>
  <r>
    <x v="0"/>
    <x v="0"/>
    <n v="2239245153"/>
    <x v="5"/>
    <n v="-4700"/>
    <x v="1"/>
    <x v="0"/>
    <x v="13"/>
    <x v="5"/>
    <x v="0"/>
    <x v="0"/>
    <x v="5"/>
    <x v="0"/>
  </r>
  <r>
    <x v="0"/>
    <x v="0"/>
    <n v="2239245153"/>
    <x v="4"/>
    <n v="10000"/>
    <x v="1"/>
    <x v="0"/>
    <x v="13"/>
    <x v="4"/>
    <x v="0"/>
    <x v="0"/>
    <x v="4"/>
    <x v="0"/>
  </r>
  <r>
    <x v="0"/>
    <x v="0"/>
    <n v="2239245154"/>
    <x v="3"/>
    <n v="31790"/>
    <x v="1"/>
    <x v="0"/>
    <x v="13"/>
    <x v="3"/>
    <x v="0"/>
    <x v="0"/>
    <x v="3"/>
    <x v="0"/>
  </r>
  <r>
    <x v="0"/>
    <x v="0"/>
    <n v="2239245155"/>
    <x v="5"/>
    <n v="-7000"/>
    <x v="1"/>
    <x v="0"/>
    <x v="13"/>
    <x v="5"/>
    <x v="0"/>
    <x v="0"/>
    <x v="5"/>
    <x v="0"/>
  </r>
  <r>
    <x v="0"/>
    <x v="0"/>
    <n v="2239245155"/>
    <x v="6"/>
    <n v="20000"/>
    <x v="1"/>
    <x v="0"/>
    <x v="13"/>
    <x v="6"/>
    <x v="0"/>
    <x v="0"/>
    <x v="5"/>
    <x v="0"/>
  </r>
  <r>
    <x v="0"/>
    <x v="0"/>
    <n v="2239245156"/>
    <x v="2"/>
    <n v="7150"/>
    <x v="1"/>
    <x v="0"/>
    <x v="13"/>
    <x v="2"/>
    <x v="0"/>
    <x v="0"/>
    <x v="2"/>
    <x v="0"/>
  </r>
  <r>
    <x v="0"/>
    <x v="0"/>
    <n v="2239245158"/>
    <x v="2"/>
    <n v="7500"/>
    <x v="1"/>
    <x v="0"/>
    <x v="13"/>
    <x v="2"/>
    <x v="0"/>
    <x v="0"/>
    <x v="2"/>
    <x v="0"/>
  </r>
  <r>
    <x v="0"/>
    <x v="0"/>
    <n v="2239245159"/>
    <x v="1"/>
    <n v="1140"/>
    <x v="1"/>
    <x v="0"/>
    <x v="13"/>
    <x v="1"/>
    <x v="0"/>
    <x v="0"/>
    <x v="1"/>
    <x v="0"/>
  </r>
  <r>
    <x v="0"/>
    <x v="0"/>
    <n v="2239245160"/>
    <x v="5"/>
    <n v="-500"/>
    <x v="1"/>
    <x v="0"/>
    <x v="13"/>
    <x v="5"/>
    <x v="0"/>
    <x v="0"/>
    <x v="5"/>
    <x v="0"/>
  </r>
  <r>
    <x v="0"/>
    <x v="0"/>
    <n v="2239245160"/>
    <x v="6"/>
    <n v="11000"/>
    <x v="1"/>
    <x v="0"/>
    <x v="13"/>
    <x v="6"/>
    <x v="0"/>
    <x v="0"/>
    <x v="5"/>
    <x v="0"/>
  </r>
  <r>
    <x v="0"/>
    <x v="0"/>
    <n v="2239245161"/>
    <x v="2"/>
    <n v="18480"/>
    <x v="1"/>
    <x v="0"/>
    <x v="13"/>
    <x v="2"/>
    <x v="0"/>
    <x v="0"/>
    <x v="2"/>
    <x v="0"/>
  </r>
  <r>
    <x v="0"/>
    <x v="0"/>
    <n v="2239245162"/>
    <x v="2"/>
    <n v="7500"/>
    <x v="1"/>
    <x v="0"/>
    <x v="13"/>
    <x v="2"/>
    <x v="0"/>
    <x v="0"/>
    <x v="2"/>
    <x v="0"/>
  </r>
  <r>
    <x v="0"/>
    <x v="0"/>
    <n v="2239245163"/>
    <x v="2"/>
    <n v="4500"/>
    <x v="1"/>
    <x v="0"/>
    <x v="13"/>
    <x v="2"/>
    <x v="0"/>
    <x v="0"/>
    <x v="2"/>
    <x v="0"/>
  </r>
  <r>
    <x v="0"/>
    <x v="0"/>
    <n v="2239245165"/>
    <x v="5"/>
    <n v="-4500"/>
    <x v="1"/>
    <x v="0"/>
    <x v="13"/>
    <x v="5"/>
    <x v="0"/>
    <x v="0"/>
    <x v="5"/>
    <x v="0"/>
  </r>
  <r>
    <x v="0"/>
    <x v="0"/>
    <n v="2239245165"/>
    <x v="4"/>
    <n v="10100"/>
    <x v="1"/>
    <x v="0"/>
    <x v="13"/>
    <x v="4"/>
    <x v="0"/>
    <x v="0"/>
    <x v="4"/>
    <x v="0"/>
  </r>
  <r>
    <x v="0"/>
    <x v="0"/>
    <n v="2239245166"/>
    <x v="3"/>
    <n v="8250"/>
    <x v="1"/>
    <x v="0"/>
    <x v="13"/>
    <x v="3"/>
    <x v="0"/>
    <x v="0"/>
    <x v="3"/>
    <x v="0"/>
  </r>
  <r>
    <x v="0"/>
    <x v="0"/>
    <n v="2239245167"/>
    <x v="5"/>
    <n v="-2500"/>
    <x v="1"/>
    <x v="0"/>
    <x v="13"/>
    <x v="5"/>
    <x v="0"/>
    <x v="0"/>
    <x v="5"/>
    <x v="0"/>
  </r>
  <r>
    <x v="0"/>
    <x v="0"/>
    <n v="2239245167"/>
    <x v="6"/>
    <n v="10000"/>
    <x v="1"/>
    <x v="0"/>
    <x v="13"/>
    <x v="6"/>
    <x v="0"/>
    <x v="0"/>
    <x v="5"/>
    <x v="0"/>
  </r>
  <r>
    <x v="0"/>
    <x v="0"/>
    <n v="2239245168"/>
    <x v="2"/>
    <n v="19250"/>
    <x v="1"/>
    <x v="0"/>
    <x v="13"/>
    <x v="2"/>
    <x v="0"/>
    <x v="0"/>
    <x v="2"/>
    <x v="0"/>
  </r>
  <r>
    <x v="0"/>
    <x v="0"/>
    <n v="2239245169"/>
    <x v="2"/>
    <n v="3300"/>
    <x v="1"/>
    <x v="0"/>
    <x v="13"/>
    <x v="2"/>
    <x v="0"/>
    <x v="0"/>
    <x v="2"/>
    <x v="0"/>
  </r>
  <r>
    <x v="0"/>
    <x v="0"/>
    <n v="2239245170"/>
    <x v="5"/>
    <n v="-500"/>
    <x v="1"/>
    <x v="0"/>
    <x v="13"/>
    <x v="5"/>
    <x v="0"/>
    <x v="0"/>
    <x v="5"/>
    <x v="0"/>
  </r>
  <r>
    <x v="0"/>
    <x v="0"/>
    <n v="2239245170"/>
    <x v="6"/>
    <n v="10000"/>
    <x v="1"/>
    <x v="0"/>
    <x v="13"/>
    <x v="6"/>
    <x v="0"/>
    <x v="0"/>
    <x v="5"/>
    <x v="0"/>
  </r>
  <r>
    <x v="0"/>
    <x v="0"/>
    <n v="2239245171"/>
    <x v="5"/>
    <n v="-7000"/>
    <x v="1"/>
    <x v="0"/>
    <x v="13"/>
    <x v="5"/>
    <x v="0"/>
    <x v="0"/>
    <x v="5"/>
    <x v="0"/>
  </r>
  <r>
    <x v="0"/>
    <x v="0"/>
    <n v="2239245171"/>
    <x v="6"/>
    <n v="10000"/>
    <x v="1"/>
    <x v="0"/>
    <x v="13"/>
    <x v="6"/>
    <x v="0"/>
    <x v="0"/>
    <x v="5"/>
    <x v="0"/>
  </r>
  <r>
    <x v="0"/>
    <x v="0"/>
    <n v="2239245172"/>
    <x v="2"/>
    <n v="8250"/>
    <x v="1"/>
    <x v="0"/>
    <x v="13"/>
    <x v="2"/>
    <x v="0"/>
    <x v="0"/>
    <x v="2"/>
    <x v="0"/>
  </r>
  <r>
    <x v="0"/>
    <x v="0"/>
    <n v="2239245173"/>
    <x v="6"/>
    <n v="3150"/>
    <x v="1"/>
    <x v="0"/>
    <x v="13"/>
    <x v="6"/>
    <x v="0"/>
    <x v="0"/>
    <x v="5"/>
    <x v="0"/>
  </r>
  <r>
    <x v="0"/>
    <x v="0"/>
    <n v="2239245174"/>
    <x v="2"/>
    <n v="13000"/>
    <x v="1"/>
    <x v="0"/>
    <x v="13"/>
    <x v="2"/>
    <x v="0"/>
    <x v="0"/>
    <x v="2"/>
    <x v="0"/>
  </r>
  <r>
    <x v="0"/>
    <x v="0"/>
    <n v="2239245175"/>
    <x v="3"/>
    <n v="6500"/>
    <x v="1"/>
    <x v="0"/>
    <x v="13"/>
    <x v="3"/>
    <x v="0"/>
    <x v="0"/>
    <x v="3"/>
    <x v="0"/>
  </r>
  <r>
    <x v="0"/>
    <x v="0"/>
    <n v="2239245177"/>
    <x v="2"/>
    <n v="4180"/>
    <x v="1"/>
    <x v="0"/>
    <x v="13"/>
    <x v="2"/>
    <x v="0"/>
    <x v="0"/>
    <x v="2"/>
    <x v="0"/>
  </r>
  <r>
    <x v="0"/>
    <x v="0"/>
    <n v="2239245179"/>
    <x v="6"/>
    <n v="3150"/>
    <x v="1"/>
    <x v="0"/>
    <x v="13"/>
    <x v="6"/>
    <x v="0"/>
    <x v="0"/>
    <x v="5"/>
    <x v="0"/>
  </r>
  <r>
    <x v="0"/>
    <x v="0"/>
    <n v="2239245181"/>
    <x v="2"/>
    <n v="5390"/>
    <x v="1"/>
    <x v="0"/>
    <x v="13"/>
    <x v="2"/>
    <x v="0"/>
    <x v="0"/>
    <x v="2"/>
    <x v="0"/>
  </r>
  <r>
    <x v="0"/>
    <x v="0"/>
    <n v="2239245182"/>
    <x v="2"/>
    <n v="8800"/>
    <x v="1"/>
    <x v="0"/>
    <x v="13"/>
    <x v="2"/>
    <x v="0"/>
    <x v="0"/>
    <x v="2"/>
    <x v="0"/>
  </r>
  <r>
    <x v="0"/>
    <x v="0"/>
    <n v="2239245183"/>
    <x v="2"/>
    <n v="17600"/>
    <x v="1"/>
    <x v="0"/>
    <x v="13"/>
    <x v="2"/>
    <x v="0"/>
    <x v="0"/>
    <x v="2"/>
    <x v="0"/>
  </r>
  <r>
    <x v="0"/>
    <x v="0"/>
    <n v="2239245184"/>
    <x v="3"/>
    <n v="7150"/>
    <x v="1"/>
    <x v="0"/>
    <x v="13"/>
    <x v="3"/>
    <x v="0"/>
    <x v="0"/>
    <x v="3"/>
    <x v="0"/>
  </r>
  <r>
    <x v="0"/>
    <x v="0"/>
    <n v="2239245187"/>
    <x v="3"/>
    <n v="11000"/>
    <x v="1"/>
    <x v="0"/>
    <x v="13"/>
    <x v="3"/>
    <x v="0"/>
    <x v="0"/>
    <x v="3"/>
    <x v="0"/>
  </r>
  <r>
    <x v="0"/>
    <x v="0"/>
    <n v="2239245188"/>
    <x v="4"/>
    <n v="5600"/>
    <x v="1"/>
    <x v="0"/>
    <x v="13"/>
    <x v="4"/>
    <x v="0"/>
    <x v="0"/>
    <x v="4"/>
    <x v="0"/>
  </r>
  <r>
    <x v="0"/>
    <x v="0"/>
    <n v="2239245189"/>
    <x v="3"/>
    <n v="36080"/>
    <x v="1"/>
    <x v="0"/>
    <x v="13"/>
    <x v="3"/>
    <x v="0"/>
    <x v="0"/>
    <x v="3"/>
    <x v="0"/>
  </r>
  <r>
    <x v="0"/>
    <x v="0"/>
    <n v="2239245190"/>
    <x v="2"/>
    <n v="16390"/>
    <x v="1"/>
    <x v="0"/>
    <x v="13"/>
    <x v="2"/>
    <x v="0"/>
    <x v="0"/>
    <x v="2"/>
    <x v="0"/>
  </r>
  <r>
    <x v="0"/>
    <x v="0"/>
    <n v="2239245191"/>
    <x v="2"/>
    <n v="48000"/>
    <x v="1"/>
    <x v="0"/>
    <x v="13"/>
    <x v="2"/>
    <x v="0"/>
    <x v="0"/>
    <x v="2"/>
    <x v="0"/>
  </r>
  <r>
    <x v="0"/>
    <x v="0"/>
    <n v="2239245193"/>
    <x v="5"/>
    <n v="-400"/>
    <x v="1"/>
    <x v="0"/>
    <x v="13"/>
    <x v="5"/>
    <x v="0"/>
    <x v="0"/>
    <x v="5"/>
    <x v="0"/>
  </r>
  <r>
    <x v="0"/>
    <x v="0"/>
    <n v="2239245193"/>
    <x v="4"/>
    <n v="5000"/>
    <x v="1"/>
    <x v="0"/>
    <x v="13"/>
    <x v="4"/>
    <x v="0"/>
    <x v="0"/>
    <x v="4"/>
    <x v="0"/>
  </r>
  <r>
    <x v="0"/>
    <x v="0"/>
    <n v="2239245194"/>
    <x v="2"/>
    <n v="10500"/>
    <x v="1"/>
    <x v="0"/>
    <x v="13"/>
    <x v="2"/>
    <x v="0"/>
    <x v="0"/>
    <x v="2"/>
    <x v="0"/>
  </r>
  <r>
    <x v="0"/>
    <x v="0"/>
    <n v="2239245196"/>
    <x v="2"/>
    <n v="7500"/>
    <x v="1"/>
    <x v="0"/>
    <x v="13"/>
    <x v="2"/>
    <x v="0"/>
    <x v="0"/>
    <x v="2"/>
    <x v="0"/>
  </r>
  <r>
    <x v="0"/>
    <x v="0"/>
    <n v="2239245197"/>
    <x v="1"/>
    <n v="600"/>
    <x v="1"/>
    <x v="0"/>
    <x v="13"/>
    <x v="1"/>
    <x v="0"/>
    <x v="0"/>
    <x v="1"/>
    <x v="0"/>
  </r>
  <r>
    <x v="0"/>
    <x v="0"/>
    <n v="2239245199"/>
    <x v="2"/>
    <n v="7500"/>
    <x v="1"/>
    <x v="0"/>
    <x v="13"/>
    <x v="2"/>
    <x v="0"/>
    <x v="0"/>
    <x v="2"/>
    <x v="0"/>
  </r>
  <r>
    <x v="0"/>
    <x v="0"/>
    <n v="2239245200"/>
    <x v="2"/>
    <n v="15000"/>
    <x v="1"/>
    <x v="0"/>
    <x v="13"/>
    <x v="2"/>
    <x v="0"/>
    <x v="0"/>
    <x v="2"/>
    <x v="0"/>
  </r>
  <r>
    <x v="0"/>
    <x v="0"/>
    <n v="2239245201"/>
    <x v="2"/>
    <n v="19030"/>
    <x v="1"/>
    <x v="0"/>
    <x v="13"/>
    <x v="2"/>
    <x v="0"/>
    <x v="0"/>
    <x v="2"/>
    <x v="0"/>
  </r>
  <r>
    <x v="0"/>
    <x v="0"/>
    <n v="2239245202"/>
    <x v="5"/>
    <n v="-600"/>
    <x v="1"/>
    <x v="0"/>
    <x v="13"/>
    <x v="5"/>
    <x v="0"/>
    <x v="0"/>
    <x v="5"/>
    <x v="0"/>
  </r>
  <r>
    <x v="0"/>
    <x v="0"/>
    <n v="2239245202"/>
    <x v="4"/>
    <n v="5000"/>
    <x v="1"/>
    <x v="0"/>
    <x v="13"/>
    <x v="4"/>
    <x v="0"/>
    <x v="0"/>
    <x v="4"/>
    <x v="0"/>
  </r>
  <r>
    <x v="0"/>
    <x v="0"/>
    <n v="2239245203"/>
    <x v="3"/>
    <n v="6500"/>
    <x v="1"/>
    <x v="0"/>
    <x v="13"/>
    <x v="3"/>
    <x v="0"/>
    <x v="0"/>
    <x v="3"/>
    <x v="0"/>
  </r>
  <r>
    <x v="0"/>
    <x v="0"/>
    <n v="2239245205"/>
    <x v="2"/>
    <n v="7500"/>
    <x v="1"/>
    <x v="0"/>
    <x v="13"/>
    <x v="2"/>
    <x v="0"/>
    <x v="0"/>
    <x v="2"/>
    <x v="0"/>
  </r>
  <r>
    <x v="0"/>
    <x v="0"/>
    <n v="2239245206"/>
    <x v="3"/>
    <n v="8393"/>
    <x v="1"/>
    <x v="0"/>
    <x v="13"/>
    <x v="3"/>
    <x v="0"/>
    <x v="0"/>
    <x v="3"/>
    <x v="0"/>
  </r>
  <r>
    <x v="0"/>
    <x v="0"/>
    <n v="2239245206"/>
    <x v="7"/>
    <n v="3270"/>
    <x v="1"/>
    <x v="0"/>
    <x v="13"/>
    <x v="7"/>
    <x v="0"/>
    <x v="0"/>
    <x v="1"/>
    <x v="0"/>
  </r>
  <r>
    <x v="0"/>
    <x v="0"/>
    <n v="2239245207"/>
    <x v="2"/>
    <n v="7500"/>
    <x v="1"/>
    <x v="0"/>
    <x v="13"/>
    <x v="2"/>
    <x v="0"/>
    <x v="0"/>
    <x v="2"/>
    <x v="0"/>
  </r>
  <r>
    <x v="0"/>
    <x v="0"/>
    <n v="2239245208"/>
    <x v="2"/>
    <n v="7200"/>
    <x v="1"/>
    <x v="0"/>
    <x v="13"/>
    <x v="2"/>
    <x v="0"/>
    <x v="0"/>
    <x v="2"/>
    <x v="0"/>
  </r>
  <r>
    <x v="0"/>
    <x v="0"/>
    <n v="2239245209"/>
    <x v="3"/>
    <n v="9900"/>
    <x v="1"/>
    <x v="0"/>
    <x v="13"/>
    <x v="3"/>
    <x v="0"/>
    <x v="0"/>
    <x v="3"/>
    <x v="0"/>
  </r>
  <r>
    <x v="0"/>
    <x v="0"/>
    <n v="2239245210"/>
    <x v="5"/>
    <n v="-7340"/>
    <x v="1"/>
    <x v="0"/>
    <x v="13"/>
    <x v="5"/>
    <x v="0"/>
    <x v="0"/>
    <x v="5"/>
    <x v="0"/>
  </r>
  <r>
    <x v="0"/>
    <x v="0"/>
    <n v="2239245210"/>
    <x v="6"/>
    <n v="10000"/>
    <x v="1"/>
    <x v="0"/>
    <x v="13"/>
    <x v="6"/>
    <x v="0"/>
    <x v="0"/>
    <x v="5"/>
    <x v="0"/>
  </r>
  <r>
    <x v="0"/>
    <x v="0"/>
    <n v="2239245212"/>
    <x v="4"/>
    <n v="5700"/>
    <x v="1"/>
    <x v="0"/>
    <x v="13"/>
    <x v="4"/>
    <x v="0"/>
    <x v="0"/>
    <x v="4"/>
    <x v="0"/>
  </r>
  <r>
    <x v="0"/>
    <x v="0"/>
    <n v="2239245213"/>
    <x v="5"/>
    <n v="-340"/>
    <x v="1"/>
    <x v="0"/>
    <x v="13"/>
    <x v="5"/>
    <x v="0"/>
    <x v="0"/>
    <x v="5"/>
    <x v="0"/>
  </r>
  <r>
    <x v="0"/>
    <x v="0"/>
    <n v="2239245213"/>
    <x v="6"/>
    <n v="3000"/>
    <x v="1"/>
    <x v="0"/>
    <x v="13"/>
    <x v="6"/>
    <x v="0"/>
    <x v="0"/>
    <x v="5"/>
    <x v="0"/>
  </r>
  <r>
    <x v="0"/>
    <x v="0"/>
    <n v="2239245214"/>
    <x v="2"/>
    <n v="21000"/>
    <x v="1"/>
    <x v="0"/>
    <x v="13"/>
    <x v="2"/>
    <x v="0"/>
    <x v="0"/>
    <x v="2"/>
    <x v="0"/>
  </r>
  <r>
    <x v="0"/>
    <x v="0"/>
    <n v="2239251901"/>
    <x v="1"/>
    <n v="12900"/>
    <x v="1"/>
    <x v="0"/>
    <x v="48"/>
    <x v="1"/>
    <x v="0"/>
    <x v="0"/>
    <x v="1"/>
    <x v="0"/>
  </r>
  <r>
    <x v="0"/>
    <x v="0"/>
    <n v="2239251902"/>
    <x v="1"/>
    <n v="2700"/>
    <x v="1"/>
    <x v="0"/>
    <x v="48"/>
    <x v="1"/>
    <x v="0"/>
    <x v="0"/>
    <x v="1"/>
    <x v="0"/>
  </r>
  <r>
    <x v="0"/>
    <x v="0"/>
    <n v="2239251903"/>
    <x v="1"/>
    <n v="1140"/>
    <x v="1"/>
    <x v="0"/>
    <x v="48"/>
    <x v="1"/>
    <x v="0"/>
    <x v="0"/>
    <x v="1"/>
    <x v="0"/>
  </r>
  <r>
    <x v="0"/>
    <x v="0"/>
    <n v="2239251904"/>
    <x v="1"/>
    <n v="2250"/>
    <x v="1"/>
    <x v="0"/>
    <x v="48"/>
    <x v="1"/>
    <x v="0"/>
    <x v="0"/>
    <x v="1"/>
    <x v="0"/>
  </r>
  <r>
    <x v="0"/>
    <x v="0"/>
    <n v="2239251905"/>
    <x v="0"/>
    <n v="2700"/>
    <x v="1"/>
    <x v="0"/>
    <x v="48"/>
    <x v="0"/>
    <x v="0"/>
    <x v="0"/>
    <x v="0"/>
    <x v="0"/>
  </r>
  <r>
    <x v="0"/>
    <x v="0"/>
    <n v="2239251906"/>
    <x v="0"/>
    <n v="1200"/>
    <x v="1"/>
    <x v="0"/>
    <x v="48"/>
    <x v="0"/>
    <x v="0"/>
    <x v="0"/>
    <x v="0"/>
    <x v="0"/>
  </r>
  <r>
    <x v="0"/>
    <x v="0"/>
    <n v="2239251907"/>
    <x v="1"/>
    <n v="9270"/>
    <x v="1"/>
    <x v="0"/>
    <x v="48"/>
    <x v="1"/>
    <x v="0"/>
    <x v="0"/>
    <x v="1"/>
    <x v="0"/>
  </r>
  <r>
    <x v="0"/>
    <x v="0"/>
    <n v="2239251908"/>
    <x v="1"/>
    <n v="25900"/>
    <x v="1"/>
    <x v="0"/>
    <x v="48"/>
    <x v="1"/>
    <x v="0"/>
    <x v="0"/>
    <x v="1"/>
    <x v="0"/>
  </r>
  <r>
    <x v="0"/>
    <x v="0"/>
    <n v="2239251909"/>
    <x v="0"/>
    <n v="3000"/>
    <x v="1"/>
    <x v="0"/>
    <x v="48"/>
    <x v="0"/>
    <x v="0"/>
    <x v="0"/>
    <x v="0"/>
    <x v="0"/>
  </r>
  <r>
    <x v="0"/>
    <x v="0"/>
    <n v="2239251910"/>
    <x v="1"/>
    <n v="1050"/>
    <x v="1"/>
    <x v="0"/>
    <x v="48"/>
    <x v="1"/>
    <x v="0"/>
    <x v="0"/>
    <x v="1"/>
    <x v="0"/>
  </r>
  <r>
    <x v="0"/>
    <x v="0"/>
    <n v="2239251911"/>
    <x v="0"/>
    <n v="4500"/>
    <x v="1"/>
    <x v="0"/>
    <x v="48"/>
    <x v="0"/>
    <x v="0"/>
    <x v="0"/>
    <x v="0"/>
    <x v="0"/>
  </r>
  <r>
    <x v="0"/>
    <x v="0"/>
    <n v="2239251912"/>
    <x v="1"/>
    <n v="7320"/>
    <x v="1"/>
    <x v="0"/>
    <x v="48"/>
    <x v="1"/>
    <x v="0"/>
    <x v="0"/>
    <x v="1"/>
    <x v="0"/>
  </r>
  <r>
    <x v="0"/>
    <x v="0"/>
    <n v="2239251913"/>
    <x v="0"/>
    <n v="4500"/>
    <x v="1"/>
    <x v="0"/>
    <x v="48"/>
    <x v="0"/>
    <x v="0"/>
    <x v="0"/>
    <x v="0"/>
    <x v="0"/>
  </r>
  <r>
    <x v="0"/>
    <x v="0"/>
    <n v="2239251914"/>
    <x v="1"/>
    <n v="1200"/>
    <x v="1"/>
    <x v="0"/>
    <x v="48"/>
    <x v="1"/>
    <x v="0"/>
    <x v="0"/>
    <x v="1"/>
    <x v="0"/>
  </r>
  <r>
    <x v="0"/>
    <x v="0"/>
    <n v="2239251915"/>
    <x v="0"/>
    <n v="2850"/>
    <x v="1"/>
    <x v="0"/>
    <x v="48"/>
    <x v="0"/>
    <x v="0"/>
    <x v="0"/>
    <x v="0"/>
    <x v="0"/>
  </r>
  <r>
    <x v="0"/>
    <x v="0"/>
    <n v="2239251916"/>
    <x v="0"/>
    <n v="5100"/>
    <x v="1"/>
    <x v="0"/>
    <x v="48"/>
    <x v="0"/>
    <x v="0"/>
    <x v="0"/>
    <x v="0"/>
    <x v="0"/>
  </r>
  <r>
    <x v="0"/>
    <x v="0"/>
    <n v="2239251917"/>
    <x v="0"/>
    <n v="20220"/>
    <x v="1"/>
    <x v="0"/>
    <x v="48"/>
    <x v="0"/>
    <x v="0"/>
    <x v="0"/>
    <x v="0"/>
    <x v="0"/>
  </r>
  <r>
    <x v="0"/>
    <x v="0"/>
    <n v="2239251918"/>
    <x v="1"/>
    <n v="8550"/>
    <x v="1"/>
    <x v="0"/>
    <x v="48"/>
    <x v="1"/>
    <x v="0"/>
    <x v="0"/>
    <x v="1"/>
    <x v="0"/>
  </r>
  <r>
    <x v="0"/>
    <x v="0"/>
    <n v="2239251919"/>
    <x v="1"/>
    <n v="3180"/>
    <x v="1"/>
    <x v="0"/>
    <x v="48"/>
    <x v="1"/>
    <x v="0"/>
    <x v="0"/>
    <x v="1"/>
    <x v="0"/>
  </r>
  <r>
    <x v="0"/>
    <x v="0"/>
    <n v="2239251920"/>
    <x v="1"/>
    <n v="22500"/>
    <x v="1"/>
    <x v="0"/>
    <x v="48"/>
    <x v="1"/>
    <x v="0"/>
    <x v="0"/>
    <x v="1"/>
    <x v="0"/>
  </r>
  <r>
    <x v="0"/>
    <x v="0"/>
    <n v="2239251921"/>
    <x v="0"/>
    <n v="15490"/>
    <x v="1"/>
    <x v="0"/>
    <x v="48"/>
    <x v="0"/>
    <x v="0"/>
    <x v="0"/>
    <x v="0"/>
    <x v="0"/>
  </r>
  <r>
    <x v="0"/>
    <x v="0"/>
    <n v="2239251922"/>
    <x v="1"/>
    <n v="25820"/>
    <x v="1"/>
    <x v="0"/>
    <x v="48"/>
    <x v="1"/>
    <x v="0"/>
    <x v="0"/>
    <x v="1"/>
    <x v="0"/>
  </r>
  <r>
    <x v="0"/>
    <x v="0"/>
    <n v="2239251923"/>
    <x v="1"/>
    <n v="6000"/>
    <x v="1"/>
    <x v="0"/>
    <x v="48"/>
    <x v="1"/>
    <x v="0"/>
    <x v="0"/>
    <x v="1"/>
    <x v="0"/>
  </r>
  <r>
    <x v="0"/>
    <x v="0"/>
    <n v="2239251924"/>
    <x v="0"/>
    <n v="1500"/>
    <x v="1"/>
    <x v="0"/>
    <x v="48"/>
    <x v="0"/>
    <x v="0"/>
    <x v="0"/>
    <x v="0"/>
    <x v="0"/>
  </r>
  <r>
    <x v="0"/>
    <x v="0"/>
    <n v="2239251925"/>
    <x v="1"/>
    <n v="11040"/>
    <x v="1"/>
    <x v="0"/>
    <x v="48"/>
    <x v="1"/>
    <x v="0"/>
    <x v="0"/>
    <x v="1"/>
    <x v="0"/>
  </r>
  <r>
    <x v="0"/>
    <x v="0"/>
    <n v="2239251926"/>
    <x v="1"/>
    <n v="11800"/>
    <x v="1"/>
    <x v="0"/>
    <x v="48"/>
    <x v="1"/>
    <x v="0"/>
    <x v="0"/>
    <x v="1"/>
    <x v="0"/>
  </r>
  <r>
    <x v="0"/>
    <x v="0"/>
    <n v="2239251927"/>
    <x v="1"/>
    <n v="4335"/>
    <x v="1"/>
    <x v="0"/>
    <x v="48"/>
    <x v="1"/>
    <x v="0"/>
    <x v="0"/>
    <x v="1"/>
    <x v="0"/>
  </r>
  <r>
    <x v="0"/>
    <x v="0"/>
    <n v="2239251928"/>
    <x v="1"/>
    <n v="6000"/>
    <x v="1"/>
    <x v="0"/>
    <x v="48"/>
    <x v="1"/>
    <x v="0"/>
    <x v="0"/>
    <x v="1"/>
    <x v="0"/>
  </r>
  <r>
    <x v="0"/>
    <x v="0"/>
    <n v="2239251929"/>
    <x v="1"/>
    <n v="41020"/>
    <x v="1"/>
    <x v="0"/>
    <x v="48"/>
    <x v="1"/>
    <x v="0"/>
    <x v="0"/>
    <x v="1"/>
    <x v="0"/>
  </r>
  <r>
    <x v="0"/>
    <x v="0"/>
    <n v="2239251930"/>
    <x v="0"/>
    <n v="1950"/>
    <x v="1"/>
    <x v="0"/>
    <x v="48"/>
    <x v="0"/>
    <x v="0"/>
    <x v="0"/>
    <x v="0"/>
    <x v="0"/>
  </r>
  <r>
    <x v="0"/>
    <x v="0"/>
    <n v="2239251931"/>
    <x v="1"/>
    <n v="2700"/>
    <x v="1"/>
    <x v="0"/>
    <x v="48"/>
    <x v="1"/>
    <x v="0"/>
    <x v="0"/>
    <x v="1"/>
    <x v="0"/>
  </r>
  <r>
    <x v="0"/>
    <x v="0"/>
    <n v="2239251932"/>
    <x v="0"/>
    <n v="5850"/>
    <x v="1"/>
    <x v="0"/>
    <x v="48"/>
    <x v="0"/>
    <x v="0"/>
    <x v="0"/>
    <x v="0"/>
    <x v="0"/>
  </r>
  <r>
    <x v="0"/>
    <x v="0"/>
    <n v="2239251933"/>
    <x v="1"/>
    <n v="4500"/>
    <x v="1"/>
    <x v="0"/>
    <x v="48"/>
    <x v="1"/>
    <x v="0"/>
    <x v="0"/>
    <x v="1"/>
    <x v="0"/>
  </r>
  <r>
    <x v="0"/>
    <x v="0"/>
    <n v="2239251934"/>
    <x v="0"/>
    <n v="2700"/>
    <x v="1"/>
    <x v="0"/>
    <x v="48"/>
    <x v="0"/>
    <x v="0"/>
    <x v="0"/>
    <x v="0"/>
    <x v="0"/>
  </r>
  <r>
    <x v="0"/>
    <x v="0"/>
    <n v="2239251935"/>
    <x v="1"/>
    <n v="21520"/>
    <x v="1"/>
    <x v="0"/>
    <x v="48"/>
    <x v="1"/>
    <x v="0"/>
    <x v="0"/>
    <x v="1"/>
    <x v="0"/>
  </r>
  <r>
    <x v="0"/>
    <x v="0"/>
    <n v="2239251936"/>
    <x v="0"/>
    <n v="1950"/>
    <x v="1"/>
    <x v="0"/>
    <x v="48"/>
    <x v="0"/>
    <x v="0"/>
    <x v="0"/>
    <x v="0"/>
    <x v="0"/>
  </r>
  <r>
    <x v="0"/>
    <x v="0"/>
    <n v="2239251937"/>
    <x v="1"/>
    <n v="1800"/>
    <x v="1"/>
    <x v="0"/>
    <x v="48"/>
    <x v="1"/>
    <x v="0"/>
    <x v="0"/>
    <x v="1"/>
    <x v="0"/>
  </r>
  <r>
    <x v="0"/>
    <x v="0"/>
    <n v="2239251938"/>
    <x v="0"/>
    <n v="3600"/>
    <x v="1"/>
    <x v="0"/>
    <x v="48"/>
    <x v="0"/>
    <x v="0"/>
    <x v="0"/>
    <x v="0"/>
    <x v="0"/>
  </r>
  <r>
    <x v="0"/>
    <x v="0"/>
    <n v="2239251939"/>
    <x v="0"/>
    <n v="2250"/>
    <x v="1"/>
    <x v="0"/>
    <x v="48"/>
    <x v="0"/>
    <x v="0"/>
    <x v="0"/>
    <x v="0"/>
    <x v="0"/>
  </r>
  <r>
    <x v="0"/>
    <x v="0"/>
    <n v="2239251940"/>
    <x v="0"/>
    <n v="1950"/>
    <x v="1"/>
    <x v="0"/>
    <x v="48"/>
    <x v="0"/>
    <x v="0"/>
    <x v="0"/>
    <x v="0"/>
    <x v="0"/>
  </r>
  <r>
    <x v="0"/>
    <x v="0"/>
    <n v="2239251941"/>
    <x v="0"/>
    <n v="7800"/>
    <x v="1"/>
    <x v="0"/>
    <x v="48"/>
    <x v="0"/>
    <x v="0"/>
    <x v="0"/>
    <x v="0"/>
    <x v="0"/>
  </r>
  <r>
    <x v="0"/>
    <x v="0"/>
    <n v="2239251942"/>
    <x v="0"/>
    <n v="900"/>
    <x v="1"/>
    <x v="0"/>
    <x v="48"/>
    <x v="0"/>
    <x v="0"/>
    <x v="0"/>
    <x v="0"/>
    <x v="0"/>
  </r>
  <r>
    <x v="0"/>
    <x v="0"/>
    <n v="2239251943"/>
    <x v="0"/>
    <n v="900"/>
    <x v="1"/>
    <x v="0"/>
    <x v="48"/>
    <x v="0"/>
    <x v="0"/>
    <x v="0"/>
    <x v="0"/>
    <x v="0"/>
  </r>
  <r>
    <x v="0"/>
    <x v="0"/>
    <n v="2239251944"/>
    <x v="0"/>
    <n v="2250"/>
    <x v="1"/>
    <x v="0"/>
    <x v="48"/>
    <x v="0"/>
    <x v="0"/>
    <x v="0"/>
    <x v="0"/>
    <x v="0"/>
  </r>
  <r>
    <x v="0"/>
    <x v="0"/>
    <n v="2239251945"/>
    <x v="0"/>
    <n v="1950"/>
    <x v="1"/>
    <x v="0"/>
    <x v="48"/>
    <x v="0"/>
    <x v="0"/>
    <x v="0"/>
    <x v="0"/>
    <x v="0"/>
  </r>
  <r>
    <x v="0"/>
    <x v="0"/>
    <n v="2239251946"/>
    <x v="2"/>
    <n v="26400"/>
    <x v="1"/>
    <x v="0"/>
    <x v="48"/>
    <x v="2"/>
    <x v="0"/>
    <x v="0"/>
    <x v="2"/>
    <x v="0"/>
  </r>
  <r>
    <x v="0"/>
    <x v="0"/>
    <n v="2239251946"/>
    <x v="7"/>
    <n v="2600"/>
    <x v="1"/>
    <x v="0"/>
    <x v="48"/>
    <x v="7"/>
    <x v="0"/>
    <x v="0"/>
    <x v="1"/>
    <x v="0"/>
  </r>
  <r>
    <x v="0"/>
    <x v="0"/>
    <n v="2239251947"/>
    <x v="1"/>
    <n v="3900"/>
    <x v="1"/>
    <x v="0"/>
    <x v="48"/>
    <x v="1"/>
    <x v="0"/>
    <x v="0"/>
    <x v="1"/>
    <x v="0"/>
  </r>
  <r>
    <x v="0"/>
    <x v="0"/>
    <n v="2239251948"/>
    <x v="1"/>
    <n v="3000"/>
    <x v="1"/>
    <x v="0"/>
    <x v="48"/>
    <x v="1"/>
    <x v="0"/>
    <x v="0"/>
    <x v="1"/>
    <x v="0"/>
  </r>
  <r>
    <x v="0"/>
    <x v="0"/>
    <n v="2239251949"/>
    <x v="1"/>
    <n v="1200"/>
    <x v="1"/>
    <x v="0"/>
    <x v="48"/>
    <x v="1"/>
    <x v="0"/>
    <x v="0"/>
    <x v="1"/>
    <x v="0"/>
  </r>
  <r>
    <x v="0"/>
    <x v="0"/>
    <n v="2239251950"/>
    <x v="1"/>
    <n v="3000"/>
    <x v="1"/>
    <x v="0"/>
    <x v="48"/>
    <x v="1"/>
    <x v="0"/>
    <x v="0"/>
    <x v="1"/>
    <x v="0"/>
  </r>
  <r>
    <x v="0"/>
    <x v="0"/>
    <n v="2239251951"/>
    <x v="1"/>
    <n v="1140"/>
    <x v="1"/>
    <x v="0"/>
    <x v="48"/>
    <x v="1"/>
    <x v="0"/>
    <x v="0"/>
    <x v="1"/>
    <x v="0"/>
  </r>
  <r>
    <x v="0"/>
    <x v="0"/>
    <n v="2239251952"/>
    <x v="1"/>
    <n v="3150"/>
    <x v="1"/>
    <x v="0"/>
    <x v="48"/>
    <x v="1"/>
    <x v="0"/>
    <x v="0"/>
    <x v="1"/>
    <x v="0"/>
  </r>
  <r>
    <x v="0"/>
    <x v="0"/>
    <n v="2239251953"/>
    <x v="1"/>
    <n v="1050"/>
    <x v="1"/>
    <x v="0"/>
    <x v="48"/>
    <x v="1"/>
    <x v="0"/>
    <x v="0"/>
    <x v="1"/>
    <x v="0"/>
  </r>
  <r>
    <x v="0"/>
    <x v="0"/>
    <n v="2239251954"/>
    <x v="0"/>
    <n v="1200"/>
    <x v="1"/>
    <x v="0"/>
    <x v="48"/>
    <x v="0"/>
    <x v="0"/>
    <x v="0"/>
    <x v="0"/>
    <x v="0"/>
  </r>
  <r>
    <x v="0"/>
    <x v="0"/>
    <n v="2239251955"/>
    <x v="1"/>
    <n v="30540"/>
    <x v="1"/>
    <x v="0"/>
    <x v="48"/>
    <x v="1"/>
    <x v="0"/>
    <x v="0"/>
    <x v="1"/>
    <x v="0"/>
  </r>
  <r>
    <x v="0"/>
    <x v="0"/>
    <n v="2239251956"/>
    <x v="1"/>
    <n v="53600"/>
    <x v="1"/>
    <x v="0"/>
    <x v="48"/>
    <x v="1"/>
    <x v="0"/>
    <x v="0"/>
    <x v="1"/>
    <x v="0"/>
  </r>
  <r>
    <x v="0"/>
    <x v="0"/>
    <n v="2239251957"/>
    <x v="1"/>
    <n v="5400"/>
    <x v="1"/>
    <x v="0"/>
    <x v="48"/>
    <x v="1"/>
    <x v="0"/>
    <x v="0"/>
    <x v="1"/>
    <x v="0"/>
  </r>
  <r>
    <x v="0"/>
    <x v="0"/>
    <n v="2239251958"/>
    <x v="1"/>
    <n v="43870"/>
    <x v="1"/>
    <x v="0"/>
    <x v="48"/>
    <x v="1"/>
    <x v="0"/>
    <x v="0"/>
    <x v="1"/>
    <x v="0"/>
  </r>
  <r>
    <x v="0"/>
    <x v="0"/>
    <n v="2239251959"/>
    <x v="1"/>
    <n v="8100"/>
    <x v="1"/>
    <x v="0"/>
    <x v="48"/>
    <x v="1"/>
    <x v="0"/>
    <x v="0"/>
    <x v="1"/>
    <x v="0"/>
  </r>
  <r>
    <x v="0"/>
    <x v="0"/>
    <n v="2239251960"/>
    <x v="1"/>
    <n v="1590"/>
    <x v="1"/>
    <x v="0"/>
    <x v="48"/>
    <x v="1"/>
    <x v="0"/>
    <x v="0"/>
    <x v="1"/>
    <x v="0"/>
  </r>
  <r>
    <x v="0"/>
    <x v="0"/>
    <n v="2239251961"/>
    <x v="0"/>
    <n v="18000"/>
    <x v="1"/>
    <x v="0"/>
    <x v="48"/>
    <x v="0"/>
    <x v="0"/>
    <x v="0"/>
    <x v="0"/>
    <x v="0"/>
  </r>
  <r>
    <x v="0"/>
    <x v="0"/>
    <n v="2239251962"/>
    <x v="1"/>
    <n v="2850"/>
    <x v="1"/>
    <x v="0"/>
    <x v="48"/>
    <x v="1"/>
    <x v="0"/>
    <x v="0"/>
    <x v="1"/>
    <x v="0"/>
  </r>
  <r>
    <x v="0"/>
    <x v="0"/>
    <n v="2239251963"/>
    <x v="1"/>
    <n v="4050"/>
    <x v="1"/>
    <x v="0"/>
    <x v="48"/>
    <x v="1"/>
    <x v="0"/>
    <x v="0"/>
    <x v="1"/>
    <x v="0"/>
  </r>
  <r>
    <x v="0"/>
    <x v="0"/>
    <n v="2239251964"/>
    <x v="1"/>
    <n v="1350"/>
    <x v="1"/>
    <x v="0"/>
    <x v="48"/>
    <x v="1"/>
    <x v="0"/>
    <x v="0"/>
    <x v="1"/>
    <x v="0"/>
  </r>
  <r>
    <x v="0"/>
    <x v="0"/>
    <n v="2239251965"/>
    <x v="1"/>
    <n v="5400"/>
    <x v="1"/>
    <x v="0"/>
    <x v="48"/>
    <x v="1"/>
    <x v="0"/>
    <x v="0"/>
    <x v="1"/>
    <x v="0"/>
  </r>
  <r>
    <x v="0"/>
    <x v="0"/>
    <n v="2239251966"/>
    <x v="1"/>
    <n v="900"/>
    <x v="1"/>
    <x v="0"/>
    <x v="48"/>
    <x v="1"/>
    <x v="0"/>
    <x v="0"/>
    <x v="1"/>
    <x v="0"/>
  </r>
  <r>
    <x v="0"/>
    <x v="0"/>
    <n v="2239251967"/>
    <x v="1"/>
    <n v="5040"/>
    <x v="1"/>
    <x v="0"/>
    <x v="48"/>
    <x v="1"/>
    <x v="0"/>
    <x v="0"/>
    <x v="1"/>
    <x v="0"/>
  </r>
  <r>
    <x v="0"/>
    <x v="0"/>
    <n v="2239251968"/>
    <x v="1"/>
    <n v="2040"/>
    <x v="1"/>
    <x v="0"/>
    <x v="48"/>
    <x v="1"/>
    <x v="0"/>
    <x v="0"/>
    <x v="1"/>
    <x v="0"/>
  </r>
  <r>
    <x v="0"/>
    <x v="0"/>
    <n v="2239251969"/>
    <x v="1"/>
    <n v="900"/>
    <x v="1"/>
    <x v="0"/>
    <x v="48"/>
    <x v="1"/>
    <x v="0"/>
    <x v="0"/>
    <x v="1"/>
    <x v="0"/>
  </r>
  <r>
    <x v="0"/>
    <x v="0"/>
    <n v="2239251970"/>
    <x v="1"/>
    <n v="1590"/>
    <x v="1"/>
    <x v="0"/>
    <x v="48"/>
    <x v="1"/>
    <x v="0"/>
    <x v="0"/>
    <x v="1"/>
    <x v="0"/>
  </r>
  <r>
    <x v="0"/>
    <x v="0"/>
    <n v="2239251971"/>
    <x v="1"/>
    <n v="19350"/>
    <x v="1"/>
    <x v="0"/>
    <x v="48"/>
    <x v="1"/>
    <x v="0"/>
    <x v="0"/>
    <x v="1"/>
    <x v="0"/>
  </r>
  <r>
    <x v="0"/>
    <x v="0"/>
    <n v="2239251972"/>
    <x v="0"/>
    <n v="5550"/>
    <x v="1"/>
    <x v="0"/>
    <x v="48"/>
    <x v="0"/>
    <x v="0"/>
    <x v="0"/>
    <x v="0"/>
    <x v="0"/>
  </r>
  <r>
    <x v="0"/>
    <x v="0"/>
    <n v="2239251973"/>
    <x v="1"/>
    <n v="8100"/>
    <x v="1"/>
    <x v="0"/>
    <x v="48"/>
    <x v="1"/>
    <x v="0"/>
    <x v="0"/>
    <x v="1"/>
    <x v="0"/>
  </r>
  <r>
    <x v="0"/>
    <x v="0"/>
    <n v="2239251974"/>
    <x v="0"/>
    <n v="6750"/>
    <x v="1"/>
    <x v="0"/>
    <x v="48"/>
    <x v="0"/>
    <x v="0"/>
    <x v="0"/>
    <x v="0"/>
    <x v="0"/>
  </r>
  <r>
    <x v="0"/>
    <x v="0"/>
    <n v="2239251975"/>
    <x v="0"/>
    <n v="4350"/>
    <x v="1"/>
    <x v="0"/>
    <x v="48"/>
    <x v="0"/>
    <x v="0"/>
    <x v="0"/>
    <x v="0"/>
    <x v="0"/>
  </r>
  <r>
    <x v="0"/>
    <x v="0"/>
    <n v="2239251976"/>
    <x v="0"/>
    <n v="6270"/>
    <x v="1"/>
    <x v="0"/>
    <x v="48"/>
    <x v="0"/>
    <x v="0"/>
    <x v="0"/>
    <x v="0"/>
    <x v="0"/>
  </r>
  <r>
    <x v="0"/>
    <x v="0"/>
    <n v="2239251977"/>
    <x v="0"/>
    <n v="1950"/>
    <x v="1"/>
    <x v="0"/>
    <x v="48"/>
    <x v="0"/>
    <x v="0"/>
    <x v="0"/>
    <x v="0"/>
    <x v="0"/>
  </r>
  <r>
    <x v="0"/>
    <x v="0"/>
    <n v="2239251978"/>
    <x v="1"/>
    <n v="36330"/>
    <x v="1"/>
    <x v="0"/>
    <x v="48"/>
    <x v="1"/>
    <x v="0"/>
    <x v="0"/>
    <x v="1"/>
    <x v="0"/>
  </r>
  <r>
    <x v="0"/>
    <x v="0"/>
    <n v="2239251979"/>
    <x v="0"/>
    <n v="6750"/>
    <x v="1"/>
    <x v="0"/>
    <x v="48"/>
    <x v="0"/>
    <x v="0"/>
    <x v="0"/>
    <x v="0"/>
    <x v="0"/>
  </r>
  <r>
    <x v="0"/>
    <x v="0"/>
    <n v="2239251980"/>
    <x v="0"/>
    <n v="5700"/>
    <x v="1"/>
    <x v="0"/>
    <x v="48"/>
    <x v="0"/>
    <x v="0"/>
    <x v="0"/>
    <x v="0"/>
    <x v="0"/>
  </r>
  <r>
    <x v="0"/>
    <x v="0"/>
    <n v="2239251981"/>
    <x v="1"/>
    <n v="900"/>
    <x v="1"/>
    <x v="0"/>
    <x v="48"/>
    <x v="1"/>
    <x v="0"/>
    <x v="0"/>
    <x v="1"/>
    <x v="0"/>
  </r>
  <r>
    <x v="0"/>
    <x v="0"/>
    <n v="2239251983"/>
    <x v="2"/>
    <n v="7084"/>
    <x v="1"/>
    <x v="0"/>
    <x v="48"/>
    <x v="2"/>
    <x v="0"/>
    <x v="0"/>
    <x v="2"/>
    <x v="0"/>
  </r>
  <r>
    <x v="0"/>
    <x v="0"/>
    <n v="2239251984"/>
    <x v="3"/>
    <n v="14168"/>
    <x v="1"/>
    <x v="0"/>
    <x v="48"/>
    <x v="3"/>
    <x v="0"/>
    <x v="0"/>
    <x v="3"/>
    <x v="0"/>
  </r>
  <r>
    <x v="0"/>
    <x v="0"/>
    <n v="2239251985"/>
    <x v="0"/>
    <n v="247200"/>
    <x v="1"/>
    <x v="0"/>
    <x v="48"/>
    <x v="0"/>
    <x v="0"/>
    <x v="0"/>
    <x v="0"/>
    <x v="0"/>
  </r>
  <r>
    <x v="0"/>
    <x v="0"/>
    <n v="2239251986"/>
    <x v="1"/>
    <n v="13320"/>
    <x v="1"/>
    <x v="0"/>
    <x v="48"/>
    <x v="1"/>
    <x v="0"/>
    <x v="0"/>
    <x v="1"/>
    <x v="0"/>
  </r>
  <r>
    <x v="0"/>
    <x v="0"/>
    <n v="2239251987"/>
    <x v="1"/>
    <n v="1800"/>
    <x v="1"/>
    <x v="0"/>
    <x v="48"/>
    <x v="1"/>
    <x v="0"/>
    <x v="0"/>
    <x v="1"/>
    <x v="0"/>
  </r>
  <r>
    <x v="0"/>
    <x v="0"/>
    <n v="2239251988"/>
    <x v="1"/>
    <n v="900"/>
    <x v="1"/>
    <x v="0"/>
    <x v="48"/>
    <x v="1"/>
    <x v="0"/>
    <x v="0"/>
    <x v="1"/>
    <x v="0"/>
  </r>
  <r>
    <x v="0"/>
    <x v="0"/>
    <n v="2239251989"/>
    <x v="5"/>
    <n v="-5200"/>
    <x v="1"/>
    <x v="0"/>
    <x v="48"/>
    <x v="5"/>
    <x v="0"/>
    <x v="0"/>
    <x v="5"/>
    <x v="0"/>
  </r>
  <r>
    <x v="0"/>
    <x v="0"/>
    <n v="2239251989"/>
    <x v="6"/>
    <n v="10000"/>
    <x v="1"/>
    <x v="0"/>
    <x v="48"/>
    <x v="6"/>
    <x v="0"/>
    <x v="0"/>
    <x v="5"/>
    <x v="0"/>
  </r>
  <r>
    <x v="0"/>
    <x v="0"/>
    <n v="2239251990"/>
    <x v="8"/>
    <n v="64570"/>
    <x v="1"/>
    <x v="0"/>
    <x v="48"/>
    <x v="8"/>
    <x v="0"/>
    <x v="0"/>
    <x v="3"/>
    <x v="0"/>
  </r>
  <r>
    <x v="0"/>
    <x v="0"/>
    <n v="2239251991"/>
    <x v="5"/>
    <n v="-400"/>
    <x v="1"/>
    <x v="0"/>
    <x v="48"/>
    <x v="5"/>
    <x v="0"/>
    <x v="0"/>
    <x v="5"/>
    <x v="0"/>
  </r>
  <r>
    <x v="0"/>
    <x v="0"/>
    <n v="2239251991"/>
    <x v="4"/>
    <n v="5000"/>
    <x v="1"/>
    <x v="0"/>
    <x v="48"/>
    <x v="4"/>
    <x v="0"/>
    <x v="0"/>
    <x v="4"/>
    <x v="0"/>
  </r>
  <r>
    <x v="0"/>
    <x v="0"/>
    <n v="2239251992"/>
    <x v="2"/>
    <n v="3000"/>
    <x v="1"/>
    <x v="0"/>
    <x v="48"/>
    <x v="2"/>
    <x v="0"/>
    <x v="0"/>
    <x v="2"/>
    <x v="0"/>
  </r>
  <r>
    <x v="0"/>
    <x v="0"/>
    <n v="2239251994"/>
    <x v="5"/>
    <n v="-600"/>
    <x v="1"/>
    <x v="0"/>
    <x v="48"/>
    <x v="5"/>
    <x v="0"/>
    <x v="0"/>
    <x v="5"/>
    <x v="0"/>
  </r>
  <r>
    <x v="0"/>
    <x v="0"/>
    <n v="2239251994"/>
    <x v="4"/>
    <n v="5000"/>
    <x v="1"/>
    <x v="0"/>
    <x v="48"/>
    <x v="4"/>
    <x v="0"/>
    <x v="0"/>
    <x v="4"/>
    <x v="0"/>
  </r>
  <r>
    <x v="0"/>
    <x v="0"/>
    <n v="2239251995"/>
    <x v="4"/>
    <n v="5300"/>
    <x v="1"/>
    <x v="0"/>
    <x v="48"/>
    <x v="4"/>
    <x v="0"/>
    <x v="0"/>
    <x v="4"/>
    <x v="0"/>
  </r>
  <r>
    <x v="0"/>
    <x v="0"/>
    <n v="2239251996"/>
    <x v="4"/>
    <n v="5300"/>
    <x v="1"/>
    <x v="0"/>
    <x v="48"/>
    <x v="4"/>
    <x v="0"/>
    <x v="0"/>
    <x v="4"/>
    <x v="0"/>
  </r>
  <r>
    <x v="0"/>
    <x v="0"/>
    <n v="2239251997"/>
    <x v="8"/>
    <n v="10725"/>
    <x v="1"/>
    <x v="0"/>
    <x v="48"/>
    <x v="8"/>
    <x v="0"/>
    <x v="0"/>
    <x v="3"/>
    <x v="0"/>
  </r>
  <r>
    <x v="0"/>
    <x v="0"/>
    <n v="2239251998"/>
    <x v="2"/>
    <n v="50875"/>
    <x v="1"/>
    <x v="0"/>
    <x v="48"/>
    <x v="2"/>
    <x v="0"/>
    <x v="0"/>
    <x v="2"/>
    <x v="0"/>
  </r>
  <r>
    <x v="0"/>
    <x v="0"/>
    <n v="2239251999"/>
    <x v="5"/>
    <n v="-5600"/>
    <x v="1"/>
    <x v="0"/>
    <x v="48"/>
    <x v="5"/>
    <x v="0"/>
    <x v="0"/>
    <x v="5"/>
    <x v="0"/>
  </r>
  <r>
    <x v="0"/>
    <x v="0"/>
    <n v="2239251999"/>
    <x v="4"/>
    <n v="10000"/>
    <x v="1"/>
    <x v="0"/>
    <x v="48"/>
    <x v="4"/>
    <x v="0"/>
    <x v="0"/>
    <x v="4"/>
    <x v="0"/>
  </r>
  <r>
    <x v="0"/>
    <x v="0"/>
    <n v="2239252000"/>
    <x v="2"/>
    <n v="15015"/>
    <x v="1"/>
    <x v="0"/>
    <x v="48"/>
    <x v="2"/>
    <x v="0"/>
    <x v="0"/>
    <x v="2"/>
    <x v="0"/>
  </r>
  <r>
    <x v="0"/>
    <x v="0"/>
    <n v="2239252001"/>
    <x v="2"/>
    <n v="15500"/>
    <x v="1"/>
    <x v="0"/>
    <x v="48"/>
    <x v="2"/>
    <x v="0"/>
    <x v="0"/>
    <x v="2"/>
    <x v="0"/>
  </r>
  <r>
    <x v="0"/>
    <x v="0"/>
    <n v="2239252002"/>
    <x v="2"/>
    <n v="1650"/>
    <x v="1"/>
    <x v="0"/>
    <x v="48"/>
    <x v="2"/>
    <x v="0"/>
    <x v="0"/>
    <x v="2"/>
    <x v="0"/>
  </r>
  <r>
    <x v="0"/>
    <x v="0"/>
    <n v="2239252003"/>
    <x v="5"/>
    <n v="-500"/>
    <x v="1"/>
    <x v="0"/>
    <x v="48"/>
    <x v="5"/>
    <x v="0"/>
    <x v="0"/>
    <x v="5"/>
    <x v="0"/>
  </r>
  <r>
    <x v="0"/>
    <x v="0"/>
    <n v="2239252003"/>
    <x v="6"/>
    <n v="2000"/>
    <x v="1"/>
    <x v="0"/>
    <x v="48"/>
    <x v="6"/>
    <x v="0"/>
    <x v="0"/>
    <x v="5"/>
    <x v="0"/>
  </r>
  <r>
    <x v="0"/>
    <x v="0"/>
    <n v="2239252005"/>
    <x v="2"/>
    <n v="21945"/>
    <x v="1"/>
    <x v="0"/>
    <x v="48"/>
    <x v="2"/>
    <x v="0"/>
    <x v="0"/>
    <x v="2"/>
    <x v="0"/>
  </r>
  <r>
    <x v="0"/>
    <x v="0"/>
    <n v="2239252006"/>
    <x v="3"/>
    <n v="8250"/>
    <x v="1"/>
    <x v="0"/>
    <x v="48"/>
    <x v="3"/>
    <x v="0"/>
    <x v="0"/>
    <x v="3"/>
    <x v="0"/>
  </r>
  <r>
    <x v="0"/>
    <x v="0"/>
    <n v="2239252007"/>
    <x v="2"/>
    <n v="66440"/>
    <x v="1"/>
    <x v="0"/>
    <x v="48"/>
    <x v="2"/>
    <x v="0"/>
    <x v="0"/>
    <x v="2"/>
    <x v="0"/>
  </r>
  <r>
    <x v="0"/>
    <x v="0"/>
    <n v="2239252008"/>
    <x v="5"/>
    <n v="-7150"/>
    <x v="1"/>
    <x v="0"/>
    <x v="48"/>
    <x v="5"/>
    <x v="0"/>
    <x v="0"/>
    <x v="5"/>
    <x v="0"/>
  </r>
  <r>
    <x v="0"/>
    <x v="0"/>
    <n v="2239252008"/>
    <x v="6"/>
    <n v="60000"/>
    <x v="1"/>
    <x v="0"/>
    <x v="48"/>
    <x v="6"/>
    <x v="0"/>
    <x v="0"/>
    <x v="5"/>
    <x v="0"/>
  </r>
  <r>
    <x v="0"/>
    <x v="0"/>
    <n v="2239252009"/>
    <x v="5"/>
    <n v="-11350"/>
    <x v="1"/>
    <x v="0"/>
    <x v="48"/>
    <x v="5"/>
    <x v="0"/>
    <x v="0"/>
    <x v="5"/>
    <x v="0"/>
  </r>
  <r>
    <x v="0"/>
    <x v="0"/>
    <n v="2239252009"/>
    <x v="6"/>
    <n v="70000"/>
    <x v="1"/>
    <x v="0"/>
    <x v="48"/>
    <x v="6"/>
    <x v="0"/>
    <x v="0"/>
    <x v="5"/>
    <x v="0"/>
  </r>
  <r>
    <x v="0"/>
    <x v="0"/>
    <n v="2239252010"/>
    <x v="5"/>
    <n v="-4700"/>
    <x v="1"/>
    <x v="0"/>
    <x v="48"/>
    <x v="5"/>
    <x v="0"/>
    <x v="0"/>
    <x v="5"/>
    <x v="0"/>
  </r>
  <r>
    <x v="0"/>
    <x v="0"/>
    <n v="2239252010"/>
    <x v="4"/>
    <n v="10000"/>
    <x v="1"/>
    <x v="0"/>
    <x v="48"/>
    <x v="4"/>
    <x v="0"/>
    <x v="0"/>
    <x v="4"/>
    <x v="0"/>
  </r>
  <r>
    <x v="0"/>
    <x v="0"/>
    <n v="2239252011"/>
    <x v="5"/>
    <n v="-6250"/>
    <x v="1"/>
    <x v="0"/>
    <x v="48"/>
    <x v="5"/>
    <x v="0"/>
    <x v="0"/>
    <x v="5"/>
    <x v="0"/>
  </r>
  <r>
    <x v="0"/>
    <x v="0"/>
    <n v="2239252011"/>
    <x v="6"/>
    <n v="10000"/>
    <x v="1"/>
    <x v="0"/>
    <x v="48"/>
    <x v="6"/>
    <x v="0"/>
    <x v="0"/>
    <x v="5"/>
    <x v="0"/>
  </r>
  <r>
    <x v="0"/>
    <x v="0"/>
    <n v="2239252012"/>
    <x v="0"/>
    <n v="63250"/>
    <x v="1"/>
    <x v="0"/>
    <x v="48"/>
    <x v="0"/>
    <x v="0"/>
    <x v="0"/>
    <x v="0"/>
    <x v="0"/>
  </r>
  <r>
    <x v="0"/>
    <x v="0"/>
    <n v="2239252013"/>
    <x v="2"/>
    <n v="25080"/>
    <x v="1"/>
    <x v="0"/>
    <x v="48"/>
    <x v="2"/>
    <x v="0"/>
    <x v="0"/>
    <x v="2"/>
    <x v="0"/>
  </r>
  <r>
    <x v="0"/>
    <x v="0"/>
    <n v="2239252014"/>
    <x v="5"/>
    <n v="-2350"/>
    <x v="1"/>
    <x v="0"/>
    <x v="48"/>
    <x v="5"/>
    <x v="0"/>
    <x v="0"/>
    <x v="5"/>
    <x v="0"/>
  </r>
  <r>
    <x v="0"/>
    <x v="0"/>
    <n v="2239252014"/>
    <x v="6"/>
    <n v="30000"/>
    <x v="1"/>
    <x v="0"/>
    <x v="48"/>
    <x v="6"/>
    <x v="0"/>
    <x v="0"/>
    <x v="5"/>
    <x v="0"/>
  </r>
  <r>
    <x v="0"/>
    <x v="0"/>
    <n v="2239252015"/>
    <x v="2"/>
    <n v="41850"/>
    <x v="1"/>
    <x v="0"/>
    <x v="48"/>
    <x v="2"/>
    <x v="0"/>
    <x v="0"/>
    <x v="2"/>
    <x v="0"/>
  </r>
  <r>
    <x v="0"/>
    <x v="0"/>
    <n v="2239252016"/>
    <x v="5"/>
    <n v="-5000"/>
    <x v="1"/>
    <x v="0"/>
    <x v="48"/>
    <x v="5"/>
    <x v="0"/>
    <x v="0"/>
    <x v="5"/>
    <x v="0"/>
  </r>
  <r>
    <x v="0"/>
    <x v="0"/>
    <n v="2239252016"/>
    <x v="4"/>
    <n v="10300"/>
    <x v="1"/>
    <x v="0"/>
    <x v="48"/>
    <x v="4"/>
    <x v="0"/>
    <x v="0"/>
    <x v="4"/>
    <x v="0"/>
  </r>
  <r>
    <x v="0"/>
    <x v="0"/>
    <n v="2239252017"/>
    <x v="5"/>
    <n v="-4685"/>
    <x v="1"/>
    <x v="0"/>
    <x v="48"/>
    <x v="5"/>
    <x v="0"/>
    <x v="0"/>
    <x v="5"/>
    <x v="0"/>
  </r>
  <r>
    <x v="0"/>
    <x v="0"/>
    <n v="2239252017"/>
    <x v="6"/>
    <n v="30000"/>
    <x v="1"/>
    <x v="0"/>
    <x v="48"/>
    <x v="6"/>
    <x v="0"/>
    <x v="0"/>
    <x v="5"/>
    <x v="0"/>
  </r>
  <r>
    <x v="0"/>
    <x v="0"/>
    <n v="2239252017"/>
    <x v="2"/>
    <n v="21535"/>
    <x v="1"/>
    <x v="0"/>
    <x v="48"/>
    <x v="2"/>
    <x v="0"/>
    <x v="0"/>
    <x v="2"/>
    <x v="0"/>
  </r>
  <r>
    <x v="0"/>
    <x v="0"/>
    <n v="2239252018"/>
    <x v="1"/>
    <n v="5400"/>
    <x v="1"/>
    <x v="0"/>
    <x v="48"/>
    <x v="1"/>
    <x v="0"/>
    <x v="0"/>
    <x v="1"/>
    <x v="0"/>
  </r>
  <r>
    <x v="0"/>
    <x v="0"/>
    <n v="2239252019"/>
    <x v="2"/>
    <n v="112310"/>
    <x v="1"/>
    <x v="0"/>
    <x v="48"/>
    <x v="2"/>
    <x v="0"/>
    <x v="0"/>
    <x v="2"/>
    <x v="0"/>
  </r>
  <r>
    <x v="0"/>
    <x v="0"/>
    <n v="2239252020"/>
    <x v="2"/>
    <n v="45000"/>
    <x v="1"/>
    <x v="0"/>
    <x v="48"/>
    <x v="2"/>
    <x v="0"/>
    <x v="0"/>
    <x v="2"/>
    <x v="0"/>
  </r>
  <r>
    <x v="0"/>
    <x v="0"/>
    <n v="2239252021"/>
    <x v="5"/>
    <n v="-2050"/>
    <x v="1"/>
    <x v="0"/>
    <x v="48"/>
    <x v="5"/>
    <x v="0"/>
    <x v="0"/>
    <x v="5"/>
    <x v="0"/>
  </r>
  <r>
    <x v="0"/>
    <x v="0"/>
    <n v="2239252021"/>
    <x v="6"/>
    <n v="20000"/>
    <x v="1"/>
    <x v="0"/>
    <x v="48"/>
    <x v="6"/>
    <x v="0"/>
    <x v="0"/>
    <x v="5"/>
    <x v="0"/>
  </r>
  <r>
    <x v="0"/>
    <x v="0"/>
    <n v="2239252022"/>
    <x v="2"/>
    <n v="7150"/>
    <x v="1"/>
    <x v="0"/>
    <x v="48"/>
    <x v="2"/>
    <x v="0"/>
    <x v="0"/>
    <x v="2"/>
    <x v="0"/>
  </r>
  <r>
    <x v="0"/>
    <x v="0"/>
    <n v="2239252022"/>
    <x v="7"/>
    <n v="6500"/>
    <x v="1"/>
    <x v="0"/>
    <x v="48"/>
    <x v="7"/>
    <x v="0"/>
    <x v="0"/>
    <x v="1"/>
    <x v="0"/>
  </r>
  <r>
    <x v="0"/>
    <x v="0"/>
    <n v="2239252023"/>
    <x v="1"/>
    <n v="2550"/>
    <x v="1"/>
    <x v="0"/>
    <x v="48"/>
    <x v="1"/>
    <x v="0"/>
    <x v="0"/>
    <x v="1"/>
    <x v="0"/>
  </r>
  <r>
    <x v="0"/>
    <x v="0"/>
    <n v="2239252024"/>
    <x v="2"/>
    <n v="8195"/>
    <x v="1"/>
    <x v="0"/>
    <x v="48"/>
    <x v="2"/>
    <x v="0"/>
    <x v="0"/>
    <x v="2"/>
    <x v="0"/>
  </r>
  <r>
    <x v="0"/>
    <x v="0"/>
    <n v="2239252025"/>
    <x v="5"/>
    <n v="-1050"/>
    <x v="1"/>
    <x v="0"/>
    <x v="48"/>
    <x v="5"/>
    <x v="0"/>
    <x v="0"/>
    <x v="5"/>
    <x v="0"/>
  </r>
  <r>
    <x v="0"/>
    <x v="0"/>
    <n v="2239252025"/>
    <x v="6"/>
    <n v="20000"/>
    <x v="1"/>
    <x v="0"/>
    <x v="48"/>
    <x v="6"/>
    <x v="0"/>
    <x v="0"/>
    <x v="5"/>
    <x v="0"/>
  </r>
  <r>
    <x v="0"/>
    <x v="0"/>
    <n v="2239252026"/>
    <x v="2"/>
    <n v="24970"/>
    <x v="1"/>
    <x v="0"/>
    <x v="48"/>
    <x v="2"/>
    <x v="0"/>
    <x v="0"/>
    <x v="2"/>
    <x v="0"/>
  </r>
  <r>
    <x v="0"/>
    <x v="0"/>
    <n v="2239252027"/>
    <x v="2"/>
    <n v="49995"/>
    <x v="1"/>
    <x v="0"/>
    <x v="48"/>
    <x v="2"/>
    <x v="0"/>
    <x v="0"/>
    <x v="2"/>
    <x v="0"/>
  </r>
  <r>
    <x v="0"/>
    <x v="0"/>
    <n v="2239252028"/>
    <x v="2"/>
    <n v="9845"/>
    <x v="1"/>
    <x v="0"/>
    <x v="48"/>
    <x v="2"/>
    <x v="0"/>
    <x v="0"/>
    <x v="2"/>
    <x v="0"/>
  </r>
  <r>
    <x v="0"/>
    <x v="0"/>
    <n v="2239252029"/>
    <x v="2"/>
    <n v="14000"/>
    <x v="1"/>
    <x v="0"/>
    <x v="48"/>
    <x v="2"/>
    <x v="0"/>
    <x v="0"/>
    <x v="2"/>
    <x v="0"/>
  </r>
  <r>
    <x v="0"/>
    <x v="0"/>
    <n v="2239252031"/>
    <x v="2"/>
    <n v="13695"/>
    <x v="1"/>
    <x v="0"/>
    <x v="48"/>
    <x v="2"/>
    <x v="0"/>
    <x v="0"/>
    <x v="2"/>
    <x v="0"/>
  </r>
  <r>
    <x v="0"/>
    <x v="0"/>
    <n v="2239252032"/>
    <x v="3"/>
    <n v="3850"/>
    <x v="1"/>
    <x v="0"/>
    <x v="48"/>
    <x v="3"/>
    <x v="0"/>
    <x v="0"/>
    <x v="3"/>
    <x v="0"/>
  </r>
  <r>
    <x v="0"/>
    <x v="0"/>
    <n v="2239252034"/>
    <x v="2"/>
    <n v="3250"/>
    <x v="1"/>
    <x v="0"/>
    <x v="48"/>
    <x v="2"/>
    <x v="0"/>
    <x v="0"/>
    <x v="2"/>
    <x v="0"/>
  </r>
  <r>
    <x v="0"/>
    <x v="0"/>
    <n v="2239252035"/>
    <x v="5"/>
    <n v="-15400"/>
    <x v="1"/>
    <x v="0"/>
    <x v="48"/>
    <x v="5"/>
    <x v="0"/>
    <x v="0"/>
    <x v="5"/>
    <x v="0"/>
  </r>
  <r>
    <x v="0"/>
    <x v="0"/>
    <n v="2239252035"/>
    <x v="4"/>
    <n v="20000"/>
    <x v="1"/>
    <x v="0"/>
    <x v="48"/>
    <x v="4"/>
    <x v="0"/>
    <x v="0"/>
    <x v="4"/>
    <x v="0"/>
  </r>
  <r>
    <x v="0"/>
    <x v="0"/>
    <n v="2239252036"/>
    <x v="5"/>
    <n v="-7500"/>
    <x v="1"/>
    <x v="0"/>
    <x v="48"/>
    <x v="5"/>
    <x v="0"/>
    <x v="0"/>
    <x v="5"/>
    <x v="0"/>
  </r>
  <r>
    <x v="0"/>
    <x v="0"/>
    <n v="2239252036"/>
    <x v="6"/>
    <n v="10000"/>
    <x v="1"/>
    <x v="0"/>
    <x v="48"/>
    <x v="6"/>
    <x v="0"/>
    <x v="0"/>
    <x v="5"/>
    <x v="0"/>
  </r>
  <r>
    <x v="0"/>
    <x v="0"/>
    <n v="2239252037"/>
    <x v="5"/>
    <n v="-3500"/>
    <x v="1"/>
    <x v="0"/>
    <x v="48"/>
    <x v="5"/>
    <x v="0"/>
    <x v="0"/>
    <x v="5"/>
    <x v="0"/>
  </r>
  <r>
    <x v="0"/>
    <x v="0"/>
    <n v="2239252037"/>
    <x v="6"/>
    <n v="10000"/>
    <x v="1"/>
    <x v="0"/>
    <x v="48"/>
    <x v="6"/>
    <x v="0"/>
    <x v="0"/>
    <x v="5"/>
    <x v="0"/>
  </r>
  <r>
    <x v="0"/>
    <x v="0"/>
    <n v="2239252038"/>
    <x v="5"/>
    <n v="-3500"/>
    <x v="1"/>
    <x v="0"/>
    <x v="48"/>
    <x v="5"/>
    <x v="0"/>
    <x v="0"/>
    <x v="5"/>
    <x v="0"/>
  </r>
  <r>
    <x v="0"/>
    <x v="0"/>
    <n v="2239252038"/>
    <x v="6"/>
    <n v="10000"/>
    <x v="1"/>
    <x v="0"/>
    <x v="48"/>
    <x v="6"/>
    <x v="0"/>
    <x v="0"/>
    <x v="5"/>
    <x v="0"/>
  </r>
  <r>
    <x v="0"/>
    <x v="0"/>
    <n v="2239252039"/>
    <x v="2"/>
    <n v="40865"/>
    <x v="1"/>
    <x v="0"/>
    <x v="48"/>
    <x v="2"/>
    <x v="0"/>
    <x v="0"/>
    <x v="2"/>
    <x v="0"/>
  </r>
  <r>
    <x v="0"/>
    <x v="0"/>
    <n v="2239252041"/>
    <x v="3"/>
    <n v="86735"/>
    <x v="1"/>
    <x v="0"/>
    <x v="48"/>
    <x v="3"/>
    <x v="0"/>
    <x v="0"/>
    <x v="3"/>
    <x v="0"/>
  </r>
  <r>
    <x v="0"/>
    <x v="0"/>
    <n v="2239252043"/>
    <x v="2"/>
    <n v="1750"/>
    <x v="1"/>
    <x v="0"/>
    <x v="48"/>
    <x v="2"/>
    <x v="0"/>
    <x v="0"/>
    <x v="2"/>
    <x v="0"/>
  </r>
  <r>
    <x v="0"/>
    <x v="0"/>
    <n v="2239252044"/>
    <x v="2"/>
    <n v="30150"/>
    <x v="1"/>
    <x v="0"/>
    <x v="48"/>
    <x v="2"/>
    <x v="0"/>
    <x v="0"/>
    <x v="2"/>
    <x v="0"/>
  </r>
  <r>
    <x v="0"/>
    <x v="0"/>
    <n v="2239252045"/>
    <x v="2"/>
    <n v="28050"/>
    <x v="1"/>
    <x v="0"/>
    <x v="48"/>
    <x v="2"/>
    <x v="0"/>
    <x v="0"/>
    <x v="2"/>
    <x v="0"/>
  </r>
  <r>
    <x v="0"/>
    <x v="0"/>
    <n v="2239252047"/>
    <x v="5"/>
    <n v="-50"/>
    <x v="1"/>
    <x v="0"/>
    <x v="48"/>
    <x v="5"/>
    <x v="0"/>
    <x v="0"/>
    <x v="5"/>
    <x v="0"/>
  </r>
  <r>
    <x v="0"/>
    <x v="0"/>
    <n v="2239252047"/>
    <x v="6"/>
    <n v="10000"/>
    <x v="1"/>
    <x v="0"/>
    <x v="48"/>
    <x v="6"/>
    <x v="0"/>
    <x v="0"/>
    <x v="5"/>
    <x v="0"/>
  </r>
  <r>
    <x v="0"/>
    <x v="0"/>
    <n v="2239252048"/>
    <x v="5"/>
    <n v="-1000"/>
    <x v="1"/>
    <x v="0"/>
    <x v="48"/>
    <x v="5"/>
    <x v="0"/>
    <x v="0"/>
    <x v="5"/>
    <x v="0"/>
  </r>
  <r>
    <x v="0"/>
    <x v="0"/>
    <n v="2239252048"/>
    <x v="6"/>
    <n v="10000"/>
    <x v="1"/>
    <x v="0"/>
    <x v="48"/>
    <x v="6"/>
    <x v="0"/>
    <x v="0"/>
    <x v="5"/>
    <x v="0"/>
  </r>
  <r>
    <x v="0"/>
    <x v="0"/>
    <n v="2239252049"/>
    <x v="2"/>
    <n v="21285"/>
    <x v="1"/>
    <x v="0"/>
    <x v="48"/>
    <x v="2"/>
    <x v="0"/>
    <x v="0"/>
    <x v="2"/>
    <x v="0"/>
  </r>
  <r>
    <x v="0"/>
    <x v="0"/>
    <n v="2239252051"/>
    <x v="5"/>
    <n v="-1250"/>
    <x v="1"/>
    <x v="0"/>
    <x v="48"/>
    <x v="5"/>
    <x v="0"/>
    <x v="0"/>
    <x v="5"/>
    <x v="0"/>
  </r>
  <r>
    <x v="0"/>
    <x v="0"/>
    <n v="2239252051"/>
    <x v="6"/>
    <n v="5000"/>
    <x v="1"/>
    <x v="0"/>
    <x v="48"/>
    <x v="6"/>
    <x v="0"/>
    <x v="0"/>
    <x v="5"/>
    <x v="0"/>
  </r>
  <r>
    <x v="0"/>
    <x v="0"/>
    <n v="2239252052"/>
    <x v="2"/>
    <n v="55990"/>
    <x v="1"/>
    <x v="0"/>
    <x v="48"/>
    <x v="2"/>
    <x v="0"/>
    <x v="0"/>
    <x v="2"/>
    <x v="0"/>
  </r>
  <r>
    <x v="0"/>
    <x v="0"/>
    <n v="2239252053"/>
    <x v="1"/>
    <n v="4500"/>
    <x v="1"/>
    <x v="0"/>
    <x v="48"/>
    <x v="1"/>
    <x v="0"/>
    <x v="0"/>
    <x v="1"/>
    <x v="0"/>
  </r>
  <r>
    <x v="0"/>
    <x v="0"/>
    <n v="2239252054"/>
    <x v="2"/>
    <n v="55110"/>
    <x v="1"/>
    <x v="0"/>
    <x v="48"/>
    <x v="2"/>
    <x v="0"/>
    <x v="0"/>
    <x v="2"/>
    <x v="0"/>
  </r>
  <r>
    <x v="0"/>
    <x v="0"/>
    <n v="2239252055"/>
    <x v="2"/>
    <n v="43500"/>
    <x v="1"/>
    <x v="0"/>
    <x v="48"/>
    <x v="2"/>
    <x v="0"/>
    <x v="0"/>
    <x v="2"/>
    <x v="0"/>
  </r>
  <r>
    <x v="0"/>
    <x v="0"/>
    <n v="2239252056"/>
    <x v="2"/>
    <n v="17545"/>
    <x v="1"/>
    <x v="0"/>
    <x v="48"/>
    <x v="2"/>
    <x v="0"/>
    <x v="0"/>
    <x v="2"/>
    <x v="0"/>
  </r>
  <r>
    <x v="0"/>
    <x v="0"/>
    <n v="2239252057"/>
    <x v="6"/>
    <n v="6500"/>
    <x v="1"/>
    <x v="0"/>
    <x v="48"/>
    <x v="6"/>
    <x v="0"/>
    <x v="0"/>
    <x v="5"/>
    <x v="0"/>
  </r>
  <r>
    <x v="0"/>
    <x v="0"/>
    <n v="2239252058"/>
    <x v="2"/>
    <n v="31000"/>
    <x v="1"/>
    <x v="0"/>
    <x v="48"/>
    <x v="2"/>
    <x v="0"/>
    <x v="0"/>
    <x v="2"/>
    <x v="0"/>
  </r>
  <r>
    <x v="0"/>
    <x v="0"/>
    <n v="2239252059"/>
    <x v="2"/>
    <n v="22220"/>
    <x v="1"/>
    <x v="0"/>
    <x v="48"/>
    <x v="2"/>
    <x v="0"/>
    <x v="0"/>
    <x v="2"/>
    <x v="0"/>
  </r>
  <r>
    <x v="0"/>
    <x v="0"/>
    <n v="2239252060"/>
    <x v="2"/>
    <n v="23540"/>
    <x v="1"/>
    <x v="0"/>
    <x v="48"/>
    <x v="2"/>
    <x v="0"/>
    <x v="0"/>
    <x v="2"/>
    <x v="0"/>
  </r>
  <r>
    <x v="0"/>
    <x v="0"/>
    <n v="2239252061"/>
    <x v="5"/>
    <n v="-1000"/>
    <x v="1"/>
    <x v="0"/>
    <x v="48"/>
    <x v="5"/>
    <x v="0"/>
    <x v="0"/>
    <x v="5"/>
    <x v="0"/>
  </r>
  <r>
    <x v="0"/>
    <x v="0"/>
    <n v="2239252061"/>
    <x v="6"/>
    <n v="15000"/>
    <x v="1"/>
    <x v="0"/>
    <x v="48"/>
    <x v="6"/>
    <x v="0"/>
    <x v="0"/>
    <x v="5"/>
    <x v="0"/>
  </r>
  <r>
    <x v="0"/>
    <x v="0"/>
    <n v="2239252063"/>
    <x v="3"/>
    <n v="62370"/>
    <x v="1"/>
    <x v="0"/>
    <x v="48"/>
    <x v="3"/>
    <x v="0"/>
    <x v="0"/>
    <x v="3"/>
    <x v="0"/>
  </r>
  <r>
    <x v="0"/>
    <x v="0"/>
    <n v="2239252064"/>
    <x v="5"/>
    <n v="-750"/>
    <x v="1"/>
    <x v="0"/>
    <x v="48"/>
    <x v="5"/>
    <x v="0"/>
    <x v="0"/>
    <x v="5"/>
    <x v="0"/>
  </r>
  <r>
    <x v="0"/>
    <x v="0"/>
    <n v="2239252064"/>
    <x v="6"/>
    <n v="12000"/>
    <x v="1"/>
    <x v="0"/>
    <x v="48"/>
    <x v="6"/>
    <x v="0"/>
    <x v="0"/>
    <x v="5"/>
    <x v="0"/>
  </r>
  <r>
    <x v="0"/>
    <x v="0"/>
    <n v="2239252065"/>
    <x v="2"/>
    <n v="8250"/>
    <x v="1"/>
    <x v="0"/>
    <x v="48"/>
    <x v="2"/>
    <x v="0"/>
    <x v="0"/>
    <x v="2"/>
    <x v="0"/>
  </r>
  <r>
    <x v="0"/>
    <x v="0"/>
    <n v="2239252066"/>
    <x v="2"/>
    <n v="36300"/>
    <x v="1"/>
    <x v="0"/>
    <x v="48"/>
    <x v="2"/>
    <x v="0"/>
    <x v="0"/>
    <x v="2"/>
    <x v="0"/>
  </r>
  <r>
    <x v="0"/>
    <x v="0"/>
    <n v="2239252067"/>
    <x v="2"/>
    <n v="7500"/>
    <x v="1"/>
    <x v="0"/>
    <x v="48"/>
    <x v="2"/>
    <x v="0"/>
    <x v="0"/>
    <x v="2"/>
    <x v="0"/>
  </r>
  <r>
    <x v="0"/>
    <x v="0"/>
    <n v="2239252068"/>
    <x v="2"/>
    <n v="13000"/>
    <x v="1"/>
    <x v="0"/>
    <x v="48"/>
    <x v="2"/>
    <x v="0"/>
    <x v="0"/>
    <x v="2"/>
    <x v="0"/>
  </r>
  <r>
    <x v="0"/>
    <x v="0"/>
    <n v="2239252068"/>
    <x v="7"/>
    <n v="13000"/>
    <x v="1"/>
    <x v="0"/>
    <x v="48"/>
    <x v="7"/>
    <x v="0"/>
    <x v="0"/>
    <x v="1"/>
    <x v="0"/>
  </r>
  <r>
    <x v="0"/>
    <x v="0"/>
    <n v="2239252069"/>
    <x v="2"/>
    <n v="23050"/>
    <x v="1"/>
    <x v="0"/>
    <x v="48"/>
    <x v="2"/>
    <x v="0"/>
    <x v="0"/>
    <x v="2"/>
    <x v="0"/>
  </r>
  <r>
    <x v="0"/>
    <x v="0"/>
    <n v="2239252070"/>
    <x v="2"/>
    <n v="7500"/>
    <x v="1"/>
    <x v="0"/>
    <x v="48"/>
    <x v="2"/>
    <x v="0"/>
    <x v="0"/>
    <x v="2"/>
    <x v="0"/>
  </r>
  <r>
    <x v="0"/>
    <x v="0"/>
    <n v="2239252071"/>
    <x v="1"/>
    <n v="2250"/>
    <x v="1"/>
    <x v="0"/>
    <x v="48"/>
    <x v="1"/>
    <x v="0"/>
    <x v="0"/>
    <x v="1"/>
    <x v="0"/>
  </r>
  <r>
    <x v="0"/>
    <x v="0"/>
    <n v="2239252072"/>
    <x v="2"/>
    <n v="9500"/>
    <x v="1"/>
    <x v="0"/>
    <x v="48"/>
    <x v="2"/>
    <x v="0"/>
    <x v="0"/>
    <x v="2"/>
    <x v="0"/>
  </r>
  <r>
    <x v="0"/>
    <x v="0"/>
    <n v="2239252073"/>
    <x v="5"/>
    <n v="-200"/>
    <x v="1"/>
    <x v="0"/>
    <x v="48"/>
    <x v="5"/>
    <x v="0"/>
    <x v="0"/>
    <x v="5"/>
    <x v="0"/>
  </r>
  <r>
    <x v="0"/>
    <x v="0"/>
    <n v="2239252073"/>
    <x v="4"/>
    <n v="9000"/>
    <x v="1"/>
    <x v="0"/>
    <x v="48"/>
    <x v="4"/>
    <x v="0"/>
    <x v="0"/>
    <x v="4"/>
    <x v="0"/>
  </r>
  <r>
    <x v="0"/>
    <x v="0"/>
    <n v="2239252074"/>
    <x v="3"/>
    <n v="32890"/>
    <x v="1"/>
    <x v="0"/>
    <x v="48"/>
    <x v="3"/>
    <x v="0"/>
    <x v="0"/>
    <x v="3"/>
    <x v="0"/>
  </r>
  <r>
    <x v="0"/>
    <x v="0"/>
    <n v="2239252075"/>
    <x v="1"/>
    <n v="12150"/>
    <x v="1"/>
    <x v="0"/>
    <x v="48"/>
    <x v="1"/>
    <x v="0"/>
    <x v="0"/>
    <x v="1"/>
    <x v="0"/>
  </r>
  <r>
    <x v="0"/>
    <x v="0"/>
    <n v="2239252076"/>
    <x v="2"/>
    <n v="90145"/>
    <x v="1"/>
    <x v="0"/>
    <x v="48"/>
    <x v="2"/>
    <x v="0"/>
    <x v="0"/>
    <x v="2"/>
    <x v="0"/>
  </r>
  <r>
    <x v="0"/>
    <x v="0"/>
    <n v="2239252077"/>
    <x v="2"/>
    <n v="61105"/>
    <x v="1"/>
    <x v="0"/>
    <x v="48"/>
    <x v="2"/>
    <x v="0"/>
    <x v="0"/>
    <x v="2"/>
    <x v="0"/>
  </r>
  <r>
    <x v="0"/>
    <x v="0"/>
    <n v="2239252078"/>
    <x v="2"/>
    <n v="3500"/>
    <x v="1"/>
    <x v="0"/>
    <x v="48"/>
    <x v="2"/>
    <x v="0"/>
    <x v="0"/>
    <x v="2"/>
    <x v="0"/>
  </r>
  <r>
    <x v="0"/>
    <x v="0"/>
    <n v="2239252081"/>
    <x v="2"/>
    <n v="55990"/>
    <x v="1"/>
    <x v="0"/>
    <x v="48"/>
    <x v="2"/>
    <x v="0"/>
    <x v="0"/>
    <x v="2"/>
    <x v="0"/>
  </r>
  <r>
    <x v="0"/>
    <x v="0"/>
    <n v="2239252082"/>
    <x v="2"/>
    <n v="20790"/>
    <x v="1"/>
    <x v="0"/>
    <x v="48"/>
    <x v="2"/>
    <x v="0"/>
    <x v="0"/>
    <x v="2"/>
    <x v="0"/>
  </r>
  <r>
    <x v="0"/>
    <x v="0"/>
    <n v="2239252083"/>
    <x v="2"/>
    <n v="14300"/>
    <x v="1"/>
    <x v="0"/>
    <x v="48"/>
    <x v="2"/>
    <x v="0"/>
    <x v="0"/>
    <x v="2"/>
    <x v="0"/>
  </r>
  <r>
    <x v="0"/>
    <x v="0"/>
    <n v="2239252084"/>
    <x v="2"/>
    <n v="22990"/>
    <x v="1"/>
    <x v="0"/>
    <x v="48"/>
    <x v="2"/>
    <x v="0"/>
    <x v="0"/>
    <x v="2"/>
    <x v="0"/>
  </r>
  <r>
    <x v="0"/>
    <x v="0"/>
    <n v="2239252086"/>
    <x v="2"/>
    <n v="6500"/>
    <x v="1"/>
    <x v="0"/>
    <x v="48"/>
    <x v="2"/>
    <x v="0"/>
    <x v="0"/>
    <x v="2"/>
    <x v="0"/>
  </r>
  <r>
    <x v="0"/>
    <x v="0"/>
    <n v="2239252088"/>
    <x v="5"/>
    <n v="-2000"/>
    <x v="1"/>
    <x v="0"/>
    <x v="48"/>
    <x v="5"/>
    <x v="0"/>
    <x v="0"/>
    <x v="5"/>
    <x v="0"/>
  </r>
  <r>
    <x v="0"/>
    <x v="0"/>
    <n v="2239252088"/>
    <x v="6"/>
    <n v="5000"/>
    <x v="1"/>
    <x v="0"/>
    <x v="48"/>
    <x v="6"/>
    <x v="0"/>
    <x v="0"/>
    <x v="5"/>
    <x v="0"/>
  </r>
  <r>
    <x v="0"/>
    <x v="0"/>
    <n v="2239252089"/>
    <x v="2"/>
    <n v="15752"/>
    <x v="1"/>
    <x v="0"/>
    <x v="48"/>
    <x v="2"/>
    <x v="0"/>
    <x v="0"/>
    <x v="2"/>
    <x v="0"/>
  </r>
  <r>
    <x v="0"/>
    <x v="0"/>
    <n v="2239252091"/>
    <x v="5"/>
    <n v="-500"/>
    <x v="1"/>
    <x v="0"/>
    <x v="48"/>
    <x v="5"/>
    <x v="0"/>
    <x v="0"/>
    <x v="5"/>
    <x v="0"/>
  </r>
  <r>
    <x v="0"/>
    <x v="0"/>
    <n v="2239252091"/>
    <x v="6"/>
    <n v="2000"/>
    <x v="1"/>
    <x v="0"/>
    <x v="48"/>
    <x v="6"/>
    <x v="0"/>
    <x v="0"/>
    <x v="5"/>
    <x v="0"/>
  </r>
  <r>
    <x v="0"/>
    <x v="0"/>
    <n v="2239252091"/>
    <x v="2"/>
    <n v="10000"/>
    <x v="1"/>
    <x v="0"/>
    <x v="48"/>
    <x v="2"/>
    <x v="0"/>
    <x v="0"/>
    <x v="2"/>
    <x v="0"/>
  </r>
  <r>
    <x v="0"/>
    <x v="0"/>
    <n v="2239252092"/>
    <x v="2"/>
    <n v="51590"/>
    <x v="1"/>
    <x v="0"/>
    <x v="48"/>
    <x v="2"/>
    <x v="0"/>
    <x v="0"/>
    <x v="2"/>
    <x v="0"/>
  </r>
  <r>
    <x v="0"/>
    <x v="0"/>
    <n v="2239252093"/>
    <x v="5"/>
    <n v="-5000"/>
    <x v="1"/>
    <x v="0"/>
    <x v="48"/>
    <x v="5"/>
    <x v="0"/>
    <x v="0"/>
    <x v="5"/>
    <x v="0"/>
  </r>
  <r>
    <x v="0"/>
    <x v="0"/>
    <n v="2239252093"/>
    <x v="6"/>
    <n v="20000"/>
    <x v="1"/>
    <x v="0"/>
    <x v="48"/>
    <x v="6"/>
    <x v="0"/>
    <x v="0"/>
    <x v="5"/>
    <x v="0"/>
  </r>
  <r>
    <x v="0"/>
    <x v="0"/>
    <n v="2239252094"/>
    <x v="0"/>
    <n v="1350"/>
    <x v="1"/>
    <x v="0"/>
    <x v="48"/>
    <x v="0"/>
    <x v="0"/>
    <x v="0"/>
    <x v="0"/>
    <x v="0"/>
  </r>
  <r>
    <x v="0"/>
    <x v="0"/>
    <n v="2239252095"/>
    <x v="5"/>
    <n v="-400"/>
    <x v="1"/>
    <x v="0"/>
    <x v="48"/>
    <x v="5"/>
    <x v="0"/>
    <x v="0"/>
    <x v="5"/>
    <x v="0"/>
  </r>
  <r>
    <x v="0"/>
    <x v="0"/>
    <n v="2239252095"/>
    <x v="4"/>
    <n v="5000"/>
    <x v="1"/>
    <x v="0"/>
    <x v="48"/>
    <x v="4"/>
    <x v="0"/>
    <x v="0"/>
    <x v="4"/>
    <x v="0"/>
  </r>
  <r>
    <x v="0"/>
    <x v="0"/>
    <n v="2239252096"/>
    <x v="2"/>
    <n v="10900"/>
    <x v="1"/>
    <x v="0"/>
    <x v="48"/>
    <x v="2"/>
    <x v="0"/>
    <x v="0"/>
    <x v="2"/>
    <x v="0"/>
  </r>
  <r>
    <x v="0"/>
    <x v="0"/>
    <n v="2239252097"/>
    <x v="5"/>
    <n v="-1500"/>
    <x v="1"/>
    <x v="0"/>
    <x v="48"/>
    <x v="5"/>
    <x v="0"/>
    <x v="0"/>
    <x v="5"/>
    <x v="0"/>
  </r>
  <r>
    <x v="0"/>
    <x v="0"/>
    <n v="2239252097"/>
    <x v="6"/>
    <n v="12000"/>
    <x v="1"/>
    <x v="0"/>
    <x v="48"/>
    <x v="6"/>
    <x v="0"/>
    <x v="0"/>
    <x v="5"/>
    <x v="0"/>
  </r>
  <r>
    <x v="0"/>
    <x v="0"/>
    <n v="2239252098"/>
    <x v="5"/>
    <n v="-6490"/>
    <x v="1"/>
    <x v="0"/>
    <x v="48"/>
    <x v="5"/>
    <x v="0"/>
    <x v="0"/>
    <x v="5"/>
    <x v="0"/>
  </r>
  <r>
    <x v="0"/>
    <x v="0"/>
    <n v="2239252098"/>
    <x v="6"/>
    <n v="60000"/>
    <x v="1"/>
    <x v="0"/>
    <x v="48"/>
    <x v="6"/>
    <x v="0"/>
    <x v="0"/>
    <x v="5"/>
    <x v="0"/>
  </r>
  <r>
    <x v="0"/>
    <x v="0"/>
    <n v="2239252098"/>
    <x v="2"/>
    <n v="11390"/>
    <x v="1"/>
    <x v="0"/>
    <x v="48"/>
    <x v="2"/>
    <x v="0"/>
    <x v="0"/>
    <x v="2"/>
    <x v="0"/>
  </r>
  <r>
    <x v="0"/>
    <x v="0"/>
    <n v="2239252099"/>
    <x v="0"/>
    <n v="12150"/>
    <x v="1"/>
    <x v="0"/>
    <x v="48"/>
    <x v="0"/>
    <x v="0"/>
    <x v="0"/>
    <x v="0"/>
    <x v="0"/>
  </r>
  <r>
    <x v="0"/>
    <x v="0"/>
    <n v="2239252100"/>
    <x v="0"/>
    <n v="7650"/>
    <x v="1"/>
    <x v="0"/>
    <x v="48"/>
    <x v="0"/>
    <x v="0"/>
    <x v="0"/>
    <x v="0"/>
    <x v="0"/>
  </r>
  <r>
    <x v="0"/>
    <x v="0"/>
    <n v="2239252101"/>
    <x v="2"/>
    <n v="28490"/>
    <x v="1"/>
    <x v="0"/>
    <x v="48"/>
    <x v="2"/>
    <x v="0"/>
    <x v="0"/>
    <x v="2"/>
    <x v="0"/>
  </r>
  <r>
    <x v="0"/>
    <x v="0"/>
    <n v="2239252102"/>
    <x v="3"/>
    <n v="37620"/>
    <x v="1"/>
    <x v="0"/>
    <x v="48"/>
    <x v="3"/>
    <x v="0"/>
    <x v="0"/>
    <x v="3"/>
    <x v="0"/>
  </r>
  <r>
    <x v="0"/>
    <x v="0"/>
    <n v="2239252104"/>
    <x v="2"/>
    <n v="6000"/>
    <x v="1"/>
    <x v="0"/>
    <x v="48"/>
    <x v="2"/>
    <x v="0"/>
    <x v="0"/>
    <x v="2"/>
    <x v="0"/>
  </r>
  <r>
    <x v="0"/>
    <x v="0"/>
    <n v="2239252105"/>
    <x v="5"/>
    <n v="-15500"/>
    <x v="1"/>
    <x v="0"/>
    <x v="48"/>
    <x v="5"/>
    <x v="0"/>
    <x v="0"/>
    <x v="5"/>
    <x v="0"/>
  </r>
  <r>
    <x v="0"/>
    <x v="0"/>
    <n v="2239252105"/>
    <x v="6"/>
    <n v="20000"/>
    <x v="1"/>
    <x v="0"/>
    <x v="48"/>
    <x v="6"/>
    <x v="0"/>
    <x v="0"/>
    <x v="5"/>
    <x v="0"/>
  </r>
  <r>
    <x v="0"/>
    <x v="0"/>
    <n v="2239252107"/>
    <x v="2"/>
    <n v="33440"/>
    <x v="1"/>
    <x v="0"/>
    <x v="48"/>
    <x v="2"/>
    <x v="0"/>
    <x v="0"/>
    <x v="2"/>
    <x v="0"/>
  </r>
  <r>
    <x v="0"/>
    <x v="0"/>
    <n v="2239252108"/>
    <x v="1"/>
    <n v="2850"/>
    <x v="1"/>
    <x v="0"/>
    <x v="48"/>
    <x v="1"/>
    <x v="0"/>
    <x v="0"/>
    <x v="1"/>
    <x v="0"/>
  </r>
  <r>
    <x v="0"/>
    <x v="0"/>
    <n v="2239252109"/>
    <x v="2"/>
    <n v="44858"/>
    <x v="1"/>
    <x v="0"/>
    <x v="48"/>
    <x v="2"/>
    <x v="0"/>
    <x v="0"/>
    <x v="2"/>
    <x v="0"/>
  </r>
  <r>
    <x v="0"/>
    <x v="0"/>
    <n v="2239252109"/>
    <x v="7"/>
    <n v="2370"/>
    <x v="1"/>
    <x v="0"/>
    <x v="48"/>
    <x v="7"/>
    <x v="0"/>
    <x v="0"/>
    <x v="1"/>
    <x v="0"/>
  </r>
  <r>
    <x v="0"/>
    <x v="0"/>
    <n v="2239252110"/>
    <x v="2"/>
    <n v="11550"/>
    <x v="1"/>
    <x v="0"/>
    <x v="48"/>
    <x v="2"/>
    <x v="0"/>
    <x v="0"/>
    <x v="2"/>
    <x v="0"/>
  </r>
  <r>
    <x v="0"/>
    <x v="0"/>
    <n v="2239252111"/>
    <x v="2"/>
    <n v="43890"/>
    <x v="1"/>
    <x v="0"/>
    <x v="48"/>
    <x v="2"/>
    <x v="0"/>
    <x v="0"/>
    <x v="2"/>
    <x v="0"/>
  </r>
  <r>
    <x v="0"/>
    <x v="0"/>
    <n v="2239252112"/>
    <x v="5"/>
    <n v="-5000"/>
    <x v="1"/>
    <x v="0"/>
    <x v="48"/>
    <x v="5"/>
    <x v="0"/>
    <x v="0"/>
    <x v="5"/>
    <x v="0"/>
  </r>
  <r>
    <x v="0"/>
    <x v="0"/>
    <n v="2239252112"/>
    <x v="6"/>
    <n v="20000"/>
    <x v="1"/>
    <x v="0"/>
    <x v="48"/>
    <x v="6"/>
    <x v="0"/>
    <x v="0"/>
    <x v="5"/>
    <x v="0"/>
  </r>
  <r>
    <x v="0"/>
    <x v="0"/>
    <n v="2239252113"/>
    <x v="2"/>
    <n v="11000"/>
    <x v="1"/>
    <x v="0"/>
    <x v="48"/>
    <x v="2"/>
    <x v="0"/>
    <x v="0"/>
    <x v="2"/>
    <x v="0"/>
  </r>
  <r>
    <x v="0"/>
    <x v="0"/>
    <n v="2239252114"/>
    <x v="2"/>
    <n v="8250"/>
    <x v="1"/>
    <x v="0"/>
    <x v="48"/>
    <x v="2"/>
    <x v="0"/>
    <x v="0"/>
    <x v="2"/>
    <x v="0"/>
  </r>
  <r>
    <x v="0"/>
    <x v="0"/>
    <n v="2239252116"/>
    <x v="2"/>
    <n v="46090"/>
    <x v="1"/>
    <x v="0"/>
    <x v="48"/>
    <x v="2"/>
    <x v="0"/>
    <x v="0"/>
    <x v="2"/>
    <x v="0"/>
  </r>
  <r>
    <x v="0"/>
    <x v="0"/>
    <n v="2239252117"/>
    <x v="2"/>
    <n v="12500"/>
    <x v="1"/>
    <x v="0"/>
    <x v="48"/>
    <x v="2"/>
    <x v="0"/>
    <x v="0"/>
    <x v="2"/>
    <x v="0"/>
  </r>
  <r>
    <x v="0"/>
    <x v="0"/>
    <n v="2239252118"/>
    <x v="0"/>
    <n v="1800"/>
    <x v="1"/>
    <x v="0"/>
    <x v="48"/>
    <x v="0"/>
    <x v="0"/>
    <x v="0"/>
    <x v="0"/>
    <x v="0"/>
  </r>
  <r>
    <x v="0"/>
    <x v="0"/>
    <n v="2239252119"/>
    <x v="2"/>
    <n v="7500"/>
    <x v="1"/>
    <x v="0"/>
    <x v="48"/>
    <x v="2"/>
    <x v="0"/>
    <x v="0"/>
    <x v="2"/>
    <x v="0"/>
  </r>
  <r>
    <x v="0"/>
    <x v="0"/>
    <n v="2239252120"/>
    <x v="2"/>
    <n v="4950"/>
    <x v="1"/>
    <x v="0"/>
    <x v="48"/>
    <x v="2"/>
    <x v="0"/>
    <x v="0"/>
    <x v="2"/>
    <x v="0"/>
  </r>
  <r>
    <x v="0"/>
    <x v="0"/>
    <n v="2239252121"/>
    <x v="5"/>
    <n v="-5000"/>
    <x v="1"/>
    <x v="0"/>
    <x v="48"/>
    <x v="5"/>
    <x v="0"/>
    <x v="0"/>
    <x v="5"/>
    <x v="0"/>
  </r>
  <r>
    <x v="0"/>
    <x v="0"/>
    <n v="2239252121"/>
    <x v="4"/>
    <n v="10300"/>
    <x v="1"/>
    <x v="0"/>
    <x v="48"/>
    <x v="4"/>
    <x v="0"/>
    <x v="0"/>
    <x v="4"/>
    <x v="0"/>
  </r>
  <r>
    <x v="0"/>
    <x v="0"/>
    <n v="2239252122"/>
    <x v="2"/>
    <n v="17490"/>
    <x v="1"/>
    <x v="0"/>
    <x v="48"/>
    <x v="2"/>
    <x v="0"/>
    <x v="0"/>
    <x v="2"/>
    <x v="0"/>
  </r>
  <r>
    <x v="0"/>
    <x v="0"/>
    <n v="2239252123"/>
    <x v="5"/>
    <n v="-5400"/>
    <x v="1"/>
    <x v="0"/>
    <x v="48"/>
    <x v="5"/>
    <x v="0"/>
    <x v="0"/>
    <x v="5"/>
    <x v="0"/>
  </r>
  <r>
    <x v="0"/>
    <x v="0"/>
    <n v="2239252123"/>
    <x v="4"/>
    <n v="10000"/>
    <x v="1"/>
    <x v="0"/>
    <x v="48"/>
    <x v="4"/>
    <x v="0"/>
    <x v="0"/>
    <x v="4"/>
    <x v="0"/>
  </r>
  <r>
    <x v="0"/>
    <x v="0"/>
    <n v="2239252124"/>
    <x v="2"/>
    <n v="19500"/>
    <x v="1"/>
    <x v="0"/>
    <x v="48"/>
    <x v="2"/>
    <x v="0"/>
    <x v="0"/>
    <x v="2"/>
    <x v="0"/>
  </r>
  <r>
    <x v="0"/>
    <x v="0"/>
    <n v="2239252125"/>
    <x v="5"/>
    <n v="-8000"/>
    <x v="1"/>
    <x v="0"/>
    <x v="48"/>
    <x v="5"/>
    <x v="0"/>
    <x v="0"/>
    <x v="5"/>
    <x v="0"/>
  </r>
  <r>
    <x v="0"/>
    <x v="0"/>
    <n v="2239252125"/>
    <x v="6"/>
    <n v="20000"/>
    <x v="1"/>
    <x v="0"/>
    <x v="48"/>
    <x v="6"/>
    <x v="0"/>
    <x v="0"/>
    <x v="5"/>
    <x v="0"/>
  </r>
  <r>
    <x v="0"/>
    <x v="0"/>
    <n v="2239252126"/>
    <x v="2"/>
    <n v="8690"/>
    <x v="1"/>
    <x v="0"/>
    <x v="48"/>
    <x v="2"/>
    <x v="0"/>
    <x v="0"/>
    <x v="2"/>
    <x v="0"/>
  </r>
  <r>
    <x v="0"/>
    <x v="0"/>
    <n v="2239252127"/>
    <x v="2"/>
    <n v="14300"/>
    <x v="1"/>
    <x v="0"/>
    <x v="48"/>
    <x v="2"/>
    <x v="0"/>
    <x v="0"/>
    <x v="2"/>
    <x v="0"/>
  </r>
  <r>
    <x v="0"/>
    <x v="0"/>
    <n v="2239252128"/>
    <x v="5"/>
    <n v="-3500"/>
    <x v="1"/>
    <x v="0"/>
    <x v="48"/>
    <x v="5"/>
    <x v="0"/>
    <x v="0"/>
    <x v="5"/>
    <x v="0"/>
  </r>
  <r>
    <x v="0"/>
    <x v="0"/>
    <n v="2239252128"/>
    <x v="6"/>
    <n v="10000"/>
    <x v="1"/>
    <x v="0"/>
    <x v="48"/>
    <x v="6"/>
    <x v="0"/>
    <x v="0"/>
    <x v="5"/>
    <x v="0"/>
  </r>
  <r>
    <x v="0"/>
    <x v="0"/>
    <n v="2239252129"/>
    <x v="2"/>
    <n v="8000"/>
    <x v="1"/>
    <x v="0"/>
    <x v="48"/>
    <x v="2"/>
    <x v="0"/>
    <x v="0"/>
    <x v="2"/>
    <x v="0"/>
  </r>
  <r>
    <x v="0"/>
    <x v="0"/>
    <n v="2239252130"/>
    <x v="2"/>
    <n v="6500"/>
    <x v="1"/>
    <x v="0"/>
    <x v="48"/>
    <x v="2"/>
    <x v="0"/>
    <x v="0"/>
    <x v="2"/>
    <x v="0"/>
  </r>
  <r>
    <x v="0"/>
    <x v="0"/>
    <n v="2239252131"/>
    <x v="2"/>
    <n v="11550"/>
    <x v="1"/>
    <x v="0"/>
    <x v="48"/>
    <x v="2"/>
    <x v="0"/>
    <x v="0"/>
    <x v="2"/>
    <x v="0"/>
  </r>
  <r>
    <x v="0"/>
    <x v="0"/>
    <n v="2239252132"/>
    <x v="2"/>
    <n v="19690"/>
    <x v="1"/>
    <x v="0"/>
    <x v="48"/>
    <x v="2"/>
    <x v="0"/>
    <x v="0"/>
    <x v="2"/>
    <x v="0"/>
  </r>
  <r>
    <x v="0"/>
    <x v="0"/>
    <n v="2239252133"/>
    <x v="2"/>
    <n v="153010"/>
    <x v="1"/>
    <x v="0"/>
    <x v="48"/>
    <x v="2"/>
    <x v="0"/>
    <x v="0"/>
    <x v="2"/>
    <x v="0"/>
  </r>
  <r>
    <x v="0"/>
    <x v="0"/>
    <n v="2239252134"/>
    <x v="2"/>
    <n v="9500"/>
    <x v="1"/>
    <x v="0"/>
    <x v="48"/>
    <x v="2"/>
    <x v="0"/>
    <x v="0"/>
    <x v="2"/>
    <x v="0"/>
  </r>
  <r>
    <x v="0"/>
    <x v="0"/>
    <n v="2239252135"/>
    <x v="3"/>
    <n v="19800"/>
    <x v="1"/>
    <x v="0"/>
    <x v="48"/>
    <x v="3"/>
    <x v="0"/>
    <x v="0"/>
    <x v="3"/>
    <x v="0"/>
  </r>
  <r>
    <x v="0"/>
    <x v="0"/>
    <n v="2239252136"/>
    <x v="2"/>
    <n v="10400"/>
    <x v="1"/>
    <x v="0"/>
    <x v="48"/>
    <x v="2"/>
    <x v="0"/>
    <x v="0"/>
    <x v="2"/>
    <x v="0"/>
  </r>
  <r>
    <x v="0"/>
    <x v="0"/>
    <n v="2239252136"/>
    <x v="7"/>
    <n v="2600"/>
    <x v="1"/>
    <x v="0"/>
    <x v="48"/>
    <x v="7"/>
    <x v="0"/>
    <x v="0"/>
    <x v="1"/>
    <x v="0"/>
  </r>
  <r>
    <x v="0"/>
    <x v="0"/>
    <n v="2239252138"/>
    <x v="5"/>
    <n v="-15600"/>
    <x v="1"/>
    <x v="0"/>
    <x v="48"/>
    <x v="5"/>
    <x v="0"/>
    <x v="0"/>
    <x v="5"/>
    <x v="0"/>
  </r>
  <r>
    <x v="0"/>
    <x v="0"/>
    <n v="2239252138"/>
    <x v="4"/>
    <n v="20000"/>
    <x v="1"/>
    <x v="0"/>
    <x v="48"/>
    <x v="4"/>
    <x v="0"/>
    <x v="0"/>
    <x v="4"/>
    <x v="0"/>
  </r>
  <r>
    <x v="0"/>
    <x v="0"/>
    <n v="2239252139"/>
    <x v="5"/>
    <n v="-5900"/>
    <x v="1"/>
    <x v="0"/>
    <x v="48"/>
    <x v="5"/>
    <x v="0"/>
    <x v="0"/>
    <x v="5"/>
    <x v="0"/>
  </r>
  <r>
    <x v="0"/>
    <x v="0"/>
    <n v="2239252139"/>
    <x v="6"/>
    <n v="30000"/>
    <x v="1"/>
    <x v="0"/>
    <x v="48"/>
    <x v="6"/>
    <x v="0"/>
    <x v="0"/>
    <x v="5"/>
    <x v="0"/>
  </r>
  <r>
    <x v="0"/>
    <x v="0"/>
    <n v="2239252140"/>
    <x v="2"/>
    <n v="13200"/>
    <x v="1"/>
    <x v="0"/>
    <x v="48"/>
    <x v="2"/>
    <x v="0"/>
    <x v="0"/>
    <x v="2"/>
    <x v="0"/>
  </r>
  <r>
    <x v="0"/>
    <x v="0"/>
    <n v="2239252141"/>
    <x v="3"/>
    <n v="3300"/>
    <x v="1"/>
    <x v="0"/>
    <x v="48"/>
    <x v="3"/>
    <x v="0"/>
    <x v="0"/>
    <x v="3"/>
    <x v="0"/>
  </r>
  <r>
    <x v="0"/>
    <x v="0"/>
    <n v="2239252143"/>
    <x v="2"/>
    <n v="3300"/>
    <x v="1"/>
    <x v="0"/>
    <x v="48"/>
    <x v="2"/>
    <x v="0"/>
    <x v="0"/>
    <x v="2"/>
    <x v="0"/>
  </r>
  <r>
    <x v="0"/>
    <x v="0"/>
    <n v="2239252144"/>
    <x v="5"/>
    <n v="-2000"/>
    <x v="1"/>
    <x v="0"/>
    <x v="48"/>
    <x v="5"/>
    <x v="0"/>
    <x v="0"/>
    <x v="5"/>
    <x v="0"/>
  </r>
  <r>
    <x v="0"/>
    <x v="0"/>
    <n v="2239252144"/>
    <x v="6"/>
    <n v="5000"/>
    <x v="1"/>
    <x v="0"/>
    <x v="48"/>
    <x v="6"/>
    <x v="0"/>
    <x v="0"/>
    <x v="5"/>
    <x v="0"/>
  </r>
  <r>
    <x v="0"/>
    <x v="0"/>
    <n v="2239252145"/>
    <x v="2"/>
    <n v="4000"/>
    <x v="1"/>
    <x v="0"/>
    <x v="48"/>
    <x v="2"/>
    <x v="0"/>
    <x v="0"/>
    <x v="2"/>
    <x v="0"/>
  </r>
  <r>
    <x v="0"/>
    <x v="0"/>
    <n v="2239252146"/>
    <x v="2"/>
    <n v="13000"/>
    <x v="1"/>
    <x v="0"/>
    <x v="48"/>
    <x v="2"/>
    <x v="0"/>
    <x v="0"/>
    <x v="2"/>
    <x v="0"/>
  </r>
  <r>
    <x v="0"/>
    <x v="0"/>
    <n v="2239252147"/>
    <x v="2"/>
    <n v="52690"/>
    <x v="1"/>
    <x v="0"/>
    <x v="48"/>
    <x v="2"/>
    <x v="0"/>
    <x v="0"/>
    <x v="2"/>
    <x v="0"/>
  </r>
  <r>
    <x v="0"/>
    <x v="0"/>
    <n v="2239252148"/>
    <x v="2"/>
    <n v="7500"/>
    <x v="1"/>
    <x v="0"/>
    <x v="48"/>
    <x v="2"/>
    <x v="0"/>
    <x v="0"/>
    <x v="2"/>
    <x v="0"/>
  </r>
  <r>
    <x v="0"/>
    <x v="0"/>
    <n v="2239252149"/>
    <x v="2"/>
    <n v="65000"/>
    <x v="1"/>
    <x v="0"/>
    <x v="48"/>
    <x v="2"/>
    <x v="0"/>
    <x v="0"/>
    <x v="2"/>
    <x v="0"/>
  </r>
  <r>
    <x v="0"/>
    <x v="0"/>
    <n v="2239252150"/>
    <x v="5"/>
    <n v="-5000"/>
    <x v="1"/>
    <x v="0"/>
    <x v="48"/>
    <x v="5"/>
    <x v="0"/>
    <x v="0"/>
    <x v="5"/>
    <x v="0"/>
  </r>
  <r>
    <x v="0"/>
    <x v="0"/>
    <n v="2239252150"/>
    <x v="6"/>
    <n v="10200"/>
    <x v="1"/>
    <x v="0"/>
    <x v="48"/>
    <x v="6"/>
    <x v="0"/>
    <x v="0"/>
    <x v="5"/>
    <x v="0"/>
  </r>
  <r>
    <x v="0"/>
    <x v="0"/>
    <n v="2239252151"/>
    <x v="2"/>
    <n v="48290"/>
    <x v="1"/>
    <x v="0"/>
    <x v="48"/>
    <x v="2"/>
    <x v="0"/>
    <x v="0"/>
    <x v="2"/>
    <x v="0"/>
  </r>
  <r>
    <x v="0"/>
    <x v="0"/>
    <n v="2239252152"/>
    <x v="2"/>
    <n v="17050"/>
    <x v="1"/>
    <x v="0"/>
    <x v="48"/>
    <x v="2"/>
    <x v="0"/>
    <x v="0"/>
    <x v="2"/>
    <x v="0"/>
  </r>
  <r>
    <x v="0"/>
    <x v="0"/>
    <n v="2239252153"/>
    <x v="5"/>
    <n v="-5360"/>
    <x v="1"/>
    <x v="0"/>
    <x v="48"/>
    <x v="5"/>
    <x v="0"/>
    <x v="0"/>
    <x v="5"/>
    <x v="0"/>
  </r>
  <r>
    <x v="0"/>
    <x v="0"/>
    <n v="2239252153"/>
    <x v="6"/>
    <n v="50000"/>
    <x v="1"/>
    <x v="0"/>
    <x v="48"/>
    <x v="6"/>
    <x v="0"/>
    <x v="0"/>
    <x v="5"/>
    <x v="0"/>
  </r>
  <r>
    <x v="0"/>
    <x v="0"/>
    <n v="2239252154"/>
    <x v="2"/>
    <n v="9050"/>
    <x v="1"/>
    <x v="0"/>
    <x v="48"/>
    <x v="2"/>
    <x v="0"/>
    <x v="0"/>
    <x v="2"/>
    <x v="0"/>
  </r>
  <r>
    <x v="0"/>
    <x v="0"/>
    <n v="2239252155"/>
    <x v="2"/>
    <n v="9500"/>
    <x v="1"/>
    <x v="0"/>
    <x v="48"/>
    <x v="2"/>
    <x v="0"/>
    <x v="0"/>
    <x v="2"/>
    <x v="0"/>
  </r>
  <r>
    <x v="0"/>
    <x v="0"/>
    <n v="2239252156"/>
    <x v="2"/>
    <n v="8250"/>
    <x v="1"/>
    <x v="0"/>
    <x v="48"/>
    <x v="2"/>
    <x v="0"/>
    <x v="0"/>
    <x v="2"/>
    <x v="0"/>
  </r>
  <r>
    <x v="0"/>
    <x v="0"/>
    <n v="2239252157"/>
    <x v="5"/>
    <n v="-300"/>
    <x v="1"/>
    <x v="0"/>
    <x v="48"/>
    <x v="5"/>
    <x v="0"/>
    <x v="0"/>
    <x v="5"/>
    <x v="0"/>
  </r>
  <r>
    <x v="0"/>
    <x v="0"/>
    <n v="2239252157"/>
    <x v="4"/>
    <n v="6000"/>
    <x v="1"/>
    <x v="0"/>
    <x v="48"/>
    <x v="4"/>
    <x v="0"/>
    <x v="0"/>
    <x v="4"/>
    <x v="0"/>
  </r>
  <r>
    <x v="0"/>
    <x v="0"/>
    <n v="2239252158"/>
    <x v="2"/>
    <n v="19000"/>
    <x v="1"/>
    <x v="0"/>
    <x v="48"/>
    <x v="2"/>
    <x v="0"/>
    <x v="0"/>
    <x v="2"/>
    <x v="0"/>
  </r>
  <r>
    <x v="0"/>
    <x v="0"/>
    <n v="2239252159"/>
    <x v="2"/>
    <n v="4774"/>
    <x v="1"/>
    <x v="0"/>
    <x v="48"/>
    <x v="2"/>
    <x v="0"/>
    <x v="0"/>
    <x v="2"/>
    <x v="0"/>
  </r>
  <r>
    <x v="0"/>
    <x v="0"/>
    <n v="2239252160"/>
    <x v="2"/>
    <n v="16500"/>
    <x v="1"/>
    <x v="0"/>
    <x v="48"/>
    <x v="2"/>
    <x v="0"/>
    <x v="0"/>
    <x v="2"/>
    <x v="0"/>
  </r>
  <r>
    <x v="0"/>
    <x v="0"/>
    <n v="2239252161"/>
    <x v="2"/>
    <n v="31086"/>
    <x v="1"/>
    <x v="0"/>
    <x v="48"/>
    <x v="2"/>
    <x v="0"/>
    <x v="0"/>
    <x v="2"/>
    <x v="0"/>
  </r>
  <r>
    <x v="0"/>
    <x v="0"/>
    <n v="2239252162"/>
    <x v="2"/>
    <n v="30690"/>
    <x v="1"/>
    <x v="0"/>
    <x v="48"/>
    <x v="2"/>
    <x v="0"/>
    <x v="0"/>
    <x v="2"/>
    <x v="0"/>
  </r>
  <r>
    <x v="0"/>
    <x v="0"/>
    <n v="2239252163"/>
    <x v="2"/>
    <n v="34650"/>
    <x v="1"/>
    <x v="0"/>
    <x v="48"/>
    <x v="2"/>
    <x v="0"/>
    <x v="0"/>
    <x v="2"/>
    <x v="0"/>
  </r>
  <r>
    <x v="0"/>
    <x v="0"/>
    <n v="2239252164"/>
    <x v="2"/>
    <n v="15400"/>
    <x v="1"/>
    <x v="0"/>
    <x v="48"/>
    <x v="2"/>
    <x v="0"/>
    <x v="0"/>
    <x v="2"/>
    <x v="0"/>
  </r>
  <r>
    <x v="0"/>
    <x v="0"/>
    <n v="2239252165"/>
    <x v="2"/>
    <n v="13000"/>
    <x v="1"/>
    <x v="0"/>
    <x v="48"/>
    <x v="2"/>
    <x v="0"/>
    <x v="0"/>
    <x v="2"/>
    <x v="0"/>
  </r>
  <r>
    <x v="0"/>
    <x v="0"/>
    <n v="2239252166"/>
    <x v="2"/>
    <n v="11550"/>
    <x v="1"/>
    <x v="0"/>
    <x v="48"/>
    <x v="2"/>
    <x v="0"/>
    <x v="0"/>
    <x v="2"/>
    <x v="0"/>
  </r>
  <r>
    <x v="0"/>
    <x v="0"/>
    <n v="2239252167"/>
    <x v="2"/>
    <n v="31900"/>
    <x v="1"/>
    <x v="0"/>
    <x v="48"/>
    <x v="2"/>
    <x v="0"/>
    <x v="0"/>
    <x v="2"/>
    <x v="0"/>
  </r>
  <r>
    <x v="0"/>
    <x v="0"/>
    <n v="2239252168"/>
    <x v="2"/>
    <n v="30800"/>
    <x v="1"/>
    <x v="0"/>
    <x v="48"/>
    <x v="2"/>
    <x v="0"/>
    <x v="0"/>
    <x v="2"/>
    <x v="0"/>
  </r>
  <r>
    <x v="0"/>
    <x v="0"/>
    <n v="2239252169"/>
    <x v="5"/>
    <n v="-5400"/>
    <x v="1"/>
    <x v="0"/>
    <x v="48"/>
    <x v="5"/>
    <x v="0"/>
    <x v="0"/>
    <x v="5"/>
    <x v="0"/>
  </r>
  <r>
    <x v="0"/>
    <x v="0"/>
    <n v="2239252169"/>
    <x v="4"/>
    <n v="10000"/>
    <x v="1"/>
    <x v="0"/>
    <x v="48"/>
    <x v="4"/>
    <x v="0"/>
    <x v="0"/>
    <x v="4"/>
    <x v="0"/>
  </r>
  <r>
    <x v="0"/>
    <x v="0"/>
    <n v="2239252170"/>
    <x v="2"/>
    <n v="43890"/>
    <x v="1"/>
    <x v="0"/>
    <x v="48"/>
    <x v="2"/>
    <x v="0"/>
    <x v="0"/>
    <x v="2"/>
    <x v="0"/>
  </r>
  <r>
    <x v="0"/>
    <x v="0"/>
    <n v="2239252171"/>
    <x v="5"/>
    <n v="-4500"/>
    <x v="1"/>
    <x v="0"/>
    <x v="48"/>
    <x v="5"/>
    <x v="0"/>
    <x v="0"/>
    <x v="5"/>
    <x v="0"/>
  </r>
  <r>
    <x v="0"/>
    <x v="0"/>
    <n v="2239252171"/>
    <x v="4"/>
    <n v="10100"/>
    <x v="1"/>
    <x v="0"/>
    <x v="48"/>
    <x v="4"/>
    <x v="0"/>
    <x v="0"/>
    <x v="4"/>
    <x v="0"/>
  </r>
  <r>
    <x v="0"/>
    <x v="0"/>
    <n v="2239252172"/>
    <x v="5"/>
    <n v="-4300"/>
    <x v="1"/>
    <x v="0"/>
    <x v="48"/>
    <x v="5"/>
    <x v="0"/>
    <x v="0"/>
    <x v="5"/>
    <x v="0"/>
  </r>
  <r>
    <x v="0"/>
    <x v="0"/>
    <n v="2239252172"/>
    <x v="4"/>
    <n v="10000"/>
    <x v="1"/>
    <x v="0"/>
    <x v="48"/>
    <x v="4"/>
    <x v="0"/>
    <x v="0"/>
    <x v="4"/>
    <x v="0"/>
  </r>
  <r>
    <x v="0"/>
    <x v="0"/>
    <n v="2239252173"/>
    <x v="2"/>
    <n v="6500"/>
    <x v="1"/>
    <x v="0"/>
    <x v="48"/>
    <x v="2"/>
    <x v="0"/>
    <x v="0"/>
    <x v="2"/>
    <x v="0"/>
  </r>
  <r>
    <x v="0"/>
    <x v="0"/>
    <n v="2239252175"/>
    <x v="2"/>
    <n v="15070"/>
    <x v="1"/>
    <x v="0"/>
    <x v="48"/>
    <x v="2"/>
    <x v="0"/>
    <x v="0"/>
    <x v="2"/>
    <x v="0"/>
  </r>
  <r>
    <x v="0"/>
    <x v="0"/>
    <n v="2239252176"/>
    <x v="1"/>
    <n v="3750"/>
    <x v="1"/>
    <x v="0"/>
    <x v="48"/>
    <x v="1"/>
    <x v="0"/>
    <x v="0"/>
    <x v="1"/>
    <x v="0"/>
  </r>
  <r>
    <x v="0"/>
    <x v="0"/>
    <n v="2239252177"/>
    <x v="2"/>
    <n v="23100"/>
    <x v="1"/>
    <x v="0"/>
    <x v="48"/>
    <x v="2"/>
    <x v="0"/>
    <x v="0"/>
    <x v="2"/>
    <x v="0"/>
  </r>
  <r>
    <x v="0"/>
    <x v="0"/>
    <n v="2239252178"/>
    <x v="2"/>
    <n v="5250"/>
    <x v="1"/>
    <x v="0"/>
    <x v="48"/>
    <x v="2"/>
    <x v="0"/>
    <x v="0"/>
    <x v="2"/>
    <x v="0"/>
  </r>
  <r>
    <x v="0"/>
    <x v="0"/>
    <n v="2239252180"/>
    <x v="5"/>
    <n v="-5000"/>
    <x v="1"/>
    <x v="0"/>
    <x v="48"/>
    <x v="5"/>
    <x v="0"/>
    <x v="0"/>
    <x v="5"/>
    <x v="0"/>
  </r>
  <r>
    <x v="0"/>
    <x v="0"/>
    <n v="2239252180"/>
    <x v="6"/>
    <n v="10200"/>
    <x v="1"/>
    <x v="0"/>
    <x v="48"/>
    <x v="6"/>
    <x v="0"/>
    <x v="0"/>
    <x v="5"/>
    <x v="0"/>
  </r>
  <r>
    <x v="0"/>
    <x v="0"/>
    <n v="2239252180"/>
    <x v="7"/>
    <n v="1300"/>
    <x v="1"/>
    <x v="0"/>
    <x v="48"/>
    <x v="7"/>
    <x v="0"/>
    <x v="0"/>
    <x v="1"/>
    <x v="0"/>
  </r>
  <r>
    <x v="0"/>
    <x v="0"/>
    <n v="2239252181"/>
    <x v="2"/>
    <n v="15600"/>
    <x v="1"/>
    <x v="0"/>
    <x v="48"/>
    <x v="2"/>
    <x v="0"/>
    <x v="0"/>
    <x v="2"/>
    <x v="0"/>
  </r>
  <r>
    <x v="0"/>
    <x v="0"/>
    <n v="2239252181"/>
    <x v="7"/>
    <n v="3900"/>
    <x v="1"/>
    <x v="0"/>
    <x v="48"/>
    <x v="7"/>
    <x v="0"/>
    <x v="0"/>
    <x v="1"/>
    <x v="0"/>
  </r>
  <r>
    <x v="0"/>
    <x v="0"/>
    <n v="2239252182"/>
    <x v="2"/>
    <n v="11700"/>
    <x v="1"/>
    <x v="0"/>
    <x v="48"/>
    <x v="2"/>
    <x v="0"/>
    <x v="0"/>
    <x v="2"/>
    <x v="0"/>
  </r>
  <r>
    <x v="0"/>
    <x v="0"/>
    <n v="2239252183"/>
    <x v="2"/>
    <n v="6500"/>
    <x v="1"/>
    <x v="0"/>
    <x v="48"/>
    <x v="2"/>
    <x v="0"/>
    <x v="0"/>
    <x v="2"/>
    <x v="0"/>
  </r>
  <r>
    <x v="0"/>
    <x v="0"/>
    <n v="2239252184"/>
    <x v="2"/>
    <n v="7500"/>
    <x v="1"/>
    <x v="0"/>
    <x v="48"/>
    <x v="2"/>
    <x v="0"/>
    <x v="0"/>
    <x v="2"/>
    <x v="0"/>
  </r>
  <r>
    <x v="0"/>
    <x v="0"/>
    <n v="2239252186"/>
    <x v="3"/>
    <n v="6000"/>
    <x v="1"/>
    <x v="0"/>
    <x v="48"/>
    <x v="3"/>
    <x v="0"/>
    <x v="0"/>
    <x v="3"/>
    <x v="0"/>
  </r>
  <r>
    <x v="0"/>
    <x v="0"/>
    <n v="2239252189"/>
    <x v="2"/>
    <n v="7500"/>
    <x v="1"/>
    <x v="0"/>
    <x v="48"/>
    <x v="2"/>
    <x v="0"/>
    <x v="0"/>
    <x v="2"/>
    <x v="0"/>
  </r>
  <r>
    <x v="0"/>
    <x v="0"/>
    <n v="2239252190"/>
    <x v="3"/>
    <n v="16500"/>
    <x v="1"/>
    <x v="0"/>
    <x v="48"/>
    <x v="3"/>
    <x v="0"/>
    <x v="0"/>
    <x v="3"/>
    <x v="0"/>
  </r>
  <r>
    <x v="0"/>
    <x v="0"/>
    <n v="2239252191"/>
    <x v="2"/>
    <n v="6500"/>
    <x v="1"/>
    <x v="0"/>
    <x v="48"/>
    <x v="2"/>
    <x v="0"/>
    <x v="0"/>
    <x v="2"/>
    <x v="0"/>
  </r>
  <r>
    <x v="0"/>
    <x v="0"/>
    <n v="2239252192"/>
    <x v="2"/>
    <n v="7500"/>
    <x v="1"/>
    <x v="0"/>
    <x v="48"/>
    <x v="2"/>
    <x v="0"/>
    <x v="0"/>
    <x v="2"/>
    <x v="0"/>
  </r>
  <r>
    <x v="0"/>
    <x v="0"/>
    <n v="2239252193"/>
    <x v="1"/>
    <n v="4200"/>
    <x v="1"/>
    <x v="0"/>
    <x v="48"/>
    <x v="1"/>
    <x v="0"/>
    <x v="0"/>
    <x v="1"/>
    <x v="0"/>
  </r>
  <r>
    <x v="0"/>
    <x v="0"/>
    <n v="2239252194"/>
    <x v="2"/>
    <n v="13000"/>
    <x v="1"/>
    <x v="0"/>
    <x v="48"/>
    <x v="2"/>
    <x v="0"/>
    <x v="0"/>
    <x v="2"/>
    <x v="0"/>
  </r>
  <r>
    <x v="0"/>
    <x v="0"/>
    <n v="2239252195"/>
    <x v="2"/>
    <n v="12000"/>
    <x v="1"/>
    <x v="0"/>
    <x v="48"/>
    <x v="2"/>
    <x v="0"/>
    <x v="0"/>
    <x v="2"/>
    <x v="0"/>
  </r>
  <r>
    <x v="0"/>
    <x v="0"/>
    <n v="2239252196"/>
    <x v="5"/>
    <n v="-5200"/>
    <x v="1"/>
    <x v="0"/>
    <x v="48"/>
    <x v="5"/>
    <x v="0"/>
    <x v="0"/>
    <x v="5"/>
    <x v="0"/>
  </r>
  <r>
    <x v="0"/>
    <x v="0"/>
    <n v="2239252196"/>
    <x v="4"/>
    <n v="10500"/>
    <x v="1"/>
    <x v="0"/>
    <x v="48"/>
    <x v="4"/>
    <x v="0"/>
    <x v="0"/>
    <x v="4"/>
    <x v="0"/>
  </r>
  <r>
    <x v="0"/>
    <x v="0"/>
    <n v="2239252197"/>
    <x v="2"/>
    <n v="24750"/>
    <x v="1"/>
    <x v="0"/>
    <x v="48"/>
    <x v="2"/>
    <x v="0"/>
    <x v="0"/>
    <x v="2"/>
    <x v="0"/>
  </r>
  <r>
    <x v="0"/>
    <x v="0"/>
    <n v="2239252198"/>
    <x v="5"/>
    <n v="-5000"/>
    <x v="1"/>
    <x v="0"/>
    <x v="48"/>
    <x v="5"/>
    <x v="0"/>
    <x v="0"/>
    <x v="5"/>
    <x v="0"/>
  </r>
  <r>
    <x v="0"/>
    <x v="0"/>
    <n v="2239252198"/>
    <x v="4"/>
    <n v="10700"/>
    <x v="1"/>
    <x v="0"/>
    <x v="48"/>
    <x v="4"/>
    <x v="0"/>
    <x v="0"/>
    <x v="4"/>
    <x v="0"/>
  </r>
  <r>
    <x v="0"/>
    <x v="0"/>
    <n v="2239252200"/>
    <x v="2"/>
    <n v="7500"/>
    <x v="1"/>
    <x v="0"/>
    <x v="48"/>
    <x v="2"/>
    <x v="0"/>
    <x v="0"/>
    <x v="2"/>
    <x v="0"/>
  </r>
  <r>
    <x v="0"/>
    <x v="0"/>
    <n v="2239252201"/>
    <x v="2"/>
    <n v="25300"/>
    <x v="1"/>
    <x v="0"/>
    <x v="48"/>
    <x v="2"/>
    <x v="0"/>
    <x v="0"/>
    <x v="2"/>
    <x v="0"/>
  </r>
  <r>
    <x v="0"/>
    <x v="0"/>
    <n v="2239252202"/>
    <x v="2"/>
    <n v="10500"/>
    <x v="1"/>
    <x v="0"/>
    <x v="48"/>
    <x v="2"/>
    <x v="0"/>
    <x v="0"/>
    <x v="2"/>
    <x v="0"/>
  </r>
  <r>
    <x v="0"/>
    <x v="0"/>
    <n v="2239252203"/>
    <x v="2"/>
    <n v="6000"/>
    <x v="1"/>
    <x v="0"/>
    <x v="48"/>
    <x v="2"/>
    <x v="0"/>
    <x v="0"/>
    <x v="2"/>
    <x v="0"/>
  </r>
  <r>
    <x v="0"/>
    <x v="0"/>
    <n v="2239252204"/>
    <x v="2"/>
    <n v="7500"/>
    <x v="1"/>
    <x v="0"/>
    <x v="48"/>
    <x v="2"/>
    <x v="0"/>
    <x v="0"/>
    <x v="2"/>
    <x v="0"/>
  </r>
  <r>
    <x v="0"/>
    <x v="0"/>
    <n v="2239252205"/>
    <x v="2"/>
    <n v="14300"/>
    <x v="1"/>
    <x v="0"/>
    <x v="48"/>
    <x v="2"/>
    <x v="0"/>
    <x v="0"/>
    <x v="2"/>
    <x v="0"/>
  </r>
  <r>
    <x v="0"/>
    <x v="0"/>
    <n v="2239252206"/>
    <x v="5"/>
    <n v="-1000"/>
    <x v="1"/>
    <x v="0"/>
    <x v="48"/>
    <x v="5"/>
    <x v="0"/>
    <x v="0"/>
    <x v="5"/>
    <x v="0"/>
  </r>
  <r>
    <x v="0"/>
    <x v="0"/>
    <n v="2239252206"/>
    <x v="6"/>
    <n v="10000"/>
    <x v="1"/>
    <x v="0"/>
    <x v="48"/>
    <x v="6"/>
    <x v="0"/>
    <x v="0"/>
    <x v="5"/>
    <x v="0"/>
  </r>
  <r>
    <x v="0"/>
    <x v="0"/>
    <n v="2239252207"/>
    <x v="5"/>
    <n v="-4400"/>
    <x v="1"/>
    <x v="0"/>
    <x v="48"/>
    <x v="5"/>
    <x v="0"/>
    <x v="0"/>
    <x v="5"/>
    <x v="0"/>
  </r>
  <r>
    <x v="0"/>
    <x v="0"/>
    <n v="2239252207"/>
    <x v="4"/>
    <n v="10000"/>
    <x v="1"/>
    <x v="0"/>
    <x v="48"/>
    <x v="4"/>
    <x v="0"/>
    <x v="0"/>
    <x v="4"/>
    <x v="0"/>
  </r>
  <r>
    <x v="0"/>
    <x v="0"/>
    <n v="2239252208"/>
    <x v="2"/>
    <n v="7500"/>
    <x v="1"/>
    <x v="0"/>
    <x v="48"/>
    <x v="2"/>
    <x v="0"/>
    <x v="0"/>
    <x v="2"/>
    <x v="0"/>
  </r>
  <r>
    <x v="0"/>
    <x v="0"/>
    <n v="2239252209"/>
    <x v="2"/>
    <n v="33900"/>
    <x v="1"/>
    <x v="0"/>
    <x v="48"/>
    <x v="2"/>
    <x v="0"/>
    <x v="0"/>
    <x v="2"/>
    <x v="0"/>
  </r>
  <r>
    <x v="0"/>
    <x v="0"/>
    <n v="2239252211"/>
    <x v="2"/>
    <n v="9900"/>
    <x v="1"/>
    <x v="0"/>
    <x v="48"/>
    <x v="2"/>
    <x v="0"/>
    <x v="0"/>
    <x v="2"/>
    <x v="0"/>
  </r>
  <r>
    <x v="0"/>
    <x v="0"/>
    <n v="2239252212"/>
    <x v="2"/>
    <n v="3300"/>
    <x v="1"/>
    <x v="0"/>
    <x v="48"/>
    <x v="2"/>
    <x v="0"/>
    <x v="0"/>
    <x v="2"/>
    <x v="0"/>
  </r>
  <r>
    <x v="0"/>
    <x v="0"/>
    <n v="2239252213"/>
    <x v="5"/>
    <n v="-4200"/>
    <x v="1"/>
    <x v="0"/>
    <x v="48"/>
    <x v="5"/>
    <x v="0"/>
    <x v="0"/>
    <x v="5"/>
    <x v="0"/>
  </r>
  <r>
    <x v="0"/>
    <x v="0"/>
    <n v="2239252213"/>
    <x v="6"/>
    <n v="25000"/>
    <x v="1"/>
    <x v="0"/>
    <x v="48"/>
    <x v="6"/>
    <x v="0"/>
    <x v="0"/>
    <x v="5"/>
    <x v="0"/>
  </r>
  <r>
    <x v="0"/>
    <x v="0"/>
    <n v="2239252213"/>
    <x v="7"/>
    <n v="5200"/>
    <x v="1"/>
    <x v="0"/>
    <x v="48"/>
    <x v="7"/>
    <x v="0"/>
    <x v="0"/>
    <x v="1"/>
    <x v="0"/>
  </r>
  <r>
    <x v="0"/>
    <x v="0"/>
    <n v="2239252215"/>
    <x v="2"/>
    <n v="50160"/>
    <x v="1"/>
    <x v="0"/>
    <x v="48"/>
    <x v="2"/>
    <x v="0"/>
    <x v="0"/>
    <x v="2"/>
    <x v="0"/>
  </r>
  <r>
    <x v="0"/>
    <x v="0"/>
    <n v="2239252216"/>
    <x v="2"/>
    <n v="31350"/>
    <x v="1"/>
    <x v="0"/>
    <x v="48"/>
    <x v="2"/>
    <x v="0"/>
    <x v="0"/>
    <x v="2"/>
    <x v="0"/>
  </r>
  <r>
    <x v="0"/>
    <x v="0"/>
    <n v="2239252217"/>
    <x v="5"/>
    <n v="-4300"/>
    <x v="1"/>
    <x v="0"/>
    <x v="48"/>
    <x v="5"/>
    <x v="0"/>
    <x v="0"/>
    <x v="5"/>
    <x v="0"/>
  </r>
  <r>
    <x v="0"/>
    <x v="0"/>
    <n v="2239252217"/>
    <x v="4"/>
    <n v="10000"/>
    <x v="1"/>
    <x v="0"/>
    <x v="48"/>
    <x v="4"/>
    <x v="0"/>
    <x v="0"/>
    <x v="4"/>
    <x v="0"/>
  </r>
  <r>
    <x v="0"/>
    <x v="0"/>
    <n v="2239252218"/>
    <x v="2"/>
    <n v="6500"/>
    <x v="1"/>
    <x v="0"/>
    <x v="48"/>
    <x v="2"/>
    <x v="0"/>
    <x v="0"/>
    <x v="2"/>
    <x v="0"/>
  </r>
  <r>
    <x v="0"/>
    <x v="0"/>
    <n v="2239252219"/>
    <x v="2"/>
    <n v="4500"/>
    <x v="1"/>
    <x v="0"/>
    <x v="48"/>
    <x v="2"/>
    <x v="0"/>
    <x v="0"/>
    <x v="2"/>
    <x v="0"/>
  </r>
  <r>
    <x v="0"/>
    <x v="0"/>
    <n v="2239252220"/>
    <x v="2"/>
    <n v="15000"/>
    <x v="1"/>
    <x v="0"/>
    <x v="48"/>
    <x v="2"/>
    <x v="0"/>
    <x v="0"/>
    <x v="2"/>
    <x v="0"/>
  </r>
  <r>
    <x v="0"/>
    <x v="0"/>
    <n v="2239252221"/>
    <x v="2"/>
    <n v="14000"/>
    <x v="1"/>
    <x v="0"/>
    <x v="48"/>
    <x v="2"/>
    <x v="0"/>
    <x v="0"/>
    <x v="2"/>
    <x v="0"/>
  </r>
  <r>
    <x v="0"/>
    <x v="0"/>
    <n v="2239252222"/>
    <x v="5"/>
    <n v="-1000"/>
    <x v="1"/>
    <x v="0"/>
    <x v="48"/>
    <x v="5"/>
    <x v="0"/>
    <x v="0"/>
    <x v="5"/>
    <x v="0"/>
  </r>
  <r>
    <x v="0"/>
    <x v="0"/>
    <n v="2239252222"/>
    <x v="6"/>
    <n v="4000"/>
    <x v="1"/>
    <x v="0"/>
    <x v="48"/>
    <x v="6"/>
    <x v="0"/>
    <x v="0"/>
    <x v="5"/>
    <x v="0"/>
  </r>
  <r>
    <x v="0"/>
    <x v="0"/>
    <n v="2239252223"/>
    <x v="2"/>
    <n v="7500"/>
    <x v="1"/>
    <x v="0"/>
    <x v="48"/>
    <x v="2"/>
    <x v="0"/>
    <x v="0"/>
    <x v="2"/>
    <x v="0"/>
  </r>
  <r>
    <x v="0"/>
    <x v="0"/>
    <n v="2239252224"/>
    <x v="5"/>
    <n v="-9200"/>
    <x v="1"/>
    <x v="0"/>
    <x v="48"/>
    <x v="5"/>
    <x v="0"/>
    <x v="0"/>
    <x v="5"/>
    <x v="0"/>
  </r>
  <r>
    <x v="0"/>
    <x v="0"/>
    <n v="2239252224"/>
    <x v="6"/>
    <n v="20000"/>
    <x v="1"/>
    <x v="0"/>
    <x v="48"/>
    <x v="6"/>
    <x v="0"/>
    <x v="0"/>
    <x v="5"/>
    <x v="0"/>
  </r>
  <r>
    <x v="0"/>
    <x v="0"/>
    <n v="2239252225"/>
    <x v="5"/>
    <n v="-500"/>
    <x v="1"/>
    <x v="0"/>
    <x v="48"/>
    <x v="5"/>
    <x v="0"/>
    <x v="0"/>
    <x v="5"/>
    <x v="0"/>
  </r>
  <r>
    <x v="0"/>
    <x v="0"/>
    <n v="2239252225"/>
    <x v="6"/>
    <n v="8000"/>
    <x v="1"/>
    <x v="0"/>
    <x v="48"/>
    <x v="6"/>
    <x v="0"/>
    <x v="0"/>
    <x v="5"/>
    <x v="0"/>
  </r>
  <r>
    <x v="0"/>
    <x v="0"/>
    <n v="2239252226"/>
    <x v="6"/>
    <n v="3000"/>
    <x v="1"/>
    <x v="0"/>
    <x v="48"/>
    <x v="6"/>
    <x v="0"/>
    <x v="0"/>
    <x v="5"/>
    <x v="0"/>
  </r>
  <r>
    <x v="0"/>
    <x v="0"/>
    <n v="2239252227"/>
    <x v="2"/>
    <n v="9500"/>
    <x v="1"/>
    <x v="0"/>
    <x v="48"/>
    <x v="2"/>
    <x v="0"/>
    <x v="0"/>
    <x v="2"/>
    <x v="0"/>
  </r>
  <r>
    <x v="0"/>
    <x v="0"/>
    <n v="2239252228"/>
    <x v="1"/>
    <n v="3600"/>
    <x v="1"/>
    <x v="0"/>
    <x v="48"/>
    <x v="1"/>
    <x v="0"/>
    <x v="0"/>
    <x v="1"/>
    <x v="0"/>
  </r>
  <r>
    <x v="0"/>
    <x v="0"/>
    <n v="2239252229"/>
    <x v="2"/>
    <n v="3000"/>
    <x v="1"/>
    <x v="0"/>
    <x v="48"/>
    <x v="2"/>
    <x v="0"/>
    <x v="0"/>
    <x v="2"/>
    <x v="0"/>
  </r>
  <r>
    <x v="0"/>
    <x v="0"/>
    <n v="2239252230"/>
    <x v="2"/>
    <n v="15000"/>
    <x v="1"/>
    <x v="0"/>
    <x v="48"/>
    <x v="2"/>
    <x v="0"/>
    <x v="0"/>
    <x v="2"/>
    <x v="0"/>
  </r>
  <r>
    <x v="0"/>
    <x v="0"/>
    <n v="2239252231"/>
    <x v="2"/>
    <n v="35145"/>
    <x v="1"/>
    <x v="0"/>
    <x v="48"/>
    <x v="2"/>
    <x v="0"/>
    <x v="0"/>
    <x v="2"/>
    <x v="0"/>
  </r>
  <r>
    <x v="0"/>
    <x v="0"/>
    <n v="2239252232"/>
    <x v="5"/>
    <n v="-100"/>
    <x v="1"/>
    <x v="0"/>
    <x v="48"/>
    <x v="5"/>
    <x v="0"/>
    <x v="0"/>
    <x v="5"/>
    <x v="0"/>
  </r>
  <r>
    <x v="0"/>
    <x v="0"/>
    <n v="2239252232"/>
    <x v="6"/>
    <n v="8000"/>
    <x v="1"/>
    <x v="0"/>
    <x v="48"/>
    <x v="6"/>
    <x v="0"/>
    <x v="0"/>
    <x v="5"/>
    <x v="0"/>
  </r>
  <r>
    <x v="0"/>
    <x v="0"/>
    <n v="2239252233"/>
    <x v="3"/>
    <n v="9500"/>
    <x v="1"/>
    <x v="0"/>
    <x v="48"/>
    <x v="3"/>
    <x v="0"/>
    <x v="0"/>
    <x v="3"/>
    <x v="0"/>
  </r>
  <r>
    <x v="0"/>
    <x v="0"/>
    <n v="2239252234"/>
    <x v="5"/>
    <n v="-60"/>
    <x v="1"/>
    <x v="0"/>
    <x v="48"/>
    <x v="5"/>
    <x v="0"/>
    <x v="0"/>
    <x v="5"/>
    <x v="0"/>
  </r>
  <r>
    <x v="0"/>
    <x v="0"/>
    <n v="2239252234"/>
    <x v="6"/>
    <n v="36000"/>
    <x v="1"/>
    <x v="0"/>
    <x v="48"/>
    <x v="6"/>
    <x v="0"/>
    <x v="0"/>
    <x v="5"/>
    <x v="0"/>
  </r>
  <r>
    <x v="0"/>
    <x v="0"/>
    <n v="2239252234"/>
    <x v="7"/>
    <n v="10400"/>
    <x v="1"/>
    <x v="0"/>
    <x v="48"/>
    <x v="7"/>
    <x v="0"/>
    <x v="0"/>
    <x v="1"/>
    <x v="0"/>
  </r>
  <r>
    <x v="0"/>
    <x v="0"/>
    <n v="2239252236"/>
    <x v="2"/>
    <n v="12100"/>
    <x v="1"/>
    <x v="0"/>
    <x v="48"/>
    <x v="2"/>
    <x v="0"/>
    <x v="0"/>
    <x v="2"/>
    <x v="0"/>
  </r>
  <r>
    <x v="0"/>
    <x v="0"/>
    <n v="2239252237"/>
    <x v="2"/>
    <n v="17600"/>
    <x v="1"/>
    <x v="0"/>
    <x v="48"/>
    <x v="2"/>
    <x v="0"/>
    <x v="0"/>
    <x v="2"/>
    <x v="0"/>
  </r>
  <r>
    <x v="0"/>
    <x v="0"/>
    <n v="2239252238"/>
    <x v="1"/>
    <n v="4500"/>
    <x v="1"/>
    <x v="0"/>
    <x v="48"/>
    <x v="1"/>
    <x v="0"/>
    <x v="0"/>
    <x v="1"/>
    <x v="0"/>
  </r>
  <r>
    <x v="0"/>
    <x v="0"/>
    <n v="2239252239"/>
    <x v="6"/>
    <n v="10400"/>
    <x v="1"/>
    <x v="0"/>
    <x v="48"/>
    <x v="6"/>
    <x v="0"/>
    <x v="0"/>
    <x v="5"/>
    <x v="0"/>
  </r>
  <r>
    <x v="0"/>
    <x v="0"/>
    <n v="2239252239"/>
    <x v="7"/>
    <n v="2600"/>
    <x v="1"/>
    <x v="0"/>
    <x v="48"/>
    <x v="7"/>
    <x v="0"/>
    <x v="0"/>
    <x v="1"/>
    <x v="0"/>
  </r>
  <r>
    <x v="0"/>
    <x v="0"/>
    <n v="2239252240"/>
    <x v="2"/>
    <n v="17400"/>
    <x v="1"/>
    <x v="0"/>
    <x v="48"/>
    <x v="2"/>
    <x v="0"/>
    <x v="0"/>
    <x v="2"/>
    <x v="0"/>
  </r>
  <r>
    <x v="0"/>
    <x v="0"/>
    <n v="2239252241"/>
    <x v="5"/>
    <n v="-4300"/>
    <x v="1"/>
    <x v="0"/>
    <x v="48"/>
    <x v="5"/>
    <x v="0"/>
    <x v="0"/>
    <x v="5"/>
    <x v="0"/>
  </r>
  <r>
    <x v="0"/>
    <x v="0"/>
    <n v="2239252241"/>
    <x v="4"/>
    <n v="10000"/>
    <x v="1"/>
    <x v="0"/>
    <x v="48"/>
    <x v="4"/>
    <x v="0"/>
    <x v="0"/>
    <x v="4"/>
    <x v="0"/>
  </r>
  <r>
    <x v="0"/>
    <x v="0"/>
    <n v="2239252242"/>
    <x v="6"/>
    <n v="25000"/>
    <x v="1"/>
    <x v="0"/>
    <x v="48"/>
    <x v="6"/>
    <x v="0"/>
    <x v="0"/>
    <x v="5"/>
    <x v="0"/>
  </r>
  <r>
    <x v="0"/>
    <x v="0"/>
    <n v="2239252242"/>
    <x v="2"/>
    <n v="13900"/>
    <x v="1"/>
    <x v="0"/>
    <x v="48"/>
    <x v="2"/>
    <x v="0"/>
    <x v="0"/>
    <x v="2"/>
    <x v="0"/>
  </r>
  <r>
    <x v="0"/>
    <x v="0"/>
    <n v="2239252243"/>
    <x v="2"/>
    <n v="11000"/>
    <x v="1"/>
    <x v="0"/>
    <x v="48"/>
    <x v="2"/>
    <x v="0"/>
    <x v="0"/>
    <x v="2"/>
    <x v="0"/>
  </r>
  <r>
    <x v="0"/>
    <x v="0"/>
    <n v="2239252244"/>
    <x v="5"/>
    <n v="-4800"/>
    <x v="1"/>
    <x v="0"/>
    <x v="48"/>
    <x v="5"/>
    <x v="0"/>
    <x v="0"/>
    <x v="5"/>
    <x v="0"/>
  </r>
  <r>
    <x v="0"/>
    <x v="0"/>
    <n v="2239252244"/>
    <x v="6"/>
    <n v="10000"/>
    <x v="1"/>
    <x v="0"/>
    <x v="48"/>
    <x v="6"/>
    <x v="0"/>
    <x v="0"/>
    <x v="5"/>
    <x v="0"/>
  </r>
  <r>
    <x v="0"/>
    <x v="0"/>
    <n v="2239252244"/>
    <x v="7"/>
    <n v="1300"/>
    <x v="1"/>
    <x v="0"/>
    <x v="48"/>
    <x v="7"/>
    <x v="0"/>
    <x v="0"/>
    <x v="1"/>
    <x v="0"/>
  </r>
  <r>
    <x v="0"/>
    <x v="0"/>
    <n v="2239252245"/>
    <x v="5"/>
    <n v="-2000"/>
    <x v="1"/>
    <x v="0"/>
    <x v="48"/>
    <x v="5"/>
    <x v="0"/>
    <x v="0"/>
    <x v="5"/>
    <x v="0"/>
  </r>
  <r>
    <x v="0"/>
    <x v="0"/>
    <n v="2239252245"/>
    <x v="6"/>
    <n v="20000"/>
    <x v="1"/>
    <x v="0"/>
    <x v="48"/>
    <x v="6"/>
    <x v="0"/>
    <x v="0"/>
    <x v="5"/>
    <x v="0"/>
  </r>
  <r>
    <x v="0"/>
    <x v="0"/>
    <n v="2239252247"/>
    <x v="5"/>
    <n v="-7000"/>
    <x v="1"/>
    <x v="0"/>
    <x v="48"/>
    <x v="5"/>
    <x v="0"/>
    <x v="0"/>
    <x v="5"/>
    <x v="0"/>
  </r>
  <r>
    <x v="0"/>
    <x v="0"/>
    <n v="2239252247"/>
    <x v="6"/>
    <n v="10000"/>
    <x v="1"/>
    <x v="0"/>
    <x v="48"/>
    <x v="6"/>
    <x v="0"/>
    <x v="0"/>
    <x v="5"/>
    <x v="0"/>
  </r>
  <r>
    <x v="0"/>
    <x v="0"/>
    <n v="2239252248"/>
    <x v="2"/>
    <n v="6000"/>
    <x v="1"/>
    <x v="0"/>
    <x v="48"/>
    <x v="2"/>
    <x v="0"/>
    <x v="0"/>
    <x v="2"/>
    <x v="0"/>
  </r>
  <r>
    <x v="0"/>
    <x v="0"/>
    <n v="2239252249"/>
    <x v="2"/>
    <n v="6600"/>
    <x v="1"/>
    <x v="0"/>
    <x v="48"/>
    <x v="2"/>
    <x v="0"/>
    <x v="0"/>
    <x v="2"/>
    <x v="0"/>
  </r>
  <r>
    <x v="0"/>
    <x v="0"/>
    <n v="2239252250"/>
    <x v="2"/>
    <n v="13200"/>
    <x v="1"/>
    <x v="0"/>
    <x v="48"/>
    <x v="2"/>
    <x v="0"/>
    <x v="0"/>
    <x v="2"/>
    <x v="0"/>
  </r>
  <r>
    <x v="0"/>
    <x v="0"/>
    <n v="2239252251"/>
    <x v="2"/>
    <n v="19690"/>
    <x v="1"/>
    <x v="0"/>
    <x v="48"/>
    <x v="2"/>
    <x v="0"/>
    <x v="0"/>
    <x v="2"/>
    <x v="0"/>
  </r>
  <r>
    <x v="0"/>
    <x v="0"/>
    <n v="2239252253"/>
    <x v="2"/>
    <n v="57090"/>
    <x v="1"/>
    <x v="0"/>
    <x v="48"/>
    <x v="2"/>
    <x v="0"/>
    <x v="0"/>
    <x v="2"/>
    <x v="0"/>
  </r>
  <r>
    <x v="0"/>
    <x v="0"/>
    <n v="2239252254"/>
    <x v="2"/>
    <n v="6300"/>
    <x v="1"/>
    <x v="0"/>
    <x v="48"/>
    <x v="2"/>
    <x v="0"/>
    <x v="0"/>
    <x v="2"/>
    <x v="0"/>
  </r>
  <r>
    <x v="0"/>
    <x v="0"/>
    <n v="2239252255"/>
    <x v="2"/>
    <n v="7150"/>
    <x v="1"/>
    <x v="0"/>
    <x v="48"/>
    <x v="2"/>
    <x v="0"/>
    <x v="0"/>
    <x v="2"/>
    <x v="0"/>
  </r>
  <r>
    <x v="0"/>
    <x v="0"/>
    <n v="2239252257"/>
    <x v="2"/>
    <n v="28050"/>
    <x v="1"/>
    <x v="0"/>
    <x v="48"/>
    <x v="2"/>
    <x v="0"/>
    <x v="0"/>
    <x v="2"/>
    <x v="0"/>
  </r>
  <r>
    <x v="0"/>
    <x v="0"/>
    <n v="2239252258"/>
    <x v="5"/>
    <n v="-4700"/>
    <x v="1"/>
    <x v="0"/>
    <x v="48"/>
    <x v="5"/>
    <x v="0"/>
    <x v="0"/>
    <x v="5"/>
    <x v="0"/>
  </r>
  <r>
    <x v="0"/>
    <x v="0"/>
    <n v="2239252258"/>
    <x v="4"/>
    <n v="10000"/>
    <x v="1"/>
    <x v="0"/>
    <x v="48"/>
    <x v="4"/>
    <x v="0"/>
    <x v="0"/>
    <x v="4"/>
    <x v="0"/>
  </r>
  <r>
    <x v="0"/>
    <x v="0"/>
    <n v="2239252260"/>
    <x v="2"/>
    <n v="4950"/>
    <x v="1"/>
    <x v="0"/>
    <x v="48"/>
    <x v="2"/>
    <x v="0"/>
    <x v="0"/>
    <x v="2"/>
    <x v="0"/>
  </r>
  <r>
    <x v="0"/>
    <x v="0"/>
    <n v="2239252261"/>
    <x v="2"/>
    <n v="15000"/>
    <x v="1"/>
    <x v="0"/>
    <x v="48"/>
    <x v="2"/>
    <x v="0"/>
    <x v="0"/>
    <x v="2"/>
    <x v="0"/>
  </r>
  <r>
    <x v="0"/>
    <x v="0"/>
    <n v="2239252262"/>
    <x v="5"/>
    <n v="-4500"/>
    <x v="1"/>
    <x v="0"/>
    <x v="48"/>
    <x v="5"/>
    <x v="0"/>
    <x v="0"/>
    <x v="5"/>
    <x v="0"/>
  </r>
  <r>
    <x v="0"/>
    <x v="0"/>
    <n v="2239252262"/>
    <x v="6"/>
    <n v="10000"/>
    <x v="1"/>
    <x v="0"/>
    <x v="48"/>
    <x v="6"/>
    <x v="0"/>
    <x v="0"/>
    <x v="5"/>
    <x v="0"/>
  </r>
  <r>
    <x v="0"/>
    <x v="0"/>
    <n v="2239252263"/>
    <x v="5"/>
    <n v="-4200"/>
    <x v="1"/>
    <x v="0"/>
    <x v="48"/>
    <x v="5"/>
    <x v="0"/>
    <x v="0"/>
    <x v="5"/>
    <x v="0"/>
  </r>
  <r>
    <x v="0"/>
    <x v="0"/>
    <n v="2239252263"/>
    <x v="6"/>
    <n v="30000"/>
    <x v="1"/>
    <x v="0"/>
    <x v="48"/>
    <x v="6"/>
    <x v="0"/>
    <x v="0"/>
    <x v="5"/>
    <x v="0"/>
  </r>
  <r>
    <x v="0"/>
    <x v="0"/>
    <n v="2239252264"/>
    <x v="2"/>
    <n v="4000"/>
    <x v="1"/>
    <x v="0"/>
    <x v="48"/>
    <x v="2"/>
    <x v="0"/>
    <x v="0"/>
    <x v="2"/>
    <x v="0"/>
  </r>
  <r>
    <x v="0"/>
    <x v="0"/>
    <n v="2239252265"/>
    <x v="3"/>
    <n v="2310"/>
    <x v="1"/>
    <x v="0"/>
    <x v="48"/>
    <x v="3"/>
    <x v="0"/>
    <x v="0"/>
    <x v="3"/>
    <x v="0"/>
  </r>
  <r>
    <x v="0"/>
    <x v="0"/>
    <n v="2239252266"/>
    <x v="5"/>
    <n v="-5500"/>
    <x v="1"/>
    <x v="0"/>
    <x v="48"/>
    <x v="5"/>
    <x v="0"/>
    <x v="0"/>
    <x v="5"/>
    <x v="0"/>
  </r>
  <r>
    <x v="0"/>
    <x v="0"/>
    <n v="2239252266"/>
    <x v="6"/>
    <n v="10000"/>
    <x v="1"/>
    <x v="0"/>
    <x v="48"/>
    <x v="6"/>
    <x v="0"/>
    <x v="0"/>
    <x v="5"/>
    <x v="0"/>
  </r>
  <r>
    <x v="0"/>
    <x v="0"/>
    <n v="2239252267"/>
    <x v="2"/>
    <n v="6500"/>
    <x v="1"/>
    <x v="0"/>
    <x v="48"/>
    <x v="2"/>
    <x v="0"/>
    <x v="0"/>
    <x v="2"/>
    <x v="0"/>
  </r>
  <r>
    <x v="0"/>
    <x v="0"/>
    <n v="2239252268"/>
    <x v="2"/>
    <n v="6600"/>
    <x v="1"/>
    <x v="0"/>
    <x v="48"/>
    <x v="2"/>
    <x v="0"/>
    <x v="0"/>
    <x v="2"/>
    <x v="0"/>
  </r>
  <r>
    <x v="0"/>
    <x v="0"/>
    <n v="2239252270"/>
    <x v="5"/>
    <n v="-5000"/>
    <x v="1"/>
    <x v="0"/>
    <x v="48"/>
    <x v="5"/>
    <x v="0"/>
    <x v="0"/>
    <x v="5"/>
    <x v="0"/>
  </r>
  <r>
    <x v="0"/>
    <x v="0"/>
    <n v="2239252270"/>
    <x v="4"/>
    <n v="10600"/>
    <x v="1"/>
    <x v="0"/>
    <x v="48"/>
    <x v="4"/>
    <x v="0"/>
    <x v="0"/>
    <x v="4"/>
    <x v="0"/>
  </r>
  <r>
    <x v="0"/>
    <x v="0"/>
    <n v="2239252271"/>
    <x v="2"/>
    <n v="7500"/>
    <x v="1"/>
    <x v="0"/>
    <x v="48"/>
    <x v="2"/>
    <x v="0"/>
    <x v="0"/>
    <x v="2"/>
    <x v="0"/>
  </r>
  <r>
    <x v="0"/>
    <x v="0"/>
    <n v="2239252272"/>
    <x v="5"/>
    <n v="-4700"/>
    <x v="1"/>
    <x v="0"/>
    <x v="48"/>
    <x v="5"/>
    <x v="0"/>
    <x v="0"/>
    <x v="5"/>
    <x v="0"/>
  </r>
  <r>
    <x v="0"/>
    <x v="0"/>
    <n v="2239252272"/>
    <x v="4"/>
    <n v="10000"/>
    <x v="1"/>
    <x v="0"/>
    <x v="48"/>
    <x v="4"/>
    <x v="0"/>
    <x v="0"/>
    <x v="4"/>
    <x v="0"/>
  </r>
  <r>
    <x v="0"/>
    <x v="0"/>
    <n v="2239252273"/>
    <x v="2"/>
    <n v="15741"/>
    <x v="1"/>
    <x v="0"/>
    <x v="48"/>
    <x v="2"/>
    <x v="0"/>
    <x v="0"/>
    <x v="2"/>
    <x v="0"/>
  </r>
  <r>
    <x v="0"/>
    <x v="0"/>
    <n v="2239252274"/>
    <x v="2"/>
    <n v="7150"/>
    <x v="1"/>
    <x v="0"/>
    <x v="48"/>
    <x v="2"/>
    <x v="0"/>
    <x v="0"/>
    <x v="2"/>
    <x v="0"/>
  </r>
  <r>
    <x v="0"/>
    <x v="0"/>
    <n v="2239252275"/>
    <x v="6"/>
    <n v="5200"/>
    <x v="1"/>
    <x v="0"/>
    <x v="48"/>
    <x v="6"/>
    <x v="0"/>
    <x v="0"/>
    <x v="5"/>
    <x v="0"/>
  </r>
  <r>
    <x v="0"/>
    <x v="0"/>
    <n v="2239252275"/>
    <x v="7"/>
    <n v="1300"/>
    <x v="1"/>
    <x v="0"/>
    <x v="48"/>
    <x v="7"/>
    <x v="0"/>
    <x v="0"/>
    <x v="1"/>
    <x v="0"/>
  </r>
  <r>
    <x v="0"/>
    <x v="0"/>
    <n v="2239252276"/>
    <x v="5"/>
    <n v="-16000"/>
    <x v="1"/>
    <x v="0"/>
    <x v="48"/>
    <x v="5"/>
    <x v="0"/>
    <x v="0"/>
    <x v="5"/>
    <x v="0"/>
  </r>
  <r>
    <x v="0"/>
    <x v="0"/>
    <n v="2239252276"/>
    <x v="6"/>
    <n v="20000"/>
    <x v="1"/>
    <x v="0"/>
    <x v="48"/>
    <x v="6"/>
    <x v="0"/>
    <x v="0"/>
    <x v="5"/>
    <x v="0"/>
  </r>
  <r>
    <x v="0"/>
    <x v="0"/>
    <n v="2239252277"/>
    <x v="5"/>
    <n v="-2500"/>
    <x v="1"/>
    <x v="0"/>
    <x v="48"/>
    <x v="5"/>
    <x v="0"/>
    <x v="0"/>
    <x v="5"/>
    <x v="0"/>
  </r>
  <r>
    <x v="0"/>
    <x v="0"/>
    <n v="2239252277"/>
    <x v="6"/>
    <n v="25000"/>
    <x v="1"/>
    <x v="0"/>
    <x v="48"/>
    <x v="6"/>
    <x v="0"/>
    <x v="0"/>
    <x v="5"/>
    <x v="0"/>
  </r>
  <r>
    <x v="0"/>
    <x v="0"/>
    <n v="2239252278"/>
    <x v="5"/>
    <n v="-1500"/>
    <x v="1"/>
    <x v="0"/>
    <x v="48"/>
    <x v="5"/>
    <x v="0"/>
    <x v="0"/>
    <x v="5"/>
    <x v="0"/>
  </r>
  <r>
    <x v="0"/>
    <x v="0"/>
    <n v="2239252278"/>
    <x v="6"/>
    <n v="5000"/>
    <x v="1"/>
    <x v="0"/>
    <x v="48"/>
    <x v="6"/>
    <x v="0"/>
    <x v="0"/>
    <x v="5"/>
    <x v="0"/>
  </r>
  <r>
    <x v="0"/>
    <x v="0"/>
    <n v="2239252279"/>
    <x v="2"/>
    <n v="3000"/>
    <x v="1"/>
    <x v="0"/>
    <x v="48"/>
    <x v="2"/>
    <x v="0"/>
    <x v="0"/>
    <x v="2"/>
    <x v="0"/>
  </r>
  <r>
    <x v="0"/>
    <x v="0"/>
    <n v="2239252281"/>
    <x v="2"/>
    <n v="6500"/>
    <x v="1"/>
    <x v="0"/>
    <x v="48"/>
    <x v="2"/>
    <x v="0"/>
    <x v="0"/>
    <x v="2"/>
    <x v="0"/>
  </r>
  <r>
    <x v="0"/>
    <x v="0"/>
    <n v="2239252282"/>
    <x v="5"/>
    <n v="-800"/>
    <x v="1"/>
    <x v="0"/>
    <x v="48"/>
    <x v="5"/>
    <x v="0"/>
    <x v="0"/>
    <x v="5"/>
    <x v="0"/>
  </r>
  <r>
    <x v="0"/>
    <x v="0"/>
    <n v="2239252282"/>
    <x v="4"/>
    <n v="10000"/>
    <x v="1"/>
    <x v="0"/>
    <x v="48"/>
    <x v="4"/>
    <x v="0"/>
    <x v="0"/>
    <x v="4"/>
    <x v="0"/>
  </r>
  <r>
    <x v="0"/>
    <x v="0"/>
    <n v="2239252283"/>
    <x v="5"/>
    <n v="-3500"/>
    <x v="1"/>
    <x v="0"/>
    <x v="48"/>
    <x v="5"/>
    <x v="0"/>
    <x v="0"/>
    <x v="5"/>
    <x v="0"/>
  </r>
  <r>
    <x v="0"/>
    <x v="0"/>
    <n v="2239252283"/>
    <x v="6"/>
    <n v="10000"/>
    <x v="1"/>
    <x v="0"/>
    <x v="48"/>
    <x v="6"/>
    <x v="0"/>
    <x v="0"/>
    <x v="5"/>
    <x v="0"/>
  </r>
  <r>
    <x v="0"/>
    <x v="0"/>
    <n v="2239252284"/>
    <x v="5"/>
    <n v="-10000"/>
    <x v="1"/>
    <x v="0"/>
    <x v="48"/>
    <x v="5"/>
    <x v="0"/>
    <x v="0"/>
    <x v="5"/>
    <x v="0"/>
  </r>
  <r>
    <x v="0"/>
    <x v="0"/>
    <n v="2239252284"/>
    <x v="6"/>
    <n v="25000"/>
    <x v="1"/>
    <x v="0"/>
    <x v="48"/>
    <x v="6"/>
    <x v="0"/>
    <x v="0"/>
    <x v="5"/>
    <x v="0"/>
  </r>
  <r>
    <x v="0"/>
    <x v="0"/>
    <n v="2239252285"/>
    <x v="5"/>
    <n v="-13200"/>
    <x v="1"/>
    <x v="0"/>
    <x v="48"/>
    <x v="5"/>
    <x v="0"/>
    <x v="0"/>
    <x v="5"/>
    <x v="0"/>
  </r>
  <r>
    <x v="0"/>
    <x v="0"/>
    <n v="2239252285"/>
    <x v="6"/>
    <n v="90000"/>
    <x v="1"/>
    <x v="0"/>
    <x v="48"/>
    <x v="6"/>
    <x v="0"/>
    <x v="0"/>
    <x v="5"/>
    <x v="0"/>
  </r>
  <r>
    <x v="0"/>
    <x v="0"/>
    <n v="2239252286"/>
    <x v="2"/>
    <n v="8250"/>
    <x v="1"/>
    <x v="0"/>
    <x v="48"/>
    <x v="2"/>
    <x v="0"/>
    <x v="0"/>
    <x v="2"/>
    <x v="0"/>
  </r>
  <r>
    <x v="0"/>
    <x v="0"/>
    <n v="2239252287"/>
    <x v="2"/>
    <n v="7000"/>
    <x v="1"/>
    <x v="0"/>
    <x v="48"/>
    <x v="2"/>
    <x v="0"/>
    <x v="0"/>
    <x v="2"/>
    <x v="0"/>
  </r>
  <r>
    <x v="0"/>
    <x v="0"/>
    <n v="2239252288"/>
    <x v="5"/>
    <n v="-5100"/>
    <x v="1"/>
    <x v="0"/>
    <x v="48"/>
    <x v="5"/>
    <x v="0"/>
    <x v="0"/>
    <x v="5"/>
    <x v="0"/>
  </r>
  <r>
    <x v="0"/>
    <x v="0"/>
    <n v="2239252288"/>
    <x v="6"/>
    <n v="30000"/>
    <x v="1"/>
    <x v="0"/>
    <x v="48"/>
    <x v="6"/>
    <x v="0"/>
    <x v="0"/>
    <x v="5"/>
    <x v="0"/>
  </r>
  <r>
    <x v="0"/>
    <x v="0"/>
    <n v="2239252289"/>
    <x v="5"/>
    <n v="-8000"/>
    <x v="1"/>
    <x v="0"/>
    <x v="48"/>
    <x v="5"/>
    <x v="0"/>
    <x v="0"/>
    <x v="5"/>
    <x v="0"/>
  </r>
  <r>
    <x v="0"/>
    <x v="0"/>
    <n v="2239252289"/>
    <x v="6"/>
    <n v="30000"/>
    <x v="1"/>
    <x v="0"/>
    <x v="48"/>
    <x v="6"/>
    <x v="0"/>
    <x v="0"/>
    <x v="5"/>
    <x v="0"/>
  </r>
  <r>
    <x v="0"/>
    <x v="0"/>
    <n v="2239252290"/>
    <x v="2"/>
    <n v="6270"/>
    <x v="1"/>
    <x v="0"/>
    <x v="48"/>
    <x v="2"/>
    <x v="0"/>
    <x v="0"/>
    <x v="2"/>
    <x v="0"/>
  </r>
  <r>
    <x v="0"/>
    <x v="0"/>
    <n v="2239252291"/>
    <x v="1"/>
    <n v="3150"/>
    <x v="1"/>
    <x v="0"/>
    <x v="48"/>
    <x v="1"/>
    <x v="0"/>
    <x v="0"/>
    <x v="1"/>
    <x v="0"/>
  </r>
  <r>
    <x v="0"/>
    <x v="0"/>
    <n v="2239252292"/>
    <x v="2"/>
    <n v="16000"/>
    <x v="1"/>
    <x v="0"/>
    <x v="48"/>
    <x v="2"/>
    <x v="0"/>
    <x v="0"/>
    <x v="2"/>
    <x v="0"/>
  </r>
  <r>
    <x v="0"/>
    <x v="0"/>
    <n v="2239252293"/>
    <x v="5"/>
    <n v="-4100"/>
    <x v="1"/>
    <x v="0"/>
    <x v="48"/>
    <x v="5"/>
    <x v="0"/>
    <x v="0"/>
    <x v="5"/>
    <x v="0"/>
  </r>
  <r>
    <x v="0"/>
    <x v="0"/>
    <n v="2239252293"/>
    <x v="6"/>
    <n v="25000"/>
    <x v="1"/>
    <x v="0"/>
    <x v="48"/>
    <x v="6"/>
    <x v="0"/>
    <x v="0"/>
    <x v="5"/>
    <x v="0"/>
  </r>
  <r>
    <x v="0"/>
    <x v="0"/>
    <n v="2239252294"/>
    <x v="1"/>
    <n v="1140"/>
    <x v="1"/>
    <x v="0"/>
    <x v="48"/>
    <x v="1"/>
    <x v="0"/>
    <x v="0"/>
    <x v="1"/>
    <x v="0"/>
  </r>
  <r>
    <x v="0"/>
    <x v="0"/>
    <n v="2239252295"/>
    <x v="2"/>
    <n v="3000"/>
    <x v="1"/>
    <x v="0"/>
    <x v="48"/>
    <x v="2"/>
    <x v="0"/>
    <x v="0"/>
    <x v="2"/>
    <x v="0"/>
  </r>
  <r>
    <x v="0"/>
    <x v="0"/>
    <n v="2239252296"/>
    <x v="2"/>
    <n v="4000"/>
    <x v="1"/>
    <x v="0"/>
    <x v="48"/>
    <x v="2"/>
    <x v="0"/>
    <x v="0"/>
    <x v="2"/>
    <x v="0"/>
  </r>
  <r>
    <x v="0"/>
    <x v="0"/>
    <n v="2239252297"/>
    <x v="2"/>
    <n v="12800"/>
    <x v="1"/>
    <x v="0"/>
    <x v="48"/>
    <x v="2"/>
    <x v="0"/>
    <x v="0"/>
    <x v="2"/>
    <x v="0"/>
  </r>
  <r>
    <x v="0"/>
    <x v="0"/>
    <n v="2239252298"/>
    <x v="5"/>
    <n v="-3500"/>
    <x v="1"/>
    <x v="0"/>
    <x v="48"/>
    <x v="5"/>
    <x v="0"/>
    <x v="0"/>
    <x v="5"/>
    <x v="0"/>
  </r>
  <r>
    <x v="0"/>
    <x v="0"/>
    <n v="2239252298"/>
    <x v="6"/>
    <n v="10000"/>
    <x v="1"/>
    <x v="0"/>
    <x v="48"/>
    <x v="6"/>
    <x v="0"/>
    <x v="0"/>
    <x v="5"/>
    <x v="0"/>
  </r>
  <r>
    <x v="0"/>
    <x v="0"/>
    <n v="2239252299"/>
    <x v="2"/>
    <n v="10000"/>
    <x v="1"/>
    <x v="0"/>
    <x v="48"/>
    <x v="2"/>
    <x v="0"/>
    <x v="0"/>
    <x v="2"/>
    <x v="0"/>
  </r>
  <r>
    <x v="0"/>
    <x v="0"/>
    <n v="2239252300"/>
    <x v="5"/>
    <n v="-6800"/>
    <x v="1"/>
    <x v="0"/>
    <x v="48"/>
    <x v="5"/>
    <x v="0"/>
    <x v="0"/>
    <x v="5"/>
    <x v="0"/>
  </r>
  <r>
    <x v="0"/>
    <x v="0"/>
    <n v="2239252300"/>
    <x v="6"/>
    <n v="10000"/>
    <x v="1"/>
    <x v="0"/>
    <x v="48"/>
    <x v="6"/>
    <x v="0"/>
    <x v="0"/>
    <x v="5"/>
    <x v="0"/>
  </r>
  <r>
    <x v="0"/>
    <x v="0"/>
    <n v="2239252301"/>
    <x v="2"/>
    <n v="29040"/>
    <x v="1"/>
    <x v="0"/>
    <x v="48"/>
    <x v="2"/>
    <x v="0"/>
    <x v="0"/>
    <x v="2"/>
    <x v="0"/>
  </r>
  <r>
    <x v="0"/>
    <x v="0"/>
    <n v="2239252302"/>
    <x v="2"/>
    <n v="4000"/>
    <x v="1"/>
    <x v="0"/>
    <x v="48"/>
    <x v="2"/>
    <x v="0"/>
    <x v="0"/>
    <x v="2"/>
    <x v="0"/>
  </r>
  <r>
    <x v="0"/>
    <x v="0"/>
    <n v="2239252303"/>
    <x v="5"/>
    <n v="-8000"/>
    <x v="1"/>
    <x v="0"/>
    <x v="48"/>
    <x v="5"/>
    <x v="0"/>
    <x v="0"/>
    <x v="5"/>
    <x v="0"/>
  </r>
  <r>
    <x v="0"/>
    <x v="0"/>
    <n v="2239252303"/>
    <x v="6"/>
    <n v="20000"/>
    <x v="1"/>
    <x v="0"/>
    <x v="48"/>
    <x v="6"/>
    <x v="0"/>
    <x v="0"/>
    <x v="5"/>
    <x v="0"/>
  </r>
  <r>
    <x v="0"/>
    <x v="0"/>
    <n v="2239252304"/>
    <x v="5"/>
    <n v="-2370"/>
    <x v="1"/>
    <x v="0"/>
    <x v="48"/>
    <x v="5"/>
    <x v="0"/>
    <x v="0"/>
    <x v="5"/>
    <x v="0"/>
  </r>
  <r>
    <x v="0"/>
    <x v="0"/>
    <n v="2239252304"/>
    <x v="6"/>
    <n v="10000"/>
    <x v="1"/>
    <x v="0"/>
    <x v="48"/>
    <x v="6"/>
    <x v="0"/>
    <x v="0"/>
    <x v="5"/>
    <x v="0"/>
  </r>
  <r>
    <x v="0"/>
    <x v="0"/>
    <n v="2239252304"/>
    <x v="7"/>
    <n v="3270"/>
    <x v="1"/>
    <x v="0"/>
    <x v="48"/>
    <x v="7"/>
    <x v="0"/>
    <x v="0"/>
    <x v="1"/>
    <x v="0"/>
  </r>
  <r>
    <x v="0"/>
    <x v="0"/>
    <n v="2239252305"/>
    <x v="2"/>
    <n v="6000"/>
    <x v="1"/>
    <x v="0"/>
    <x v="48"/>
    <x v="2"/>
    <x v="0"/>
    <x v="0"/>
    <x v="2"/>
    <x v="0"/>
  </r>
  <r>
    <x v="0"/>
    <x v="0"/>
    <n v="2239252307"/>
    <x v="5"/>
    <n v="-540"/>
    <x v="1"/>
    <x v="0"/>
    <x v="48"/>
    <x v="5"/>
    <x v="0"/>
    <x v="0"/>
    <x v="5"/>
    <x v="0"/>
  </r>
  <r>
    <x v="0"/>
    <x v="0"/>
    <n v="2239252307"/>
    <x v="6"/>
    <n v="21000"/>
    <x v="1"/>
    <x v="0"/>
    <x v="48"/>
    <x v="6"/>
    <x v="0"/>
    <x v="0"/>
    <x v="5"/>
    <x v="0"/>
  </r>
  <r>
    <x v="0"/>
    <x v="0"/>
    <n v="2239252308"/>
    <x v="5"/>
    <n v="-7000"/>
    <x v="1"/>
    <x v="0"/>
    <x v="48"/>
    <x v="5"/>
    <x v="0"/>
    <x v="0"/>
    <x v="5"/>
    <x v="0"/>
  </r>
  <r>
    <x v="0"/>
    <x v="0"/>
    <n v="2239252308"/>
    <x v="6"/>
    <n v="20000"/>
    <x v="1"/>
    <x v="0"/>
    <x v="48"/>
    <x v="6"/>
    <x v="0"/>
    <x v="0"/>
    <x v="5"/>
    <x v="0"/>
  </r>
  <r>
    <x v="0"/>
    <x v="0"/>
    <n v="2239252309"/>
    <x v="1"/>
    <n v="1350"/>
    <x v="1"/>
    <x v="0"/>
    <x v="48"/>
    <x v="1"/>
    <x v="0"/>
    <x v="0"/>
    <x v="1"/>
    <x v="0"/>
  </r>
  <r>
    <x v="0"/>
    <x v="0"/>
    <n v="2239252310"/>
    <x v="2"/>
    <n v="7150"/>
    <x v="1"/>
    <x v="0"/>
    <x v="48"/>
    <x v="2"/>
    <x v="0"/>
    <x v="0"/>
    <x v="2"/>
    <x v="0"/>
  </r>
  <r>
    <x v="0"/>
    <x v="0"/>
    <n v="2239252311"/>
    <x v="5"/>
    <n v="-2500"/>
    <x v="1"/>
    <x v="0"/>
    <x v="48"/>
    <x v="5"/>
    <x v="0"/>
    <x v="0"/>
    <x v="5"/>
    <x v="0"/>
  </r>
  <r>
    <x v="0"/>
    <x v="0"/>
    <n v="2239252311"/>
    <x v="6"/>
    <n v="10000"/>
    <x v="1"/>
    <x v="0"/>
    <x v="48"/>
    <x v="6"/>
    <x v="0"/>
    <x v="0"/>
    <x v="5"/>
    <x v="0"/>
  </r>
  <r>
    <x v="0"/>
    <x v="0"/>
    <n v="2239252312"/>
    <x v="2"/>
    <n v="9000"/>
    <x v="1"/>
    <x v="0"/>
    <x v="48"/>
    <x v="2"/>
    <x v="0"/>
    <x v="0"/>
    <x v="2"/>
    <x v="0"/>
  </r>
  <r>
    <x v="0"/>
    <x v="0"/>
    <n v="2239252313"/>
    <x v="2"/>
    <n v="6500"/>
    <x v="1"/>
    <x v="0"/>
    <x v="48"/>
    <x v="2"/>
    <x v="0"/>
    <x v="0"/>
    <x v="2"/>
    <x v="0"/>
  </r>
  <r>
    <x v="0"/>
    <x v="0"/>
    <n v="2239252314"/>
    <x v="5"/>
    <n v="-19700"/>
    <x v="1"/>
    <x v="0"/>
    <x v="48"/>
    <x v="5"/>
    <x v="0"/>
    <x v="0"/>
    <x v="5"/>
    <x v="0"/>
  </r>
  <r>
    <x v="0"/>
    <x v="0"/>
    <n v="2239252314"/>
    <x v="4"/>
    <n v="25000"/>
    <x v="1"/>
    <x v="0"/>
    <x v="48"/>
    <x v="4"/>
    <x v="0"/>
    <x v="0"/>
    <x v="4"/>
    <x v="0"/>
  </r>
  <r>
    <x v="0"/>
    <x v="0"/>
    <n v="2239252315"/>
    <x v="2"/>
    <n v="6500"/>
    <x v="1"/>
    <x v="0"/>
    <x v="48"/>
    <x v="2"/>
    <x v="0"/>
    <x v="0"/>
    <x v="2"/>
    <x v="0"/>
  </r>
  <r>
    <x v="0"/>
    <x v="0"/>
    <n v="2239252316"/>
    <x v="5"/>
    <n v="-6500"/>
    <x v="1"/>
    <x v="0"/>
    <x v="48"/>
    <x v="5"/>
    <x v="0"/>
    <x v="0"/>
    <x v="5"/>
    <x v="0"/>
  </r>
  <r>
    <x v="0"/>
    <x v="0"/>
    <n v="2239252316"/>
    <x v="6"/>
    <n v="20000"/>
    <x v="1"/>
    <x v="0"/>
    <x v="48"/>
    <x v="6"/>
    <x v="0"/>
    <x v="0"/>
    <x v="5"/>
    <x v="0"/>
  </r>
  <r>
    <x v="0"/>
    <x v="0"/>
    <n v="2239252317"/>
    <x v="5"/>
    <n v="-4700"/>
    <x v="1"/>
    <x v="0"/>
    <x v="48"/>
    <x v="5"/>
    <x v="0"/>
    <x v="0"/>
    <x v="5"/>
    <x v="0"/>
  </r>
  <r>
    <x v="0"/>
    <x v="0"/>
    <n v="2239252317"/>
    <x v="4"/>
    <n v="10000"/>
    <x v="1"/>
    <x v="0"/>
    <x v="48"/>
    <x v="4"/>
    <x v="0"/>
    <x v="0"/>
    <x v="4"/>
    <x v="0"/>
  </r>
  <r>
    <x v="0"/>
    <x v="0"/>
    <n v="2239252318"/>
    <x v="5"/>
    <n v="-3500"/>
    <x v="1"/>
    <x v="0"/>
    <x v="48"/>
    <x v="5"/>
    <x v="0"/>
    <x v="0"/>
    <x v="5"/>
    <x v="0"/>
  </r>
  <r>
    <x v="0"/>
    <x v="0"/>
    <n v="2239252318"/>
    <x v="6"/>
    <n v="10000"/>
    <x v="1"/>
    <x v="0"/>
    <x v="48"/>
    <x v="6"/>
    <x v="0"/>
    <x v="0"/>
    <x v="5"/>
    <x v="0"/>
  </r>
  <r>
    <x v="0"/>
    <x v="0"/>
    <n v="2239252319"/>
    <x v="2"/>
    <n v="7500"/>
    <x v="1"/>
    <x v="0"/>
    <x v="48"/>
    <x v="2"/>
    <x v="0"/>
    <x v="0"/>
    <x v="2"/>
    <x v="0"/>
  </r>
  <r>
    <x v="0"/>
    <x v="0"/>
    <n v="2239252320"/>
    <x v="6"/>
    <n v="3000"/>
    <x v="1"/>
    <x v="0"/>
    <x v="48"/>
    <x v="6"/>
    <x v="0"/>
    <x v="0"/>
    <x v="5"/>
    <x v="0"/>
  </r>
  <r>
    <x v="0"/>
    <x v="0"/>
    <n v="2239252321"/>
    <x v="2"/>
    <n v="24750"/>
    <x v="1"/>
    <x v="0"/>
    <x v="48"/>
    <x v="2"/>
    <x v="0"/>
    <x v="0"/>
    <x v="2"/>
    <x v="0"/>
  </r>
  <r>
    <x v="0"/>
    <x v="0"/>
    <n v="2239252322"/>
    <x v="5"/>
    <n v="-200"/>
    <x v="1"/>
    <x v="0"/>
    <x v="48"/>
    <x v="5"/>
    <x v="0"/>
    <x v="0"/>
    <x v="5"/>
    <x v="0"/>
  </r>
  <r>
    <x v="0"/>
    <x v="0"/>
    <n v="2239252322"/>
    <x v="6"/>
    <n v="4000"/>
    <x v="1"/>
    <x v="0"/>
    <x v="48"/>
    <x v="6"/>
    <x v="0"/>
    <x v="0"/>
    <x v="5"/>
    <x v="0"/>
  </r>
  <r>
    <x v="0"/>
    <x v="0"/>
    <n v="2239252323"/>
    <x v="5"/>
    <n v="-3000"/>
    <x v="1"/>
    <x v="0"/>
    <x v="48"/>
    <x v="5"/>
    <x v="0"/>
    <x v="0"/>
    <x v="5"/>
    <x v="0"/>
  </r>
  <r>
    <x v="0"/>
    <x v="0"/>
    <n v="2239252323"/>
    <x v="6"/>
    <n v="15000"/>
    <x v="1"/>
    <x v="0"/>
    <x v="48"/>
    <x v="6"/>
    <x v="0"/>
    <x v="0"/>
    <x v="5"/>
    <x v="0"/>
  </r>
  <r>
    <x v="0"/>
    <x v="0"/>
    <n v="2239252324"/>
    <x v="2"/>
    <n v="4000"/>
    <x v="1"/>
    <x v="0"/>
    <x v="48"/>
    <x v="2"/>
    <x v="0"/>
    <x v="0"/>
    <x v="2"/>
    <x v="0"/>
  </r>
  <r>
    <x v="0"/>
    <x v="0"/>
    <n v="2239252325"/>
    <x v="2"/>
    <n v="8000"/>
    <x v="1"/>
    <x v="0"/>
    <x v="48"/>
    <x v="2"/>
    <x v="0"/>
    <x v="0"/>
    <x v="2"/>
    <x v="0"/>
  </r>
  <r>
    <x v="0"/>
    <x v="0"/>
    <n v="2239252326"/>
    <x v="2"/>
    <n v="17900"/>
    <x v="1"/>
    <x v="0"/>
    <x v="48"/>
    <x v="2"/>
    <x v="0"/>
    <x v="0"/>
    <x v="2"/>
    <x v="0"/>
  </r>
  <r>
    <x v="0"/>
    <x v="0"/>
    <n v="2239252327"/>
    <x v="2"/>
    <n v="5200"/>
    <x v="1"/>
    <x v="0"/>
    <x v="48"/>
    <x v="2"/>
    <x v="0"/>
    <x v="0"/>
    <x v="2"/>
    <x v="0"/>
  </r>
  <r>
    <x v="0"/>
    <x v="0"/>
    <n v="2239252327"/>
    <x v="7"/>
    <n v="1300"/>
    <x v="1"/>
    <x v="0"/>
    <x v="48"/>
    <x v="7"/>
    <x v="0"/>
    <x v="0"/>
    <x v="1"/>
    <x v="0"/>
  </r>
  <r>
    <x v="0"/>
    <x v="0"/>
    <n v="2239252328"/>
    <x v="6"/>
    <n v="4000"/>
    <x v="1"/>
    <x v="0"/>
    <x v="48"/>
    <x v="6"/>
    <x v="0"/>
    <x v="0"/>
    <x v="5"/>
    <x v="0"/>
  </r>
  <r>
    <x v="0"/>
    <x v="0"/>
    <n v="2239252329"/>
    <x v="2"/>
    <n v="16500"/>
    <x v="1"/>
    <x v="0"/>
    <x v="48"/>
    <x v="2"/>
    <x v="0"/>
    <x v="0"/>
    <x v="2"/>
    <x v="0"/>
  </r>
  <r>
    <x v="0"/>
    <x v="0"/>
    <n v="2239252330"/>
    <x v="5"/>
    <n v="-17000"/>
    <x v="1"/>
    <x v="0"/>
    <x v="48"/>
    <x v="5"/>
    <x v="0"/>
    <x v="0"/>
    <x v="5"/>
    <x v="0"/>
  </r>
  <r>
    <x v="0"/>
    <x v="0"/>
    <n v="2239252330"/>
    <x v="6"/>
    <n v="20000"/>
    <x v="1"/>
    <x v="0"/>
    <x v="48"/>
    <x v="6"/>
    <x v="0"/>
    <x v="0"/>
    <x v="5"/>
    <x v="0"/>
  </r>
  <r>
    <x v="0"/>
    <x v="0"/>
    <n v="2239252331"/>
    <x v="4"/>
    <n v="5000"/>
    <x v="1"/>
    <x v="0"/>
    <x v="48"/>
    <x v="4"/>
    <x v="0"/>
    <x v="0"/>
    <x v="4"/>
    <x v="0"/>
  </r>
  <r>
    <x v="0"/>
    <x v="0"/>
    <n v="2239252332"/>
    <x v="4"/>
    <n v="5300"/>
    <x v="1"/>
    <x v="0"/>
    <x v="48"/>
    <x v="4"/>
    <x v="0"/>
    <x v="0"/>
    <x v="4"/>
    <x v="0"/>
  </r>
  <r>
    <x v="0"/>
    <x v="0"/>
    <n v="2239252333"/>
    <x v="3"/>
    <n v="7500"/>
    <x v="1"/>
    <x v="0"/>
    <x v="48"/>
    <x v="3"/>
    <x v="0"/>
    <x v="0"/>
    <x v="3"/>
    <x v="0"/>
  </r>
  <r>
    <x v="0"/>
    <x v="0"/>
    <n v="2239252334"/>
    <x v="2"/>
    <n v="14080"/>
    <x v="1"/>
    <x v="0"/>
    <x v="48"/>
    <x v="2"/>
    <x v="0"/>
    <x v="0"/>
    <x v="2"/>
    <x v="0"/>
  </r>
  <r>
    <x v="0"/>
    <x v="0"/>
    <n v="2239252335"/>
    <x v="2"/>
    <n v="12100"/>
    <x v="1"/>
    <x v="0"/>
    <x v="48"/>
    <x v="2"/>
    <x v="0"/>
    <x v="0"/>
    <x v="2"/>
    <x v="0"/>
  </r>
  <r>
    <x v="0"/>
    <x v="0"/>
    <n v="2239252336"/>
    <x v="5"/>
    <n v="-14700"/>
    <x v="1"/>
    <x v="0"/>
    <x v="48"/>
    <x v="5"/>
    <x v="0"/>
    <x v="0"/>
    <x v="5"/>
    <x v="0"/>
  </r>
  <r>
    <x v="0"/>
    <x v="0"/>
    <n v="2239252336"/>
    <x v="4"/>
    <n v="20000"/>
    <x v="1"/>
    <x v="0"/>
    <x v="48"/>
    <x v="4"/>
    <x v="0"/>
    <x v="0"/>
    <x v="4"/>
    <x v="0"/>
  </r>
  <r>
    <x v="0"/>
    <x v="0"/>
    <n v="2239252337"/>
    <x v="5"/>
    <n v="-4300"/>
    <x v="1"/>
    <x v="0"/>
    <x v="48"/>
    <x v="5"/>
    <x v="0"/>
    <x v="0"/>
    <x v="5"/>
    <x v="0"/>
  </r>
  <r>
    <x v="0"/>
    <x v="0"/>
    <n v="2239252337"/>
    <x v="4"/>
    <n v="10000"/>
    <x v="1"/>
    <x v="0"/>
    <x v="48"/>
    <x v="4"/>
    <x v="0"/>
    <x v="0"/>
    <x v="4"/>
    <x v="0"/>
  </r>
  <r>
    <x v="0"/>
    <x v="0"/>
    <n v="2239252338"/>
    <x v="5"/>
    <n v="-1500"/>
    <x v="1"/>
    <x v="0"/>
    <x v="48"/>
    <x v="5"/>
    <x v="0"/>
    <x v="0"/>
    <x v="5"/>
    <x v="0"/>
  </r>
  <r>
    <x v="0"/>
    <x v="0"/>
    <n v="2239252338"/>
    <x v="6"/>
    <n v="5000"/>
    <x v="1"/>
    <x v="0"/>
    <x v="48"/>
    <x v="6"/>
    <x v="0"/>
    <x v="0"/>
    <x v="5"/>
    <x v="0"/>
  </r>
  <r>
    <x v="0"/>
    <x v="0"/>
    <n v="2239252339"/>
    <x v="5"/>
    <n v="-12400"/>
    <x v="1"/>
    <x v="0"/>
    <x v="48"/>
    <x v="5"/>
    <x v="0"/>
    <x v="0"/>
    <x v="5"/>
    <x v="0"/>
  </r>
  <r>
    <x v="0"/>
    <x v="0"/>
    <n v="2239252339"/>
    <x v="6"/>
    <n v="20000"/>
    <x v="1"/>
    <x v="0"/>
    <x v="48"/>
    <x v="6"/>
    <x v="0"/>
    <x v="0"/>
    <x v="5"/>
    <x v="0"/>
  </r>
  <r>
    <x v="0"/>
    <x v="0"/>
    <n v="2239252340"/>
    <x v="2"/>
    <n v="7500"/>
    <x v="1"/>
    <x v="0"/>
    <x v="48"/>
    <x v="2"/>
    <x v="0"/>
    <x v="0"/>
    <x v="2"/>
    <x v="0"/>
  </r>
  <r>
    <x v="0"/>
    <x v="0"/>
    <n v="2239252341"/>
    <x v="5"/>
    <n v="-900"/>
    <x v="1"/>
    <x v="0"/>
    <x v="48"/>
    <x v="5"/>
    <x v="0"/>
    <x v="0"/>
    <x v="5"/>
    <x v="0"/>
  </r>
  <r>
    <x v="0"/>
    <x v="0"/>
    <n v="2239252341"/>
    <x v="6"/>
    <n v="10000"/>
    <x v="1"/>
    <x v="0"/>
    <x v="48"/>
    <x v="6"/>
    <x v="0"/>
    <x v="0"/>
    <x v="5"/>
    <x v="0"/>
  </r>
  <r>
    <x v="0"/>
    <x v="0"/>
    <n v="2239252341"/>
    <x v="7"/>
    <n v="3900"/>
    <x v="1"/>
    <x v="0"/>
    <x v="48"/>
    <x v="7"/>
    <x v="0"/>
    <x v="0"/>
    <x v="1"/>
    <x v="0"/>
  </r>
  <r>
    <x v="0"/>
    <x v="0"/>
    <n v="2239252342"/>
    <x v="5"/>
    <n v="-4300"/>
    <x v="1"/>
    <x v="0"/>
    <x v="48"/>
    <x v="5"/>
    <x v="0"/>
    <x v="0"/>
    <x v="5"/>
    <x v="0"/>
  </r>
  <r>
    <x v="0"/>
    <x v="0"/>
    <n v="2239252342"/>
    <x v="4"/>
    <n v="10000"/>
    <x v="1"/>
    <x v="0"/>
    <x v="48"/>
    <x v="4"/>
    <x v="0"/>
    <x v="0"/>
    <x v="4"/>
    <x v="0"/>
  </r>
  <r>
    <x v="0"/>
    <x v="0"/>
    <n v="2239252343"/>
    <x v="2"/>
    <n v="4180"/>
    <x v="1"/>
    <x v="0"/>
    <x v="48"/>
    <x v="2"/>
    <x v="0"/>
    <x v="0"/>
    <x v="2"/>
    <x v="0"/>
  </r>
  <r>
    <x v="0"/>
    <x v="0"/>
    <n v="2239252344"/>
    <x v="2"/>
    <n v="4180"/>
    <x v="1"/>
    <x v="0"/>
    <x v="48"/>
    <x v="2"/>
    <x v="0"/>
    <x v="0"/>
    <x v="2"/>
    <x v="0"/>
  </r>
  <r>
    <x v="0"/>
    <x v="0"/>
    <n v="2239252345"/>
    <x v="5"/>
    <n v="-2500"/>
    <x v="1"/>
    <x v="0"/>
    <x v="48"/>
    <x v="5"/>
    <x v="0"/>
    <x v="0"/>
    <x v="5"/>
    <x v="0"/>
  </r>
  <r>
    <x v="0"/>
    <x v="0"/>
    <n v="2239252345"/>
    <x v="6"/>
    <n v="10000"/>
    <x v="1"/>
    <x v="0"/>
    <x v="48"/>
    <x v="6"/>
    <x v="0"/>
    <x v="0"/>
    <x v="5"/>
    <x v="0"/>
  </r>
  <r>
    <x v="0"/>
    <x v="0"/>
    <n v="2239252346"/>
    <x v="1"/>
    <n v="26000"/>
    <x v="1"/>
    <x v="0"/>
    <x v="48"/>
    <x v="1"/>
    <x v="0"/>
    <x v="0"/>
    <x v="1"/>
    <x v="0"/>
  </r>
  <r>
    <x v="0"/>
    <x v="0"/>
    <n v="2239259347"/>
    <x v="1"/>
    <n v="3150"/>
    <x v="1"/>
    <x v="0"/>
    <x v="49"/>
    <x v="1"/>
    <x v="0"/>
    <x v="0"/>
    <x v="1"/>
    <x v="0"/>
  </r>
  <r>
    <x v="0"/>
    <x v="0"/>
    <n v="2239259348"/>
    <x v="1"/>
    <n v="1140"/>
    <x v="1"/>
    <x v="0"/>
    <x v="49"/>
    <x v="1"/>
    <x v="0"/>
    <x v="0"/>
    <x v="1"/>
    <x v="0"/>
  </r>
  <r>
    <x v="0"/>
    <x v="0"/>
    <n v="2239259349"/>
    <x v="1"/>
    <n v="3750"/>
    <x v="1"/>
    <x v="0"/>
    <x v="49"/>
    <x v="1"/>
    <x v="0"/>
    <x v="0"/>
    <x v="1"/>
    <x v="0"/>
  </r>
  <r>
    <x v="0"/>
    <x v="0"/>
    <n v="2239259350"/>
    <x v="1"/>
    <n v="2250"/>
    <x v="1"/>
    <x v="0"/>
    <x v="49"/>
    <x v="1"/>
    <x v="0"/>
    <x v="0"/>
    <x v="1"/>
    <x v="0"/>
  </r>
  <r>
    <x v="0"/>
    <x v="0"/>
    <n v="2239259352"/>
    <x v="1"/>
    <n v="6000"/>
    <x v="1"/>
    <x v="0"/>
    <x v="49"/>
    <x v="1"/>
    <x v="0"/>
    <x v="0"/>
    <x v="1"/>
    <x v="0"/>
  </r>
  <r>
    <x v="0"/>
    <x v="0"/>
    <n v="2239259353"/>
    <x v="1"/>
    <n v="5850"/>
    <x v="1"/>
    <x v="0"/>
    <x v="49"/>
    <x v="1"/>
    <x v="0"/>
    <x v="0"/>
    <x v="1"/>
    <x v="0"/>
  </r>
  <r>
    <x v="0"/>
    <x v="0"/>
    <n v="2239259354"/>
    <x v="1"/>
    <n v="900"/>
    <x v="1"/>
    <x v="0"/>
    <x v="49"/>
    <x v="1"/>
    <x v="0"/>
    <x v="0"/>
    <x v="1"/>
    <x v="0"/>
  </r>
  <r>
    <x v="0"/>
    <x v="0"/>
    <n v="2239259355"/>
    <x v="1"/>
    <n v="1050"/>
    <x v="1"/>
    <x v="0"/>
    <x v="49"/>
    <x v="1"/>
    <x v="0"/>
    <x v="0"/>
    <x v="1"/>
    <x v="0"/>
  </r>
  <r>
    <x v="0"/>
    <x v="0"/>
    <n v="2239259356"/>
    <x v="1"/>
    <n v="48390"/>
    <x v="1"/>
    <x v="0"/>
    <x v="49"/>
    <x v="1"/>
    <x v="0"/>
    <x v="0"/>
    <x v="1"/>
    <x v="0"/>
  </r>
  <r>
    <x v="0"/>
    <x v="0"/>
    <n v="2239259357"/>
    <x v="11"/>
    <n v="1500"/>
    <x v="1"/>
    <x v="0"/>
    <x v="49"/>
    <x v="11"/>
    <x v="0"/>
    <x v="0"/>
    <x v="1"/>
    <x v="0"/>
  </r>
  <r>
    <x v="0"/>
    <x v="0"/>
    <n v="2239259358"/>
    <x v="1"/>
    <n v="3900"/>
    <x v="1"/>
    <x v="0"/>
    <x v="49"/>
    <x v="1"/>
    <x v="0"/>
    <x v="0"/>
    <x v="1"/>
    <x v="0"/>
  </r>
  <r>
    <x v="0"/>
    <x v="0"/>
    <n v="2239259359"/>
    <x v="1"/>
    <n v="12870"/>
    <x v="1"/>
    <x v="0"/>
    <x v="49"/>
    <x v="1"/>
    <x v="0"/>
    <x v="0"/>
    <x v="1"/>
    <x v="0"/>
  </r>
  <r>
    <x v="0"/>
    <x v="0"/>
    <n v="2239259360"/>
    <x v="0"/>
    <n v="7200"/>
    <x v="1"/>
    <x v="0"/>
    <x v="49"/>
    <x v="0"/>
    <x v="0"/>
    <x v="0"/>
    <x v="0"/>
    <x v="0"/>
  </r>
  <r>
    <x v="0"/>
    <x v="0"/>
    <n v="2239259361"/>
    <x v="1"/>
    <n v="3990"/>
    <x v="1"/>
    <x v="0"/>
    <x v="49"/>
    <x v="1"/>
    <x v="0"/>
    <x v="0"/>
    <x v="1"/>
    <x v="0"/>
  </r>
  <r>
    <x v="0"/>
    <x v="0"/>
    <n v="2239259362"/>
    <x v="1"/>
    <n v="9900"/>
    <x v="1"/>
    <x v="0"/>
    <x v="49"/>
    <x v="1"/>
    <x v="0"/>
    <x v="0"/>
    <x v="1"/>
    <x v="0"/>
  </r>
  <r>
    <x v="0"/>
    <x v="0"/>
    <n v="2239259363"/>
    <x v="1"/>
    <n v="6300"/>
    <x v="1"/>
    <x v="0"/>
    <x v="49"/>
    <x v="1"/>
    <x v="0"/>
    <x v="0"/>
    <x v="1"/>
    <x v="0"/>
  </r>
  <r>
    <x v="0"/>
    <x v="0"/>
    <n v="2239259364"/>
    <x v="1"/>
    <n v="1800"/>
    <x v="1"/>
    <x v="0"/>
    <x v="49"/>
    <x v="1"/>
    <x v="0"/>
    <x v="0"/>
    <x v="1"/>
    <x v="0"/>
  </r>
  <r>
    <x v="0"/>
    <x v="0"/>
    <n v="2239259365"/>
    <x v="1"/>
    <n v="2280"/>
    <x v="1"/>
    <x v="0"/>
    <x v="49"/>
    <x v="1"/>
    <x v="0"/>
    <x v="0"/>
    <x v="1"/>
    <x v="0"/>
  </r>
  <r>
    <x v="0"/>
    <x v="0"/>
    <n v="2239259366"/>
    <x v="1"/>
    <n v="12900"/>
    <x v="1"/>
    <x v="0"/>
    <x v="49"/>
    <x v="1"/>
    <x v="0"/>
    <x v="0"/>
    <x v="1"/>
    <x v="0"/>
  </r>
  <r>
    <x v="0"/>
    <x v="0"/>
    <n v="2239259367"/>
    <x v="1"/>
    <n v="18240"/>
    <x v="1"/>
    <x v="0"/>
    <x v="49"/>
    <x v="1"/>
    <x v="0"/>
    <x v="0"/>
    <x v="1"/>
    <x v="0"/>
  </r>
  <r>
    <x v="0"/>
    <x v="0"/>
    <n v="2239259368"/>
    <x v="1"/>
    <n v="2250"/>
    <x v="1"/>
    <x v="0"/>
    <x v="49"/>
    <x v="1"/>
    <x v="0"/>
    <x v="0"/>
    <x v="1"/>
    <x v="0"/>
  </r>
  <r>
    <x v="0"/>
    <x v="0"/>
    <n v="2239259369"/>
    <x v="1"/>
    <n v="900"/>
    <x v="1"/>
    <x v="0"/>
    <x v="49"/>
    <x v="1"/>
    <x v="0"/>
    <x v="0"/>
    <x v="1"/>
    <x v="0"/>
  </r>
  <r>
    <x v="0"/>
    <x v="0"/>
    <n v="2239259370"/>
    <x v="1"/>
    <n v="1470"/>
    <x v="1"/>
    <x v="0"/>
    <x v="49"/>
    <x v="1"/>
    <x v="0"/>
    <x v="0"/>
    <x v="1"/>
    <x v="0"/>
  </r>
  <r>
    <x v="0"/>
    <x v="0"/>
    <n v="2239259371"/>
    <x v="1"/>
    <n v="15230"/>
    <x v="1"/>
    <x v="0"/>
    <x v="49"/>
    <x v="1"/>
    <x v="0"/>
    <x v="0"/>
    <x v="1"/>
    <x v="0"/>
  </r>
  <r>
    <x v="0"/>
    <x v="0"/>
    <n v="2239259372"/>
    <x v="1"/>
    <n v="4050"/>
    <x v="1"/>
    <x v="0"/>
    <x v="49"/>
    <x v="1"/>
    <x v="0"/>
    <x v="0"/>
    <x v="1"/>
    <x v="0"/>
  </r>
  <r>
    <x v="0"/>
    <x v="0"/>
    <n v="2239259373"/>
    <x v="1"/>
    <n v="900"/>
    <x v="1"/>
    <x v="0"/>
    <x v="49"/>
    <x v="1"/>
    <x v="0"/>
    <x v="0"/>
    <x v="1"/>
    <x v="0"/>
  </r>
  <r>
    <x v="0"/>
    <x v="0"/>
    <n v="2239259374"/>
    <x v="1"/>
    <n v="53070"/>
    <x v="1"/>
    <x v="0"/>
    <x v="49"/>
    <x v="1"/>
    <x v="0"/>
    <x v="0"/>
    <x v="1"/>
    <x v="0"/>
  </r>
  <r>
    <x v="0"/>
    <x v="0"/>
    <n v="2239259375"/>
    <x v="1"/>
    <n v="6300"/>
    <x v="1"/>
    <x v="0"/>
    <x v="49"/>
    <x v="1"/>
    <x v="0"/>
    <x v="0"/>
    <x v="1"/>
    <x v="0"/>
  </r>
  <r>
    <x v="0"/>
    <x v="0"/>
    <n v="2239259376"/>
    <x v="1"/>
    <n v="1050"/>
    <x v="1"/>
    <x v="0"/>
    <x v="49"/>
    <x v="1"/>
    <x v="0"/>
    <x v="0"/>
    <x v="1"/>
    <x v="0"/>
  </r>
  <r>
    <x v="0"/>
    <x v="0"/>
    <n v="2239259377"/>
    <x v="1"/>
    <n v="20880"/>
    <x v="1"/>
    <x v="0"/>
    <x v="49"/>
    <x v="1"/>
    <x v="0"/>
    <x v="0"/>
    <x v="1"/>
    <x v="0"/>
  </r>
  <r>
    <x v="0"/>
    <x v="0"/>
    <n v="2239259379"/>
    <x v="1"/>
    <n v="2700"/>
    <x v="1"/>
    <x v="0"/>
    <x v="49"/>
    <x v="1"/>
    <x v="0"/>
    <x v="0"/>
    <x v="1"/>
    <x v="0"/>
  </r>
  <r>
    <x v="0"/>
    <x v="0"/>
    <n v="2239259381"/>
    <x v="0"/>
    <n v="1350"/>
    <x v="1"/>
    <x v="0"/>
    <x v="49"/>
    <x v="0"/>
    <x v="0"/>
    <x v="0"/>
    <x v="0"/>
    <x v="0"/>
  </r>
  <r>
    <x v="0"/>
    <x v="0"/>
    <n v="2239259382"/>
    <x v="5"/>
    <n v="-3100"/>
    <x v="1"/>
    <x v="0"/>
    <x v="49"/>
    <x v="5"/>
    <x v="0"/>
    <x v="0"/>
    <x v="5"/>
    <x v="0"/>
  </r>
  <r>
    <x v="0"/>
    <x v="0"/>
    <n v="2239259382"/>
    <x v="6"/>
    <n v="40000"/>
    <x v="1"/>
    <x v="0"/>
    <x v="49"/>
    <x v="6"/>
    <x v="0"/>
    <x v="0"/>
    <x v="5"/>
    <x v="0"/>
  </r>
  <r>
    <x v="0"/>
    <x v="0"/>
    <n v="2239259383"/>
    <x v="1"/>
    <n v="9000"/>
    <x v="1"/>
    <x v="0"/>
    <x v="49"/>
    <x v="1"/>
    <x v="0"/>
    <x v="0"/>
    <x v="1"/>
    <x v="0"/>
  </r>
  <r>
    <x v="0"/>
    <x v="0"/>
    <n v="2239259384"/>
    <x v="0"/>
    <n v="4320"/>
    <x v="1"/>
    <x v="0"/>
    <x v="49"/>
    <x v="0"/>
    <x v="0"/>
    <x v="0"/>
    <x v="0"/>
    <x v="0"/>
  </r>
  <r>
    <x v="0"/>
    <x v="0"/>
    <n v="2239259386"/>
    <x v="1"/>
    <n v="11580"/>
    <x v="1"/>
    <x v="0"/>
    <x v="49"/>
    <x v="1"/>
    <x v="0"/>
    <x v="0"/>
    <x v="1"/>
    <x v="0"/>
  </r>
  <r>
    <x v="0"/>
    <x v="0"/>
    <n v="2239259387"/>
    <x v="1"/>
    <n v="6300"/>
    <x v="1"/>
    <x v="0"/>
    <x v="49"/>
    <x v="1"/>
    <x v="0"/>
    <x v="0"/>
    <x v="1"/>
    <x v="0"/>
  </r>
  <r>
    <x v="0"/>
    <x v="0"/>
    <n v="2239259388"/>
    <x v="1"/>
    <n v="27670"/>
    <x v="1"/>
    <x v="0"/>
    <x v="49"/>
    <x v="1"/>
    <x v="0"/>
    <x v="0"/>
    <x v="1"/>
    <x v="0"/>
  </r>
  <r>
    <x v="0"/>
    <x v="0"/>
    <n v="2239259389"/>
    <x v="1"/>
    <n v="15570"/>
    <x v="1"/>
    <x v="0"/>
    <x v="49"/>
    <x v="1"/>
    <x v="0"/>
    <x v="0"/>
    <x v="1"/>
    <x v="0"/>
  </r>
  <r>
    <x v="0"/>
    <x v="0"/>
    <n v="2239259390"/>
    <x v="1"/>
    <n v="16550"/>
    <x v="1"/>
    <x v="0"/>
    <x v="49"/>
    <x v="1"/>
    <x v="0"/>
    <x v="0"/>
    <x v="1"/>
    <x v="0"/>
  </r>
  <r>
    <x v="0"/>
    <x v="0"/>
    <n v="2239259391"/>
    <x v="1"/>
    <n v="13650"/>
    <x v="1"/>
    <x v="0"/>
    <x v="49"/>
    <x v="1"/>
    <x v="0"/>
    <x v="0"/>
    <x v="1"/>
    <x v="0"/>
  </r>
  <r>
    <x v="0"/>
    <x v="0"/>
    <n v="2239259392"/>
    <x v="1"/>
    <n v="3150"/>
    <x v="1"/>
    <x v="0"/>
    <x v="49"/>
    <x v="1"/>
    <x v="0"/>
    <x v="0"/>
    <x v="1"/>
    <x v="0"/>
  </r>
  <r>
    <x v="0"/>
    <x v="0"/>
    <n v="2239259393"/>
    <x v="1"/>
    <n v="3900"/>
    <x v="1"/>
    <x v="0"/>
    <x v="49"/>
    <x v="1"/>
    <x v="0"/>
    <x v="0"/>
    <x v="1"/>
    <x v="0"/>
  </r>
  <r>
    <x v="0"/>
    <x v="0"/>
    <n v="2239259394"/>
    <x v="1"/>
    <n v="3000"/>
    <x v="1"/>
    <x v="0"/>
    <x v="49"/>
    <x v="1"/>
    <x v="0"/>
    <x v="0"/>
    <x v="1"/>
    <x v="0"/>
  </r>
  <r>
    <x v="0"/>
    <x v="0"/>
    <n v="2239259395"/>
    <x v="1"/>
    <n v="5850"/>
    <x v="1"/>
    <x v="0"/>
    <x v="49"/>
    <x v="1"/>
    <x v="0"/>
    <x v="0"/>
    <x v="1"/>
    <x v="0"/>
  </r>
  <r>
    <x v="0"/>
    <x v="0"/>
    <n v="2239259396"/>
    <x v="1"/>
    <n v="13380"/>
    <x v="1"/>
    <x v="0"/>
    <x v="49"/>
    <x v="1"/>
    <x v="0"/>
    <x v="0"/>
    <x v="1"/>
    <x v="0"/>
  </r>
  <r>
    <x v="0"/>
    <x v="0"/>
    <n v="2239259397"/>
    <x v="1"/>
    <n v="1140"/>
    <x v="1"/>
    <x v="0"/>
    <x v="49"/>
    <x v="1"/>
    <x v="0"/>
    <x v="0"/>
    <x v="1"/>
    <x v="0"/>
  </r>
  <r>
    <x v="0"/>
    <x v="0"/>
    <n v="2239259398"/>
    <x v="1"/>
    <n v="900"/>
    <x v="1"/>
    <x v="0"/>
    <x v="49"/>
    <x v="1"/>
    <x v="0"/>
    <x v="0"/>
    <x v="1"/>
    <x v="0"/>
  </r>
  <r>
    <x v="0"/>
    <x v="0"/>
    <n v="2239259399"/>
    <x v="1"/>
    <n v="7500"/>
    <x v="1"/>
    <x v="0"/>
    <x v="49"/>
    <x v="1"/>
    <x v="0"/>
    <x v="0"/>
    <x v="1"/>
    <x v="0"/>
  </r>
  <r>
    <x v="0"/>
    <x v="0"/>
    <n v="2239259400"/>
    <x v="1"/>
    <n v="2850"/>
    <x v="1"/>
    <x v="0"/>
    <x v="49"/>
    <x v="1"/>
    <x v="0"/>
    <x v="0"/>
    <x v="1"/>
    <x v="0"/>
  </r>
  <r>
    <x v="0"/>
    <x v="0"/>
    <n v="2239259401"/>
    <x v="1"/>
    <n v="6500"/>
    <x v="1"/>
    <x v="0"/>
    <x v="49"/>
    <x v="1"/>
    <x v="0"/>
    <x v="0"/>
    <x v="1"/>
    <x v="0"/>
  </r>
  <r>
    <x v="0"/>
    <x v="0"/>
    <n v="2239259402"/>
    <x v="0"/>
    <n v="900"/>
    <x v="1"/>
    <x v="0"/>
    <x v="49"/>
    <x v="0"/>
    <x v="0"/>
    <x v="0"/>
    <x v="0"/>
    <x v="0"/>
  </r>
  <r>
    <x v="0"/>
    <x v="0"/>
    <n v="2239259403"/>
    <x v="1"/>
    <n v="1140"/>
    <x v="1"/>
    <x v="0"/>
    <x v="49"/>
    <x v="1"/>
    <x v="0"/>
    <x v="0"/>
    <x v="1"/>
    <x v="0"/>
  </r>
  <r>
    <x v="0"/>
    <x v="0"/>
    <n v="2239259404"/>
    <x v="1"/>
    <n v="2940"/>
    <x v="1"/>
    <x v="0"/>
    <x v="49"/>
    <x v="1"/>
    <x v="0"/>
    <x v="0"/>
    <x v="1"/>
    <x v="0"/>
  </r>
  <r>
    <x v="0"/>
    <x v="0"/>
    <n v="2239259405"/>
    <x v="1"/>
    <n v="29140"/>
    <x v="1"/>
    <x v="0"/>
    <x v="49"/>
    <x v="1"/>
    <x v="0"/>
    <x v="0"/>
    <x v="1"/>
    <x v="0"/>
  </r>
  <r>
    <x v="0"/>
    <x v="0"/>
    <n v="2239259406"/>
    <x v="1"/>
    <n v="2700"/>
    <x v="1"/>
    <x v="0"/>
    <x v="49"/>
    <x v="1"/>
    <x v="0"/>
    <x v="0"/>
    <x v="1"/>
    <x v="0"/>
  </r>
  <r>
    <x v="0"/>
    <x v="0"/>
    <n v="2239259407"/>
    <x v="1"/>
    <n v="2040"/>
    <x v="1"/>
    <x v="0"/>
    <x v="49"/>
    <x v="1"/>
    <x v="0"/>
    <x v="0"/>
    <x v="1"/>
    <x v="0"/>
  </r>
  <r>
    <x v="0"/>
    <x v="0"/>
    <n v="2239259408"/>
    <x v="1"/>
    <n v="1200"/>
    <x v="1"/>
    <x v="0"/>
    <x v="49"/>
    <x v="1"/>
    <x v="0"/>
    <x v="0"/>
    <x v="1"/>
    <x v="0"/>
  </r>
  <r>
    <x v="0"/>
    <x v="0"/>
    <n v="2239259409"/>
    <x v="1"/>
    <n v="27150"/>
    <x v="1"/>
    <x v="0"/>
    <x v="49"/>
    <x v="1"/>
    <x v="0"/>
    <x v="0"/>
    <x v="1"/>
    <x v="0"/>
  </r>
  <r>
    <x v="0"/>
    <x v="0"/>
    <n v="2239259410"/>
    <x v="1"/>
    <n v="16590"/>
    <x v="1"/>
    <x v="0"/>
    <x v="49"/>
    <x v="1"/>
    <x v="0"/>
    <x v="0"/>
    <x v="1"/>
    <x v="0"/>
  </r>
  <r>
    <x v="0"/>
    <x v="0"/>
    <n v="2239259411"/>
    <x v="1"/>
    <n v="6300"/>
    <x v="1"/>
    <x v="0"/>
    <x v="49"/>
    <x v="1"/>
    <x v="0"/>
    <x v="0"/>
    <x v="1"/>
    <x v="0"/>
  </r>
  <r>
    <x v="0"/>
    <x v="0"/>
    <n v="2239259412"/>
    <x v="1"/>
    <n v="31900"/>
    <x v="1"/>
    <x v="0"/>
    <x v="49"/>
    <x v="1"/>
    <x v="0"/>
    <x v="0"/>
    <x v="1"/>
    <x v="0"/>
  </r>
  <r>
    <x v="0"/>
    <x v="0"/>
    <n v="2239259413"/>
    <x v="0"/>
    <n v="28470"/>
    <x v="1"/>
    <x v="0"/>
    <x v="49"/>
    <x v="0"/>
    <x v="0"/>
    <x v="0"/>
    <x v="0"/>
    <x v="0"/>
  </r>
  <r>
    <x v="0"/>
    <x v="0"/>
    <n v="2239259414"/>
    <x v="1"/>
    <n v="12950"/>
    <x v="1"/>
    <x v="0"/>
    <x v="49"/>
    <x v="1"/>
    <x v="0"/>
    <x v="0"/>
    <x v="1"/>
    <x v="0"/>
  </r>
  <r>
    <x v="0"/>
    <x v="0"/>
    <n v="2239259416"/>
    <x v="1"/>
    <n v="6500"/>
    <x v="1"/>
    <x v="0"/>
    <x v="49"/>
    <x v="1"/>
    <x v="0"/>
    <x v="0"/>
    <x v="1"/>
    <x v="0"/>
  </r>
  <r>
    <x v="0"/>
    <x v="0"/>
    <n v="2239259417"/>
    <x v="1"/>
    <n v="13590"/>
    <x v="1"/>
    <x v="0"/>
    <x v="49"/>
    <x v="1"/>
    <x v="0"/>
    <x v="0"/>
    <x v="1"/>
    <x v="0"/>
  </r>
  <r>
    <x v="0"/>
    <x v="0"/>
    <n v="2239259418"/>
    <x v="1"/>
    <n v="19380"/>
    <x v="1"/>
    <x v="0"/>
    <x v="49"/>
    <x v="1"/>
    <x v="0"/>
    <x v="0"/>
    <x v="1"/>
    <x v="0"/>
  </r>
  <r>
    <x v="0"/>
    <x v="0"/>
    <n v="2239259419"/>
    <x v="1"/>
    <n v="61570"/>
    <x v="1"/>
    <x v="0"/>
    <x v="49"/>
    <x v="1"/>
    <x v="0"/>
    <x v="0"/>
    <x v="1"/>
    <x v="0"/>
  </r>
  <r>
    <x v="0"/>
    <x v="0"/>
    <n v="2239259420"/>
    <x v="1"/>
    <n v="1050"/>
    <x v="1"/>
    <x v="0"/>
    <x v="49"/>
    <x v="1"/>
    <x v="0"/>
    <x v="0"/>
    <x v="1"/>
    <x v="0"/>
  </r>
  <r>
    <x v="0"/>
    <x v="0"/>
    <n v="2239259421"/>
    <x v="1"/>
    <n v="39400"/>
    <x v="1"/>
    <x v="0"/>
    <x v="49"/>
    <x v="1"/>
    <x v="0"/>
    <x v="0"/>
    <x v="1"/>
    <x v="0"/>
  </r>
  <r>
    <x v="0"/>
    <x v="0"/>
    <n v="2239259422"/>
    <x v="1"/>
    <n v="16710"/>
    <x v="1"/>
    <x v="0"/>
    <x v="49"/>
    <x v="1"/>
    <x v="0"/>
    <x v="0"/>
    <x v="1"/>
    <x v="0"/>
  </r>
  <r>
    <x v="0"/>
    <x v="0"/>
    <n v="2239259423"/>
    <x v="3"/>
    <n v="13530"/>
    <x v="1"/>
    <x v="0"/>
    <x v="49"/>
    <x v="3"/>
    <x v="0"/>
    <x v="0"/>
    <x v="3"/>
    <x v="0"/>
  </r>
  <r>
    <x v="0"/>
    <x v="0"/>
    <n v="2239259424"/>
    <x v="1"/>
    <n v="11610"/>
    <x v="1"/>
    <x v="0"/>
    <x v="49"/>
    <x v="1"/>
    <x v="0"/>
    <x v="0"/>
    <x v="1"/>
    <x v="0"/>
  </r>
  <r>
    <x v="0"/>
    <x v="0"/>
    <n v="2239259425"/>
    <x v="1"/>
    <n v="12000"/>
    <x v="1"/>
    <x v="0"/>
    <x v="49"/>
    <x v="1"/>
    <x v="0"/>
    <x v="0"/>
    <x v="1"/>
    <x v="0"/>
  </r>
  <r>
    <x v="0"/>
    <x v="0"/>
    <n v="2239259426"/>
    <x v="2"/>
    <n v="26092"/>
    <x v="1"/>
    <x v="0"/>
    <x v="49"/>
    <x v="2"/>
    <x v="0"/>
    <x v="0"/>
    <x v="2"/>
    <x v="0"/>
  </r>
  <r>
    <x v="0"/>
    <x v="0"/>
    <n v="2239259427"/>
    <x v="1"/>
    <n v="26040"/>
    <x v="1"/>
    <x v="0"/>
    <x v="49"/>
    <x v="1"/>
    <x v="0"/>
    <x v="0"/>
    <x v="1"/>
    <x v="0"/>
  </r>
  <r>
    <x v="0"/>
    <x v="0"/>
    <n v="2239259428"/>
    <x v="1"/>
    <n v="9870"/>
    <x v="1"/>
    <x v="0"/>
    <x v="49"/>
    <x v="1"/>
    <x v="0"/>
    <x v="0"/>
    <x v="1"/>
    <x v="0"/>
  </r>
  <r>
    <x v="0"/>
    <x v="0"/>
    <n v="2239259429"/>
    <x v="1"/>
    <n v="3000"/>
    <x v="1"/>
    <x v="0"/>
    <x v="49"/>
    <x v="1"/>
    <x v="0"/>
    <x v="0"/>
    <x v="1"/>
    <x v="0"/>
  </r>
  <r>
    <x v="0"/>
    <x v="0"/>
    <n v="2239259430"/>
    <x v="1"/>
    <n v="4500"/>
    <x v="1"/>
    <x v="0"/>
    <x v="49"/>
    <x v="1"/>
    <x v="0"/>
    <x v="0"/>
    <x v="1"/>
    <x v="0"/>
  </r>
  <r>
    <x v="0"/>
    <x v="0"/>
    <n v="2239259431"/>
    <x v="5"/>
    <n v="-500"/>
    <x v="1"/>
    <x v="0"/>
    <x v="49"/>
    <x v="5"/>
    <x v="0"/>
    <x v="0"/>
    <x v="5"/>
    <x v="0"/>
  </r>
  <r>
    <x v="0"/>
    <x v="0"/>
    <n v="2239259431"/>
    <x v="6"/>
    <n v="20000"/>
    <x v="1"/>
    <x v="0"/>
    <x v="49"/>
    <x v="6"/>
    <x v="0"/>
    <x v="0"/>
    <x v="5"/>
    <x v="0"/>
  </r>
  <r>
    <x v="0"/>
    <x v="0"/>
    <n v="2239259432"/>
    <x v="1"/>
    <n v="1350"/>
    <x v="1"/>
    <x v="0"/>
    <x v="49"/>
    <x v="1"/>
    <x v="0"/>
    <x v="0"/>
    <x v="1"/>
    <x v="0"/>
  </r>
  <r>
    <x v="0"/>
    <x v="0"/>
    <n v="2239259433"/>
    <x v="0"/>
    <n v="27450"/>
    <x v="1"/>
    <x v="0"/>
    <x v="49"/>
    <x v="0"/>
    <x v="0"/>
    <x v="0"/>
    <x v="0"/>
    <x v="0"/>
  </r>
  <r>
    <x v="0"/>
    <x v="0"/>
    <n v="2239259434"/>
    <x v="1"/>
    <n v="1800"/>
    <x v="1"/>
    <x v="0"/>
    <x v="49"/>
    <x v="1"/>
    <x v="0"/>
    <x v="0"/>
    <x v="1"/>
    <x v="0"/>
  </r>
  <r>
    <x v="0"/>
    <x v="0"/>
    <n v="2239259435"/>
    <x v="1"/>
    <n v="2850"/>
    <x v="1"/>
    <x v="0"/>
    <x v="49"/>
    <x v="1"/>
    <x v="0"/>
    <x v="0"/>
    <x v="1"/>
    <x v="0"/>
  </r>
  <r>
    <x v="0"/>
    <x v="0"/>
    <n v="2239259436"/>
    <x v="0"/>
    <n v="5700"/>
    <x v="1"/>
    <x v="0"/>
    <x v="49"/>
    <x v="0"/>
    <x v="0"/>
    <x v="0"/>
    <x v="0"/>
    <x v="0"/>
  </r>
  <r>
    <x v="0"/>
    <x v="0"/>
    <n v="2239259437"/>
    <x v="1"/>
    <n v="1140"/>
    <x v="1"/>
    <x v="0"/>
    <x v="49"/>
    <x v="1"/>
    <x v="0"/>
    <x v="0"/>
    <x v="1"/>
    <x v="0"/>
  </r>
  <r>
    <x v="0"/>
    <x v="0"/>
    <n v="2239259438"/>
    <x v="0"/>
    <n v="22900"/>
    <x v="1"/>
    <x v="0"/>
    <x v="49"/>
    <x v="0"/>
    <x v="0"/>
    <x v="0"/>
    <x v="0"/>
    <x v="0"/>
  </r>
  <r>
    <x v="0"/>
    <x v="0"/>
    <n v="2239259439"/>
    <x v="1"/>
    <n v="40450"/>
    <x v="1"/>
    <x v="0"/>
    <x v="49"/>
    <x v="1"/>
    <x v="0"/>
    <x v="0"/>
    <x v="1"/>
    <x v="0"/>
  </r>
  <r>
    <x v="0"/>
    <x v="0"/>
    <n v="2239259440"/>
    <x v="1"/>
    <n v="50550"/>
    <x v="1"/>
    <x v="0"/>
    <x v="49"/>
    <x v="1"/>
    <x v="0"/>
    <x v="0"/>
    <x v="1"/>
    <x v="0"/>
  </r>
  <r>
    <x v="0"/>
    <x v="0"/>
    <n v="2239259441"/>
    <x v="1"/>
    <n v="2850"/>
    <x v="1"/>
    <x v="0"/>
    <x v="49"/>
    <x v="1"/>
    <x v="0"/>
    <x v="0"/>
    <x v="1"/>
    <x v="0"/>
  </r>
  <r>
    <x v="0"/>
    <x v="0"/>
    <n v="2239259442"/>
    <x v="1"/>
    <n v="2250"/>
    <x v="1"/>
    <x v="0"/>
    <x v="49"/>
    <x v="1"/>
    <x v="0"/>
    <x v="0"/>
    <x v="1"/>
    <x v="0"/>
  </r>
  <r>
    <x v="0"/>
    <x v="0"/>
    <n v="2239259443"/>
    <x v="1"/>
    <n v="47010"/>
    <x v="1"/>
    <x v="0"/>
    <x v="49"/>
    <x v="1"/>
    <x v="0"/>
    <x v="0"/>
    <x v="1"/>
    <x v="0"/>
  </r>
  <r>
    <x v="0"/>
    <x v="0"/>
    <n v="2239259444"/>
    <x v="1"/>
    <n v="6450"/>
    <x v="1"/>
    <x v="0"/>
    <x v="49"/>
    <x v="1"/>
    <x v="0"/>
    <x v="0"/>
    <x v="1"/>
    <x v="0"/>
  </r>
  <r>
    <x v="0"/>
    <x v="0"/>
    <n v="2239259445"/>
    <x v="0"/>
    <n v="2250"/>
    <x v="1"/>
    <x v="0"/>
    <x v="49"/>
    <x v="0"/>
    <x v="0"/>
    <x v="0"/>
    <x v="0"/>
    <x v="0"/>
  </r>
  <r>
    <x v="0"/>
    <x v="0"/>
    <n v="2239259446"/>
    <x v="0"/>
    <n v="900"/>
    <x v="1"/>
    <x v="0"/>
    <x v="49"/>
    <x v="0"/>
    <x v="0"/>
    <x v="0"/>
    <x v="0"/>
    <x v="0"/>
  </r>
  <r>
    <x v="0"/>
    <x v="0"/>
    <n v="2239259447"/>
    <x v="1"/>
    <n v="27800"/>
    <x v="1"/>
    <x v="0"/>
    <x v="49"/>
    <x v="1"/>
    <x v="0"/>
    <x v="0"/>
    <x v="1"/>
    <x v="0"/>
  </r>
  <r>
    <x v="0"/>
    <x v="0"/>
    <n v="2239259448"/>
    <x v="0"/>
    <n v="5400"/>
    <x v="1"/>
    <x v="0"/>
    <x v="49"/>
    <x v="0"/>
    <x v="0"/>
    <x v="0"/>
    <x v="0"/>
    <x v="0"/>
  </r>
  <r>
    <x v="0"/>
    <x v="0"/>
    <n v="2239259449"/>
    <x v="1"/>
    <n v="7170"/>
    <x v="1"/>
    <x v="0"/>
    <x v="49"/>
    <x v="1"/>
    <x v="0"/>
    <x v="0"/>
    <x v="1"/>
    <x v="0"/>
  </r>
  <r>
    <x v="0"/>
    <x v="0"/>
    <n v="2239259450"/>
    <x v="0"/>
    <n v="2700"/>
    <x v="1"/>
    <x v="0"/>
    <x v="49"/>
    <x v="0"/>
    <x v="0"/>
    <x v="0"/>
    <x v="0"/>
    <x v="0"/>
  </r>
  <r>
    <x v="0"/>
    <x v="0"/>
    <n v="2239259451"/>
    <x v="1"/>
    <n v="1950"/>
    <x v="1"/>
    <x v="0"/>
    <x v="49"/>
    <x v="1"/>
    <x v="0"/>
    <x v="0"/>
    <x v="1"/>
    <x v="0"/>
  </r>
  <r>
    <x v="0"/>
    <x v="0"/>
    <n v="2239259452"/>
    <x v="1"/>
    <n v="1140"/>
    <x v="1"/>
    <x v="0"/>
    <x v="49"/>
    <x v="1"/>
    <x v="0"/>
    <x v="0"/>
    <x v="1"/>
    <x v="0"/>
  </r>
  <r>
    <x v="0"/>
    <x v="0"/>
    <n v="2239259453"/>
    <x v="1"/>
    <n v="10900"/>
    <x v="1"/>
    <x v="0"/>
    <x v="49"/>
    <x v="1"/>
    <x v="0"/>
    <x v="0"/>
    <x v="1"/>
    <x v="0"/>
  </r>
  <r>
    <x v="0"/>
    <x v="0"/>
    <n v="2239259454"/>
    <x v="1"/>
    <n v="1950"/>
    <x v="1"/>
    <x v="0"/>
    <x v="49"/>
    <x v="1"/>
    <x v="0"/>
    <x v="0"/>
    <x v="1"/>
    <x v="0"/>
  </r>
  <r>
    <x v="0"/>
    <x v="0"/>
    <n v="2239259455"/>
    <x v="3"/>
    <n v="42570"/>
    <x v="1"/>
    <x v="0"/>
    <x v="49"/>
    <x v="3"/>
    <x v="0"/>
    <x v="0"/>
    <x v="3"/>
    <x v="0"/>
  </r>
  <r>
    <x v="0"/>
    <x v="0"/>
    <n v="2239259457"/>
    <x v="5"/>
    <n v="-7480"/>
    <x v="1"/>
    <x v="0"/>
    <x v="49"/>
    <x v="5"/>
    <x v="0"/>
    <x v="0"/>
    <x v="5"/>
    <x v="0"/>
  </r>
  <r>
    <x v="0"/>
    <x v="0"/>
    <n v="2239259457"/>
    <x v="6"/>
    <n v="40000"/>
    <x v="1"/>
    <x v="0"/>
    <x v="49"/>
    <x v="6"/>
    <x v="0"/>
    <x v="0"/>
    <x v="5"/>
    <x v="0"/>
  </r>
  <r>
    <x v="0"/>
    <x v="0"/>
    <n v="2239259458"/>
    <x v="5"/>
    <n v="-1700"/>
    <x v="1"/>
    <x v="0"/>
    <x v="49"/>
    <x v="5"/>
    <x v="0"/>
    <x v="0"/>
    <x v="5"/>
    <x v="0"/>
  </r>
  <r>
    <x v="0"/>
    <x v="0"/>
    <n v="2239259458"/>
    <x v="4"/>
    <n v="7000"/>
    <x v="1"/>
    <x v="0"/>
    <x v="49"/>
    <x v="4"/>
    <x v="0"/>
    <x v="0"/>
    <x v="4"/>
    <x v="0"/>
  </r>
  <r>
    <x v="0"/>
    <x v="0"/>
    <n v="2239259459"/>
    <x v="6"/>
    <n v="3000"/>
    <x v="1"/>
    <x v="0"/>
    <x v="49"/>
    <x v="6"/>
    <x v="0"/>
    <x v="0"/>
    <x v="5"/>
    <x v="0"/>
  </r>
  <r>
    <x v="0"/>
    <x v="0"/>
    <n v="2239259460"/>
    <x v="5"/>
    <n v="-600"/>
    <x v="1"/>
    <x v="0"/>
    <x v="49"/>
    <x v="5"/>
    <x v="0"/>
    <x v="0"/>
    <x v="5"/>
    <x v="0"/>
  </r>
  <r>
    <x v="0"/>
    <x v="0"/>
    <n v="2239259460"/>
    <x v="4"/>
    <n v="5000"/>
    <x v="1"/>
    <x v="0"/>
    <x v="49"/>
    <x v="4"/>
    <x v="0"/>
    <x v="0"/>
    <x v="4"/>
    <x v="0"/>
  </r>
  <r>
    <x v="0"/>
    <x v="0"/>
    <n v="2239259461"/>
    <x v="1"/>
    <n v="1470"/>
    <x v="1"/>
    <x v="0"/>
    <x v="49"/>
    <x v="1"/>
    <x v="0"/>
    <x v="0"/>
    <x v="1"/>
    <x v="0"/>
  </r>
  <r>
    <x v="0"/>
    <x v="0"/>
    <n v="2239259462"/>
    <x v="2"/>
    <n v="4000"/>
    <x v="1"/>
    <x v="0"/>
    <x v="49"/>
    <x v="2"/>
    <x v="0"/>
    <x v="0"/>
    <x v="2"/>
    <x v="0"/>
  </r>
  <r>
    <x v="0"/>
    <x v="0"/>
    <n v="2239259464"/>
    <x v="2"/>
    <n v="20520"/>
    <x v="1"/>
    <x v="0"/>
    <x v="49"/>
    <x v="2"/>
    <x v="0"/>
    <x v="0"/>
    <x v="2"/>
    <x v="0"/>
  </r>
  <r>
    <x v="0"/>
    <x v="0"/>
    <n v="2239259464"/>
    <x v="7"/>
    <n v="2280"/>
    <x v="1"/>
    <x v="0"/>
    <x v="49"/>
    <x v="7"/>
    <x v="0"/>
    <x v="0"/>
    <x v="1"/>
    <x v="0"/>
  </r>
  <r>
    <x v="0"/>
    <x v="0"/>
    <n v="2239259465"/>
    <x v="3"/>
    <n v="16390"/>
    <x v="1"/>
    <x v="0"/>
    <x v="49"/>
    <x v="3"/>
    <x v="0"/>
    <x v="0"/>
    <x v="3"/>
    <x v="0"/>
  </r>
  <r>
    <x v="0"/>
    <x v="0"/>
    <n v="2239259466"/>
    <x v="6"/>
    <n v="1000"/>
    <x v="1"/>
    <x v="0"/>
    <x v="49"/>
    <x v="6"/>
    <x v="0"/>
    <x v="0"/>
    <x v="5"/>
    <x v="0"/>
  </r>
  <r>
    <x v="0"/>
    <x v="0"/>
    <n v="2239259467"/>
    <x v="6"/>
    <n v="1000"/>
    <x v="1"/>
    <x v="0"/>
    <x v="49"/>
    <x v="6"/>
    <x v="0"/>
    <x v="0"/>
    <x v="5"/>
    <x v="0"/>
  </r>
  <r>
    <x v="0"/>
    <x v="0"/>
    <n v="2239259468"/>
    <x v="7"/>
    <n v="650"/>
    <x v="1"/>
    <x v="0"/>
    <x v="49"/>
    <x v="7"/>
    <x v="0"/>
    <x v="0"/>
    <x v="1"/>
    <x v="0"/>
  </r>
  <r>
    <x v="0"/>
    <x v="0"/>
    <n v="2239259470"/>
    <x v="5"/>
    <n v="-4500"/>
    <x v="1"/>
    <x v="0"/>
    <x v="49"/>
    <x v="5"/>
    <x v="0"/>
    <x v="0"/>
    <x v="5"/>
    <x v="0"/>
  </r>
  <r>
    <x v="0"/>
    <x v="0"/>
    <n v="2239259470"/>
    <x v="6"/>
    <n v="10350"/>
    <x v="1"/>
    <x v="0"/>
    <x v="49"/>
    <x v="6"/>
    <x v="0"/>
    <x v="0"/>
    <x v="5"/>
    <x v="0"/>
  </r>
  <r>
    <x v="0"/>
    <x v="0"/>
    <n v="2239259470"/>
    <x v="7"/>
    <n v="650"/>
    <x v="1"/>
    <x v="0"/>
    <x v="49"/>
    <x v="7"/>
    <x v="0"/>
    <x v="0"/>
    <x v="1"/>
    <x v="0"/>
  </r>
  <r>
    <x v="0"/>
    <x v="0"/>
    <n v="2239259471"/>
    <x v="4"/>
    <n v="5300"/>
    <x v="1"/>
    <x v="0"/>
    <x v="49"/>
    <x v="4"/>
    <x v="0"/>
    <x v="0"/>
    <x v="4"/>
    <x v="0"/>
  </r>
  <r>
    <x v="0"/>
    <x v="0"/>
    <n v="2239259473"/>
    <x v="6"/>
    <n v="1000"/>
    <x v="1"/>
    <x v="0"/>
    <x v="49"/>
    <x v="6"/>
    <x v="0"/>
    <x v="0"/>
    <x v="5"/>
    <x v="0"/>
  </r>
  <r>
    <x v="0"/>
    <x v="0"/>
    <n v="2239259474"/>
    <x v="1"/>
    <n v="1350"/>
    <x v="1"/>
    <x v="0"/>
    <x v="49"/>
    <x v="1"/>
    <x v="0"/>
    <x v="0"/>
    <x v="1"/>
    <x v="0"/>
  </r>
  <r>
    <x v="0"/>
    <x v="0"/>
    <n v="2239259475"/>
    <x v="1"/>
    <n v="22400"/>
    <x v="1"/>
    <x v="0"/>
    <x v="49"/>
    <x v="1"/>
    <x v="0"/>
    <x v="0"/>
    <x v="1"/>
    <x v="0"/>
  </r>
  <r>
    <x v="0"/>
    <x v="0"/>
    <n v="2239259476"/>
    <x v="6"/>
    <n v="1000"/>
    <x v="1"/>
    <x v="0"/>
    <x v="49"/>
    <x v="6"/>
    <x v="0"/>
    <x v="0"/>
    <x v="5"/>
    <x v="0"/>
  </r>
  <r>
    <x v="0"/>
    <x v="0"/>
    <n v="2239259477"/>
    <x v="2"/>
    <n v="11900"/>
    <x v="1"/>
    <x v="0"/>
    <x v="49"/>
    <x v="2"/>
    <x v="0"/>
    <x v="0"/>
    <x v="2"/>
    <x v="0"/>
  </r>
  <r>
    <x v="0"/>
    <x v="0"/>
    <n v="2239259479"/>
    <x v="5"/>
    <n v="-5800"/>
    <x v="1"/>
    <x v="0"/>
    <x v="49"/>
    <x v="5"/>
    <x v="0"/>
    <x v="0"/>
    <x v="5"/>
    <x v="0"/>
  </r>
  <r>
    <x v="0"/>
    <x v="0"/>
    <n v="2239259479"/>
    <x v="6"/>
    <n v="10000"/>
    <x v="1"/>
    <x v="0"/>
    <x v="49"/>
    <x v="6"/>
    <x v="0"/>
    <x v="0"/>
    <x v="5"/>
    <x v="0"/>
  </r>
  <r>
    <x v="0"/>
    <x v="0"/>
    <n v="2239259480"/>
    <x v="5"/>
    <n v="-660"/>
    <x v="1"/>
    <x v="0"/>
    <x v="49"/>
    <x v="5"/>
    <x v="0"/>
    <x v="0"/>
    <x v="5"/>
    <x v="0"/>
  </r>
  <r>
    <x v="0"/>
    <x v="0"/>
    <n v="2239259480"/>
    <x v="6"/>
    <n v="15000"/>
    <x v="1"/>
    <x v="0"/>
    <x v="49"/>
    <x v="6"/>
    <x v="0"/>
    <x v="0"/>
    <x v="5"/>
    <x v="0"/>
  </r>
  <r>
    <x v="0"/>
    <x v="0"/>
    <n v="2239259481"/>
    <x v="5"/>
    <n v="-5600"/>
    <x v="1"/>
    <x v="0"/>
    <x v="49"/>
    <x v="5"/>
    <x v="0"/>
    <x v="0"/>
    <x v="5"/>
    <x v="0"/>
  </r>
  <r>
    <x v="0"/>
    <x v="0"/>
    <n v="2239259481"/>
    <x v="4"/>
    <n v="10000"/>
    <x v="1"/>
    <x v="0"/>
    <x v="49"/>
    <x v="4"/>
    <x v="0"/>
    <x v="0"/>
    <x v="4"/>
    <x v="0"/>
  </r>
  <r>
    <x v="0"/>
    <x v="0"/>
    <n v="2239259482"/>
    <x v="5"/>
    <n v="-5000"/>
    <x v="1"/>
    <x v="0"/>
    <x v="49"/>
    <x v="5"/>
    <x v="0"/>
    <x v="0"/>
    <x v="5"/>
    <x v="0"/>
  </r>
  <r>
    <x v="0"/>
    <x v="0"/>
    <n v="2239259482"/>
    <x v="4"/>
    <n v="10700"/>
    <x v="1"/>
    <x v="0"/>
    <x v="49"/>
    <x v="4"/>
    <x v="0"/>
    <x v="0"/>
    <x v="4"/>
    <x v="0"/>
  </r>
  <r>
    <x v="0"/>
    <x v="0"/>
    <n v="2239259484"/>
    <x v="2"/>
    <n v="7150"/>
    <x v="1"/>
    <x v="0"/>
    <x v="49"/>
    <x v="2"/>
    <x v="0"/>
    <x v="0"/>
    <x v="2"/>
    <x v="0"/>
  </r>
  <r>
    <x v="0"/>
    <x v="0"/>
    <n v="2239259485"/>
    <x v="1"/>
    <n v="17170"/>
    <x v="1"/>
    <x v="0"/>
    <x v="49"/>
    <x v="1"/>
    <x v="0"/>
    <x v="0"/>
    <x v="1"/>
    <x v="0"/>
  </r>
  <r>
    <x v="0"/>
    <x v="0"/>
    <n v="2239259486"/>
    <x v="5"/>
    <n v="-8500"/>
    <x v="1"/>
    <x v="0"/>
    <x v="49"/>
    <x v="5"/>
    <x v="0"/>
    <x v="0"/>
    <x v="5"/>
    <x v="0"/>
  </r>
  <r>
    <x v="0"/>
    <x v="0"/>
    <n v="2239259486"/>
    <x v="6"/>
    <n v="20000"/>
    <x v="1"/>
    <x v="0"/>
    <x v="49"/>
    <x v="6"/>
    <x v="0"/>
    <x v="0"/>
    <x v="5"/>
    <x v="0"/>
  </r>
  <r>
    <x v="0"/>
    <x v="0"/>
    <n v="2239259487"/>
    <x v="2"/>
    <n v="1000"/>
    <x v="1"/>
    <x v="0"/>
    <x v="49"/>
    <x v="2"/>
    <x v="0"/>
    <x v="0"/>
    <x v="2"/>
    <x v="0"/>
  </r>
  <r>
    <x v="0"/>
    <x v="0"/>
    <n v="2239259489"/>
    <x v="6"/>
    <n v="3150"/>
    <x v="1"/>
    <x v="0"/>
    <x v="49"/>
    <x v="6"/>
    <x v="0"/>
    <x v="0"/>
    <x v="5"/>
    <x v="0"/>
  </r>
  <r>
    <x v="0"/>
    <x v="0"/>
    <n v="2239259491"/>
    <x v="2"/>
    <n v="34056"/>
    <x v="1"/>
    <x v="0"/>
    <x v="49"/>
    <x v="2"/>
    <x v="0"/>
    <x v="0"/>
    <x v="2"/>
    <x v="0"/>
  </r>
  <r>
    <x v="0"/>
    <x v="0"/>
    <n v="2239259492"/>
    <x v="0"/>
    <n v="20420"/>
    <x v="1"/>
    <x v="0"/>
    <x v="49"/>
    <x v="0"/>
    <x v="0"/>
    <x v="0"/>
    <x v="0"/>
    <x v="0"/>
  </r>
  <r>
    <x v="0"/>
    <x v="0"/>
    <n v="2239259493"/>
    <x v="1"/>
    <n v="4800"/>
    <x v="1"/>
    <x v="0"/>
    <x v="49"/>
    <x v="1"/>
    <x v="0"/>
    <x v="0"/>
    <x v="1"/>
    <x v="0"/>
  </r>
  <r>
    <x v="0"/>
    <x v="0"/>
    <n v="2239259494"/>
    <x v="1"/>
    <n v="900"/>
    <x v="1"/>
    <x v="0"/>
    <x v="49"/>
    <x v="1"/>
    <x v="0"/>
    <x v="0"/>
    <x v="1"/>
    <x v="0"/>
  </r>
  <r>
    <x v="0"/>
    <x v="0"/>
    <n v="2239259495"/>
    <x v="1"/>
    <n v="900"/>
    <x v="1"/>
    <x v="0"/>
    <x v="49"/>
    <x v="1"/>
    <x v="0"/>
    <x v="0"/>
    <x v="1"/>
    <x v="0"/>
  </r>
  <r>
    <x v="0"/>
    <x v="0"/>
    <n v="2239259497"/>
    <x v="5"/>
    <n v="-7000"/>
    <x v="1"/>
    <x v="0"/>
    <x v="49"/>
    <x v="5"/>
    <x v="0"/>
    <x v="0"/>
    <x v="5"/>
    <x v="0"/>
  </r>
  <r>
    <x v="0"/>
    <x v="0"/>
    <n v="2239259497"/>
    <x v="6"/>
    <n v="10150"/>
    <x v="1"/>
    <x v="0"/>
    <x v="49"/>
    <x v="6"/>
    <x v="0"/>
    <x v="0"/>
    <x v="5"/>
    <x v="0"/>
  </r>
  <r>
    <x v="0"/>
    <x v="0"/>
    <n v="2239259499"/>
    <x v="5"/>
    <n v="-5500"/>
    <x v="1"/>
    <x v="0"/>
    <x v="49"/>
    <x v="5"/>
    <x v="0"/>
    <x v="0"/>
    <x v="5"/>
    <x v="0"/>
  </r>
  <r>
    <x v="0"/>
    <x v="0"/>
    <n v="2239259499"/>
    <x v="6"/>
    <n v="10000"/>
    <x v="1"/>
    <x v="0"/>
    <x v="49"/>
    <x v="6"/>
    <x v="0"/>
    <x v="0"/>
    <x v="5"/>
    <x v="0"/>
  </r>
  <r>
    <x v="0"/>
    <x v="0"/>
    <n v="2239259500"/>
    <x v="5"/>
    <n v="-9560"/>
    <x v="1"/>
    <x v="0"/>
    <x v="49"/>
    <x v="5"/>
    <x v="0"/>
    <x v="0"/>
    <x v="5"/>
    <x v="0"/>
  </r>
  <r>
    <x v="0"/>
    <x v="0"/>
    <n v="2239259500"/>
    <x v="6"/>
    <n v="20000"/>
    <x v="1"/>
    <x v="0"/>
    <x v="49"/>
    <x v="6"/>
    <x v="0"/>
    <x v="0"/>
    <x v="5"/>
    <x v="0"/>
  </r>
  <r>
    <x v="0"/>
    <x v="0"/>
    <n v="2239259500"/>
    <x v="7"/>
    <n v="6960"/>
    <x v="1"/>
    <x v="0"/>
    <x v="49"/>
    <x v="7"/>
    <x v="0"/>
    <x v="0"/>
    <x v="1"/>
    <x v="0"/>
  </r>
  <r>
    <x v="0"/>
    <x v="0"/>
    <n v="2239259501"/>
    <x v="5"/>
    <n v="-400"/>
    <x v="1"/>
    <x v="0"/>
    <x v="49"/>
    <x v="5"/>
    <x v="0"/>
    <x v="0"/>
    <x v="5"/>
    <x v="0"/>
  </r>
  <r>
    <x v="0"/>
    <x v="0"/>
    <n v="2239259501"/>
    <x v="4"/>
    <n v="5000"/>
    <x v="1"/>
    <x v="0"/>
    <x v="49"/>
    <x v="4"/>
    <x v="0"/>
    <x v="0"/>
    <x v="4"/>
    <x v="0"/>
  </r>
  <r>
    <x v="0"/>
    <x v="0"/>
    <n v="2239259502"/>
    <x v="5"/>
    <n v="-15600"/>
    <x v="1"/>
    <x v="0"/>
    <x v="49"/>
    <x v="5"/>
    <x v="0"/>
    <x v="0"/>
    <x v="5"/>
    <x v="0"/>
  </r>
  <r>
    <x v="0"/>
    <x v="0"/>
    <n v="2239259502"/>
    <x v="4"/>
    <n v="20000"/>
    <x v="1"/>
    <x v="0"/>
    <x v="49"/>
    <x v="4"/>
    <x v="0"/>
    <x v="0"/>
    <x v="4"/>
    <x v="0"/>
  </r>
  <r>
    <x v="0"/>
    <x v="0"/>
    <n v="2239259503"/>
    <x v="6"/>
    <n v="2000"/>
    <x v="1"/>
    <x v="0"/>
    <x v="49"/>
    <x v="6"/>
    <x v="0"/>
    <x v="0"/>
    <x v="5"/>
    <x v="0"/>
  </r>
  <r>
    <x v="0"/>
    <x v="0"/>
    <n v="2239259504"/>
    <x v="1"/>
    <n v="4050"/>
    <x v="1"/>
    <x v="0"/>
    <x v="49"/>
    <x v="1"/>
    <x v="0"/>
    <x v="0"/>
    <x v="1"/>
    <x v="0"/>
  </r>
  <r>
    <x v="0"/>
    <x v="0"/>
    <n v="2239259505"/>
    <x v="2"/>
    <n v="11550"/>
    <x v="1"/>
    <x v="0"/>
    <x v="49"/>
    <x v="2"/>
    <x v="0"/>
    <x v="0"/>
    <x v="2"/>
    <x v="0"/>
  </r>
  <r>
    <x v="0"/>
    <x v="0"/>
    <n v="2239259506"/>
    <x v="2"/>
    <n v="7700"/>
    <x v="1"/>
    <x v="0"/>
    <x v="49"/>
    <x v="2"/>
    <x v="0"/>
    <x v="0"/>
    <x v="2"/>
    <x v="0"/>
  </r>
  <r>
    <x v="0"/>
    <x v="0"/>
    <n v="2239259507"/>
    <x v="5"/>
    <n v="-4300"/>
    <x v="1"/>
    <x v="0"/>
    <x v="49"/>
    <x v="5"/>
    <x v="0"/>
    <x v="0"/>
    <x v="5"/>
    <x v="0"/>
  </r>
  <r>
    <x v="0"/>
    <x v="0"/>
    <n v="2239259507"/>
    <x v="4"/>
    <n v="10000"/>
    <x v="1"/>
    <x v="0"/>
    <x v="49"/>
    <x v="4"/>
    <x v="0"/>
    <x v="0"/>
    <x v="4"/>
    <x v="0"/>
  </r>
  <r>
    <x v="0"/>
    <x v="0"/>
    <n v="2239259508"/>
    <x v="2"/>
    <n v="16500"/>
    <x v="1"/>
    <x v="0"/>
    <x v="49"/>
    <x v="2"/>
    <x v="0"/>
    <x v="0"/>
    <x v="2"/>
    <x v="0"/>
  </r>
  <r>
    <x v="0"/>
    <x v="0"/>
    <n v="2239259509"/>
    <x v="2"/>
    <n v="17050"/>
    <x v="1"/>
    <x v="0"/>
    <x v="49"/>
    <x v="2"/>
    <x v="0"/>
    <x v="0"/>
    <x v="2"/>
    <x v="0"/>
  </r>
  <r>
    <x v="0"/>
    <x v="0"/>
    <n v="2239259510"/>
    <x v="0"/>
    <n v="6750"/>
    <x v="1"/>
    <x v="0"/>
    <x v="49"/>
    <x v="0"/>
    <x v="0"/>
    <x v="0"/>
    <x v="0"/>
    <x v="0"/>
  </r>
  <r>
    <x v="0"/>
    <x v="0"/>
    <n v="2239259511"/>
    <x v="2"/>
    <n v="18900"/>
    <x v="1"/>
    <x v="0"/>
    <x v="49"/>
    <x v="2"/>
    <x v="0"/>
    <x v="0"/>
    <x v="2"/>
    <x v="0"/>
  </r>
  <r>
    <x v="0"/>
    <x v="0"/>
    <n v="2239259512"/>
    <x v="5"/>
    <n v="-4700"/>
    <x v="1"/>
    <x v="0"/>
    <x v="49"/>
    <x v="5"/>
    <x v="0"/>
    <x v="0"/>
    <x v="5"/>
    <x v="0"/>
  </r>
  <r>
    <x v="0"/>
    <x v="0"/>
    <n v="2239259512"/>
    <x v="4"/>
    <n v="10000"/>
    <x v="1"/>
    <x v="0"/>
    <x v="49"/>
    <x v="4"/>
    <x v="0"/>
    <x v="0"/>
    <x v="4"/>
    <x v="0"/>
  </r>
  <r>
    <x v="0"/>
    <x v="0"/>
    <n v="2239259513"/>
    <x v="2"/>
    <n v="6500"/>
    <x v="1"/>
    <x v="0"/>
    <x v="49"/>
    <x v="2"/>
    <x v="0"/>
    <x v="0"/>
    <x v="2"/>
    <x v="0"/>
  </r>
  <r>
    <x v="0"/>
    <x v="0"/>
    <n v="2239259514"/>
    <x v="2"/>
    <n v="7150"/>
    <x v="1"/>
    <x v="0"/>
    <x v="49"/>
    <x v="2"/>
    <x v="0"/>
    <x v="0"/>
    <x v="2"/>
    <x v="0"/>
  </r>
  <r>
    <x v="0"/>
    <x v="0"/>
    <n v="2239259515"/>
    <x v="2"/>
    <n v="7150"/>
    <x v="1"/>
    <x v="0"/>
    <x v="49"/>
    <x v="2"/>
    <x v="0"/>
    <x v="0"/>
    <x v="2"/>
    <x v="0"/>
  </r>
  <r>
    <x v="0"/>
    <x v="0"/>
    <n v="2239259516"/>
    <x v="5"/>
    <n v="-700"/>
    <x v="1"/>
    <x v="0"/>
    <x v="49"/>
    <x v="5"/>
    <x v="0"/>
    <x v="0"/>
    <x v="5"/>
    <x v="0"/>
  </r>
  <r>
    <x v="0"/>
    <x v="0"/>
    <n v="2239259516"/>
    <x v="4"/>
    <n v="6000"/>
    <x v="1"/>
    <x v="0"/>
    <x v="49"/>
    <x v="4"/>
    <x v="0"/>
    <x v="0"/>
    <x v="4"/>
    <x v="0"/>
  </r>
  <r>
    <x v="0"/>
    <x v="0"/>
    <n v="2239259517"/>
    <x v="6"/>
    <n v="6000"/>
    <x v="1"/>
    <x v="0"/>
    <x v="49"/>
    <x v="6"/>
    <x v="0"/>
    <x v="0"/>
    <x v="5"/>
    <x v="0"/>
  </r>
  <r>
    <x v="0"/>
    <x v="0"/>
    <n v="2239259518"/>
    <x v="5"/>
    <n v="-1400"/>
    <x v="1"/>
    <x v="0"/>
    <x v="49"/>
    <x v="5"/>
    <x v="0"/>
    <x v="0"/>
    <x v="5"/>
    <x v="0"/>
  </r>
  <r>
    <x v="0"/>
    <x v="0"/>
    <n v="2239259518"/>
    <x v="4"/>
    <n v="12000"/>
    <x v="1"/>
    <x v="0"/>
    <x v="49"/>
    <x v="4"/>
    <x v="0"/>
    <x v="0"/>
    <x v="4"/>
    <x v="0"/>
  </r>
  <r>
    <x v="0"/>
    <x v="0"/>
    <n v="2239259519"/>
    <x v="6"/>
    <n v="3150"/>
    <x v="1"/>
    <x v="0"/>
    <x v="49"/>
    <x v="6"/>
    <x v="0"/>
    <x v="0"/>
    <x v="5"/>
    <x v="0"/>
  </r>
  <r>
    <x v="0"/>
    <x v="0"/>
    <n v="2239259520"/>
    <x v="8"/>
    <n v="55000"/>
    <x v="1"/>
    <x v="0"/>
    <x v="49"/>
    <x v="8"/>
    <x v="0"/>
    <x v="0"/>
    <x v="3"/>
    <x v="0"/>
  </r>
  <r>
    <x v="0"/>
    <x v="0"/>
    <n v="2239259521"/>
    <x v="2"/>
    <n v="8000"/>
    <x v="1"/>
    <x v="0"/>
    <x v="49"/>
    <x v="2"/>
    <x v="0"/>
    <x v="0"/>
    <x v="2"/>
    <x v="0"/>
  </r>
  <r>
    <x v="0"/>
    <x v="0"/>
    <n v="2239259522"/>
    <x v="2"/>
    <n v="7700"/>
    <x v="1"/>
    <x v="0"/>
    <x v="49"/>
    <x v="2"/>
    <x v="0"/>
    <x v="0"/>
    <x v="2"/>
    <x v="0"/>
  </r>
  <r>
    <x v="0"/>
    <x v="0"/>
    <n v="2239259523"/>
    <x v="2"/>
    <n v="4400"/>
    <x v="1"/>
    <x v="0"/>
    <x v="49"/>
    <x v="2"/>
    <x v="0"/>
    <x v="0"/>
    <x v="2"/>
    <x v="0"/>
  </r>
  <r>
    <x v="0"/>
    <x v="0"/>
    <n v="2239259524"/>
    <x v="2"/>
    <n v="6000"/>
    <x v="1"/>
    <x v="0"/>
    <x v="49"/>
    <x v="2"/>
    <x v="0"/>
    <x v="0"/>
    <x v="2"/>
    <x v="0"/>
  </r>
  <r>
    <x v="0"/>
    <x v="0"/>
    <n v="2239259525"/>
    <x v="2"/>
    <n v="121990"/>
    <x v="1"/>
    <x v="0"/>
    <x v="49"/>
    <x v="2"/>
    <x v="0"/>
    <x v="0"/>
    <x v="2"/>
    <x v="0"/>
  </r>
  <r>
    <x v="0"/>
    <x v="0"/>
    <n v="2239259525"/>
    <x v="7"/>
    <n v="11520"/>
    <x v="1"/>
    <x v="0"/>
    <x v="49"/>
    <x v="7"/>
    <x v="0"/>
    <x v="0"/>
    <x v="1"/>
    <x v="0"/>
  </r>
  <r>
    <x v="0"/>
    <x v="0"/>
    <n v="2239259526"/>
    <x v="5"/>
    <n v="-6000"/>
    <x v="1"/>
    <x v="0"/>
    <x v="49"/>
    <x v="5"/>
    <x v="0"/>
    <x v="0"/>
    <x v="5"/>
    <x v="0"/>
  </r>
  <r>
    <x v="0"/>
    <x v="0"/>
    <n v="2239259526"/>
    <x v="4"/>
    <n v="10400"/>
    <x v="1"/>
    <x v="0"/>
    <x v="49"/>
    <x v="4"/>
    <x v="0"/>
    <x v="0"/>
    <x v="4"/>
    <x v="0"/>
  </r>
  <r>
    <x v="0"/>
    <x v="0"/>
    <n v="2239259527"/>
    <x v="5"/>
    <n v="-12500"/>
    <x v="1"/>
    <x v="0"/>
    <x v="49"/>
    <x v="5"/>
    <x v="0"/>
    <x v="0"/>
    <x v="5"/>
    <x v="0"/>
  </r>
  <r>
    <x v="0"/>
    <x v="0"/>
    <n v="2239259527"/>
    <x v="6"/>
    <n v="20000"/>
    <x v="1"/>
    <x v="0"/>
    <x v="49"/>
    <x v="6"/>
    <x v="0"/>
    <x v="0"/>
    <x v="5"/>
    <x v="0"/>
  </r>
  <r>
    <x v="0"/>
    <x v="0"/>
    <n v="2239259528"/>
    <x v="2"/>
    <n v="6500"/>
    <x v="1"/>
    <x v="0"/>
    <x v="49"/>
    <x v="2"/>
    <x v="0"/>
    <x v="0"/>
    <x v="2"/>
    <x v="0"/>
  </r>
  <r>
    <x v="0"/>
    <x v="0"/>
    <n v="2239259529"/>
    <x v="2"/>
    <n v="8250"/>
    <x v="1"/>
    <x v="0"/>
    <x v="49"/>
    <x v="2"/>
    <x v="0"/>
    <x v="0"/>
    <x v="2"/>
    <x v="0"/>
  </r>
  <r>
    <x v="0"/>
    <x v="0"/>
    <n v="2239259530"/>
    <x v="5"/>
    <n v="-15000"/>
    <x v="1"/>
    <x v="0"/>
    <x v="49"/>
    <x v="5"/>
    <x v="0"/>
    <x v="0"/>
    <x v="5"/>
    <x v="0"/>
  </r>
  <r>
    <x v="0"/>
    <x v="0"/>
    <n v="2239259530"/>
    <x v="4"/>
    <n v="20300"/>
    <x v="1"/>
    <x v="0"/>
    <x v="49"/>
    <x v="4"/>
    <x v="0"/>
    <x v="0"/>
    <x v="4"/>
    <x v="0"/>
  </r>
  <r>
    <x v="0"/>
    <x v="0"/>
    <n v="2239259531"/>
    <x v="2"/>
    <n v="7500"/>
    <x v="1"/>
    <x v="0"/>
    <x v="49"/>
    <x v="2"/>
    <x v="0"/>
    <x v="0"/>
    <x v="2"/>
    <x v="0"/>
  </r>
  <r>
    <x v="0"/>
    <x v="0"/>
    <n v="2239259532"/>
    <x v="2"/>
    <n v="3500"/>
    <x v="1"/>
    <x v="0"/>
    <x v="49"/>
    <x v="2"/>
    <x v="0"/>
    <x v="0"/>
    <x v="2"/>
    <x v="0"/>
  </r>
  <r>
    <x v="0"/>
    <x v="0"/>
    <n v="2239259533"/>
    <x v="8"/>
    <n v="38940"/>
    <x v="1"/>
    <x v="0"/>
    <x v="49"/>
    <x v="8"/>
    <x v="0"/>
    <x v="0"/>
    <x v="3"/>
    <x v="0"/>
  </r>
  <r>
    <x v="0"/>
    <x v="0"/>
    <n v="2239259534"/>
    <x v="6"/>
    <n v="13300"/>
    <x v="1"/>
    <x v="0"/>
    <x v="49"/>
    <x v="6"/>
    <x v="0"/>
    <x v="0"/>
    <x v="5"/>
    <x v="0"/>
  </r>
  <r>
    <x v="0"/>
    <x v="0"/>
    <n v="2239259535"/>
    <x v="5"/>
    <n v="-4100"/>
    <x v="1"/>
    <x v="0"/>
    <x v="49"/>
    <x v="5"/>
    <x v="0"/>
    <x v="0"/>
    <x v="5"/>
    <x v="0"/>
  </r>
  <r>
    <x v="0"/>
    <x v="0"/>
    <n v="2239259535"/>
    <x v="6"/>
    <n v="45000"/>
    <x v="1"/>
    <x v="0"/>
    <x v="49"/>
    <x v="6"/>
    <x v="0"/>
    <x v="0"/>
    <x v="5"/>
    <x v="0"/>
  </r>
  <r>
    <x v="0"/>
    <x v="0"/>
    <n v="2239259536"/>
    <x v="0"/>
    <n v="2700"/>
    <x v="1"/>
    <x v="0"/>
    <x v="49"/>
    <x v="0"/>
    <x v="0"/>
    <x v="0"/>
    <x v="0"/>
    <x v="0"/>
  </r>
  <r>
    <x v="0"/>
    <x v="0"/>
    <n v="2239259537"/>
    <x v="3"/>
    <n v="73590"/>
    <x v="1"/>
    <x v="0"/>
    <x v="49"/>
    <x v="3"/>
    <x v="0"/>
    <x v="0"/>
    <x v="3"/>
    <x v="0"/>
  </r>
  <r>
    <x v="0"/>
    <x v="0"/>
    <n v="2239259538"/>
    <x v="2"/>
    <n v="20900"/>
    <x v="1"/>
    <x v="0"/>
    <x v="49"/>
    <x v="2"/>
    <x v="0"/>
    <x v="0"/>
    <x v="2"/>
    <x v="0"/>
  </r>
  <r>
    <x v="0"/>
    <x v="0"/>
    <n v="2239259539"/>
    <x v="5"/>
    <n v="-400"/>
    <x v="1"/>
    <x v="0"/>
    <x v="49"/>
    <x v="5"/>
    <x v="0"/>
    <x v="0"/>
    <x v="5"/>
    <x v="0"/>
  </r>
  <r>
    <x v="0"/>
    <x v="0"/>
    <n v="2239259539"/>
    <x v="4"/>
    <n v="5000"/>
    <x v="1"/>
    <x v="0"/>
    <x v="49"/>
    <x v="4"/>
    <x v="0"/>
    <x v="0"/>
    <x v="4"/>
    <x v="0"/>
  </r>
  <r>
    <x v="0"/>
    <x v="0"/>
    <n v="2239259540"/>
    <x v="2"/>
    <n v="109890"/>
    <x v="1"/>
    <x v="0"/>
    <x v="49"/>
    <x v="2"/>
    <x v="0"/>
    <x v="0"/>
    <x v="2"/>
    <x v="0"/>
  </r>
  <r>
    <x v="0"/>
    <x v="0"/>
    <n v="2239259541"/>
    <x v="5"/>
    <n v="-5600"/>
    <x v="1"/>
    <x v="0"/>
    <x v="49"/>
    <x v="5"/>
    <x v="0"/>
    <x v="0"/>
    <x v="5"/>
    <x v="0"/>
  </r>
  <r>
    <x v="0"/>
    <x v="0"/>
    <n v="2239259541"/>
    <x v="4"/>
    <n v="10000"/>
    <x v="1"/>
    <x v="0"/>
    <x v="49"/>
    <x v="4"/>
    <x v="0"/>
    <x v="0"/>
    <x v="4"/>
    <x v="0"/>
  </r>
  <r>
    <x v="0"/>
    <x v="0"/>
    <n v="2239259542"/>
    <x v="2"/>
    <n v="12000"/>
    <x v="1"/>
    <x v="0"/>
    <x v="49"/>
    <x v="2"/>
    <x v="0"/>
    <x v="0"/>
    <x v="2"/>
    <x v="0"/>
  </r>
  <r>
    <x v="0"/>
    <x v="0"/>
    <n v="2239259543"/>
    <x v="2"/>
    <n v="8250"/>
    <x v="1"/>
    <x v="0"/>
    <x v="49"/>
    <x v="2"/>
    <x v="0"/>
    <x v="0"/>
    <x v="2"/>
    <x v="0"/>
  </r>
  <r>
    <x v="0"/>
    <x v="0"/>
    <n v="2239259544"/>
    <x v="2"/>
    <n v="14850"/>
    <x v="1"/>
    <x v="0"/>
    <x v="49"/>
    <x v="2"/>
    <x v="0"/>
    <x v="0"/>
    <x v="2"/>
    <x v="0"/>
  </r>
  <r>
    <x v="0"/>
    <x v="0"/>
    <n v="2239259545"/>
    <x v="5"/>
    <n v="-750"/>
    <x v="1"/>
    <x v="0"/>
    <x v="49"/>
    <x v="5"/>
    <x v="0"/>
    <x v="0"/>
    <x v="5"/>
    <x v="0"/>
  </r>
  <r>
    <x v="0"/>
    <x v="0"/>
    <n v="2239259545"/>
    <x v="6"/>
    <n v="13000"/>
    <x v="1"/>
    <x v="0"/>
    <x v="49"/>
    <x v="6"/>
    <x v="0"/>
    <x v="0"/>
    <x v="5"/>
    <x v="0"/>
  </r>
  <r>
    <x v="0"/>
    <x v="0"/>
    <n v="2239259546"/>
    <x v="2"/>
    <n v="19800"/>
    <x v="1"/>
    <x v="0"/>
    <x v="49"/>
    <x v="2"/>
    <x v="0"/>
    <x v="0"/>
    <x v="2"/>
    <x v="0"/>
  </r>
  <r>
    <x v="0"/>
    <x v="0"/>
    <n v="2239259547"/>
    <x v="0"/>
    <n v="1800"/>
    <x v="1"/>
    <x v="0"/>
    <x v="49"/>
    <x v="0"/>
    <x v="0"/>
    <x v="0"/>
    <x v="0"/>
    <x v="0"/>
  </r>
  <r>
    <x v="0"/>
    <x v="0"/>
    <n v="2239259548"/>
    <x v="1"/>
    <n v="1350"/>
    <x v="1"/>
    <x v="0"/>
    <x v="49"/>
    <x v="1"/>
    <x v="0"/>
    <x v="0"/>
    <x v="1"/>
    <x v="0"/>
  </r>
  <r>
    <x v="0"/>
    <x v="0"/>
    <n v="2239259549"/>
    <x v="2"/>
    <n v="15290"/>
    <x v="1"/>
    <x v="0"/>
    <x v="49"/>
    <x v="2"/>
    <x v="0"/>
    <x v="0"/>
    <x v="2"/>
    <x v="0"/>
  </r>
  <r>
    <x v="0"/>
    <x v="0"/>
    <n v="2239259550"/>
    <x v="5"/>
    <n v="-8100"/>
    <x v="1"/>
    <x v="0"/>
    <x v="49"/>
    <x v="5"/>
    <x v="0"/>
    <x v="0"/>
    <x v="5"/>
    <x v="0"/>
  </r>
  <r>
    <x v="0"/>
    <x v="0"/>
    <n v="2239259550"/>
    <x v="6"/>
    <n v="40000"/>
    <x v="1"/>
    <x v="0"/>
    <x v="49"/>
    <x v="6"/>
    <x v="0"/>
    <x v="0"/>
    <x v="5"/>
    <x v="0"/>
  </r>
  <r>
    <x v="0"/>
    <x v="0"/>
    <n v="2239259551"/>
    <x v="2"/>
    <n v="12243"/>
    <x v="1"/>
    <x v="0"/>
    <x v="49"/>
    <x v="2"/>
    <x v="0"/>
    <x v="0"/>
    <x v="2"/>
    <x v="0"/>
  </r>
  <r>
    <x v="0"/>
    <x v="0"/>
    <n v="2239259552"/>
    <x v="2"/>
    <n v="3500"/>
    <x v="1"/>
    <x v="0"/>
    <x v="49"/>
    <x v="2"/>
    <x v="0"/>
    <x v="0"/>
    <x v="2"/>
    <x v="0"/>
  </r>
  <r>
    <x v="0"/>
    <x v="0"/>
    <n v="2239259553"/>
    <x v="2"/>
    <n v="10450"/>
    <x v="1"/>
    <x v="0"/>
    <x v="49"/>
    <x v="2"/>
    <x v="0"/>
    <x v="0"/>
    <x v="2"/>
    <x v="0"/>
  </r>
  <r>
    <x v="0"/>
    <x v="0"/>
    <n v="2239259554"/>
    <x v="5"/>
    <n v="-1500"/>
    <x v="1"/>
    <x v="0"/>
    <x v="49"/>
    <x v="5"/>
    <x v="0"/>
    <x v="0"/>
    <x v="5"/>
    <x v="0"/>
  </r>
  <r>
    <x v="0"/>
    <x v="0"/>
    <n v="2239259554"/>
    <x v="6"/>
    <n v="5000"/>
    <x v="1"/>
    <x v="0"/>
    <x v="49"/>
    <x v="6"/>
    <x v="0"/>
    <x v="0"/>
    <x v="5"/>
    <x v="0"/>
  </r>
  <r>
    <x v="0"/>
    <x v="0"/>
    <n v="2239259555"/>
    <x v="2"/>
    <n v="16110"/>
    <x v="1"/>
    <x v="0"/>
    <x v="49"/>
    <x v="2"/>
    <x v="0"/>
    <x v="0"/>
    <x v="2"/>
    <x v="0"/>
  </r>
  <r>
    <x v="0"/>
    <x v="0"/>
    <n v="2239259555"/>
    <x v="7"/>
    <n v="1790"/>
    <x v="1"/>
    <x v="0"/>
    <x v="49"/>
    <x v="7"/>
    <x v="0"/>
    <x v="0"/>
    <x v="1"/>
    <x v="0"/>
  </r>
  <r>
    <x v="0"/>
    <x v="0"/>
    <n v="2239259556"/>
    <x v="2"/>
    <n v="5200"/>
    <x v="1"/>
    <x v="0"/>
    <x v="49"/>
    <x v="2"/>
    <x v="0"/>
    <x v="0"/>
    <x v="2"/>
    <x v="0"/>
  </r>
  <r>
    <x v="0"/>
    <x v="0"/>
    <n v="2239259556"/>
    <x v="7"/>
    <n v="1300"/>
    <x v="1"/>
    <x v="0"/>
    <x v="49"/>
    <x v="7"/>
    <x v="0"/>
    <x v="0"/>
    <x v="1"/>
    <x v="0"/>
  </r>
  <r>
    <x v="0"/>
    <x v="0"/>
    <n v="2239259557"/>
    <x v="5"/>
    <n v="-3000"/>
    <x v="1"/>
    <x v="0"/>
    <x v="49"/>
    <x v="5"/>
    <x v="0"/>
    <x v="0"/>
    <x v="5"/>
    <x v="0"/>
  </r>
  <r>
    <x v="0"/>
    <x v="0"/>
    <n v="2239259557"/>
    <x v="6"/>
    <n v="10000"/>
    <x v="1"/>
    <x v="0"/>
    <x v="49"/>
    <x v="6"/>
    <x v="0"/>
    <x v="0"/>
    <x v="5"/>
    <x v="0"/>
  </r>
  <r>
    <x v="0"/>
    <x v="0"/>
    <n v="2239259558"/>
    <x v="2"/>
    <n v="7150"/>
    <x v="1"/>
    <x v="0"/>
    <x v="49"/>
    <x v="2"/>
    <x v="0"/>
    <x v="0"/>
    <x v="2"/>
    <x v="0"/>
  </r>
  <r>
    <x v="0"/>
    <x v="0"/>
    <n v="2239259559"/>
    <x v="5"/>
    <n v="-5600"/>
    <x v="1"/>
    <x v="0"/>
    <x v="49"/>
    <x v="5"/>
    <x v="0"/>
    <x v="0"/>
    <x v="5"/>
    <x v="0"/>
  </r>
  <r>
    <x v="0"/>
    <x v="0"/>
    <n v="2239259559"/>
    <x v="4"/>
    <n v="10000"/>
    <x v="1"/>
    <x v="0"/>
    <x v="49"/>
    <x v="4"/>
    <x v="0"/>
    <x v="0"/>
    <x v="4"/>
    <x v="0"/>
  </r>
  <r>
    <x v="0"/>
    <x v="0"/>
    <n v="2239259561"/>
    <x v="2"/>
    <n v="17490"/>
    <x v="1"/>
    <x v="0"/>
    <x v="49"/>
    <x v="2"/>
    <x v="0"/>
    <x v="0"/>
    <x v="2"/>
    <x v="0"/>
  </r>
  <r>
    <x v="0"/>
    <x v="0"/>
    <n v="2239259562"/>
    <x v="0"/>
    <n v="5850"/>
    <x v="1"/>
    <x v="0"/>
    <x v="49"/>
    <x v="0"/>
    <x v="0"/>
    <x v="0"/>
    <x v="0"/>
    <x v="0"/>
  </r>
  <r>
    <x v="0"/>
    <x v="0"/>
    <n v="2239259563"/>
    <x v="6"/>
    <n v="3000"/>
    <x v="1"/>
    <x v="0"/>
    <x v="49"/>
    <x v="6"/>
    <x v="0"/>
    <x v="0"/>
    <x v="5"/>
    <x v="0"/>
  </r>
  <r>
    <x v="0"/>
    <x v="0"/>
    <n v="2239259564"/>
    <x v="2"/>
    <n v="14190"/>
    <x v="1"/>
    <x v="0"/>
    <x v="49"/>
    <x v="2"/>
    <x v="0"/>
    <x v="0"/>
    <x v="2"/>
    <x v="0"/>
  </r>
  <r>
    <x v="0"/>
    <x v="0"/>
    <n v="2239259565"/>
    <x v="5"/>
    <n v="-900"/>
    <x v="1"/>
    <x v="0"/>
    <x v="49"/>
    <x v="5"/>
    <x v="0"/>
    <x v="0"/>
    <x v="5"/>
    <x v="0"/>
  </r>
  <r>
    <x v="0"/>
    <x v="0"/>
    <n v="2239259565"/>
    <x v="6"/>
    <n v="3000"/>
    <x v="1"/>
    <x v="0"/>
    <x v="49"/>
    <x v="6"/>
    <x v="0"/>
    <x v="0"/>
    <x v="5"/>
    <x v="0"/>
  </r>
  <r>
    <x v="0"/>
    <x v="0"/>
    <n v="2239259566"/>
    <x v="2"/>
    <n v="29590"/>
    <x v="1"/>
    <x v="0"/>
    <x v="49"/>
    <x v="2"/>
    <x v="0"/>
    <x v="0"/>
    <x v="2"/>
    <x v="0"/>
  </r>
  <r>
    <x v="0"/>
    <x v="0"/>
    <n v="2239259567"/>
    <x v="2"/>
    <n v="37290"/>
    <x v="1"/>
    <x v="0"/>
    <x v="49"/>
    <x v="2"/>
    <x v="0"/>
    <x v="0"/>
    <x v="2"/>
    <x v="0"/>
  </r>
  <r>
    <x v="0"/>
    <x v="0"/>
    <n v="2239259568"/>
    <x v="5"/>
    <n v="-1000"/>
    <x v="1"/>
    <x v="0"/>
    <x v="49"/>
    <x v="5"/>
    <x v="0"/>
    <x v="0"/>
    <x v="5"/>
    <x v="0"/>
  </r>
  <r>
    <x v="0"/>
    <x v="0"/>
    <n v="2239259568"/>
    <x v="6"/>
    <n v="5000"/>
    <x v="1"/>
    <x v="0"/>
    <x v="49"/>
    <x v="6"/>
    <x v="0"/>
    <x v="0"/>
    <x v="5"/>
    <x v="0"/>
  </r>
  <r>
    <x v="0"/>
    <x v="0"/>
    <n v="2239259569"/>
    <x v="5"/>
    <n v="-4100"/>
    <x v="1"/>
    <x v="0"/>
    <x v="49"/>
    <x v="5"/>
    <x v="0"/>
    <x v="0"/>
    <x v="5"/>
    <x v="0"/>
  </r>
  <r>
    <x v="0"/>
    <x v="0"/>
    <n v="2239259569"/>
    <x v="6"/>
    <n v="35000"/>
    <x v="1"/>
    <x v="0"/>
    <x v="49"/>
    <x v="6"/>
    <x v="0"/>
    <x v="0"/>
    <x v="5"/>
    <x v="0"/>
  </r>
  <r>
    <x v="0"/>
    <x v="0"/>
    <n v="2239259570"/>
    <x v="2"/>
    <n v="7500"/>
    <x v="1"/>
    <x v="0"/>
    <x v="49"/>
    <x v="2"/>
    <x v="0"/>
    <x v="0"/>
    <x v="2"/>
    <x v="0"/>
  </r>
  <r>
    <x v="0"/>
    <x v="0"/>
    <n v="2239259571"/>
    <x v="5"/>
    <n v="-2500"/>
    <x v="1"/>
    <x v="0"/>
    <x v="49"/>
    <x v="5"/>
    <x v="0"/>
    <x v="0"/>
    <x v="5"/>
    <x v="0"/>
  </r>
  <r>
    <x v="0"/>
    <x v="0"/>
    <n v="2239259571"/>
    <x v="6"/>
    <n v="10000"/>
    <x v="1"/>
    <x v="0"/>
    <x v="49"/>
    <x v="6"/>
    <x v="0"/>
    <x v="0"/>
    <x v="5"/>
    <x v="0"/>
  </r>
  <r>
    <x v="0"/>
    <x v="0"/>
    <n v="2239259572"/>
    <x v="5"/>
    <n v="-300"/>
    <x v="1"/>
    <x v="0"/>
    <x v="49"/>
    <x v="5"/>
    <x v="0"/>
    <x v="0"/>
    <x v="5"/>
    <x v="0"/>
  </r>
  <r>
    <x v="0"/>
    <x v="0"/>
    <n v="2239259572"/>
    <x v="6"/>
    <n v="5500"/>
    <x v="1"/>
    <x v="0"/>
    <x v="49"/>
    <x v="6"/>
    <x v="0"/>
    <x v="0"/>
    <x v="5"/>
    <x v="0"/>
  </r>
  <r>
    <x v="0"/>
    <x v="0"/>
    <n v="2239259572"/>
    <x v="7"/>
    <n v="1300"/>
    <x v="1"/>
    <x v="0"/>
    <x v="49"/>
    <x v="7"/>
    <x v="0"/>
    <x v="0"/>
    <x v="1"/>
    <x v="0"/>
  </r>
  <r>
    <x v="0"/>
    <x v="0"/>
    <n v="2239259573"/>
    <x v="2"/>
    <n v="12100"/>
    <x v="1"/>
    <x v="0"/>
    <x v="49"/>
    <x v="2"/>
    <x v="0"/>
    <x v="0"/>
    <x v="2"/>
    <x v="0"/>
  </r>
  <r>
    <x v="0"/>
    <x v="0"/>
    <n v="2239259574"/>
    <x v="5"/>
    <n v="-500"/>
    <x v="1"/>
    <x v="0"/>
    <x v="49"/>
    <x v="5"/>
    <x v="0"/>
    <x v="0"/>
    <x v="5"/>
    <x v="0"/>
  </r>
  <r>
    <x v="0"/>
    <x v="0"/>
    <n v="2239259574"/>
    <x v="6"/>
    <n v="7000"/>
    <x v="1"/>
    <x v="0"/>
    <x v="49"/>
    <x v="6"/>
    <x v="0"/>
    <x v="0"/>
    <x v="5"/>
    <x v="0"/>
  </r>
  <r>
    <x v="0"/>
    <x v="0"/>
    <n v="2239259575"/>
    <x v="5"/>
    <n v="-2100"/>
    <x v="1"/>
    <x v="0"/>
    <x v="49"/>
    <x v="5"/>
    <x v="0"/>
    <x v="0"/>
    <x v="5"/>
    <x v="0"/>
  </r>
  <r>
    <x v="0"/>
    <x v="0"/>
    <n v="2239259575"/>
    <x v="6"/>
    <n v="30000"/>
    <x v="1"/>
    <x v="0"/>
    <x v="49"/>
    <x v="6"/>
    <x v="0"/>
    <x v="0"/>
    <x v="5"/>
    <x v="0"/>
  </r>
  <r>
    <x v="0"/>
    <x v="0"/>
    <n v="2239259576"/>
    <x v="5"/>
    <n v="-6500"/>
    <x v="1"/>
    <x v="0"/>
    <x v="49"/>
    <x v="5"/>
    <x v="0"/>
    <x v="0"/>
    <x v="5"/>
    <x v="0"/>
  </r>
  <r>
    <x v="0"/>
    <x v="0"/>
    <n v="2239259576"/>
    <x v="6"/>
    <n v="20000"/>
    <x v="1"/>
    <x v="0"/>
    <x v="49"/>
    <x v="6"/>
    <x v="0"/>
    <x v="0"/>
    <x v="5"/>
    <x v="0"/>
  </r>
  <r>
    <x v="0"/>
    <x v="0"/>
    <n v="2239259577"/>
    <x v="5"/>
    <n v="-3500"/>
    <x v="1"/>
    <x v="0"/>
    <x v="49"/>
    <x v="5"/>
    <x v="0"/>
    <x v="0"/>
    <x v="5"/>
    <x v="0"/>
  </r>
  <r>
    <x v="0"/>
    <x v="0"/>
    <n v="2239259577"/>
    <x v="6"/>
    <n v="10000"/>
    <x v="1"/>
    <x v="0"/>
    <x v="49"/>
    <x v="6"/>
    <x v="0"/>
    <x v="0"/>
    <x v="5"/>
    <x v="0"/>
  </r>
  <r>
    <x v="0"/>
    <x v="0"/>
    <n v="2239259578"/>
    <x v="1"/>
    <n v="1800"/>
    <x v="1"/>
    <x v="0"/>
    <x v="49"/>
    <x v="1"/>
    <x v="0"/>
    <x v="0"/>
    <x v="1"/>
    <x v="0"/>
  </r>
  <r>
    <x v="0"/>
    <x v="0"/>
    <n v="2239259579"/>
    <x v="5"/>
    <n v="-3200"/>
    <x v="1"/>
    <x v="0"/>
    <x v="49"/>
    <x v="5"/>
    <x v="0"/>
    <x v="0"/>
    <x v="5"/>
    <x v="0"/>
  </r>
  <r>
    <x v="0"/>
    <x v="0"/>
    <n v="2239259579"/>
    <x v="6"/>
    <n v="50000"/>
    <x v="1"/>
    <x v="0"/>
    <x v="49"/>
    <x v="6"/>
    <x v="0"/>
    <x v="0"/>
    <x v="5"/>
    <x v="0"/>
  </r>
  <r>
    <x v="0"/>
    <x v="0"/>
    <n v="2239259579"/>
    <x v="7"/>
    <n v="5200"/>
    <x v="1"/>
    <x v="0"/>
    <x v="49"/>
    <x v="7"/>
    <x v="0"/>
    <x v="0"/>
    <x v="1"/>
    <x v="0"/>
  </r>
  <r>
    <x v="0"/>
    <x v="0"/>
    <n v="2239259580"/>
    <x v="5"/>
    <n v="-2500"/>
    <x v="1"/>
    <x v="0"/>
    <x v="49"/>
    <x v="5"/>
    <x v="0"/>
    <x v="0"/>
    <x v="5"/>
    <x v="0"/>
  </r>
  <r>
    <x v="0"/>
    <x v="0"/>
    <n v="2239259580"/>
    <x v="6"/>
    <n v="10000"/>
    <x v="1"/>
    <x v="0"/>
    <x v="49"/>
    <x v="6"/>
    <x v="0"/>
    <x v="0"/>
    <x v="5"/>
    <x v="0"/>
  </r>
  <r>
    <x v="0"/>
    <x v="0"/>
    <n v="2239259581"/>
    <x v="2"/>
    <n v="11000"/>
    <x v="1"/>
    <x v="0"/>
    <x v="49"/>
    <x v="2"/>
    <x v="0"/>
    <x v="0"/>
    <x v="2"/>
    <x v="0"/>
  </r>
  <r>
    <x v="0"/>
    <x v="0"/>
    <n v="2239259582"/>
    <x v="5"/>
    <n v="-4300"/>
    <x v="1"/>
    <x v="0"/>
    <x v="49"/>
    <x v="5"/>
    <x v="0"/>
    <x v="0"/>
    <x v="5"/>
    <x v="0"/>
  </r>
  <r>
    <x v="0"/>
    <x v="0"/>
    <n v="2239259582"/>
    <x v="4"/>
    <n v="10000"/>
    <x v="1"/>
    <x v="0"/>
    <x v="49"/>
    <x v="4"/>
    <x v="0"/>
    <x v="0"/>
    <x v="4"/>
    <x v="0"/>
  </r>
  <r>
    <x v="0"/>
    <x v="0"/>
    <n v="2239259583"/>
    <x v="1"/>
    <n v="6300"/>
    <x v="1"/>
    <x v="0"/>
    <x v="49"/>
    <x v="1"/>
    <x v="0"/>
    <x v="0"/>
    <x v="1"/>
    <x v="0"/>
  </r>
  <r>
    <x v="0"/>
    <x v="0"/>
    <n v="2239259584"/>
    <x v="2"/>
    <n v="6600"/>
    <x v="1"/>
    <x v="0"/>
    <x v="49"/>
    <x v="2"/>
    <x v="0"/>
    <x v="0"/>
    <x v="2"/>
    <x v="0"/>
  </r>
  <r>
    <x v="0"/>
    <x v="0"/>
    <n v="2239259585"/>
    <x v="2"/>
    <n v="47300"/>
    <x v="1"/>
    <x v="0"/>
    <x v="49"/>
    <x v="2"/>
    <x v="0"/>
    <x v="0"/>
    <x v="2"/>
    <x v="0"/>
  </r>
  <r>
    <x v="0"/>
    <x v="0"/>
    <n v="2239259586"/>
    <x v="2"/>
    <n v="17500"/>
    <x v="1"/>
    <x v="0"/>
    <x v="49"/>
    <x v="2"/>
    <x v="0"/>
    <x v="0"/>
    <x v="2"/>
    <x v="0"/>
  </r>
  <r>
    <x v="0"/>
    <x v="0"/>
    <n v="2239259588"/>
    <x v="2"/>
    <n v="7500"/>
    <x v="1"/>
    <x v="0"/>
    <x v="49"/>
    <x v="2"/>
    <x v="0"/>
    <x v="0"/>
    <x v="2"/>
    <x v="0"/>
  </r>
  <r>
    <x v="0"/>
    <x v="0"/>
    <n v="2239259589"/>
    <x v="5"/>
    <n v="-10000"/>
    <x v="1"/>
    <x v="0"/>
    <x v="49"/>
    <x v="5"/>
    <x v="0"/>
    <x v="0"/>
    <x v="5"/>
    <x v="0"/>
  </r>
  <r>
    <x v="0"/>
    <x v="0"/>
    <n v="2239259589"/>
    <x v="6"/>
    <n v="20500"/>
    <x v="1"/>
    <x v="0"/>
    <x v="49"/>
    <x v="6"/>
    <x v="0"/>
    <x v="0"/>
    <x v="5"/>
    <x v="0"/>
  </r>
  <r>
    <x v="0"/>
    <x v="0"/>
    <n v="2239259590"/>
    <x v="2"/>
    <n v="7500"/>
    <x v="1"/>
    <x v="0"/>
    <x v="49"/>
    <x v="2"/>
    <x v="0"/>
    <x v="0"/>
    <x v="2"/>
    <x v="0"/>
  </r>
  <r>
    <x v="0"/>
    <x v="0"/>
    <n v="2239259591"/>
    <x v="5"/>
    <n v="-5600"/>
    <x v="1"/>
    <x v="0"/>
    <x v="49"/>
    <x v="5"/>
    <x v="0"/>
    <x v="0"/>
    <x v="5"/>
    <x v="0"/>
  </r>
  <r>
    <x v="0"/>
    <x v="0"/>
    <n v="2239259591"/>
    <x v="6"/>
    <n v="50000"/>
    <x v="1"/>
    <x v="0"/>
    <x v="49"/>
    <x v="6"/>
    <x v="0"/>
    <x v="0"/>
    <x v="5"/>
    <x v="0"/>
  </r>
  <r>
    <x v="0"/>
    <x v="0"/>
    <n v="2239259592"/>
    <x v="6"/>
    <n v="6000"/>
    <x v="1"/>
    <x v="0"/>
    <x v="49"/>
    <x v="6"/>
    <x v="0"/>
    <x v="0"/>
    <x v="5"/>
    <x v="0"/>
  </r>
  <r>
    <x v="0"/>
    <x v="0"/>
    <n v="2239259593"/>
    <x v="2"/>
    <n v="13750"/>
    <x v="1"/>
    <x v="0"/>
    <x v="49"/>
    <x v="2"/>
    <x v="0"/>
    <x v="0"/>
    <x v="2"/>
    <x v="0"/>
  </r>
  <r>
    <x v="0"/>
    <x v="0"/>
    <n v="2239259595"/>
    <x v="6"/>
    <n v="10000"/>
    <x v="1"/>
    <x v="0"/>
    <x v="49"/>
    <x v="6"/>
    <x v="0"/>
    <x v="0"/>
    <x v="5"/>
    <x v="0"/>
  </r>
  <r>
    <x v="0"/>
    <x v="0"/>
    <n v="2239259596"/>
    <x v="5"/>
    <n v="-15400"/>
    <x v="1"/>
    <x v="0"/>
    <x v="49"/>
    <x v="5"/>
    <x v="0"/>
    <x v="0"/>
    <x v="5"/>
    <x v="0"/>
  </r>
  <r>
    <x v="0"/>
    <x v="0"/>
    <n v="2239259596"/>
    <x v="4"/>
    <n v="20000"/>
    <x v="1"/>
    <x v="0"/>
    <x v="49"/>
    <x v="4"/>
    <x v="0"/>
    <x v="0"/>
    <x v="4"/>
    <x v="0"/>
  </r>
  <r>
    <x v="0"/>
    <x v="0"/>
    <n v="2239259597"/>
    <x v="5"/>
    <n v="-500"/>
    <x v="1"/>
    <x v="0"/>
    <x v="49"/>
    <x v="5"/>
    <x v="0"/>
    <x v="0"/>
    <x v="5"/>
    <x v="0"/>
  </r>
  <r>
    <x v="0"/>
    <x v="0"/>
    <n v="2239259597"/>
    <x v="6"/>
    <n v="8000"/>
    <x v="1"/>
    <x v="0"/>
    <x v="49"/>
    <x v="6"/>
    <x v="0"/>
    <x v="0"/>
    <x v="5"/>
    <x v="0"/>
  </r>
  <r>
    <x v="0"/>
    <x v="0"/>
    <n v="2239259598"/>
    <x v="5"/>
    <n v="-1200"/>
    <x v="1"/>
    <x v="0"/>
    <x v="49"/>
    <x v="5"/>
    <x v="0"/>
    <x v="0"/>
    <x v="5"/>
    <x v="0"/>
  </r>
  <r>
    <x v="0"/>
    <x v="0"/>
    <n v="2239259598"/>
    <x v="6"/>
    <n v="5000"/>
    <x v="1"/>
    <x v="0"/>
    <x v="49"/>
    <x v="6"/>
    <x v="0"/>
    <x v="0"/>
    <x v="5"/>
    <x v="0"/>
  </r>
  <r>
    <x v="0"/>
    <x v="0"/>
    <n v="2239259600"/>
    <x v="5"/>
    <n v="-400"/>
    <x v="1"/>
    <x v="0"/>
    <x v="49"/>
    <x v="5"/>
    <x v="0"/>
    <x v="0"/>
    <x v="5"/>
    <x v="0"/>
  </r>
  <r>
    <x v="0"/>
    <x v="0"/>
    <n v="2239259600"/>
    <x v="4"/>
    <n v="5000"/>
    <x v="1"/>
    <x v="0"/>
    <x v="49"/>
    <x v="4"/>
    <x v="0"/>
    <x v="0"/>
    <x v="4"/>
    <x v="0"/>
  </r>
  <r>
    <x v="0"/>
    <x v="0"/>
    <n v="2239259601"/>
    <x v="2"/>
    <n v="6600"/>
    <x v="1"/>
    <x v="0"/>
    <x v="49"/>
    <x v="2"/>
    <x v="0"/>
    <x v="0"/>
    <x v="2"/>
    <x v="0"/>
  </r>
  <r>
    <x v="0"/>
    <x v="0"/>
    <n v="2239259602"/>
    <x v="5"/>
    <n v="-6000"/>
    <x v="1"/>
    <x v="0"/>
    <x v="49"/>
    <x v="5"/>
    <x v="0"/>
    <x v="0"/>
    <x v="5"/>
    <x v="0"/>
  </r>
  <r>
    <x v="0"/>
    <x v="0"/>
    <n v="2239259602"/>
    <x v="4"/>
    <n v="10600"/>
    <x v="1"/>
    <x v="0"/>
    <x v="49"/>
    <x v="4"/>
    <x v="0"/>
    <x v="0"/>
    <x v="4"/>
    <x v="0"/>
  </r>
  <r>
    <x v="0"/>
    <x v="0"/>
    <n v="2239259603"/>
    <x v="5"/>
    <n v="-500"/>
    <x v="1"/>
    <x v="0"/>
    <x v="49"/>
    <x v="5"/>
    <x v="0"/>
    <x v="0"/>
    <x v="5"/>
    <x v="0"/>
  </r>
  <r>
    <x v="0"/>
    <x v="0"/>
    <n v="2239259603"/>
    <x v="6"/>
    <n v="7000"/>
    <x v="1"/>
    <x v="0"/>
    <x v="49"/>
    <x v="6"/>
    <x v="0"/>
    <x v="0"/>
    <x v="5"/>
    <x v="0"/>
  </r>
  <r>
    <x v="0"/>
    <x v="0"/>
    <n v="2239259604"/>
    <x v="5"/>
    <n v="-2500"/>
    <x v="1"/>
    <x v="0"/>
    <x v="49"/>
    <x v="5"/>
    <x v="0"/>
    <x v="0"/>
    <x v="5"/>
    <x v="0"/>
  </r>
  <r>
    <x v="0"/>
    <x v="0"/>
    <n v="2239259604"/>
    <x v="6"/>
    <n v="10000"/>
    <x v="1"/>
    <x v="0"/>
    <x v="49"/>
    <x v="6"/>
    <x v="0"/>
    <x v="0"/>
    <x v="5"/>
    <x v="0"/>
  </r>
  <r>
    <x v="0"/>
    <x v="0"/>
    <n v="2239259605"/>
    <x v="5"/>
    <n v="-79000"/>
    <x v="1"/>
    <x v="0"/>
    <x v="49"/>
    <x v="5"/>
    <x v="0"/>
    <x v="0"/>
    <x v="5"/>
    <x v="0"/>
  </r>
  <r>
    <x v="0"/>
    <x v="0"/>
    <n v="2239259605"/>
    <x v="6"/>
    <n v="100000"/>
    <x v="1"/>
    <x v="0"/>
    <x v="49"/>
    <x v="6"/>
    <x v="0"/>
    <x v="0"/>
    <x v="5"/>
    <x v="0"/>
  </r>
  <r>
    <x v="0"/>
    <x v="0"/>
    <n v="2239259606"/>
    <x v="8"/>
    <n v="8250"/>
    <x v="1"/>
    <x v="0"/>
    <x v="49"/>
    <x v="8"/>
    <x v="0"/>
    <x v="0"/>
    <x v="3"/>
    <x v="0"/>
  </r>
  <r>
    <x v="0"/>
    <x v="0"/>
    <n v="2239259607"/>
    <x v="2"/>
    <n v="9548"/>
    <x v="1"/>
    <x v="0"/>
    <x v="49"/>
    <x v="2"/>
    <x v="0"/>
    <x v="0"/>
    <x v="2"/>
    <x v="0"/>
  </r>
  <r>
    <x v="0"/>
    <x v="0"/>
    <n v="2239259608"/>
    <x v="2"/>
    <n v="27940"/>
    <x v="1"/>
    <x v="0"/>
    <x v="49"/>
    <x v="2"/>
    <x v="0"/>
    <x v="0"/>
    <x v="2"/>
    <x v="0"/>
  </r>
  <r>
    <x v="0"/>
    <x v="0"/>
    <n v="2239259609"/>
    <x v="6"/>
    <n v="25400"/>
    <x v="1"/>
    <x v="0"/>
    <x v="49"/>
    <x v="6"/>
    <x v="0"/>
    <x v="0"/>
    <x v="5"/>
    <x v="0"/>
  </r>
  <r>
    <x v="0"/>
    <x v="0"/>
    <n v="2239259610"/>
    <x v="0"/>
    <n v="2700"/>
    <x v="1"/>
    <x v="0"/>
    <x v="49"/>
    <x v="0"/>
    <x v="0"/>
    <x v="0"/>
    <x v="0"/>
    <x v="0"/>
  </r>
  <r>
    <x v="0"/>
    <x v="0"/>
    <n v="2239259611"/>
    <x v="5"/>
    <n v="-12500"/>
    <x v="1"/>
    <x v="0"/>
    <x v="49"/>
    <x v="5"/>
    <x v="0"/>
    <x v="0"/>
    <x v="5"/>
    <x v="0"/>
  </r>
  <r>
    <x v="0"/>
    <x v="0"/>
    <n v="2239259611"/>
    <x v="6"/>
    <n v="20000"/>
    <x v="1"/>
    <x v="0"/>
    <x v="49"/>
    <x v="6"/>
    <x v="0"/>
    <x v="0"/>
    <x v="5"/>
    <x v="0"/>
  </r>
  <r>
    <x v="0"/>
    <x v="0"/>
    <n v="2239259612"/>
    <x v="2"/>
    <n v="7500"/>
    <x v="1"/>
    <x v="0"/>
    <x v="49"/>
    <x v="2"/>
    <x v="0"/>
    <x v="0"/>
    <x v="2"/>
    <x v="0"/>
  </r>
  <r>
    <x v="0"/>
    <x v="0"/>
    <n v="2239259613"/>
    <x v="5"/>
    <n v="-2000"/>
    <x v="1"/>
    <x v="0"/>
    <x v="49"/>
    <x v="5"/>
    <x v="0"/>
    <x v="0"/>
    <x v="5"/>
    <x v="0"/>
  </r>
  <r>
    <x v="0"/>
    <x v="0"/>
    <n v="2239259613"/>
    <x v="6"/>
    <n v="5000"/>
    <x v="1"/>
    <x v="0"/>
    <x v="49"/>
    <x v="6"/>
    <x v="0"/>
    <x v="0"/>
    <x v="5"/>
    <x v="0"/>
  </r>
  <r>
    <x v="0"/>
    <x v="0"/>
    <n v="2239259614"/>
    <x v="2"/>
    <n v="8250"/>
    <x v="1"/>
    <x v="0"/>
    <x v="49"/>
    <x v="2"/>
    <x v="0"/>
    <x v="0"/>
    <x v="2"/>
    <x v="0"/>
  </r>
  <r>
    <x v="0"/>
    <x v="0"/>
    <n v="2239259615"/>
    <x v="2"/>
    <n v="18700"/>
    <x v="1"/>
    <x v="0"/>
    <x v="49"/>
    <x v="2"/>
    <x v="0"/>
    <x v="0"/>
    <x v="2"/>
    <x v="0"/>
  </r>
  <r>
    <x v="0"/>
    <x v="0"/>
    <n v="2239259616"/>
    <x v="2"/>
    <n v="7500"/>
    <x v="1"/>
    <x v="0"/>
    <x v="49"/>
    <x v="2"/>
    <x v="0"/>
    <x v="0"/>
    <x v="2"/>
    <x v="0"/>
  </r>
  <r>
    <x v="0"/>
    <x v="0"/>
    <n v="2239259617"/>
    <x v="8"/>
    <n v="4000"/>
    <x v="1"/>
    <x v="0"/>
    <x v="49"/>
    <x v="8"/>
    <x v="0"/>
    <x v="0"/>
    <x v="3"/>
    <x v="0"/>
  </r>
  <r>
    <x v="0"/>
    <x v="0"/>
    <n v="2239259618"/>
    <x v="5"/>
    <n v="-15000"/>
    <x v="1"/>
    <x v="0"/>
    <x v="49"/>
    <x v="5"/>
    <x v="0"/>
    <x v="0"/>
    <x v="5"/>
    <x v="0"/>
  </r>
  <r>
    <x v="0"/>
    <x v="0"/>
    <n v="2239259618"/>
    <x v="4"/>
    <n v="20700"/>
    <x v="1"/>
    <x v="0"/>
    <x v="49"/>
    <x v="4"/>
    <x v="0"/>
    <x v="0"/>
    <x v="4"/>
    <x v="0"/>
  </r>
  <r>
    <x v="0"/>
    <x v="0"/>
    <n v="2239259620"/>
    <x v="5"/>
    <n v="-400"/>
    <x v="1"/>
    <x v="0"/>
    <x v="49"/>
    <x v="5"/>
    <x v="0"/>
    <x v="0"/>
    <x v="5"/>
    <x v="0"/>
  </r>
  <r>
    <x v="0"/>
    <x v="0"/>
    <n v="2239259620"/>
    <x v="4"/>
    <n v="6000"/>
    <x v="1"/>
    <x v="0"/>
    <x v="49"/>
    <x v="4"/>
    <x v="0"/>
    <x v="0"/>
    <x v="4"/>
    <x v="0"/>
  </r>
  <r>
    <x v="0"/>
    <x v="0"/>
    <n v="2239259621"/>
    <x v="6"/>
    <n v="6500"/>
    <x v="1"/>
    <x v="0"/>
    <x v="49"/>
    <x v="6"/>
    <x v="0"/>
    <x v="0"/>
    <x v="5"/>
    <x v="0"/>
  </r>
  <r>
    <x v="0"/>
    <x v="0"/>
    <n v="2239259623"/>
    <x v="8"/>
    <n v="8250"/>
    <x v="1"/>
    <x v="0"/>
    <x v="49"/>
    <x v="8"/>
    <x v="0"/>
    <x v="0"/>
    <x v="3"/>
    <x v="0"/>
  </r>
  <r>
    <x v="0"/>
    <x v="0"/>
    <n v="2239259624"/>
    <x v="6"/>
    <n v="6000"/>
    <x v="1"/>
    <x v="0"/>
    <x v="49"/>
    <x v="6"/>
    <x v="0"/>
    <x v="0"/>
    <x v="5"/>
    <x v="0"/>
  </r>
  <r>
    <x v="0"/>
    <x v="0"/>
    <n v="2239259625"/>
    <x v="2"/>
    <n v="28050"/>
    <x v="1"/>
    <x v="0"/>
    <x v="49"/>
    <x v="2"/>
    <x v="0"/>
    <x v="0"/>
    <x v="2"/>
    <x v="0"/>
  </r>
  <r>
    <x v="0"/>
    <x v="0"/>
    <n v="2239259626"/>
    <x v="2"/>
    <n v="8800"/>
    <x v="1"/>
    <x v="0"/>
    <x v="49"/>
    <x v="2"/>
    <x v="0"/>
    <x v="0"/>
    <x v="2"/>
    <x v="0"/>
  </r>
  <r>
    <x v="0"/>
    <x v="0"/>
    <n v="2239259627"/>
    <x v="2"/>
    <n v="8250"/>
    <x v="1"/>
    <x v="0"/>
    <x v="49"/>
    <x v="2"/>
    <x v="0"/>
    <x v="0"/>
    <x v="2"/>
    <x v="0"/>
  </r>
  <r>
    <x v="0"/>
    <x v="0"/>
    <n v="2239259628"/>
    <x v="2"/>
    <n v="7500"/>
    <x v="1"/>
    <x v="0"/>
    <x v="49"/>
    <x v="2"/>
    <x v="0"/>
    <x v="0"/>
    <x v="2"/>
    <x v="0"/>
  </r>
  <r>
    <x v="0"/>
    <x v="0"/>
    <n v="2239259629"/>
    <x v="5"/>
    <n v="-2100"/>
    <x v="1"/>
    <x v="0"/>
    <x v="49"/>
    <x v="5"/>
    <x v="0"/>
    <x v="0"/>
    <x v="5"/>
    <x v="0"/>
  </r>
  <r>
    <x v="0"/>
    <x v="0"/>
    <n v="2239259629"/>
    <x v="6"/>
    <n v="10000"/>
    <x v="1"/>
    <x v="0"/>
    <x v="49"/>
    <x v="6"/>
    <x v="0"/>
    <x v="0"/>
    <x v="5"/>
    <x v="0"/>
  </r>
  <r>
    <x v="0"/>
    <x v="0"/>
    <n v="2239259631"/>
    <x v="1"/>
    <n v="6500"/>
    <x v="1"/>
    <x v="0"/>
    <x v="49"/>
    <x v="1"/>
    <x v="0"/>
    <x v="0"/>
    <x v="1"/>
    <x v="0"/>
  </r>
  <r>
    <x v="0"/>
    <x v="0"/>
    <n v="2239259632"/>
    <x v="5"/>
    <n v="-7000"/>
    <x v="1"/>
    <x v="0"/>
    <x v="49"/>
    <x v="5"/>
    <x v="0"/>
    <x v="0"/>
    <x v="5"/>
    <x v="0"/>
  </r>
  <r>
    <x v="0"/>
    <x v="0"/>
    <n v="2239259632"/>
    <x v="6"/>
    <n v="10000"/>
    <x v="1"/>
    <x v="0"/>
    <x v="49"/>
    <x v="6"/>
    <x v="0"/>
    <x v="0"/>
    <x v="5"/>
    <x v="0"/>
  </r>
  <r>
    <x v="0"/>
    <x v="0"/>
    <n v="2239259633"/>
    <x v="5"/>
    <n v="-1000"/>
    <x v="1"/>
    <x v="0"/>
    <x v="49"/>
    <x v="5"/>
    <x v="0"/>
    <x v="0"/>
    <x v="5"/>
    <x v="0"/>
  </r>
  <r>
    <x v="0"/>
    <x v="0"/>
    <n v="2239259633"/>
    <x v="6"/>
    <n v="40000"/>
    <x v="1"/>
    <x v="0"/>
    <x v="49"/>
    <x v="6"/>
    <x v="0"/>
    <x v="0"/>
    <x v="5"/>
    <x v="0"/>
  </r>
  <r>
    <x v="0"/>
    <x v="0"/>
    <n v="2239259634"/>
    <x v="5"/>
    <n v="-8500"/>
    <x v="1"/>
    <x v="0"/>
    <x v="49"/>
    <x v="5"/>
    <x v="0"/>
    <x v="0"/>
    <x v="5"/>
    <x v="0"/>
  </r>
  <r>
    <x v="0"/>
    <x v="0"/>
    <n v="2239259634"/>
    <x v="6"/>
    <n v="20000"/>
    <x v="1"/>
    <x v="0"/>
    <x v="49"/>
    <x v="6"/>
    <x v="0"/>
    <x v="0"/>
    <x v="5"/>
    <x v="0"/>
  </r>
  <r>
    <x v="0"/>
    <x v="0"/>
    <n v="2239259635"/>
    <x v="5"/>
    <n v="-500"/>
    <x v="1"/>
    <x v="0"/>
    <x v="49"/>
    <x v="5"/>
    <x v="0"/>
    <x v="0"/>
    <x v="5"/>
    <x v="0"/>
  </r>
  <r>
    <x v="0"/>
    <x v="0"/>
    <n v="2239259635"/>
    <x v="6"/>
    <n v="10000"/>
    <x v="1"/>
    <x v="0"/>
    <x v="49"/>
    <x v="6"/>
    <x v="0"/>
    <x v="0"/>
    <x v="5"/>
    <x v="0"/>
  </r>
  <r>
    <x v="0"/>
    <x v="0"/>
    <n v="2239259637"/>
    <x v="2"/>
    <n v="8250"/>
    <x v="1"/>
    <x v="0"/>
    <x v="49"/>
    <x v="2"/>
    <x v="0"/>
    <x v="0"/>
    <x v="2"/>
    <x v="0"/>
  </r>
  <r>
    <x v="0"/>
    <x v="0"/>
    <n v="2239259638"/>
    <x v="2"/>
    <n v="7500"/>
    <x v="1"/>
    <x v="0"/>
    <x v="49"/>
    <x v="2"/>
    <x v="0"/>
    <x v="0"/>
    <x v="2"/>
    <x v="0"/>
  </r>
  <r>
    <x v="0"/>
    <x v="0"/>
    <n v="2239259640"/>
    <x v="2"/>
    <n v="3960"/>
    <x v="1"/>
    <x v="0"/>
    <x v="49"/>
    <x v="2"/>
    <x v="0"/>
    <x v="0"/>
    <x v="2"/>
    <x v="0"/>
  </r>
  <r>
    <x v="0"/>
    <x v="0"/>
    <n v="2239259641"/>
    <x v="2"/>
    <n v="31240"/>
    <x v="1"/>
    <x v="0"/>
    <x v="49"/>
    <x v="2"/>
    <x v="0"/>
    <x v="0"/>
    <x v="2"/>
    <x v="0"/>
  </r>
  <r>
    <x v="0"/>
    <x v="0"/>
    <n v="2239259642"/>
    <x v="5"/>
    <n v="-10100"/>
    <x v="1"/>
    <x v="0"/>
    <x v="49"/>
    <x v="5"/>
    <x v="0"/>
    <x v="0"/>
    <x v="5"/>
    <x v="0"/>
  </r>
  <r>
    <x v="0"/>
    <x v="0"/>
    <n v="2239259642"/>
    <x v="6"/>
    <n v="25500"/>
    <x v="1"/>
    <x v="0"/>
    <x v="49"/>
    <x v="6"/>
    <x v="0"/>
    <x v="0"/>
    <x v="5"/>
    <x v="0"/>
  </r>
  <r>
    <x v="0"/>
    <x v="0"/>
    <n v="2239259643"/>
    <x v="5"/>
    <n v="-500"/>
    <x v="1"/>
    <x v="0"/>
    <x v="49"/>
    <x v="5"/>
    <x v="0"/>
    <x v="0"/>
    <x v="5"/>
    <x v="0"/>
  </r>
  <r>
    <x v="0"/>
    <x v="0"/>
    <n v="2239259643"/>
    <x v="6"/>
    <n v="5000"/>
    <x v="1"/>
    <x v="0"/>
    <x v="49"/>
    <x v="6"/>
    <x v="0"/>
    <x v="0"/>
    <x v="5"/>
    <x v="0"/>
  </r>
  <r>
    <x v="0"/>
    <x v="0"/>
    <n v="2239259644"/>
    <x v="0"/>
    <n v="1800"/>
    <x v="1"/>
    <x v="0"/>
    <x v="49"/>
    <x v="0"/>
    <x v="0"/>
    <x v="0"/>
    <x v="0"/>
    <x v="0"/>
  </r>
  <r>
    <x v="0"/>
    <x v="0"/>
    <n v="2239259645"/>
    <x v="2"/>
    <n v="7500"/>
    <x v="1"/>
    <x v="0"/>
    <x v="49"/>
    <x v="2"/>
    <x v="0"/>
    <x v="0"/>
    <x v="2"/>
    <x v="0"/>
  </r>
  <r>
    <x v="0"/>
    <x v="0"/>
    <n v="2239259646"/>
    <x v="5"/>
    <n v="-2000"/>
    <x v="1"/>
    <x v="0"/>
    <x v="49"/>
    <x v="5"/>
    <x v="0"/>
    <x v="0"/>
    <x v="5"/>
    <x v="0"/>
  </r>
  <r>
    <x v="0"/>
    <x v="0"/>
    <n v="2239259646"/>
    <x v="6"/>
    <n v="5000"/>
    <x v="1"/>
    <x v="0"/>
    <x v="49"/>
    <x v="6"/>
    <x v="0"/>
    <x v="0"/>
    <x v="5"/>
    <x v="0"/>
  </r>
  <r>
    <x v="0"/>
    <x v="0"/>
    <n v="2239259647"/>
    <x v="5"/>
    <n v="-1500"/>
    <x v="1"/>
    <x v="0"/>
    <x v="49"/>
    <x v="5"/>
    <x v="0"/>
    <x v="0"/>
    <x v="5"/>
    <x v="0"/>
  </r>
  <r>
    <x v="0"/>
    <x v="0"/>
    <n v="2239259647"/>
    <x v="6"/>
    <n v="10000"/>
    <x v="1"/>
    <x v="0"/>
    <x v="49"/>
    <x v="6"/>
    <x v="0"/>
    <x v="0"/>
    <x v="5"/>
    <x v="0"/>
  </r>
  <r>
    <x v="0"/>
    <x v="0"/>
    <n v="2239259648"/>
    <x v="2"/>
    <n v="12400"/>
    <x v="1"/>
    <x v="0"/>
    <x v="49"/>
    <x v="2"/>
    <x v="0"/>
    <x v="0"/>
    <x v="2"/>
    <x v="0"/>
  </r>
  <r>
    <x v="0"/>
    <x v="0"/>
    <n v="2239259649"/>
    <x v="1"/>
    <n v="11970"/>
    <x v="1"/>
    <x v="0"/>
    <x v="49"/>
    <x v="1"/>
    <x v="0"/>
    <x v="0"/>
    <x v="1"/>
    <x v="0"/>
  </r>
  <r>
    <x v="0"/>
    <x v="0"/>
    <n v="2239259650"/>
    <x v="2"/>
    <n v="8250"/>
    <x v="1"/>
    <x v="0"/>
    <x v="49"/>
    <x v="2"/>
    <x v="0"/>
    <x v="0"/>
    <x v="2"/>
    <x v="0"/>
  </r>
  <r>
    <x v="0"/>
    <x v="0"/>
    <n v="2239259651"/>
    <x v="5"/>
    <n v="-78019695"/>
    <x v="1"/>
    <x v="0"/>
    <x v="49"/>
    <x v="5"/>
    <x v="0"/>
    <x v="0"/>
    <x v="5"/>
    <x v="0"/>
  </r>
  <r>
    <x v="0"/>
    <x v="0"/>
    <n v="2239259651"/>
    <x v="4"/>
    <n v="78025295"/>
    <x v="1"/>
    <x v="0"/>
    <x v="49"/>
    <x v="4"/>
    <x v="0"/>
    <x v="0"/>
    <x v="4"/>
    <x v="0"/>
  </r>
  <r>
    <x v="0"/>
    <x v="0"/>
    <n v="2239259652"/>
    <x v="5"/>
    <n v="-2000"/>
    <x v="1"/>
    <x v="0"/>
    <x v="49"/>
    <x v="5"/>
    <x v="0"/>
    <x v="0"/>
    <x v="5"/>
    <x v="0"/>
  </r>
  <r>
    <x v="0"/>
    <x v="0"/>
    <n v="2239259652"/>
    <x v="6"/>
    <n v="5000"/>
    <x v="1"/>
    <x v="0"/>
    <x v="49"/>
    <x v="6"/>
    <x v="0"/>
    <x v="0"/>
    <x v="5"/>
    <x v="0"/>
  </r>
  <r>
    <x v="0"/>
    <x v="0"/>
    <n v="2239259655"/>
    <x v="0"/>
    <n v="12150"/>
    <x v="1"/>
    <x v="0"/>
    <x v="49"/>
    <x v="0"/>
    <x v="0"/>
    <x v="0"/>
    <x v="0"/>
    <x v="0"/>
  </r>
  <r>
    <x v="0"/>
    <x v="0"/>
    <n v="2239259656"/>
    <x v="1"/>
    <n v="5400"/>
    <x v="1"/>
    <x v="0"/>
    <x v="49"/>
    <x v="1"/>
    <x v="0"/>
    <x v="0"/>
    <x v="1"/>
    <x v="0"/>
  </r>
  <r>
    <x v="0"/>
    <x v="0"/>
    <n v="2239262135"/>
    <x v="3"/>
    <n v="28600"/>
    <x v="2"/>
    <x v="0"/>
    <x v="50"/>
    <x v="3"/>
    <x v="0"/>
    <x v="0"/>
    <x v="3"/>
    <x v="0"/>
  </r>
  <r>
    <x v="0"/>
    <x v="0"/>
    <n v="2239262136"/>
    <x v="1"/>
    <n v="23340"/>
    <x v="2"/>
    <x v="0"/>
    <x v="50"/>
    <x v="1"/>
    <x v="0"/>
    <x v="0"/>
    <x v="1"/>
    <x v="0"/>
  </r>
  <r>
    <x v="0"/>
    <x v="0"/>
    <n v="2239262150"/>
    <x v="1"/>
    <n v="17990"/>
    <x v="2"/>
    <x v="0"/>
    <x v="50"/>
    <x v="1"/>
    <x v="0"/>
    <x v="0"/>
    <x v="1"/>
    <x v="0"/>
  </r>
  <r>
    <x v="0"/>
    <x v="0"/>
    <n v="2239262151"/>
    <x v="1"/>
    <n v="1140"/>
    <x v="2"/>
    <x v="0"/>
    <x v="50"/>
    <x v="1"/>
    <x v="0"/>
    <x v="0"/>
    <x v="1"/>
    <x v="0"/>
  </r>
  <r>
    <x v="0"/>
    <x v="0"/>
    <n v="2239262152"/>
    <x v="1"/>
    <n v="1140"/>
    <x v="2"/>
    <x v="0"/>
    <x v="50"/>
    <x v="1"/>
    <x v="0"/>
    <x v="0"/>
    <x v="1"/>
    <x v="0"/>
  </r>
  <r>
    <x v="0"/>
    <x v="0"/>
    <n v="2239262153"/>
    <x v="1"/>
    <n v="12040"/>
    <x v="2"/>
    <x v="0"/>
    <x v="50"/>
    <x v="1"/>
    <x v="0"/>
    <x v="0"/>
    <x v="1"/>
    <x v="0"/>
  </r>
  <r>
    <x v="0"/>
    <x v="0"/>
    <n v="2239262154"/>
    <x v="1"/>
    <n v="12900"/>
    <x v="2"/>
    <x v="0"/>
    <x v="50"/>
    <x v="1"/>
    <x v="0"/>
    <x v="0"/>
    <x v="1"/>
    <x v="0"/>
  </r>
  <r>
    <x v="0"/>
    <x v="0"/>
    <n v="2239262155"/>
    <x v="1"/>
    <n v="5850"/>
    <x v="2"/>
    <x v="0"/>
    <x v="50"/>
    <x v="1"/>
    <x v="0"/>
    <x v="0"/>
    <x v="1"/>
    <x v="0"/>
  </r>
  <r>
    <x v="0"/>
    <x v="0"/>
    <n v="2239262156"/>
    <x v="1"/>
    <n v="9700"/>
    <x v="2"/>
    <x v="0"/>
    <x v="50"/>
    <x v="1"/>
    <x v="0"/>
    <x v="0"/>
    <x v="1"/>
    <x v="0"/>
  </r>
  <r>
    <x v="0"/>
    <x v="0"/>
    <n v="2239262160"/>
    <x v="1"/>
    <n v="29460"/>
    <x v="2"/>
    <x v="0"/>
    <x v="50"/>
    <x v="1"/>
    <x v="0"/>
    <x v="0"/>
    <x v="1"/>
    <x v="0"/>
  </r>
  <r>
    <x v="0"/>
    <x v="0"/>
    <n v="2239262161"/>
    <x v="1"/>
    <n v="900"/>
    <x v="2"/>
    <x v="0"/>
    <x v="50"/>
    <x v="1"/>
    <x v="0"/>
    <x v="0"/>
    <x v="1"/>
    <x v="0"/>
  </r>
  <r>
    <x v="0"/>
    <x v="0"/>
    <n v="2239262162"/>
    <x v="1"/>
    <n v="4200"/>
    <x v="2"/>
    <x v="0"/>
    <x v="50"/>
    <x v="1"/>
    <x v="0"/>
    <x v="0"/>
    <x v="1"/>
    <x v="0"/>
  </r>
  <r>
    <x v="0"/>
    <x v="0"/>
    <n v="2239262163"/>
    <x v="1"/>
    <n v="52000"/>
    <x v="2"/>
    <x v="0"/>
    <x v="50"/>
    <x v="1"/>
    <x v="0"/>
    <x v="0"/>
    <x v="1"/>
    <x v="0"/>
  </r>
  <r>
    <x v="0"/>
    <x v="0"/>
    <n v="2239262164"/>
    <x v="1"/>
    <n v="23350"/>
    <x v="2"/>
    <x v="0"/>
    <x v="50"/>
    <x v="1"/>
    <x v="0"/>
    <x v="0"/>
    <x v="1"/>
    <x v="0"/>
  </r>
  <r>
    <x v="0"/>
    <x v="0"/>
    <n v="2239262165"/>
    <x v="1"/>
    <n v="23400"/>
    <x v="2"/>
    <x v="0"/>
    <x v="50"/>
    <x v="1"/>
    <x v="0"/>
    <x v="0"/>
    <x v="1"/>
    <x v="0"/>
  </r>
  <r>
    <x v="0"/>
    <x v="0"/>
    <n v="2239262166"/>
    <x v="1"/>
    <n v="49420"/>
    <x v="2"/>
    <x v="0"/>
    <x v="50"/>
    <x v="1"/>
    <x v="0"/>
    <x v="0"/>
    <x v="1"/>
    <x v="0"/>
  </r>
  <r>
    <x v="0"/>
    <x v="0"/>
    <n v="2239262167"/>
    <x v="1"/>
    <n v="15120"/>
    <x v="2"/>
    <x v="0"/>
    <x v="50"/>
    <x v="1"/>
    <x v="0"/>
    <x v="0"/>
    <x v="1"/>
    <x v="0"/>
  </r>
  <r>
    <x v="0"/>
    <x v="0"/>
    <n v="2239262168"/>
    <x v="1"/>
    <n v="12180"/>
    <x v="2"/>
    <x v="0"/>
    <x v="50"/>
    <x v="1"/>
    <x v="0"/>
    <x v="0"/>
    <x v="1"/>
    <x v="0"/>
  </r>
  <r>
    <x v="0"/>
    <x v="0"/>
    <n v="2239262169"/>
    <x v="1"/>
    <n v="900"/>
    <x v="2"/>
    <x v="0"/>
    <x v="50"/>
    <x v="1"/>
    <x v="0"/>
    <x v="0"/>
    <x v="1"/>
    <x v="0"/>
  </r>
  <r>
    <x v="0"/>
    <x v="0"/>
    <n v="2239262170"/>
    <x v="1"/>
    <n v="1140"/>
    <x v="2"/>
    <x v="0"/>
    <x v="50"/>
    <x v="1"/>
    <x v="0"/>
    <x v="0"/>
    <x v="1"/>
    <x v="0"/>
  </r>
  <r>
    <x v="0"/>
    <x v="0"/>
    <n v="2239262171"/>
    <x v="2"/>
    <n v="23920"/>
    <x v="2"/>
    <x v="0"/>
    <x v="50"/>
    <x v="2"/>
    <x v="0"/>
    <x v="0"/>
    <x v="2"/>
    <x v="0"/>
  </r>
  <r>
    <x v="0"/>
    <x v="0"/>
    <n v="2239262172"/>
    <x v="2"/>
    <n v="33990"/>
    <x v="2"/>
    <x v="0"/>
    <x v="50"/>
    <x v="2"/>
    <x v="0"/>
    <x v="0"/>
    <x v="2"/>
    <x v="0"/>
  </r>
  <r>
    <x v="0"/>
    <x v="0"/>
    <n v="2239262173"/>
    <x v="2"/>
    <n v="2200"/>
    <x v="2"/>
    <x v="0"/>
    <x v="50"/>
    <x v="2"/>
    <x v="0"/>
    <x v="0"/>
    <x v="2"/>
    <x v="0"/>
  </r>
  <r>
    <x v="0"/>
    <x v="0"/>
    <n v="2239262174"/>
    <x v="1"/>
    <n v="900"/>
    <x v="2"/>
    <x v="0"/>
    <x v="50"/>
    <x v="1"/>
    <x v="0"/>
    <x v="0"/>
    <x v="1"/>
    <x v="0"/>
  </r>
  <r>
    <x v="0"/>
    <x v="0"/>
    <n v="2239262175"/>
    <x v="1"/>
    <n v="2190"/>
    <x v="2"/>
    <x v="0"/>
    <x v="50"/>
    <x v="1"/>
    <x v="0"/>
    <x v="0"/>
    <x v="1"/>
    <x v="0"/>
  </r>
  <r>
    <x v="0"/>
    <x v="0"/>
    <n v="2239262176"/>
    <x v="1"/>
    <n v="600"/>
    <x v="2"/>
    <x v="0"/>
    <x v="50"/>
    <x v="1"/>
    <x v="0"/>
    <x v="0"/>
    <x v="1"/>
    <x v="0"/>
  </r>
  <r>
    <x v="0"/>
    <x v="0"/>
    <n v="2239262178"/>
    <x v="5"/>
    <n v="-4100"/>
    <x v="2"/>
    <x v="0"/>
    <x v="50"/>
    <x v="5"/>
    <x v="0"/>
    <x v="0"/>
    <x v="5"/>
    <x v="0"/>
  </r>
  <r>
    <x v="0"/>
    <x v="0"/>
    <n v="2239262178"/>
    <x v="6"/>
    <n v="20000"/>
    <x v="2"/>
    <x v="0"/>
    <x v="50"/>
    <x v="6"/>
    <x v="0"/>
    <x v="0"/>
    <x v="5"/>
    <x v="0"/>
  </r>
  <r>
    <x v="0"/>
    <x v="0"/>
    <n v="2239262180"/>
    <x v="2"/>
    <n v="5600"/>
    <x v="2"/>
    <x v="0"/>
    <x v="50"/>
    <x v="2"/>
    <x v="0"/>
    <x v="0"/>
    <x v="2"/>
    <x v="0"/>
  </r>
  <r>
    <x v="0"/>
    <x v="0"/>
    <n v="2239262181"/>
    <x v="5"/>
    <n v="-6000"/>
    <x v="2"/>
    <x v="0"/>
    <x v="50"/>
    <x v="5"/>
    <x v="0"/>
    <x v="0"/>
    <x v="5"/>
    <x v="0"/>
  </r>
  <r>
    <x v="0"/>
    <x v="0"/>
    <n v="2239262181"/>
    <x v="4"/>
    <n v="10400"/>
    <x v="2"/>
    <x v="0"/>
    <x v="50"/>
    <x v="4"/>
    <x v="0"/>
    <x v="0"/>
    <x v="4"/>
    <x v="0"/>
  </r>
  <r>
    <x v="0"/>
    <x v="0"/>
    <n v="2239262183"/>
    <x v="2"/>
    <n v="2000"/>
    <x v="2"/>
    <x v="0"/>
    <x v="50"/>
    <x v="2"/>
    <x v="0"/>
    <x v="0"/>
    <x v="2"/>
    <x v="0"/>
  </r>
  <r>
    <x v="0"/>
    <x v="0"/>
    <n v="2239262184"/>
    <x v="5"/>
    <n v="-3700"/>
    <x v="2"/>
    <x v="0"/>
    <x v="50"/>
    <x v="5"/>
    <x v="0"/>
    <x v="0"/>
    <x v="5"/>
    <x v="0"/>
  </r>
  <r>
    <x v="0"/>
    <x v="0"/>
    <n v="2239262184"/>
    <x v="6"/>
    <n v="10000"/>
    <x v="2"/>
    <x v="0"/>
    <x v="50"/>
    <x v="6"/>
    <x v="0"/>
    <x v="0"/>
    <x v="5"/>
    <x v="0"/>
  </r>
  <r>
    <x v="0"/>
    <x v="0"/>
    <n v="2239262185"/>
    <x v="2"/>
    <n v="6600"/>
    <x v="2"/>
    <x v="0"/>
    <x v="50"/>
    <x v="2"/>
    <x v="0"/>
    <x v="0"/>
    <x v="2"/>
    <x v="0"/>
  </r>
  <r>
    <x v="0"/>
    <x v="0"/>
    <n v="2239262186"/>
    <x v="5"/>
    <n v="-15400"/>
    <x v="2"/>
    <x v="0"/>
    <x v="50"/>
    <x v="5"/>
    <x v="0"/>
    <x v="0"/>
    <x v="5"/>
    <x v="0"/>
  </r>
  <r>
    <x v="0"/>
    <x v="0"/>
    <n v="2239262186"/>
    <x v="4"/>
    <n v="20000"/>
    <x v="2"/>
    <x v="0"/>
    <x v="50"/>
    <x v="4"/>
    <x v="0"/>
    <x v="0"/>
    <x v="4"/>
    <x v="0"/>
  </r>
  <r>
    <x v="0"/>
    <x v="0"/>
    <n v="2239262187"/>
    <x v="2"/>
    <n v="18315"/>
    <x v="2"/>
    <x v="0"/>
    <x v="50"/>
    <x v="2"/>
    <x v="0"/>
    <x v="0"/>
    <x v="2"/>
    <x v="0"/>
  </r>
  <r>
    <x v="0"/>
    <x v="0"/>
    <n v="2239262188"/>
    <x v="2"/>
    <n v="15070"/>
    <x v="2"/>
    <x v="0"/>
    <x v="50"/>
    <x v="2"/>
    <x v="0"/>
    <x v="0"/>
    <x v="2"/>
    <x v="0"/>
  </r>
  <r>
    <x v="0"/>
    <x v="0"/>
    <n v="2239262189"/>
    <x v="2"/>
    <n v="12540"/>
    <x v="2"/>
    <x v="0"/>
    <x v="50"/>
    <x v="2"/>
    <x v="0"/>
    <x v="0"/>
    <x v="2"/>
    <x v="0"/>
  </r>
  <r>
    <x v="0"/>
    <x v="0"/>
    <n v="2239262190"/>
    <x v="5"/>
    <n v="-15400"/>
    <x v="2"/>
    <x v="0"/>
    <x v="50"/>
    <x v="5"/>
    <x v="0"/>
    <x v="0"/>
    <x v="5"/>
    <x v="0"/>
  </r>
  <r>
    <x v="0"/>
    <x v="0"/>
    <n v="2239262190"/>
    <x v="4"/>
    <n v="20000"/>
    <x v="2"/>
    <x v="0"/>
    <x v="50"/>
    <x v="4"/>
    <x v="0"/>
    <x v="0"/>
    <x v="4"/>
    <x v="0"/>
  </r>
  <r>
    <x v="0"/>
    <x v="0"/>
    <n v="2239262191"/>
    <x v="5"/>
    <n v="-14300"/>
    <x v="2"/>
    <x v="0"/>
    <x v="50"/>
    <x v="5"/>
    <x v="0"/>
    <x v="0"/>
    <x v="5"/>
    <x v="0"/>
  </r>
  <r>
    <x v="0"/>
    <x v="0"/>
    <n v="2239262191"/>
    <x v="4"/>
    <n v="20000"/>
    <x v="2"/>
    <x v="0"/>
    <x v="50"/>
    <x v="4"/>
    <x v="0"/>
    <x v="0"/>
    <x v="4"/>
    <x v="0"/>
  </r>
  <r>
    <x v="0"/>
    <x v="0"/>
    <n v="2239262192"/>
    <x v="2"/>
    <n v="4400"/>
    <x v="2"/>
    <x v="0"/>
    <x v="50"/>
    <x v="2"/>
    <x v="0"/>
    <x v="0"/>
    <x v="2"/>
    <x v="0"/>
  </r>
  <r>
    <x v="0"/>
    <x v="0"/>
    <n v="2239262193"/>
    <x v="8"/>
    <n v="27940"/>
    <x v="2"/>
    <x v="0"/>
    <x v="50"/>
    <x v="8"/>
    <x v="0"/>
    <x v="0"/>
    <x v="3"/>
    <x v="0"/>
  </r>
  <r>
    <x v="0"/>
    <x v="0"/>
    <n v="2239262194"/>
    <x v="2"/>
    <n v="6160"/>
    <x v="2"/>
    <x v="0"/>
    <x v="50"/>
    <x v="2"/>
    <x v="0"/>
    <x v="0"/>
    <x v="2"/>
    <x v="0"/>
  </r>
  <r>
    <x v="0"/>
    <x v="0"/>
    <n v="2239262195"/>
    <x v="1"/>
    <n v="4500"/>
    <x v="2"/>
    <x v="0"/>
    <x v="50"/>
    <x v="1"/>
    <x v="0"/>
    <x v="0"/>
    <x v="1"/>
    <x v="0"/>
  </r>
  <r>
    <x v="0"/>
    <x v="0"/>
    <n v="2239262196"/>
    <x v="5"/>
    <n v="-800"/>
    <x v="2"/>
    <x v="0"/>
    <x v="50"/>
    <x v="5"/>
    <x v="0"/>
    <x v="0"/>
    <x v="5"/>
    <x v="0"/>
  </r>
  <r>
    <x v="0"/>
    <x v="0"/>
    <n v="2239262196"/>
    <x v="6"/>
    <n v="12000"/>
    <x v="2"/>
    <x v="0"/>
    <x v="50"/>
    <x v="6"/>
    <x v="0"/>
    <x v="0"/>
    <x v="5"/>
    <x v="0"/>
  </r>
  <r>
    <x v="0"/>
    <x v="0"/>
    <n v="2239262197"/>
    <x v="6"/>
    <n v="6000"/>
    <x v="2"/>
    <x v="0"/>
    <x v="50"/>
    <x v="6"/>
    <x v="0"/>
    <x v="0"/>
    <x v="5"/>
    <x v="0"/>
  </r>
  <r>
    <x v="0"/>
    <x v="0"/>
    <n v="2239262198"/>
    <x v="4"/>
    <n v="5600"/>
    <x v="2"/>
    <x v="0"/>
    <x v="50"/>
    <x v="4"/>
    <x v="0"/>
    <x v="0"/>
    <x v="4"/>
    <x v="0"/>
  </r>
  <r>
    <x v="0"/>
    <x v="0"/>
    <n v="2239262199"/>
    <x v="1"/>
    <n v="1350"/>
    <x v="2"/>
    <x v="0"/>
    <x v="50"/>
    <x v="1"/>
    <x v="0"/>
    <x v="0"/>
    <x v="1"/>
    <x v="0"/>
  </r>
  <r>
    <x v="0"/>
    <x v="0"/>
    <n v="2239262200"/>
    <x v="1"/>
    <n v="12550"/>
    <x v="2"/>
    <x v="0"/>
    <x v="50"/>
    <x v="1"/>
    <x v="0"/>
    <x v="0"/>
    <x v="1"/>
    <x v="0"/>
  </r>
  <r>
    <x v="0"/>
    <x v="0"/>
    <n v="2239262201"/>
    <x v="3"/>
    <n v="28490"/>
    <x v="2"/>
    <x v="0"/>
    <x v="50"/>
    <x v="3"/>
    <x v="0"/>
    <x v="0"/>
    <x v="3"/>
    <x v="0"/>
  </r>
  <r>
    <x v="0"/>
    <x v="0"/>
    <n v="2239262202"/>
    <x v="2"/>
    <n v="2000"/>
    <x v="2"/>
    <x v="0"/>
    <x v="50"/>
    <x v="2"/>
    <x v="0"/>
    <x v="0"/>
    <x v="2"/>
    <x v="0"/>
  </r>
  <r>
    <x v="0"/>
    <x v="0"/>
    <n v="2239262203"/>
    <x v="5"/>
    <n v="-700"/>
    <x v="2"/>
    <x v="0"/>
    <x v="50"/>
    <x v="5"/>
    <x v="0"/>
    <x v="0"/>
    <x v="5"/>
    <x v="0"/>
  </r>
  <r>
    <x v="0"/>
    <x v="0"/>
    <n v="2239262203"/>
    <x v="6"/>
    <n v="7000"/>
    <x v="2"/>
    <x v="0"/>
    <x v="50"/>
    <x v="6"/>
    <x v="0"/>
    <x v="0"/>
    <x v="5"/>
    <x v="0"/>
  </r>
  <r>
    <x v="0"/>
    <x v="0"/>
    <n v="2239262204"/>
    <x v="8"/>
    <n v="2000"/>
    <x v="2"/>
    <x v="0"/>
    <x v="50"/>
    <x v="8"/>
    <x v="0"/>
    <x v="0"/>
    <x v="3"/>
    <x v="0"/>
  </r>
  <r>
    <x v="0"/>
    <x v="0"/>
    <n v="2239262205"/>
    <x v="5"/>
    <n v="-14300"/>
    <x v="2"/>
    <x v="0"/>
    <x v="50"/>
    <x v="5"/>
    <x v="0"/>
    <x v="0"/>
    <x v="5"/>
    <x v="0"/>
  </r>
  <r>
    <x v="0"/>
    <x v="0"/>
    <n v="2239262205"/>
    <x v="4"/>
    <n v="20000"/>
    <x v="2"/>
    <x v="0"/>
    <x v="50"/>
    <x v="4"/>
    <x v="0"/>
    <x v="0"/>
    <x v="4"/>
    <x v="0"/>
  </r>
  <r>
    <x v="0"/>
    <x v="0"/>
    <n v="2239262206"/>
    <x v="2"/>
    <n v="3850"/>
    <x v="2"/>
    <x v="0"/>
    <x v="50"/>
    <x v="2"/>
    <x v="0"/>
    <x v="0"/>
    <x v="2"/>
    <x v="0"/>
  </r>
  <r>
    <x v="0"/>
    <x v="0"/>
    <n v="2239262207"/>
    <x v="5"/>
    <n v="-6000"/>
    <x v="2"/>
    <x v="0"/>
    <x v="50"/>
    <x v="5"/>
    <x v="0"/>
    <x v="0"/>
    <x v="5"/>
    <x v="0"/>
  </r>
  <r>
    <x v="0"/>
    <x v="0"/>
    <n v="2239262207"/>
    <x v="6"/>
    <n v="10000"/>
    <x v="2"/>
    <x v="0"/>
    <x v="50"/>
    <x v="6"/>
    <x v="0"/>
    <x v="0"/>
    <x v="5"/>
    <x v="0"/>
  </r>
  <r>
    <x v="0"/>
    <x v="0"/>
    <n v="2239262208"/>
    <x v="5"/>
    <n v="-6100"/>
    <x v="2"/>
    <x v="0"/>
    <x v="50"/>
    <x v="5"/>
    <x v="0"/>
    <x v="0"/>
    <x v="5"/>
    <x v="0"/>
  </r>
  <r>
    <x v="0"/>
    <x v="0"/>
    <n v="2239262208"/>
    <x v="4"/>
    <n v="10500"/>
    <x v="2"/>
    <x v="0"/>
    <x v="50"/>
    <x v="4"/>
    <x v="0"/>
    <x v="0"/>
    <x v="4"/>
    <x v="0"/>
  </r>
  <r>
    <x v="0"/>
    <x v="0"/>
    <n v="2239262209"/>
    <x v="2"/>
    <n v="37840"/>
    <x v="2"/>
    <x v="0"/>
    <x v="50"/>
    <x v="2"/>
    <x v="0"/>
    <x v="0"/>
    <x v="2"/>
    <x v="0"/>
  </r>
  <r>
    <x v="0"/>
    <x v="0"/>
    <n v="2239262210"/>
    <x v="2"/>
    <n v="4400"/>
    <x v="2"/>
    <x v="0"/>
    <x v="50"/>
    <x v="2"/>
    <x v="0"/>
    <x v="0"/>
    <x v="2"/>
    <x v="0"/>
  </r>
  <r>
    <x v="0"/>
    <x v="0"/>
    <n v="2239262211"/>
    <x v="5"/>
    <n v="-4000"/>
    <x v="2"/>
    <x v="0"/>
    <x v="50"/>
    <x v="5"/>
    <x v="0"/>
    <x v="0"/>
    <x v="5"/>
    <x v="0"/>
  </r>
  <r>
    <x v="0"/>
    <x v="0"/>
    <n v="2239262211"/>
    <x v="6"/>
    <n v="10000"/>
    <x v="2"/>
    <x v="0"/>
    <x v="50"/>
    <x v="6"/>
    <x v="0"/>
    <x v="0"/>
    <x v="5"/>
    <x v="0"/>
  </r>
  <r>
    <x v="0"/>
    <x v="0"/>
    <n v="2239262212"/>
    <x v="5"/>
    <n v="-15000"/>
    <x v="2"/>
    <x v="0"/>
    <x v="50"/>
    <x v="5"/>
    <x v="0"/>
    <x v="0"/>
    <x v="5"/>
    <x v="0"/>
  </r>
  <r>
    <x v="0"/>
    <x v="0"/>
    <n v="2239262212"/>
    <x v="4"/>
    <n v="20300"/>
    <x v="2"/>
    <x v="0"/>
    <x v="50"/>
    <x v="4"/>
    <x v="0"/>
    <x v="0"/>
    <x v="4"/>
    <x v="0"/>
  </r>
  <r>
    <x v="0"/>
    <x v="0"/>
    <n v="2239262213"/>
    <x v="2"/>
    <n v="4400"/>
    <x v="2"/>
    <x v="0"/>
    <x v="50"/>
    <x v="2"/>
    <x v="0"/>
    <x v="0"/>
    <x v="2"/>
    <x v="0"/>
  </r>
  <r>
    <x v="0"/>
    <x v="0"/>
    <n v="2239262214"/>
    <x v="5"/>
    <n v="-5950"/>
    <x v="2"/>
    <x v="0"/>
    <x v="50"/>
    <x v="5"/>
    <x v="0"/>
    <x v="0"/>
    <x v="5"/>
    <x v="0"/>
  </r>
  <r>
    <x v="0"/>
    <x v="0"/>
    <n v="2239262214"/>
    <x v="4"/>
    <n v="10550"/>
    <x v="2"/>
    <x v="0"/>
    <x v="50"/>
    <x v="4"/>
    <x v="0"/>
    <x v="0"/>
    <x v="4"/>
    <x v="0"/>
  </r>
  <r>
    <x v="0"/>
    <x v="0"/>
    <n v="2239262215"/>
    <x v="2"/>
    <n v="2000"/>
    <x v="2"/>
    <x v="0"/>
    <x v="50"/>
    <x v="2"/>
    <x v="0"/>
    <x v="0"/>
    <x v="2"/>
    <x v="0"/>
  </r>
  <r>
    <x v="0"/>
    <x v="0"/>
    <n v="2239262216"/>
    <x v="5"/>
    <n v="-1000"/>
    <x v="2"/>
    <x v="0"/>
    <x v="50"/>
    <x v="5"/>
    <x v="0"/>
    <x v="0"/>
    <x v="5"/>
    <x v="0"/>
  </r>
  <r>
    <x v="0"/>
    <x v="0"/>
    <n v="2239262216"/>
    <x v="6"/>
    <n v="5000"/>
    <x v="2"/>
    <x v="0"/>
    <x v="50"/>
    <x v="6"/>
    <x v="0"/>
    <x v="0"/>
    <x v="5"/>
    <x v="0"/>
  </r>
  <r>
    <x v="0"/>
    <x v="0"/>
    <n v="2239262217"/>
    <x v="6"/>
    <n v="4000"/>
    <x v="2"/>
    <x v="0"/>
    <x v="50"/>
    <x v="6"/>
    <x v="0"/>
    <x v="0"/>
    <x v="5"/>
    <x v="0"/>
  </r>
  <r>
    <x v="0"/>
    <x v="0"/>
    <n v="2239262218"/>
    <x v="3"/>
    <n v="4400"/>
    <x v="2"/>
    <x v="0"/>
    <x v="50"/>
    <x v="3"/>
    <x v="0"/>
    <x v="0"/>
    <x v="3"/>
    <x v="0"/>
  </r>
  <r>
    <x v="0"/>
    <x v="0"/>
    <n v="2239262220"/>
    <x v="1"/>
    <n v="900"/>
    <x v="2"/>
    <x v="0"/>
    <x v="50"/>
    <x v="1"/>
    <x v="0"/>
    <x v="0"/>
    <x v="1"/>
    <x v="0"/>
  </r>
  <r>
    <x v="0"/>
    <x v="0"/>
    <n v="2239262221"/>
    <x v="1"/>
    <n v="1800"/>
    <x v="2"/>
    <x v="0"/>
    <x v="50"/>
    <x v="1"/>
    <x v="0"/>
    <x v="0"/>
    <x v="1"/>
    <x v="0"/>
  </r>
  <r>
    <x v="0"/>
    <x v="0"/>
    <n v="2239262222"/>
    <x v="2"/>
    <n v="39360"/>
    <x v="2"/>
    <x v="0"/>
    <x v="50"/>
    <x v="2"/>
    <x v="0"/>
    <x v="0"/>
    <x v="2"/>
    <x v="0"/>
  </r>
  <r>
    <x v="0"/>
    <x v="0"/>
    <n v="2239262222"/>
    <x v="7"/>
    <n v="19680"/>
    <x v="2"/>
    <x v="0"/>
    <x v="50"/>
    <x v="7"/>
    <x v="0"/>
    <x v="0"/>
    <x v="1"/>
    <x v="0"/>
  </r>
  <r>
    <x v="0"/>
    <x v="0"/>
    <n v="2239262223"/>
    <x v="6"/>
    <n v="2000"/>
    <x v="2"/>
    <x v="0"/>
    <x v="50"/>
    <x v="6"/>
    <x v="0"/>
    <x v="0"/>
    <x v="5"/>
    <x v="0"/>
  </r>
  <r>
    <x v="0"/>
    <x v="0"/>
    <n v="2239262224"/>
    <x v="5"/>
    <n v="-460"/>
    <x v="2"/>
    <x v="0"/>
    <x v="50"/>
    <x v="5"/>
    <x v="0"/>
    <x v="0"/>
    <x v="5"/>
    <x v="0"/>
  </r>
  <r>
    <x v="0"/>
    <x v="0"/>
    <n v="2239262224"/>
    <x v="6"/>
    <n v="31000"/>
    <x v="2"/>
    <x v="0"/>
    <x v="50"/>
    <x v="6"/>
    <x v="0"/>
    <x v="0"/>
    <x v="5"/>
    <x v="0"/>
  </r>
  <r>
    <x v="0"/>
    <x v="0"/>
    <n v="2239262226"/>
    <x v="1"/>
    <n v="13150"/>
    <x v="2"/>
    <x v="0"/>
    <x v="50"/>
    <x v="1"/>
    <x v="0"/>
    <x v="0"/>
    <x v="1"/>
    <x v="0"/>
  </r>
  <r>
    <x v="0"/>
    <x v="0"/>
    <n v="2239262227"/>
    <x v="5"/>
    <n v="-3200"/>
    <x v="2"/>
    <x v="0"/>
    <x v="50"/>
    <x v="5"/>
    <x v="0"/>
    <x v="0"/>
    <x v="5"/>
    <x v="0"/>
  </r>
  <r>
    <x v="0"/>
    <x v="0"/>
    <n v="2239262227"/>
    <x v="6"/>
    <n v="10000"/>
    <x v="2"/>
    <x v="0"/>
    <x v="50"/>
    <x v="6"/>
    <x v="0"/>
    <x v="0"/>
    <x v="5"/>
    <x v="0"/>
  </r>
  <r>
    <x v="0"/>
    <x v="0"/>
    <n v="2239262229"/>
    <x v="5"/>
    <n v="-4370"/>
    <x v="2"/>
    <x v="0"/>
    <x v="50"/>
    <x v="5"/>
    <x v="0"/>
    <x v="0"/>
    <x v="5"/>
    <x v="0"/>
  </r>
  <r>
    <x v="0"/>
    <x v="0"/>
    <n v="2239262229"/>
    <x v="6"/>
    <n v="20000"/>
    <x v="2"/>
    <x v="0"/>
    <x v="50"/>
    <x v="6"/>
    <x v="0"/>
    <x v="0"/>
    <x v="5"/>
    <x v="0"/>
  </r>
  <r>
    <x v="0"/>
    <x v="0"/>
    <n v="2239262230"/>
    <x v="5"/>
    <n v="-2710"/>
    <x v="2"/>
    <x v="0"/>
    <x v="50"/>
    <x v="5"/>
    <x v="0"/>
    <x v="0"/>
    <x v="5"/>
    <x v="0"/>
  </r>
  <r>
    <x v="0"/>
    <x v="0"/>
    <n v="2239262230"/>
    <x v="6"/>
    <n v="20000"/>
    <x v="2"/>
    <x v="0"/>
    <x v="50"/>
    <x v="6"/>
    <x v="0"/>
    <x v="0"/>
    <x v="5"/>
    <x v="0"/>
  </r>
  <r>
    <x v="0"/>
    <x v="0"/>
    <n v="2239262231"/>
    <x v="2"/>
    <n v="30690"/>
    <x v="2"/>
    <x v="0"/>
    <x v="50"/>
    <x v="2"/>
    <x v="0"/>
    <x v="0"/>
    <x v="2"/>
    <x v="0"/>
  </r>
  <r>
    <x v="0"/>
    <x v="0"/>
    <n v="2239262232"/>
    <x v="4"/>
    <n v="5600"/>
    <x v="2"/>
    <x v="0"/>
    <x v="50"/>
    <x v="4"/>
    <x v="0"/>
    <x v="0"/>
    <x v="4"/>
    <x v="0"/>
  </r>
  <r>
    <x v="0"/>
    <x v="0"/>
    <n v="2239262233"/>
    <x v="1"/>
    <n v="6500"/>
    <x v="2"/>
    <x v="0"/>
    <x v="50"/>
    <x v="1"/>
    <x v="0"/>
    <x v="0"/>
    <x v="1"/>
    <x v="0"/>
  </r>
  <r>
    <x v="0"/>
    <x v="0"/>
    <n v="2239262234"/>
    <x v="6"/>
    <n v="2100"/>
    <x v="2"/>
    <x v="0"/>
    <x v="50"/>
    <x v="6"/>
    <x v="0"/>
    <x v="0"/>
    <x v="5"/>
    <x v="0"/>
  </r>
  <r>
    <x v="0"/>
    <x v="0"/>
    <n v="2239262235"/>
    <x v="2"/>
    <n v="30404"/>
    <x v="2"/>
    <x v="0"/>
    <x v="50"/>
    <x v="2"/>
    <x v="0"/>
    <x v="0"/>
    <x v="2"/>
    <x v="0"/>
  </r>
  <r>
    <x v="0"/>
    <x v="0"/>
    <n v="2239262236"/>
    <x v="5"/>
    <n v="-2620"/>
    <x v="2"/>
    <x v="0"/>
    <x v="50"/>
    <x v="5"/>
    <x v="0"/>
    <x v="0"/>
    <x v="5"/>
    <x v="0"/>
  </r>
  <r>
    <x v="0"/>
    <x v="0"/>
    <n v="2239262236"/>
    <x v="6"/>
    <n v="10000"/>
    <x v="2"/>
    <x v="0"/>
    <x v="50"/>
    <x v="6"/>
    <x v="0"/>
    <x v="0"/>
    <x v="5"/>
    <x v="0"/>
  </r>
  <r>
    <x v="0"/>
    <x v="0"/>
    <n v="2239262237"/>
    <x v="1"/>
    <n v="13500"/>
    <x v="2"/>
    <x v="0"/>
    <x v="50"/>
    <x v="1"/>
    <x v="0"/>
    <x v="0"/>
    <x v="1"/>
    <x v="0"/>
  </r>
  <r>
    <x v="0"/>
    <x v="0"/>
    <n v="2239262238"/>
    <x v="2"/>
    <n v="8800"/>
    <x v="2"/>
    <x v="0"/>
    <x v="50"/>
    <x v="2"/>
    <x v="0"/>
    <x v="0"/>
    <x v="2"/>
    <x v="0"/>
  </r>
  <r>
    <x v="0"/>
    <x v="0"/>
    <n v="2239262239"/>
    <x v="1"/>
    <n v="13450"/>
    <x v="2"/>
    <x v="0"/>
    <x v="50"/>
    <x v="1"/>
    <x v="0"/>
    <x v="0"/>
    <x v="1"/>
    <x v="0"/>
  </r>
  <r>
    <x v="0"/>
    <x v="0"/>
    <n v="2239262240"/>
    <x v="3"/>
    <n v="13000"/>
    <x v="2"/>
    <x v="0"/>
    <x v="50"/>
    <x v="3"/>
    <x v="0"/>
    <x v="0"/>
    <x v="3"/>
    <x v="0"/>
  </r>
  <r>
    <x v="0"/>
    <x v="0"/>
    <n v="2239262241"/>
    <x v="2"/>
    <n v="9790"/>
    <x v="2"/>
    <x v="0"/>
    <x v="50"/>
    <x v="2"/>
    <x v="0"/>
    <x v="0"/>
    <x v="2"/>
    <x v="0"/>
  </r>
  <r>
    <x v="0"/>
    <x v="0"/>
    <n v="2239262243"/>
    <x v="3"/>
    <n v="5530"/>
    <x v="2"/>
    <x v="0"/>
    <x v="50"/>
    <x v="3"/>
    <x v="0"/>
    <x v="0"/>
    <x v="3"/>
    <x v="0"/>
  </r>
  <r>
    <x v="0"/>
    <x v="0"/>
    <n v="2239262243"/>
    <x v="7"/>
    <n v="2370"/>
    <x v="2"/>
    <x v="0"/>
    <x v="50"/>
    <x v="7"/>
    <x v="0"/>
    <x v="0"/>
    <x v="1"/>
    <x v="0"/>
  </r>
  <r>
    <x v="0"/>
    <x v="0"/>
    <n v="2239262244"/>
    <x v="1"/>
    <n v="2400"/>
    <x v="2"/>
    <x v="0"/>
    <x v="50"/>
    <x v="1"/>
    <x v="0"/>
    <x v="0"/>
    <x v="1"/>
    <x v="0"/>
  </r>
  <r>
    <x v="0"/>
    <x v="0"/>
    <n v="2239262245"/>
    <x v="1"/>
    <n v="1350"/>
    <x v="2"/>
    <x v="0"/>
    <x v="50"/>
    <x v="1"/>
    <x v="0"/>
    <x v="0"/>
    <x v="1"/>
    <x v="0"/>
  </r>
  <r>
    <x v="0"/>
    <x v="0"/>
    <n v="2239262246"/>
    <x v="2"/>
    <n v="15400"/>
    <x v="2"/>
    <x v="0"/>
    <x v="50"/>
    <x v="2"/>
    <x v="0"/>
    <x v="0"/>
    <x v="2"/>
    <x v="0"/>
  </r>
  <r>
    <x v="0"/>
    <x v="0"/>
    <n v="2239262248"/>
    <x v="2"/>
    <n v="20240"/>
    <x v="2"/>
    <x v="0"/>
    <x v="50"/>
    <x v="2"/>
    <x v="0"/>
    <x v="0"/>
    <x v="2"/>
    <x v="0"/>
  </r>
  <r>
    <x v="0"/>
    <x v="0"/>
    <n v="2239262249"/>
    <x v="5"/>
    <n v="-1000"/>
    <x v="2"/>
    <x v="0"/>
    <x v="50"/>
    <x v="5"/>
    <x v="0"/>
    <x v="0"/>
    <x v="5"/>
    <x v="0"/>
  </r>
  <r>
    <x v="0"/>
    <x v="0"/>
    <n v="2239262249"/>
    <x v="6"/>
    <n v="5000"/>
    <x v="2"/>
    <x v="0"/>
    <x v="50"/>
    <x v="6"/>
    <x v="0"/>
    <x v="0"/>
    <x v="5"/>
    <x v="0"/>
  </r>
  <r>
    <x v="0"/>
    <x v="0"/>
    <n v="2239262250"/>
    <x v="5"/>
    <n v="-4060"/>
    <x v="2"/>
    <x v="0"/>
    <x v="50"/>
    <x v="5"/>
    <x v="0"/>
    <x v="0"/>
    <x v="5"/>
    <x v="0"/>
  </r>
  <r>
    <x v="0"/>
    <x v="0"/>
    <n v="2239262250"/>
    <x v="6"/>
    <n v="10000"/>
    <x v="2"/>
    <x v="0"/>
    <x v="50"/>
    <x v="6"/>
    <x v="0"/>
    <x v="0"/>
    <x v="5"/>
    <x v="0"/>
  </r>
  <r>
    <x v="0"/>
    <x v="0"/>
    <n v="2239262251"/>
    <x v="3"/>
    <n v="31526"/>
    <x v="2"/>
    <x v="0"/>
    <x v="50"/>
    <x v="3"/>
    <x v="0"/>
    <x v="0"/>
    <x v="3"/>
    <x v="0"/>
  </r>
  <r>
    <x v="0"/>
    <x v="0"/>
    <n v="2239262252"/>
    <x v="2"/>
    <n v="5200"/>
    <x v="2"/>
    <x v="0"/>
    <x v="50"/>
    <x v="2"/>
    <x v="0"/>
    <x v="0"/>
    <x v="2"/>
    <x v="0"/>
  </r>
  <r>
    <x v="0"/>
    <x v="0"/>
    <n v="2239262252"/>
    <x v="7"/>
    <n v="1300"/>
    <x v="2"/>
    <x v="0"/>
    <x v="50"/>
    <x v="7"/>
    <x v="0"/>
    <x v="0"/>
    <x v="1"/>
    <x v="0"/>
  </r>
  <r>
    <x v="0"/>
    <x v="0"/>
    <n v="2239262253"/>
    <x v="5"/>
    <n v="-400"/>
    <x v="2"/>
    <x v="0"/>
    <x v="50"/>
    <x v="5"/>
    <x v="0"/>
    <x v="0"/>
    <x v="5"/>
    <x v="0"/>
  </r>
  <r>
    <x v="0"/>
    <x v="0"/>
    <n v="2239262253"/>
    <x v="4"/>
    <n v="5000"/>
    <x v="2"/>
    <x v="0"/>
    <x v="50"/>
    <x v="4"/>
    <x v="0"/>
    <x v="0"/>
    <x v="4"/>
    <x v="0"/>
  </r>
  <r>
    <x v="0"/>
    <x v="0"/>
    <n v="2239262254"/>
    <x v="5"/>
    <n v="-3000"/>
    <x v="2"/>
    <x v="0"/>
    <x v="50"/>
    <x v="5"/>
    <x v="0"/>
    <x v="0"/>
    <x v="5"/>
    <x v="0"/>
  </r>
  <r>
    <x v="0"/>
    <x v="0"/>
    <n v="2239262254"/>
    <x v="6"/>
    <n v="10000"/>
    <x v="2"/>
    <x v="0"/>
    <x v="50"/>
    <x v="6"/>
    <x v="0"/>
    <x v="0"/>
    <x v="5"/>
    <x v="0"/>
  </r>
  <r>
    <x v="0"/>
    <x v="0"/>
    <n v="2239262255"/>
    <x v="3"/>
    <n v="64900"/>
    <x v="2"/>
    <x v="0"/>
    <x v="50"/>
    <x v="3"/>
    <x v="0"/>
    <x v="0"/>
    <x v="3"/>
    <x v="0"/>
  </r>
  <r>
    <x v="0"/>
    <x v="0"/>
    <n v="2239262256"/>
    <x v="1"/>
    <n v="1140"/>
    <x v="2"/>
    <x v="0"/>
    <x v="50"/>
    <x v="1"/>
    <x v="0"/>
    <x v="0"/>
    <x v="1"/>
    <x v="0"/>
  </r>
  <r>
    <x v="0"/>
    <x v="0"/>
    <n v="2239262257"/>
    <x v="3"/>
    <n v="21450"/>
    <x v="2"/>
    <x v="0"/>
    <x v="50"/>
    <x v="3"/>
    <x v="0"/>
    <x v="0"/>
    <x v="3"/>
    <x v="0"/>
  </r>
  <r>
    <x v="0"/>
    <x v="0"/>
    <n v="2239262258"/>
    <x v="3"/>
    <n v="4500"/>
    <x v="2"/>
    <x v="0"/>
    <x v="50"/>
    <x v="3"/>
    <x v="0"/>
    <x v="0"/>
    <x v="3"/>
    <x v="0"/>
  </r>
  <r>
    <x v="0"/>
    <x v="0"/>
    <n v="2239262259"/>
    <x v="1"/>
    <n v="3390"/>
    <x v="2"/>
    <x v="0"/>
    <x v="50"/>
    <x v="1"/>
    <x v="0"/>
    <x v="0"/>
    <x v="1"/>
    <x v="0"/>
  </r>
  <r>
    <x v="0"/>
    <x v="0"/>
    <n v="2239262260"/>
    <x v="6"/>
    <n v="3000"/>
    <x v="2"/>
    <x v="0"/>
    <x v="50"/>
    <x v="6"/>
    <x v="0"/>
    <x v="0"/>
    <x v="5"/>
    <x v="0"/>
  </r>
  <r>
    <x v="0"/>
    <x v="0"/>
    <n v="2239262261"/>
    <x v="2"/>
    <n v="8800"/>
    <x v="2"/>
    <x v="0"/>
    <x v="50"/>
    <x v="2"/>
    <x v="0"/>
    <x v="0"/>
    <x v="2"/>
    <x v="0"/>
  </r>
  <r>
    <x v="0"/>
    <x v="0"/>
    <n v="2239262262"/>
    <x v="6"/>
    <n v="10000"/>
    <x v="2"/>
    <x v="0"/>
    <x v="50"/>
    <x v="6"/>
    <x v="0"/>
    <x v="0"/>
    <x v="5"/>
    <x v="0"/>
  </r>
  <r>
    <x v="0"/>
    <x v="0"/>
    <n v="2239262263"/>
    <x v="2"/>
    <n v="8360"/>
    <x v="2"/>
    <x v="0"/>
    <x v="50"/>
    <x v="2"/>
    <x v="0"/>
    <x v="0"/>
    <x v="2"/>
    <x v="0"/>
  </r>
  <r>
    <x v="0"/>
    <x v="0"/>
    <n v="2239262263"/>
    <x v="7"/>
    <n v="1900"/>
    <x v="2"/>
    <x v="0"/>
    <x v="50"/>
    <x v="7"/>
    <x v="0"/>
    <x v="0"/>
    <x v="1"/>
    <x v="0"/>
  </r>
  <r>
    <x v="0"/>
    <x v="0"/>
    <n v="2239262264"/>
    <x v="3"/>
    <n v="7150"/>
    <x v="2"/>
    <x v="0"/>
    <x v="50"/>
    <x v="3"/>
    <x v="0"/>
    <x v="0"/>
    <x v="3"/>
    <x v="0"/>
  </r>
  <r>
    <x v="0"/>
    <x v="0"/>
    <n v="2239262265"/>
    <x v="2"/>
    <n v="5200"/>
    <x v="2"/>
    <x v="0"/>
    <x v="50"/>
    <x v="2"/>
    <x v="0"/>
    <x v="0"/>
    <x v="2"/>
    <x v="0"/>
  </r>
  <r>
    <x v="0"/>
    <x v="0"/>
    <n v="2239262265"/>
    <x v="7"/>
    <n v="1300"/>
    <x v="2"/>
    <x v="0"/>
    <x v="50"/>
    <x v="7"/>
    <x v="0"/>
    <x v="0"/>
    <x v="1"/>
    <x v="0"/>
  </r>
  <r>
    <x v="0"/>
    <x v="0"/>
    <n v="2239262266"/>
    <x v="5"/>
    <n v="-14000"/>
    <x v="2"/>
    <x v="0"/>
    <x v="50"/>
    <x v="5"/>
    <x v="0"/>
    <x v="0"/>
    <x v="5"/>
    <x v="0"/>
  </r>
  <r>
    <x v="0"/>
    <x v="0"/>
    <n v="2239262266"/>
    <x v="6"/>
    <n v="20000"/>
    <x v="2"/>
    <x v="0"/>
    <x v="50"/>
    <x v="6"/>
    <x v="0"/>
    <x v="0"/>
    <x v="5"/>
    <x v="0"/>
  </r>
  <r>
    <x v="0"/>
    <x v="0"/>
    <n v="2239262267"/>
    <x v="5"/>
    <n v="-4700"/>
    <x v="2"/>
    <x v="0"/>
    <x v="50"/>
    <x v="5"/>
    <x v="0"/>
    <x v="0"/>
    <x v="5"/>
    <x v="0"/>
  </r>
  <r>
    <x v="0"/>
    <x v="0"/>
    <n v="2239262267"/>
    <x v="4"/>
    <n v="10000"/>
    <x v="2"/>
    <x v="0"/>
    <x v="50"/>
    <x v="4"/>
    <x v="0"/>
    <x v="0"/>
    <x v="4"/>
    <x v="0"/>
  </r>
  <r>
    <x v="0"/>
    <x v="0"/>
    <n v="2239262268"/>
    <x v="5"/>
    <n v="-2240"/>
    <x v="2"/>
    <x v="0"/>
    <x v="50"/>
    <x v="5"/>
    <x v="0"/>
    <x v="0"/>
    <x v="5"/>
    <x v="0"/>
  </r>
  <r>
    <x v="0"/>
    <x v="0"/>
    <n v="2239262268"/>
    <x v="6"/>
    <n v="30000"/>
    <x v="2"/>
    <x v="0"/>
    <x v="50"/>
    <x v="6"/>
    <x v="0"/>
    <x v="0"/>
    <x v="5"/>
    <x v="0"/>
  </r>
  <r>
    <x v="0"/>
    <x v="0"/>
    <n v="2239262269"/>
    <x v="5"/>
    <n v="-400"/>
    <x v="2"/>
    <x v="0"/>
    <x v="50"/>
    <x v="5"/>
    <x v="0"/>
    <x v="0"/>
    <x v="5"/>
    <x v="0"/>
  </r>
  <r>
    <x v="0"/>
    <x v="0"/>
    <n v="2239262269"/>
    <x v="4"/>
    <n v="6000"/>
    <x v="2"/>
    <x v="0"/>
    <x v="50"/>
    <x v="4"/>
    <x v="0"/>
    <x v="0"/>
    <x v="4"/>
    <x v="0"/>
  </r>
  <r>
    <x v="0"/>
    <x v="0"/>
    <n v="2239262270"/>
    <x v="2"/>
    <n v="13750"/>
    <x v="2"/>
    <x v="0"/>
    <x v="50"/>
    <x v="2"/>
    <x v="0"/>
    <x v="0"/>
    <x v="2"/>
    <x v="0"/>
  </r>
  <r>
    <x v="0"/>
    <x v="0"/>
    <n v="2239262271"/>
    <x v="5"/>
    <n v="-5000"/>
    <x v="2"/>
    <x v="0"/>
    <x v="50"/>
    <x v="5"/>
    <x v="0"/>
    <x v="0"/>
    <x v="5"/>
    <x v="0"/>
  </r>
  <r>
    <x v="0"/>
    <x v="0"/>
    <n v="2239262271"/>
    <x v="6"/>
    <n v="15000"/>
    <x v="2"/>
    <x v="0"/>
    <x v="50"/>
    <x v="6"/>
    <x v="0"/>
    <x v="0"/>
    <x v="5"/>
    <x v="0"/>
  </r>
  <r>
    <x v="0"/>
    <x v="0"/>
    <n v="2239262272"/>
    <x v="2"/>
    <n v="22660"/>
    <x v="2"/>
    <x v="0"/>
    <x v="50"/>
    <x v="2"/>
    <x v="0"/>
    <x v="0"/>
    <x v="2"/>
    <x v="0"/>
  </r>
  <r>
    <x v="0"/>
    <x v="0"/>
    <n v="2239262273"/>
    <x v="3"/>
    <n v="14950"/>
    <x v="2"/>
    <x v="0"/>
    <x v="50"/>
    <x v="3"/>
    <x v="0"/>
    <x v="0"/>
    <x v="3"/>
    <x v="0"/>
  </r>
  <r>
    <x v="0"/>
    <x v="0"/>
    <n v="2239262274"/>
    <x v="2"/>
    <n v="15400"/>
    <x v="2"/>
    <x v="0"/>
    <x v="50"/>
    <x v="2"/>
    <x v="0"/>
    <x v="0"/>
    <x v="2"/>
    <x v="0"/>
  </r>
  <r>
    <x v="0"/>
    <x v="0"/>
    <n v="2239262275"/>
    <x v="1"/>
    <n v="900"/>
    <x v="2"/>
    <x v="0"/>
    <x v="50"/>
    <x v="1"/>
    <x v="0"/>
    <x v="0"/>
    <x v="1"/>
    <x v="0"/>
  </r>
  <r>
    <x v="0"/>
    <x v="0"/>
    <n v="2239262276"/>
    <x v="5"/>
    <n v="-460"/>
    <x v="2"/>
    <x v="0"/>
    <x v="50"/>
    <x v="5"/>
    <x v="0"/>
    <x v="0"/>
    <x v="5"/>
    <x v="0"/>
  </r>
  <r>
    <x v="0"/>
    <x v="0"/>
    <n v="2239262276"/>
    <x v="6"/>
    <n v="10000"/>
    <x v="2"/>
    <x v="0"/>
    <x v="50"/>
    <x v="6"/>
    <x v="0"/>
    <x v="0"/>
    <x v="5"/>
    <x v="0"/>
  </r>
  <r>
    <x v="0"/>
    <x v="0"/>
    <n v="2239262277"/>
    <x v="2"/>
    <n v="54340"/>
    <x v="2"/>
    <x v="0"/>
    <x v="50"/>
    <x v="2"/>
    <x v="0"/>
    <x v="0"/>
    <x v="2"/>
    <x v="0"/>
  </r>
  <r>
    <x v="0"/>
    <x v="0"/>
    <n v="2239262278"/>
    <x v="2"/>
    <n v="38060"/>
    <x v="2"/>
    <x v="0"/>
    <x v="50"/>
    <x v="2"/>
    <x v="0"/>
    <x v="0"/>
    <x v="2"/>
    <x v="0"/>
  </r>
  <r>
    <x v="0"/>
    <x v="0"/>
    <n v="2239262279"/>
    <x v="5"/>
    <n v="-1000"/>
    <x v="2"/>
    <x v="0"/>
    <x v="50"/>
    <x v="5"/>
    <x v="0"/>
    <x v="0"/>
    <x v="5"/>
    <x v="0"/>
  </r>
  <r>
    <x v="0"/>
    <x v="0"/>
    <n v="2239262279"/>
    <x v="6"/>
    <n v="15000"/>
    <x v="2"/>
    <x v="0"/>
    <x v="50"/>
    <x v="6"/>
    <x v="0"/>
    <x v="0"/>
    <x v="5"/>
    <x v="0"/>
  </r>
  <r>
    <x v="0"/>
    <x v="0"/>
    <n v="2239262280"/>
    <x v="5"/>
    <n v="-5600"/>
    <x v="2"/>
    <x v="0"/>
    <x v="50"/>
    <x v="5"/>
    <x v="0"/>
    <x v="0"/>
    <x v="5"/>
    <x v="0"/>
  </r>
  <r>
    <x v="0"/>
    <x v="0"/>
    <n v="2239262280"/>
    <x v="4"/>
    <n v="10000"/>
    <x v="2"/>
    <x v="0"/>
    <x v="50"/>
    <x v="4"/>
    <x v="0"/>
    <x v="0"/>
    <x v="4"/>
    <x v="0"/>
  </r>
  <r>
    <x v="0"/>
    <x v="0"/>
    <n v="2239262281"/>
    <x v="5"/>
    <n v="-1000"/>
    <x v="2"/>
    <x v="0"/>
    <x v="50"/>
    <x v="5"/>
    <x v="0"/>
    <x v="0"/>
    <x v="5"/>
    <x v="0"/>
  </r>
  <r>
    <x v="0"/>
    <x v="0"/>
    <n v="2239262281"/>
    <x v="4"/>
    <n v="5600"/>
    <x v="2"/>
    <x v="0"/>
    <x v="50"/>
    <x v="4"/>
    <x v="0"/>
    <x v="0"/>
    <x v="4"/>
    <x v="0"/>
  </r>
  <r>
    <x v="0"/>
    <x v="0"/>
    <n v="2239262283"/>
    <x v="1"/>
    <n v="1140"/>
    <x v="2"/>
    <x v="0"/>
    <x v="50"/>
    <x v="1"/>
    <x v="0"/>
    <x v="0"/>
    <x v="1"/>
    <x v="0"/>
  </r>
  <r>
    <x v="0"/>
    <x v="0"/>
    <n v="2239262284"/>
    <x v="1"/>
    <n v="1350"/>
    <x v="2"/>
    <x v="0"/>
    <x v="50"/>
    <x v="1"/>
    <x v="0"/>
    <x v="0"/>
    <x v="1"/>
    <x v="0"/>
  </r>
  <r>
    <x v="0"/>
    <x v="0"/>
    <n v="2239262285"/>
    <x v="2"/>
    <n v="16500"/>
    <x v="2"/>
    <x v="0"/>
    <x v="50"/>
    <x v="2"/>
    <x v="0"/>
    <x v="0"/>
    <x v="2"/>
    <x v="0"/>
  </r>
  <r>
    <x v="0"/>
    <x v="0"/>
    <n v="2239262286"/>
    <x v="6"/>
    <n v="6000"/>
    <x v="2"/>
    <x v="0"/>
    <x v="50"/>
    <x v="6"/>
    <x v="0"/>
    <x v="0"/>
    <x v="5"/>
    <x v="0"/>
  </r>
  <r>
    <x v="0"/>
    <x v="0"/>
    <n v="2239264212"/>
    <x v="2"/>
    <n v="7084"/>
    <x v="2"/>
    <x v="0"/>
    <x v="51"/>
    <x v="2"/>
    <x v="0"/>
    <x v="0"/>
    <x v="2"/>
    <x v="0"/>
  </r>
  <r>
    <x v="0"/>
    <x v="0"/>
    <n v="2239264213"/>
    <x v="5"/>
    <n v="-680"/>
    <x v="2"/>
    <x v="0"/>
    <x v="51"/>
    <x v="5"/>
    <x v="0"/>
    <x v="0"/>
    <x v="5"/>
    <x v="0"/>
  </r>
  <r>
    <x v="0"/>
    <x v="0"/>
    <n v="2239264213"/>
    <x v="6"/>
    <n v="22000"/>
    <x v="2"/>
    <x v="0"/>
    <x v="51"/>
    <x v="6"/>
    <x v="0"/>
    <x v="0"/>
    <x v="5"/>
    <x v="0"/>
  </r>
  <r>
    <x v="0"/>
    <x v="0"/>
    <n v="2239264214"/>
    <x v="6"/>
    <n v="14900"/>
    <x v="2"/>
    <x v="0"/>
    <x v="51"/>
    <x v="6"/>
    <x v="0"/>
    <x v="0"/>
    <x v="5"/>
    <x v="0"/>
  </r>
  <r>
    <x v="0"/>
    <x v="0"/>
    <n v="2239264215"/>
    <x v="6"/>
    <n v="3500"/>
    <x v="2"/>
    <x v="0"/>
    <x v="51"/>
    <x v="6"/>
    <x v="0"/>
    <x v="0"/>
    <x v="5"/>
    <x v="0"/>
  </r>
  <r>
    <x v="0"/>
    <x v="0"/>
    <n v="2239264216"/>
    <x v="6"/>
    <n v="3000"/>
    <x v="2"/>
    <x v="0"/>
    <x v="51"/>
    <x v="6"/>
    <x v="0"/>
    <x v="0"/>
    <x v="5"/>
    <x v="0"/>
  </r>
  <r>
    <x v="0"/>
    <x v="0"/>
    <n v="2239264217"/>
    <x v="2"/>
    <n v="14190"/>
    <x v="2"/>
    <x v="0"/>
    <x v="51"/>
    <x v="2"/>
    <x v="0"/>
    <x v="0"/>
    <x v="2"/>
    <x v="0"/>
  </r>
  <r>
    <x v="0"/>
    <x v="0"/>
    <n v="2239264221"/>
    <x v="4"/>
    <n v="29200"/>
    <x v="2"/>
    <x v="0"/>
    <x v="51"/>
    <x v="4"/>
    <x v="0"/>
    <x v="0"/>
    <x v="4"/>
    <x v="0"/>
  </r>
  <r>
    <x v="0"/>
    <x v="0"/>
    <n v="2239264223"/>
    <x v="3"/>
    <n v="23595"/>
    <x v="2"/>
    <x v="0"/>
    <x v="51"/>
    <x v="3"/>
    <x v="0"/>
    <x v="0"/>
    <x v="3"/>
    <x v="0"/>
  </r>
  <r>
    <x v="0"/>
    <x v="0"/>
    <n v="2239264224"/>
    <x v="2"/>
    <n v="1500"/>
    <x v="2"/>
    <x v="0"/>
    <x v="51"/>
    <x v="2"/>
    <x v="0"/>
    <x v="0"/>
    <x v="2"/>
    <x v="0"/>
  </r>
  <r>
    <x v="0"/>
    <x v="0"/>
    <n v="2239264225"/>
    <x v="2"/>
    <n v="4000"/>
    <x v="2"/>
    <x v="0"/>
    <x v="51"/>
    <x v="2"/>
    <x v="0"/>
    <x v="0"/>
    <x v="2"/>
    <x v="0"/>
  </r>
  <r>
    <x v="0"/>
    <x v="0"/>
    <n v="2239264226"/>
    <x v="5"/>
    <n v="-1000"/>
    <x v="2"/>
    <x v="0"/>
    <x v="51"/>
    <x v="5"/>
    <x v="0"/>
    <x v="0"/>
    <x v="5"/>
    <x v="0"/>
  </r>
  <r>
    <x v="0"/>
    <x v="0"/>
    <n v="2239264226"/>
    <x v="4"/>
    <n v="5600"/>
    <x v="2"/>
    <x v="0"/>
    <x v="51"/>
    <x v="4"/>
    <x v="0"/>
    <x v="0"/>
    <x v="4"/>
    <x v="0"/>
  </r>
  <r>
    <x v="0"/>
    <x v="0"/>
    <n v="2239264227"/>
    <x v="5"/>
    <n v="-4400"/>
    <x v="2"/>
    <x v="0"/>
    <x v="51"/>
    <x v="5"/>
    <x v="0"/>
    <x v="0"/>
    <x v="5"/>
    <x v="0"/>
  </r>
  <r>
    <x v="0"/>
    <x v="0"/>
    <n v="2239264227"/>
    <x v="4"/>
    <n v="10000"/>
    <x v="2"/>
    <x v="0"/>
    <x v="51"/>
    <x v="4"/>
    <x v="0"/>
    <x v="0"/>
    <x v="4"/>
    <x v="0"/>
  </r>
  <r>
    <x v="0"/>
    <x v="0"/>
    <n v="2239264230"/>
    <x v="3"/>
    <n v="8950"/>
    <x v="2"/>
    <x v="0"/>
    <x v="51"/>
    <x v="3"/>
    <x v="0"/>
    <x v="0"/>
    <x v="3"/>
    <x v="0"/>
  </r>
  <r>
    <x v="0"/>
    <x v="0"/>
    <n v="2239264231"/>
    <x v="2"/>
    <n v="6050"/>
    <x v="2"/>
    <x v="0"/>
    <x v="51"/>
    <x v="2"/>
    <x v="0"/>
    <x v="0"/>
    <x v="2"/>
    <x v="0"/>
  </r>
  <r>
    <x v="0"/>
    <x v="0"/>
    <n v="2239264232"/>
    <x v="2"/>
    <n v="13145"/>
    <x v="2"/>
    <x v="0"/>
    <x v="51"/>
    <x v="2"/>
    <x v="0"/>
    <x v="0"/>
    <x v="2"/>
    <x v="0"/>
  </r>
  <r>
    <x v="0"/>
    <x v="0"/>
    <n v="2239264233"/>
    <x v="5"/>
    <n v="-7000"/>
    <x v="2"/>
    <x v="0"/>
    <x v="51"/>
    <x v="5"/>
    <x v="0"/>
    <x v="0"/>
    <x v="5"/>
    <x v="0"/>
  </r>
  <r>
    <x v="0"/>
    <x v="0"/>
    <n v="2239264233"/>
    <x v="6"/>
    <n v="20000"/>
    <x v="2"/>
    <x v="0"/>
    <x v="51"/>
    <x v="6"/>
    <x v="0"/>
    <x v="0"/>
    <x v="5"/>
    <x v="0"/>
  </r>
  <r>
    <x v="0"/>
    <x v="0"/>
    <n v="2239264234"/>
    <x v="5"/>
    <n v="-8750"/>
    <x v="2"/>
    <x v="0"/>
    <x v="51"/>
    <x v="5"/>
    <x v="0"/>
    <x v="0"/>
    <x v="5"/>
    <x v="0"/>
  </r>
  <r>
    <x v="0"/>
    <x v="0"/>
    <n v="2239264234"/>
    <x v="6"/>
    <n v="20000"/>
    <x v="2"/>
    <x v="0"/>
    <x v="51"/>
    <x v="6"/>
    <x v="0"/>
    <x v="0"/>
    <x v="5"/>
    <x v="0"/>
  </r>
  <r>
    <x v="0"/>
    <x v="0"/>
    <n v="2239264235"/>
    <x v="5"/>
    <n v="-2790"/>
    <x v="2"/>
    <x v="0"/>
    <x v="51"/>
    <x v="5"/>
    <x v="0"/>
    <x v="0"/>
    <x v="5"/>
    <x v="0"/>
  </r>
  <r>
    <x v="0"/>
    <x v="0"/>
    <n v="2239264235"/>
    <x v="6"/>
    <n v="10000"/>
    <x v="2"/>
    <x v="0"/>
    <x v="51"/>
    <x v="6"/>
    <x v="0"/>
    <x v="0"/>
    <x v="5"/>
    <x v="0"/>
  </r>
  <r>
    <x v="0"/>
    <x v="0"/>
    <n v="2239264235"/>
    <x v="7"/>
    <n v="1950"/>
    <x v="2"/>
    <x v="0"/>
    <x v="51"/>
    <x v="7"/>
    <x v="0"/>
    <x v="0"/>
    <x v="1"/>
    <x v="0"/>
  </r>
  <r>
    <x v="0"/>
    <x v="0"/>
    <n v="2239264236"/>
    <x v="1"/>
    <n v="1350"/>
    <x v="2"/>
    <x v="0"/>
    <x v="51"/>
    <x v="1"/>
    <x v="0"/>
    <x v="0"/>
    <x v="1"/>
    <x v="0"/>
  </r>
  <r>
    <x v="0"/>
    <x v="0"/>
    <n v="2239264238"/>
    <x v="2"/>
    <n v="55990"/>
    <x v="2"/>
    <x v="0"/>
    <x v="51"/>
    <x v="2"/>
    <x v="0"/>
    <x v="0"/>
    <x v="2"/>
    <x v="0"/>
  </r>
  <r>
    <x v="0"/>
    <x v="0"/>
    <n v="2239264239"/>
    <x v="5"/>
    <n v="-18700"/>
    <x v="2"/>
    <x v="0"/>
    <x v="51"/>
    <x v="5"/>
    <x v="0"/>
    <x v="0"/>
    <x v="5"/>
    <x v="0"/>
  </r>
  <r>
    <x v="0"/>
    <x v="0"/>
    <n v="2239264239"/>
    <x v="6"/>
    <n v="40000"/>
    <x v="2"/>
    <x v="0"/>
    <x v="51"/>
    <x v="6"/>
    <x v="0"/>
    <x v="0"/>
    <x v="5"/>
    <x v="0"/>
  </r>
  <r>
    <x v="0"/>
    <x v="0"/>
    <n v="2239264240"/>
    <x v="4"/>
    <n v="5700"/>
    <x v="2"/>
    <x v="0"/>
    <x v="51"/>
    <x v="4"/>
    <x v="0"/>
    <x v="0"/>
    <x v="4"/>
    <x v="0"/>
  </r>
  <r>
    <x v="0"/>
    <x v="0"/>
    <n v="2239264241"/>
    <x v="4"/>
    <n v="5300"/>
    <x v="2"/>
    <x v="0"/>
    <x v="51"/>
    <x v="4"/>
    <x v="0"/>
    <x v="0"/>
    <x v="4"/>
    <x v="0"/>
  </r>
  <r>
    <x v="0"/>
    <x v="0"/>
    <n v="2239264242"/>
    <x v="4"/>
    <n v="10200"/>
    <x v="2"/>
    <x v="0"/>
    <x v="51"/>
    <x v="4"/>
    <x v="0"/>
    <x v="0"/>
    <x v="4"/>
    <x v="0"/>
  </r>
  <r>
    <x v="0"/>
    <x v="0"/>
    <n v="2239264243"/>
    <x v="5"/>
    <n v="-500"/>
    <x v="2"/>
    <x v="0"/>
    <x v="51"/>
    <x v="5"/>
    <x v="0"/>
    <x v="0"/>
    <x v="5"/>
    <x v="0"/>
  </r>
  <r>
    <x v="0"/>
    <x v="0"/>
    <n v="2239264243"/>
    <x v="6"/>
    <n v="7000"/>
    <x v="2"/>
    <x v="0"/>
    <x v="51"/>
    <x v="6"/>
    <x v="0"/>
    <x v="0"/>
    <x v="5"/>
    <x v="0"/>
  </r>
  <r>
    <x v="0"/>
    <x v="0"/>
    <n v="2239264244"/>
    <x v="5"/>
    <n v="-6000"/>
    <x v="2"/>
    <x v="0"/>
    <x v="51"/>
    <x v="5"/>
    <x v="0"/>
    <x v="0"/>
    <x v="5"/>
    <x v="0"/>
  </r>
  <r>
    <x v="0"/>
    <x v="0"/>
    <n v="2239264244"/>
    <x v="4"/>
    <n v="10600"/>
    <x v="2"/>
    <x v="0"/>
    <x v="51"/>
    <x v="4"/>
    <x v="0"/>
    <x v="0"/>
    <x v="4"/>
    <x v="0"/>
  </r>
  <r>
    <x v="0"/>
    <x v="0"/>
    <n v="2239264245"/>
    <x v="2"/>
    <n v="7500"/>
    <x v="2"/>
    <x v="0"/>
    <x v="51"/>
    <x v="2"/>
    <x v="0"/>
    <x v="0"/>
    <x v="2"/>
    <x v="0"/>
  </r>
  <r>
    <x v="0"/>
    <x v="0"/>
    <n v="2239264246"/>
    <x v="6"/>
    <n v="2000"/>
    <x v="2"/>
    <x v="0"/>
    <x v="51"/>
    <x v="6"/>
    <x v="0"/>
    <x v="0"/>
    <x v="5"/>
    <x v="0"/>
  </r>
  <r>
    <x v="0"/>
    <x v="0"/>
    <n v="2239264247"/>
    <x v="5"/>
    <n v="-1100"/>
    <x v="2"/>
    <x v="0"/>
    <x v="51"/>
    <x v="5"/>
    <x v="0"/>
    <x v="0"/>
    <x v="5"/>
    <x v="0"/>
  </r>
  <r>
    <x v="0"/>
    <x v="0"/>
    <n v="2239264247"/>
    <x v="6"/>
    <n v="5000"/>
    <x v="2"/>
    <x v="0"/>
    <x v="51"/>
    <x v="6"/>
    <x v="0"/>
    <x v="0"/>
    <x v="5"/>
    <x v="0"/>
  </r>
  <r>
    <x v="0"/>
    <x v="0"/>
    <n v="2239264247"/>
    <x v="2"/>
    <n v="17000"/>
    <x v="2"/>
    <x v="0"/>
    <x v="51"/>
    <x v="2"/>
    <x v="0"/>
    <x v="0"/>
    <x v="2"/>
    <x v="0"/>
  </r>
  <r>
    <x v="0"/>
    <x v="0"/>
    <n v="2239264248"/>
    <x v="5"/>
    <n v="-5600"/>
    <x v="2"/>
    <x v="0"/>
    <x v="51"/>
    <x v="5"/>
    <x v="0"/>
    <x v="0"/>
    <x v="5"/>
    <x v="0"/>
  </r>
  <r>
    <x v="0"/>
    <x v="0"/>
    <n v="2239264248"/>
    <x v="4"/>
    <n v="10000"/>
    <x v="2"/>
    <x v="0"/>
    <x v="51"/>
    <x v="4"/>
    <x v="0"/>
    <x v="0"/>
    <x v="4"/>
    <x v="0"/>
  </r>
  <r>
    <x v="0"/>
    <x v="0"/>
    <n v="2239264249"/>
    <x v="5"/>
    <n v="-3000"/>
    <x v="2"/>
    <x v="0"/>
    <x v="51"/>
    <x v="5"/>
    <x v="0"/>
    <x v="0"/>
    <x v="5"/>
    <x v="0"/>
  </r>
  <r>
    <x v="0"/>
    <x v="0"/>
    <n v="2239264249"/>
    <x v="6"/>
    <n v="5660"/>
    <x v="2"/>
    <x v="0"/>
    <x v="51"/>
    <x v="6"/>
    <x v="0"/>
    <x v="0"/>
    <x v="5"/>
    <x v="0"/>
  </r>
  <r>
    <x v="0"/>
    <x v="0"/>
    <n v="2239264250"/>
    <x v="5"/>
    <n v="-6000"/>
    <x v="2"/>
    <x v="0"/>
    <x v="51"/>
    <x v="5"/>
    <x v="0"/>
    <x v="0"/>
    <x v="5"/>
    <x v="0"/>
  </r>
  <r>
    <x v="0"/>
    <x v="0"/>
    <n v="2239264250"/>
    <x v="6"/>
    <n v="10000"/>
    <x v="2"/>
    <x v="0"/>
    <x v="51"/>
    <x v="6"/>
    <x v="0"/>
    <x v="0"/>
    <x v="5"/>
    <x v="0"/>
  </r>
  <r>
    <x v="0"/>
    <x v="0"/>
    <n v="2239264251"/>
    <x v="2"/>
    <n v="41140"/>
    <x v="2"/>
    <x v="0"/>
    <x v="51"/>
    <x v="2"/>
    <x v="0"/>
    <x v="0"/>
    <x v="2"/>
    <x v="0"/>
  </r>
  <r>
    <x v="0"/>
    <x v="0"/>
    <n v="2239264252"/>
    <x v="2"/>
    <n v="3300"/>
    <x v="2"/>
    <x v="0"/>
    <x v="51"/>
    <x v="2"/>
    <x v="0"/>
    <x v="0"/>
    <x v="2"/>
    <x v="0"/>
  </r>
  <r>
    <x v="0"/>
    <x v="0"/>
    <n v="2239264253"/>
    <x v="5"/>
    <n v="-3000"/>
    <x v="2"/>
    <x v="0"/>
    <x v="51"/>
    <x v="5"/>
    <x v="0"/>
    <x v="0"/>
    <x v="5"/>
    <x v="0"/>
  </r>
  <r>
    <x v="0"/>
    <x v="0"/>
    <n v="2239264253"/>
    <x v="6"/>
    <n v="5000"/>
    <x v="2"/>
    <x v="0"/>
    <x v="51"/>
    <x v="6"/>
    <x v="0"/>
    <x v="0"/>
    <x v="5"/>
    <x v="0"/>
  </r>
  <r>
    <x v="0"/>
    <x v="0"/>
    <n v="2239264254"/>
    <x v="2"/>
    <n v="7500"/>
    <x v="2"/>
    <x v="0"/>
    <x v="51"/>
    <x v="2"/>
    <x v="0"/>
    <x v="0"/>
    <x v="2"/>
    <x v="0"/>
  </r>
  <r>
    <x v="0"/>
    <x v="0"/>
    <n v="2239264255"/>
    <x v="1"/>
    <n v="4050"/>
    <x v="2"/>
    <x v="0"/>
    <x v="51"/>
    <x v="1"/>
    <x v="0"/>
    <x v="0"/>
    <x v="1"/>
    <x v="0"/>
  </r>
  <r>
    <x v="0"/>
    <x v="0"/>
    <n v="2239264256"/>
    <x v="5"/>
    <n v="-1000"/>
    <x v="2"/>
    <x v="0"/>
    <x v="51"/>
    <x v="5"/>
    <x v="0"/>
    <x v="0"/>
    <x v="5"/>
    <x v="0"/>
  </r>
  <r>
    <x v="0"/>
    <x v="0"/>
    <n v="2239264256"/>
    <x v="6"/>
    <n v="10000"/>
    <x v="2"/>
    <x v="0"/>
    <x v="51"/>
    <x v="6"/>
    <x v="0"/>
    <x v="0"/>
    <x v="5"/>
    <x v="0"/>
  </r>
  <r>
    <x v="0"/>
    <x v="0"/>
    <n v="2239264257"/>
    <x v="2"/>
    <n v="13000"/>
    <x v="2"/>
    <x v="0"/>
    <x v="51"/>
    <x v="2"/>
    <x v="0"/>
    <x v="0"/>
    <x v="2"/>
    <x v="0"/>
  </r>
  <r>
    <x v="0"/>
    <x v="0"/>
    <n v="2239264258"/>
    <x v="2"/>
    <n v="9000"/>
    <x v="2"/>
    <x v="0"/>
    <x v="51"/>
    <x v="2"/>
    <x v="0"/>
    <x v="0"/>
    <x v="2"/>
    <x v="0"/>
  </r>
  <r>
    <x v="0"/>
    <x v="0"/>
    <n v="2239264259"/>
    <x v="2"/>
    <n v="7500"/>
    <x v="2"/>
    <x v="0"/>
    <x v="51"/>
    <x v="2"/>
    <x v="0"/>
    <x v="0"/>
    <x v="2"/>
    <x v="0"/>
  </r>
  <r>
    <x v="0"/>
    <x v="0"/>
    <n v="2239264260"/>
    <x v="2"/>
    <n v="13000"/>
    <x v="2"/>
    <x v="0"/>
    <x v="51"/>
    <x v="2"/>
    <x v="0"/>
    <x v="0"/>
    <x v="2"/>
    <x v="0"/>
  </r>
  <r>
    <x v="0"/>
    <x v="0"/>
    <n v="2239264261"/>
    <x v="2"/>
    <n v="14300"/>
    <x v="2"/>
    <x v="0"/>
    <x v="51"/>
    <x v="2"/>
    <x v="0"/>
    <x v="0"/>
    <x v="2"/>
    <x v="0"/>
  </r>
  <r>
    <x v="0"/>
    <x v="0"/>
    <n v="2239264262"/>
    <x v="2"/>
    <n v="7150"/>
    <x v="2"/>
    <x v="0"/>
    <x v="51"/>
    <x v="2"/>
    <x v="0"/>
    <x v="0"/>
    <x v="2"/>
    <x v="0"/>
  </r>
  <r>
    <x v="0"/>
    <x v="0"/>
    <n v="2239264263"/>
    <x v="2"/>
    <n v="7500"/>
    <x v="2"/>
    <x v="0"/>
    <x v="51"/>
    <x v="2"/>
    <x v="0"/>
    <x v="0"/>
    <x v="2"/>
    <x v="0"/>
  </r>
  <r>
    <x v="0"/>
    <x v="0"/>
    <n v="2239264268"/>
    <x v="1"/>
    <n v="1200"/>
    <x v="2"/>
    <x v="0"/>
    <x v="51"/>
    <x v="1"/>
    <x v="0"/>
    <x v="0"/>
    <x v="1"/>
    <x v="0"/>
  </r>
  <r>
    <x v="0"/>
    <x v="0"/>
    <n v="2239264269"/>
    <x v="2"/>
    <n v="23100"/>
    <x v="2"/>
    <x v="0"/>
    <x v="51"/>
    <x v="2"/>
    <x v="0"/>
    <x v="0"/>
    <x v="2"/>
    <x v="0"/>
  </r>
  <r>
    <x v="0"/>
    <x v="0"/>
    <n v="2239266379"/>
    <x v="1"/>
    <n v="41800"/>
    <x v="2"/>
    <x v="0"/>
    <x v="16"/>
    <x v="1"/>
    <x v="0"/>
    <x v="0"/>
    <x v="1"/>
    <x v="0"/>
  </r>
  <r>
    <x v="0"/>
    <x v="0"/>
    <n v="2239266380"/>
    <x v="1"/>
    <n v="17580"/>
    <x v="2"/>
    <x v="0"/>
    <x v="16"/>
    <x v="1"/>
    <x v="0"/>
    <x v="0"/>
    <x v="1"/>
    <x v="0"/>
  </r>
  <r>
    <x v="0"/>
    <x v="0"/>
    <n v="2239266381"/>
    <x v="1"/>
    <n v="16650"/>
    <x v="2"/>
    <x v="0"/>
    <x v="16"/>
    <x v="1"/>
    <x v="0"/>
    <x v="0"/>
    <x v="1"/>
    <x v="0"/>
  </r>
  <r>
    <x v="0"/>
    <x v="0"/>
    <n v="2239266382"/>
    <x v="1"/>
    <n v="51300"/>
    <x v="2"/>
    <x v="0"/>
    <x v="16"/>
    <x v="1"/>
    <x v="0"/>
    <x v="0"/>
    <x v="1"/>
    <x v="0"/>
  </r>
  <r>
    <x v="0"/>
    <x v="0"/>
    <n v="2239266383"/>
    <x v="1"/>
    <n v="1140"/>
    <x v="2"/>
    <x v="0"/>
    <x v="16"/>
    <x v="1"/>
    <x v="0"/>
    <x v="0"/>
    <x v="1"/>
    <x v="0"/>
  </r>
  <r>
    <x v="0"/>
    <x v="0"/>
    <n v="2239266384"/>
    <x v="1"/>
    <n v="5700"/>
    <x v="2"/>
    <x v="0"/>
    <x v="16"/>
    <x v="1"/>
    <x v="0"/>
    <x v="0"/>
    <x v="1"/>
    <x v="0"/>
  </r>
  <r>
    <x v="0"/>
    <x v="0"/>
    <n v="2239266385"/>
    <x v="1"/>
    <n v="2250"/>
    <x v="2"/>
    <x v="0"/>
    <x v="16"/>
    <x v="1"/>
    <x v="0"/>
    <x v="0"/>
    <x v="1"/>
    <x v="0"/>
  </r>
  <r>
    <x v="0"/>
    <x v="0"/>
    <n v="2239266386"/>
    <x v="1"/>
    <n v="1140"/>
    <x v="2"/>
    <x v="0"/>
    <x v="16"/>
    <x v="1"/>
    <x v="0"/>
    <x v="0"/>
    <x v="1"/>
    <x v="0"/>
  </r>
  <r>
    <x v="0"/>
    <x v="0"/>
    <n v="2239266387"/>
    <x v="1"/>
    <n v="2850"/>
    <x v="2"/>
    <x v="0"/>
    <x v="16"/>
    <x v="1"/>
    <x v="0"/>
    <x v="0"/>
    <x v="1"/>
    <x v="0"/>
  </r>
  <r>
    <x v="0"/>
    <x v="0"/>
    <n v="2239266388"/>
    <x v="1"/>
    <n v="11100"/>
    <x v="2"/>
    <x v="0"/>
    <x v="16"/>
    <x v="1"/>
    <x v="0"/>
    <x v="0"/>
    <x v="1"/>
    <x v="0"/>
  </r>
  <r>
    <x v="0"/>
    <x v="0"/>
    <n v="2239266389"/>
    <x v="1"/>
    <n v="900"/>
    <x v="2"/>
    <x v="0"/>
    <x v="16"/>
    <x v="1"/>
    <x v="0"/>
    <x v="0"/>
    <x v="1"/>
    <x v="0"/>
  </r>
  <r>
    <x v="0"/>
    <x v="0"/>
    <n v="2239266390"/>
    <x v="1"/>
    <n v="1140"/>
    <x v="2"/>
    <x v="0"/>
    <x v="16"/>
    <x v="1"/>
    <x v="0"/>
    <x v="0"/>
    <x v="1"/>
    <x v="0"/>
  </r>
  <r>
    <x v="0"/>
    <x v="0"/>
    <n v="2239266391"/>
    <x v="1"/>
    <n v="1200"/>
    <x v="2"/>
    <x v="0"/>
    <x v="16"/>
    <x v="1"/>
    <x v="0"/>
    <x v="0"/>
    <x v="1"/>
    <x v="0"/>
  </r>
  <r>
    <x v="0"/>
    <x v="0"/>
    <n v="2239266392"/>
    <x v="1"/>
    <n v="1950"/>
    <x v="2"/>
    <x v="0"/>
    <x v="16"/>
    <x v="1"/>
    <x v="0"/>
    <x v="0"/>
    <x v="1"/>
    <x v="0"/>
  </r>
  <r>
    <x v="0"/>
    <x v="0"/>
    <n v="2239266393"/>
    <x v="1"/>
    <n v="1140"/>
    <x v="2"/>
    <x v="0"/>
    <x v="16"/>
    <x v="1"/>
    <x v="0"/>
    <x v="0"/>
    <x v="1"/>
    <x v="0"/>
  </r>
  <r>
    <x v="0"/>
    <x v="0"/>
    <n v="2239266394"/>
    <x v="1"/>
    <n v="9000"/>
    <x v="2"/>
    <x v="0"/>
    <x v="16"/>
    <x v="1"/>
    <x v="0"/>
    <x v="0"/>
    <x v="1"/>
    <x v="0"/>
  </r>
  <r>
    <x v="0"/>
    <x v="0"/>
    <n v="2239266395"/>
    <x v="1"/>
    <n v="9300"/>
    <x v="2"/>
    <x v="0"/>
    <x v="16"/>
    <x v="1"/>
    <x v="0"/>
    <x v="0"/>
    <x v="1"/>
    <x v="0"/>
  </r>
  <r>
    <x v="0"/>
    <x v="0"/>
    <n v="2239266396"/>
    <x v="1"/>
    <n v="32770"/>
    <x v="2"/>
    <x v="0"/>
    <x v="16"/>
    <x v="1"/>
    <x v="0"/>
    <x v="0"/>
    <x v="1"/>
    <x v="0"/>
  </r>
  <r>
    <x v="0"/>
    <x v="0"/>
    <n v="2239266397"/>
    <x v="1"/>
    <n v="7900"/>
    <x v="2"/>
    <x v="0"/>
    <x v="16"/>
    <x v="1"/>
    <x v="0"/>
    <x v="0"/>
    <x v="1"/>
    <x v="0"/>
  </r>
  <r>
    <x v="0"/>
    <x v="0"/>
    <n v="2239266398"/>
    <x v="1"/>
    <n v="1140"/>
    <x v="2"/>
    <x v="0"/>
    <x v="16"/>
    <x v="1"/>
    <x v="0"/>
    <x v="0"/>
    <x v="1"/>
    <x v="0"/>
  </r>
  <r>
    <x v="0"/>
    <x v="0"/>
    <n v="2239266399"/>
    <x v="1"/>
    <n v="2490"/>
    <x v="2"/>
    <x v="0"/>
    <x v="16"/>
    <x v="1"/>
    <x v="0"/>
    <x v="0"/>
    <x v="1"/>
    <x v="0"/>
  </r>
  <r>
    <x v="0"/>
    <x v="0"/>
    <n v="2239266400"/>
    <x v="1"/>
    <n v="11310"/>
    <x v="2"/>
    <x v="0"/>
    <x v="16"/>
    <x v="1"/>
    <x v="0"/>
    <x v="0"/>
    <x v="1"/>
    <x v="0"/>
  </r>
  <r>
    <x v="0"/>
    <x v="0"/>
    <n v="2239266401"/>
    <x v="1"/>
    <n v="37670"/>
    <x v="2"/>
    <x v="0"/>
    <x v="16"/>
    <x v="1"/>
    <x v="0"/>
    <x v="0"/>
    <x v="1"/>
    <x v="0"/>
  </r>
  <r>
    <x v="0"/>
    <x v="0"/>
    <n v="2239266402"/>
    <x v="1"/>
    <n v="1800"/>
    <x v="2"/>
    <x v="0"/>
    <x v="16"/>
    <x v="1"/>
    <x v="0"/>
    <x v="0"/>
    <x v="1"/>
    <x v="0"/>
  </r>
  <r>
    <x v="0"/>
    <x v="0"/>
    <n v="2239266403"/>
    <x v="1"/>
    <n v="3600"/>
    <x v="2"/>
    <x v="0"/>
    <x v="16"/>
    <x v="1"/>
    <x v="0"/>
    <x v="0"/>
    <x v="1"/>
    <x v="0"/>
  </r>
  <r>
    <x v="0"/>
    <x v="0"/>
    <n v="2239266404"/>
    <x v="1"/>
    <n v="13700"/>
    <x v="2"/>
    <x v="0"/>
    <x v="16"/>
    <x v="1"/>
    <x v="0"/>
    <x v="0"/>
    <x v="1"/>
    <x v="0"/>
  </r>
  <r>
    <x v="0"/>
    <x v="0"/>
    <n v="2239266405"/>
    <x v="5"/>
    <n v="-560"/>
    <x v="2"/>
    <x v="0"/>
    <x v="16"/>
    <x v="5"/>
    <x v="0"/>
    <x v="0"/>
    <x v="5"/>
    <x v="0"/>
  </r>
  <r>
    <x v="0"/>
    <x v="0"/>
    <n v="2239266405"/>
    <x v="6"/>
    <n v="7000"/>
    <x v="2"/>
    <x v="0"/>
    <x v="16"/>
    <x v="6"/>
    <x v="0"/>
    <x v="0"/>
    <x v="5"/>
    <x v="0"/>
  </r>
  <r>
    <x v="0"/>
    <x v="0"/>
    <n v="2239266411"/>
    <x v="6"/>
    <n v="3250"/>
    <x v="2"/>
    <x v="0"/>
    <x v="16"/>
    <x v="6"/>
    <x v="0"/>
    <x v="0"/>
    <x v="5"/>
    <x v="0"/>
  </r>
  <r>
    <x v="0"/>
    <x v="0"/>
    <n v="2239266412"/>
    <x v="3"/>
    <n v="23900"/>
    <x v="2"/>
    <x v="0"/>
    <x v="16"/>
    <x v="3"/>
    <x v="0"/>
    <x v="0"/>
    <x v="3"/>
    <x v="0"/>
  </r>
  <r>
    <x v="0"/>
    <x v="0"/>
    <n v="2239266413"/>
    <x v="6"/>
    <n v="1500"/>
    <x v="2"/>
    <x v="0"/>
    <x v="16"/>
    <x v="6"/>
    <x v="0"/>
    <x v="0"/>
    <x v="5"/>
    <x v="0"/>
  </r>
  <r>
    <x v="0"/>
    <x v="0"/>
    <n v="2239266414"/>
    <x v="2"/>
    <n v="3250"/>
    <x v="2"/>
    <x v="0"/>
    <x v="16"/>
    <x v="2"/>
    <x v="0"/>
    <x v="0"/>
    <x v="2"/>
    <x v="0"/>
  </r>
  <r>
    <x v="0"/>
    <x v="0"/>
    <n v="2239266415"/>
    <x v="2"/>
    <n v="20790"/>
    <x v="2"/>
    <x v="0"/>
    <x v="16"/>
    <x v="2"/>
    <x v="0"/>
    <x v="0"/>
    <x v="2"/>
    <x v="0"/>
  </r>
  <r>
    <x v="0"/>
    <x v="0"/>
    <n v="2239266416"/>
    <x v="2"/>
    <n v="6500"/>
    <x v="2"/>
    <x v="0"/>
    <x v="16"/>
    <x v="2"/>
    <x v="0"/>
    <x v="0"/>
    <x v="2"/>
    <x v="0"/>
  </r>
  <r>
    <x v="0"/>
    <x v="0"/>
    <n v="2239266417"/>
    <x v="6"/>
    <n v="1500"/>
    <x v="2"/>
    <x v="0"/>
    <x v="16"/>
    <x v="6"/>
    <x v="0"/>
    <x v="0"/>
    <x v="5"/>
    <x v="0"/>
  </r>
  <r>
    <x v="0"/>
    <x v="0"/>
    <n v="2239266418"/>
    <x v="6"/>
    <n v="1500"/>
    <x v="2"/>
    <x v="0"/>
    <x v="16"/>
    <x v="6"/>
    <x v="0"/>
    <x v="0"/>
    <x v="5"/>
    <x v="0"/>
  </r>
  <r>
    <x v="0"/>
    <x v="0"/>
    <n v="2239266419"/>
    <x v="6"/>
    <n v="3500"/>
    <x v="2"/>
    <x v="0"/>
    <x v="16"/>
    <x v="6"/>
    <x v="0"/>
    <x v="0"/>
    <x v="5"/>
    <x v="0"/>
  </r>
  <r>
    <x v="0"/>
    <x v="0"/>
    <n v="2239266420"/>
    <x v="5"/>
    <n v="-5800"/>
    <x v="2"/>
    <x v="0"/>
    <x v="16"/>
    <x v="5"/>
    <x v="0"/>
    <x v="0"/>
    <x v="5"/>
    <x v="0"/>
  </r>
  <r>
    <x v="0"/>
    <x v="0"/>
    <n v="2239266420"/>
    <x v="6"/>
    <n v="20000"/>
    <x v="2"/>
    <x v="0"/>
    <x v="16"/>
    <x v="6"/>
    <x v="0"/>
    <x v="0"/>
    <x v="5"/>
    <x v="0"/>
  </r>
  <r>
    <x v="0"/>
    <x v="0"/>
    <n v="2239266421"/>
    <x v="5"/>
    <n v="-3550"/>
    <x v="2"/>
    <x v="0"/>
    <x v="16"/>
    <x v="5"/>
    <x v="0"/>
    <x v="0"/>
    <x v="5"/>
    <x v="0"/>
  </r>
  <r>
    <x v="0"/>
    <x v="0"/>
    <n v="2239266421"/>
    <x v="6"/>
    <n v="10000"/>
    <x v="2"/>
    <x v="0"/>
    <x v="16"/>
    <x v="6"/>
    <x v="0"/>
    <x v="0"/>
    <x v="5"/>
    <x v="0"/>
  </r>
  <r>
    <x v="0"/>
    <x v="0"/>
    <n v="2239266422"/>
    <x v="5"/>
    <n v="-1600"/>
    <x v="2"/>
    <x v="0"/>
    <x v="16"/>
    <x v="5"/>
    <x v="0"/>
    <x v="0"/>
    <x v="5"/>
    <x v="0"/>
  </r>
  <r>
    <x v="0"/>
    <x v="0"/>
    <n v="2239266422"/>
    <x v="6"/>
    <n v="10000"/>
    <x v="2"/>
    <x v="0"/>
    <x v="16"/>
    <x v="6"/>
    <x v="0"/>
    <x v="0"/>
    <x v="5"/>
    <x v="0"/>
  </r>
  <r>
    <x v="0"/>
    <x v="0"/>
    <n v="2239266422"/>
    <x v="7"/>
    <n v="6900"/>
    <x v="2"/>
    <x v="0"/>
    <x v="16"/>
    <x v="7"/>
    <x v="0"/>
    <x v="0"/>
    <x v="1"/>
    <x v="0"/>
  </r>
  <r>
    <x v="0"/>
    <x v="0"/>
    <n v="2239266423"/>
    <x v="5"/>
    <n v="-300"/>
    <x v="2"/>
    <x v="0"/>
    <x v="16"/>
    <x v="5"/>
    <x v="0"/>
    <x v="0"/>
    <x v="5"/>
    <x v="0"/>
  </r>
  <r>
    <x v="0"/>
    <x v="0"/>
    <n v="2239266423"/>
    <x v="6"/>
    <n v="10000"/>
    <x v="2"/>
    <x v="0"/>
    <x v="16"/>
    <x v="6"/>
    <x v="0"/>
    <x v="0"/>
    <x v="5"/>
    <x v="0"/>
  </r>
  <r>
    <x v="0"/>
    <x v="0"/>
    <n v="2239266424"/>
    <x v="3"/>
    <n v="46970"/>
    <x v="2"/>
    <x v="0"/>
    <x v="16"/>
    <x v="3"/>
    <x v="0"/>
    <x v="0"/>
    <x v="3"/>
    <x v="0"/>
  </r>
  <r>
    <x v="0"/>
    <x v="0"/>
    <n v="2239266425"/>
    <x v="2"/>
    <n v="21945"/>
    <x v="2"/>
    <x v="0"/>
    <x v="16"/>
    <x v="2"/>
    <x v="0"/>
    <x v="0"/>
    <x v="2"/>
    <x v="0"/>
  </r>
  <r>
    <x v="0"/>
    <x v="0"/>
    <n v="2239266426"/>
    <x v="2"/>
    <n v="6000"/>
    <x v="2"/>
    <x v="0"/>
    <x v="16"/>
    <x v="2"/>
    <x v="0"/>
    <x v="0"/>
    <x v="2"/>
    <x v="0"/>
  </r>
  <r>
    <x v="0"/>
    <x v="0"/>
    <n v="2239266427"/>
    <x v="4"/>
    <n v="33700"/>
    <x v="2"/>
    <x v="0"/>
    <x v="16"/>
    <x v="4"/>
    <x v="0"/>
    <x v="0"/>
    <x v="4"/>
    <x v="0"/>
  </r>
  <r>
    <x v="0"/>
    <x v="0"/>
    <n v="2239266428"/>
    <x v="5"/>
    <n v="-250"/>
    <x v="2"/>
    <x v="0"/>
    <x v="16"/>
    <x v="5"/>
    <x v="0"/>
    <x v="0"/>
    <x v="5"/>
    <x v="0"/>
  </r>
  <r>
    <x v="0"/>
    <x v="0"/>
    <n v="2239266428"/>
    <x v="6"/>
    <n v="4000"/>
    <x v="2"/>
    <x v="0"/>
    <x v="16"/>
    <x v="6"/>
    <x v="0"/>
    <x v="0"/>
    <x v="5"/>
    <x v="0"/>
  </r>
  <r>
    <x v="0"/>
    <x v="0"/>
    <n v="2239266429"/>
    <x v="2"/>
    <n v="34650"/>
    <x v="2"/>
    <x v="0"/>
    <x v="16"/>
    <x v="2"/>
    <x v="0"/>
    <x v="0"/>
    <x v="2"/>
    <x v="0"/>
  </r>
  <r>
    <x v="0"/>
    <x v="0"/>
    <n v="2239266430"/>
    <x v="2"/>
    <n v="124299"/>
    <x v="2"/>
    <x v="0"/>
    <x v="16"/>
    <x v="2"/>
    <x v="0"/>
    <x v="0"/>
    <x v="2"/>
    <x v="0"/>
  </r>
  <r>
    <x v="0"/>
    <x v="0"/>
    <n v="2239266430"/>
    <x v="7"/>
    <n v="5450"/>
    <x v="2"/>
    <x v="0"/>
    <x v="16"/>
    <x v="7"/>
    <x v="0"/>
    <x v="0"/>
    <x v="1"/>
    <x v="0"/>
  </r>
  <r>
    <x v="0"/>
    <x v="0"/>
    <n v="2239266431"/>
    <x v="3"/>
    <n v="42665"/>
    <x v="2"/>
    <x v="0"/>
    <x v="16"/>
    <x v="3"/>
    <x v="0"/>
    <x v="0"/>
    <x v="3"/>
    <x v="0"/>
  </r>
  <r>
    <x v="0"/>
    <x v="0"/>
    <n v="2239266436"/>
    <x v="5"/>
    <n v="-400"/>
    <x v="2"/>
    <x v="0"/>
    <x v="16"/>
    <x v="5"/>
    <x v="0"/>
    <x v="0"/>
    <x v="5"/>
    <x v="0"/>
  </r>
  <r>
    <x v="0"/>
    <x v="0"/>
    <n v="2239266436"/>
    <x v="4"/>
    <n v="6000"/>
    <x v="2"/>
    <x v="0"/>
    <x v="16"/>
    <x v="4"/>
    <x v="0"/>
    <x v="0"/>
    <x v="4"/>
    <x v="0"/>
  </r>
  <r>
    <x v="0"/>
    <x v="0"/>
    <n v="2239266438"/>
    <x v="5"/>
    <n v="-5000"/>
    <x v="2"/>
    <x v="0"/>
    <x v="16"/>
    <x v="5"/>
    <x v="0"/>
    <x v="0"/>
    <x v="5"/>
    <x v="0"/>
  </r>
  <r>
    <x v="0"/>
    <x v="0"/>
    <n v="2239266438"/>
    <x v="4"/>
    <n v="10300"/>
    <x v="2"/>
    <x v="0"/>
    <x v="16"/>
    <x v="4"/>
    <x v="0"/>
    <x v="0"/>
    <x v="4"/>
    <x v="0"/>
  </r>
  <r>
    <x v="0"/>
    <x v="0"/>
    <n v="2239266439"/>
    <x v="5"/>
    <n v="-3000"/>
    <x v="2"/>
    <x v="0"/>
    <x v="16"/>
    <x v="5"/>
    <x v="0"/>
    <x v="0"/>
    <x v="5"/>
    <x v="0"/>
  </r>
  <r>
    <x v="0"/>
    <x v="0"/>
    <n v="2239266439"/>
    <x v="6"/>
    <n v="5000"/>
    <x v="2"/>
    <x v="0"/>
    <x v="16"/>
    <x v="6"/>
    <x v="0"/>
    <x v="0"/>
    <x v="5"/>
    <x v="0"/>
  </r>
  <r>
    <x v="0"/>
    <x v="0"/>
    <n v="2239266440"/>
    <x v="3"/>
    <n v="12320"/>
    <x v="2"/>
    <x v="0"/>
    <x v="16"/>
    <x v="3"/>
    <x v="0"/>
    <x v="0"/>
    <x v="3"/>
    <x v="0"/>
  </r>
  <r>
    <x v="0"/>
    <x v="0"/>
    <n v="2239266441"/>
    <x v="2"/>
    <n v="3000"/>
    <x v="2"/>
    <x v="0"/>
    <x v="16"/>
    <x v="2"/>
    <x v="0"/>
    <x v="0"/>
    <x v="2"/>
    <x v="0"/>
  </r>
  <r>
    <x v="0"/>
    <x v="0"/>
    <n v="2239266443"/>
    <x v="5"/>
    <n v="-1750"/>
    <x v="2"/>
    <x v="0"/>
    <x v="16"/>
    <x v="5"/>
    <x v="0"/>
    <x v="0"/>
    <x v="5"/>
    <x v="0"/>
  </r>
  <r>
    <x v="0"/>
    <x v="0"/>
    <n v="2239266443"/>
    <x v="6"/>
    <n v="5000"/>
    <x v="2"/>
    <x v="0"/>
    <x v="16"/>
    <x v="6"/>
    <x v="0"/>
    <x v="0"/>
    <x v="5"/>
    <x v="0"/>
  </r>
  <r>
    <x v="0"/>
    <x v="0"/>
    <n v="2239266445"/>
    <x v="5"/>
    <n v="-400"/>
    <x v="2"/>
    <x v="0"/>
    <x v="16"/>
    <x v="5"/>
    <x v="0"/>
    <x v="0"/>
    <x v="5"/>
    <x v="0"/>
  </r>
  <r>
    <x v="0"/>
    <x v="0"/>
    <n v="2239266445"/>
    <x v="4"/>
    <n v="6000"/>
    <x v="2"/>
    <x v="0"/>
    <x v="16"/>
    <x v="4"/>
    <x v="0"/>
    <x v="0"/>
    <x v="4"/>
    <x v="0"/>
  </r>
  <r>
    <x v="0"/>
    <x v="0"/>
    <n v="2239266446"/>
    <x v="2"/>
    <n v="37730"/>
    <x v="2"/>
    <x v="0"/>
    <x v="16"/>
    <x v="2"/>
    <x v="0"/>
    <x v="0"/>
    <x v="2"/>
    <x v="0"/>
  </r>
  <r>
    <x v="0"/>
    <x v="0"/>
    <n v="2239266447"/>
    <x v="3"/>
    <n v="60500"/>
    <x v="2"/>
    <x v="0"/>
    <x v="16"/>
    <x v="3"/>
    <x v="0"/>
    <x v="0"/>
    <x v="3"/>
    <x v="0"/>
  </r>
  <r>
    <x v="0"/>
    <x v="0"/>
    <n v="2239266448"/>
    <x v="3"/>
    <n v="14300"/>
    <x v="2"/>
    <x v="0"/>
    <x v="16"/>
    <x v="3"/>
    <x v="0"/>
    <x v="0"/>
    <x v="3"/>
    <x v="0"/>
  </r>
  <r>
    <x v="0"/>
    <x v="0"/>
    <n v="2239266449"/>
    <x v="5"/>
    <n v="-5400"/>
    <x v="2"/>
    <x v="0"/>
    <x v="16"/>
    <x v="5"/>
    <x v="0"/>
    <x v="0"/>
    <x v="5"/>
    <x v="0"/>
  </r>
  <r>
    <x v="0"/>
    <x v="0"/>
    <n v="2239266449"/>
    <x v="4"/>
    <n v="10000"/>
    <x v="2"/>
    <x v="0"/>
    <x v="16"/>
    <x v="4"/>
    <x v="0"/>
    <x v="0"/>
    <x v="4"/>
    <x v="0"/>
  </r>
  <r>
    <x v="0"/>
    <x v="0"/>
    <n v="2239266450"/>
    <x v="5"/>
    <n v="-5600"/>
    <x v="2"/>
    <x v="0"/>
    <x v="16"/>
    <x v="5"/>
    <x v="0"/>
    <x v="0"/>
    <x v="5"/>
    <x v="0"/>
  </r>
  <r>
    <x v="0"/>
    <x v="0"/>
    <n v="2239266450"/>
    <x v="4"/>
    <n v="10000"/>
    <x v="2"/>
    <x v="0"/>
    <x v="16"/>
    <x v="4"/>
    <x v="0"/>
    <x v="0"/>
    <x v="4"/>
    <x v="0"/>
  </r>
  <r>
    <x v="0"/>
    <x v="0"/>
    <n v="2239266451"/>
    <x v="3"/>
    <n v="31350"/>
    <x v="2"/>
    <x v="0"/>
    <x v="16"/>
    <x v="3"/>
    <x v="0"/>
    <x v="0"/>
    <x v="3"/>
    <x v="0"/>
  </r>
  <r>
    <x v="0"/>
    <x v="0"/>
    <n v="2239266453"/>
    <x v="2"/>
    <n v="28600"/>
    <x v="2"/>
    <x v="0"/>
    <x v="16"/>
    <x v="2"/>
    <x v="0"/>
    <x v="0"/>
    <x v="2"/>
    <x v="0"/>
  </r>
  <r>
    <x v="0"/>
    <x v="0"/>
    <n v="2239266454"/>
    <x v="5"/>
    <n v="-4000"/>
    <x v="2"/>
    <x v="0"/>
    <x v="16"/>
    <x v="5"/>
    <x v="0"/>
    <x v="0"/>
    <x v="5"/>
    <x v="0"/>
  </r>
  <r>
    <x v="0"/>
    <x v="0"/>
    <n v="2239266454"/>
    <x v="6"/>
    <n v="5000"/>
    <x v="2"/>
    <x v="0"/>
    <x v="16"/>
    <x v="6"/>
    <x v="0"/>
    <x v="0"/>
    <x v="5"/>
    <x v="0"/>
  </r>
  <r>
    <x v="0"/>
    <x v="0"/>
    <n v="2239266454"/>
    <x v="2"/>
    <n v="26000"/>
    <x v="2"/>
    <x v="0"/>
    <x v="16"/>
    <x v="2"/>
    <x v="0"/>
    <x v="0"/>
    <x v="2"/>
    <x v="0"/>
  </r>
  <r>
    <x v="0"/>
    <x v="0"/>
    <n v="2239266456"/>
    <x v="2"/>
    <n v="6000"/>
    <x v="2"/>
    <x v="0"/>
    <x v="16"/>
    <x v="2"/>
    <x v="0"/>
    <x v="0"/>
    <x v="2"/>
    <x v="0"/>
  </r>
  <r>
    <x v="0"/>
    <x v="0"/>
    <n v="2239266457"/>
    <x v="4"/>
    <n v="5300"/>
    <x v="2"/>
    <x v="0"/>
    <x v="16"/>
    <x v="4"/>
    <x v="0"/>
    <x v="0"/>
    <x v="4"/>
    <x v="0"/>
  </r>
  <r>
    <x v="0"/>
    <x v="0"/>
    <n v="2239266459"/>
    <x v="2"/>
    <n v="21450"/>
    <x v="2"/>
    <x v="0"/>
    <x v="16"/>
    <x v="2"/>
    <x v="0"/>
    <x v="0"/>
    <x v="2"/>
    <x v="0"/>
  </r>
  <r>
    <x v="0"/>
    <x v="0"/>
    <n v="2239266460"/>
    <x v="3"/>
    <n v="7150"/>
    <x v="2"/>
    <x v="0"/>
    <x v="16"/>
    <x v="3"/>
    <x v="0"/>
    <x v="0"/>
    <x v="3"/>
    <x v="0"/>
  </r>
  <r>
    <x v="0"/>
    <x v="0"/>
    <n v="2239266461"/>
    <x v="2"/>
    <n v="7150"/>
    <x v="2"/>
    <x v="0"/>
    <x v="16"/>
    <x v="2"/>
    <x v="0"/>
    <x v="0"/>
    <x v="2"/>
    <x v="0"/>
  </r>
  <r>
    <x v="0"/>
    <x v="0"/>
    <n v="2239266462"/>
    <x v="5"/>
    <n v="-15000"/>
    <x v="2"/>
    <x v="0"/>
    <x v="16"/>
    <x v="5"/>
    <x v="0"/>
    <x v="0"/>
    <x v="5"/>
    <x v="0"/>
  </r>
  <r>
    <x v="0"/>
    <x v="0"/>
    <n v="2239266462"/>
    <x v="4"/>
    <n v="20300"/>
    <x v="2"/>
    <x v="0"/>
    <x v="16"/>
    <x v="4"/>
    <x v="0"/>
    <x v="0"/>
    <x v="4"/>
    <x v="0"/>
  </r>
  <r>
    <x v="0"/>
    <x v="0"/>
    <n v="2239266463"/>
    <x v="2"/>
    <n v="33600"/>
    <x v="2"/>
    <x v="0"/>
    <x v="16"/>
    <x v="2"/>
    <x v="0"/>
    <x v="0"/>
    <x v="2"/>
    <x v="0"/>
  </r>
  <r>
    <x v="0"/>
    <x v="0"/>
    <n v="2239266464"/>
    <x v="2"/>
    <n v="10500"/>
    <x v="2"/>
    <x v="0"/>
    <x v="16"/>
    <x v="2"/>
    <x v="0"/>
    <x v="0"/>
    <x v="2"/>
    <x v="0"/>
  </r>
  <r>
    <x v="0"/>
    <x v="0"/>
    <n v="2239266465"/>
    <x v="3"/>
    <n v="10000"/>
    <x v="2"/>
    <x v="0"/>
    <x v="16"/>
    <x v="3"/>
    <x v="0"/>
    <x v="0"/>
    <x v="3"/>
    <x v="0"/>
  </r>
  <r>
    <x v="0"/>
    <x v="0"/>
    <n v="2239266466"/>
    <x v="2"/>
    <n v="15000"/>
    <x v="2"/>
    <x v="0"/>
    <x v="16"/>
    <x v="2"/>
    <x v="0"/>
    <x v="0"/>
    <x v="2"/>
    <x v="0"/>
  </r>
  <r>
    <x v="0"/>
    <x v="0"/>
    <n v="2239266467"/>
    <x v="2"/>
    <n v="44770"/>
    <x v="2"/>
    <x v="0"/>
    <x v="16"/>
    <x v="2"/>
    <x v="0"/>
    <x v="0"/>
    <x v="2"/>
    <x v="0"/>
  </r>
  <r>
    <x v="0"/>
    <x v="0"/>
    <n v="2239266469"/>
    <x v="2"/>
    <n v="14300"/>
    <x v="2"/>
    <x v="0"/>
    <x v="16"/>
    <x v="2"/>
    <x v="0"/>
    <x v="0"/>
    <x v="2"/>
    <x v="0"/>
  </r>
  <r>
    <x v="0"/>
    <x v="0"/>
    <n v="2239266470"/>
    <x v="3"/>
    <n v="14300"/>
    <x v="2"/>
    <x v="0"/>
    <x v="16"/>
    <x v="3"/>
    <x v="0"/>
    <x v="0"/>
    <x v="3"/>
    <x v="0"/>
  </r>
  <r>
    <x v="0"/>
    <x v="0"/>
    <n v="2239266471"/>
    <x v="5"/>
    <n v="-4300"/>
    <x v="2"/>
    <x v="0"/>
    <x v="16"/>
    <x v="5"/>
    <x v="0"/>
    <x v="0"/>
    <x v="5"/>
    <x v="0"/>
  </r>
  <r>
    <x v="0"/>
    <x v="0"/>
    <n v="2239266471"/>
    <x v="4"/>
    <n v="10000"/>
    <x v="2"/>
    <x v="0"/>
    <x v="16"/>
    <x v="4"/>
    <x v="0"/>
    <x v="0"/>
    <x v="4"/>
    <x v="0"/>
  </r>
  <r>
    <x v="0"/>
    <x v="0"/>
    <n v="2239266472"/>
    <x v="1"/>
    <n v="4500"/>
    <x v="2"/>
    <x v="0"/>
    <x v="16"/>
    <x v="1"/>
    <x v="0"/>
    <x v="0"/>
    <x v="1"/>
    <x v="0"/>
  </r>
  <r>
    <x v="0"/>
    <x v="0"/>
    <n v="2239266473"/>
    <x v="5"/>
    <n v="-4700"/>
    <x v="2"/>
    <x v="0"/>
    <x v="16"/>
    <x v="5"/>
    <x v="0"/>
    <x v="0"/>
    <x v="5"/>
    <x v="0"/>
  </r>
  <r>
    <x v="0"/>
    <x v="0"/>
    <n v="2239266473"/>
    <x v="4"/>
    <n v="10000"/>
    <x v="2"/>
    <x v="0"/>
    <x v="16"/>
    <x v="4"/>
    <x v="0"/>
    <x v="0"/>
    <x v="4"/>
    <x v="0"/>
  </r>
  <r>
    <x v="0"/>
    <x v="0"/>
    <n v="2239266474"/>
    <x v="5"/>
    <n v="-6100"/>
    <x v="2"/>
    <x v="0"/>
    <x v="16"/>
    <x v="5"/>
    <x v="0"/>
    <x v="0"/>
    <x v="5"/>
    <x v="0"/>
  </r>
  <r>
    <x v="0"/>
    <x v="0"/>
    <n v="2239266474"/>
    <x v="4"/>
    <n v="10500"/>
    <x v="2"/>
    <x v="0"/>
    <x v="16"/>
    <x v="4"/>
    <x v="0"/>
    <x v="0"/>
    <x v="4"/>
    <x v="0"/>
  </r>
  <r>
    <x v="0"/>
    <x v="0"/>
    <n v="2239266475"/>
    <x v="2"/>
    <n v="7000"/>
    <x v="2"/>
    <x v="0"/>
    <x v="16"/>
    <x v="2"/>
    <x v="0"/>
    <x v="0"/>
    <x v="2"/>
    <x v="0"/>
  </r>
  <r>
    <x v="0"/>
    <x v="0"/>
    <n v="2239266477"/>
    <x v="5"/>
    <n v="-100"/>
    <x v="2"/>
    <x v="0"/>
    <x v="16"/>
    <x v="5"/>
    <x v="0"/>
    <x v="0"/>
    <x v="5"/>
    <x v="0"/>
  </r>
  <r>
    <x v="0"/>
    <x v="0"/>
    <n v="2239266477"/>
    <x v="6"/>
    <n v="10000"/>
    <x v="2"/>
    <x v="0"/>
    <x v="16"/>
    <x v="6"/>
    <x v="0"/>
    <x v="0"/>
    <x v="5"/>
    <x v="0"/>
  </r>
  <r>
    <x v="0"/>
    <x v="0"/>
    <n v="2239266478"/>
    <x v="5"/>
    <n v="-3820"/>
    <x v="2"/>
    <x v="0"/>
    <x v="16"/>
    <x v="5"/>
    <x v="0"/>
    <x v="0"/>
    <x v="5"/>
    <x v="0"/>
  </r>
  <r>
    <x v="0"/>
    <x v="0"/>
    <n v="2239266478"/>
    <x v="6"/>
    <n v="10000"/>
    <x v="2"/>
    <x v="0"/>
    <x v="16"/>
    <x v="6"/>
    <x v="0"/>
    <x v="0"/>
    <x v="5"/>
    <x v="0"/>
  </r>
  <r>
    <x v="0"/>
    <x v="0"/>
    <n v="2239266478"/>
    <x v="2"/>
    <n v="7500"/>
    <x v="2"/>
    <x v="0"/>
    <x v="16"/>
    <x v="2"/>
    <x v="0"/>
    <x v="0"/>
    <x v="2"/>
    <x v="0"/>
  </r>
  <r>
    <x v="0"/>
    <x v="0"/>
    <n v="2239266478"/>
    <x v="7"/>
    <n v="3160"/>
    <x v="2"/>
    <x v="0"/>
    <x v="16"/>
    <x v="7"/>
    <x v="0"/>
    <x v="0"/>
    <x v="1"/>
    <x v="0"/>
  </r>
  <r>
    <x v="0"/>
    <x v="0"/>
    <n v="2239266479"/>
    <x v="5"/>
    <n v="-400"/>
    <x v="2"/>
    <x v="0"/>
    <x v="16"/>
    <x v="5"/>
    <x v="0"/>
    <x v="0"/>
    <x v="5"/>
    <x v="0"/>
  </r>
  <r>
    <x v="0"/>
    <x v="0"/>
    <n v="2239266479"/>
    <x v="4"/>
    <n v="6000"/>
    <x v="2"/>
    <x v="0"/>
    <x v="16"/>
    <x v="4"/>
    <x v="0"/>
    <x v="0"/>
    <x v="4"/>
    <x v="0"/>
  </r>
  <r>
    <x v="0"/>
    <x v="0"/>
    <n v="2239266481"/>
    <x v="2"/>
    <n v="13000"/>
    <x v="2"/>
    <x v="0"/>
    <x v="16"/>
    <x v="2"/>
    <x v="0"/>
    <x v="0"/>
    <x v="2"/>
    <x v="0"/>
  </r>
  <r>
    <x v="0"/>
    <x v="0"/>
    <n v="2239266482"/>
    <x v="2"/>
    <n v="17600"/>
    <x v="2"/>
    <x v="0"/>
    <x v="16"/>
    <x v="2"/>
    <x v="0"/>
    <x v="0"/>
    <x v="2"/>
    <x v="0"/>
  </r>
  <r>
    <x v="0"/>
    <x v="0"/>
    <n v="2239266483"/>
    <x v="2"/>
    <n v="3300"/>
    <x v="2"/>
    <x v="0"/>
    <x v="16"/>
    <x v="2"/>
    <x v="0"/>
    <x v="0"/>
    <x v="2"/>
    <x v="0"/>
  </r>
  <r>
    <x v="0"/>
    <x v="0"/>
    <n v="2239266484"/>
    <x v="6"/>
    <n v="3000"/>
    <x v="2"/>
    <x v="0"/>
    <x v="16"/>
    <x v="6"/>
    <x v="0"/>
    <x v="0"/>
    <x v="5"/>
    <x v="0"/>
  </r>
  <r>
    <x v="0"/>
    <x v="0"/>
    <n v="2239266485"/>
    <x v="5"/>
    <n v="-400"/>
    <x v="2"/>
    <x v="0"/>
    <x v="16"/>
    <x v="5"/>
    <x v="0"/>
    <x v="0"/>
    <x v="5"/>
    <x v="0"/>
  </r>
  <r>
    <x v="0"/>
    <x v="0"/>
    <n v="2239266485"/>
    <x v="4"/>
    <n v="6000"/>
    <x v="2"/>
    <x v="0"/>
    <x v="16"/>
    <x v="4"/>
    <x v="0"/>
    <x v="0"/>
    <x v="4"/>
    <x v="0"/>
  </r>
  <r>
    <x v="0"/>
    <x v="0"/>
    <n v="2239266486"/>
    <x v="5"/>
    <n v="-6000"/>
    <x v="2"/>
    <x v="0"/>
    <x v="16"/>
    <x v="5"/>
    <x v="0"/>
    <x v="0"/>
    <x v="5"/>
    <x v="0"/>
  </r>
  <r>
    <x v="0"/>
    <x v="0"/>
    <n v="2239266486"/>
    <x v="4"/>
    <n v="10400"/>
    <x v="2"/>
    <x v="0"/>
    <x v="16"/>
    <x v="4"/>
    <x v="0"/>
    <x v="0"/>
    <x v="4"/>
    <x v="0"/>
  </r>
  <r>
    <x v="0"/>
    <x v="0"/>
    <n v="2239266488"/>
    <x v="2"/>
    <n v="13000"/>
    <x v="2"/>
    <x v="0"/>
    <x v="16"/>
    <x v="2"/>
    <x v="0"/>
    <x v="0"/>
    <x v="2"/>
    <x v="0"/>
  </r>
  <r>
    <x v="0"/>
    <x v="0"/>
    <n v="2239266492"/>
    <x v="5"/>
    <n v="-14700"/>
    <x v="2"/>
    <x v="0"/>
    <x v="16"/>
    <x v="5"/>
    <x v="0"/>
    <x v="0"/>
    <x v="5"/>
    <x v="0"/>
  </r>
  <r>
    <x v="0"/>
    <x v="0"/>
    <n v="2239266492"/>
    <x v="4"/>
    <n v="20000"/>
    <x v="2"/>
    <x v="0"/>
    <x v="16"/>
    <x v="4"/>
    <x v="0"/>
    <x v="0"/>
    <x v="4"/>
    <x v="0"/>
  </r>
  <r>
    <x v="0"/>
    <x v="0"/>
    <n v="2239266493"/>
    <x v="2"/>
    <n v="3800"/>
    <x v="2"/>
    <x v="0"/>
    <x v="16"/>
    <x v="2"/>
    <x v="0"/>
    <x v="0"/>
    <x v="2"/>
    <x v="0"/>
  </r>
  <r>
    <x v="0"/>
    <x v="0"/>
    <n v="2239269500"/>
    <x v="1"/>
    <n v="3000"/>
    <x v="2"/>
    <x v="0"/>
    <x v="52"/>
    <x v="1"/>
    <x v="0"/>
    <x v="0"/>
    <x v="1"/>
    <x v="0"/>
  </r>
  <r>
    <x v="0"/>
    <x v="0"/>
    <n v="2239269501"/>
    <x v="1"/>
    <n v="36950"/>
    <x v="2"/>
    <x v="0"/>
    <x v="52"/>
    <x v="1"/>
    <x v="0"/>
    <x v="0"/>
    <x v="1"/>
    <x v="0"/>
  </r>
  <r>
    <x v="0"/>
    <x v="0"/>
    <n v="2239269502"/>
    <x v="1"/>
    <n v="6300"/>
    <x v="2"/>
    <x v="0"/>
    <x v="52"/>
    <x v="1"/>
    <x v="0"/>
    <x v="0"/>
    <x v="1"/>
    <x v="0"/>
  </r>
  <r>
    <x v="0"/>
    <x v="0"/>
    <n v="2239269503"/>
    <x v="1"/>
    <n v="3600"/>
    <x v="2"/>
    <x v="0"/>
    <x v="52"/>
    <x v="1"/>
    <x v="0"/>
    <x v="0"/>
    <x v="1"/>
    <x v="0"/>
  </r>
  <r>
    <x v="0"/>
    <x v="0"/>
    <n v="2239269504"/>
    <x v="1"/>
    <n v="5160"/>
    <x v="2"/>
    <x v="0"/>
    <x v="52"/>
    <x v="1"/>
    <x v="0"/>
    <x v="0"/>
    <x v="1"/>
    <x v="0"/>
  </r>
  <r>
    <x v="0"/>
    <x v="0"/>
    <n v="2239269505"/>
    <x v="1"/>
    <n v="13020"/>
    <x v="2"/>
    <x v="0"/>
    <x v="52"/>
    <x v="1"/>
    <x v="0"/>
    <x v="0"/>
    <x v="1"/>
    <x v="0"/>
  </r>
  <r>
    <x v="0"/>
    <x v="0"/>
    <n v="2239269506"/>
    <x v="1"/>
    <n v="900"/>
    <x v="2"/>
    <x v="0"/>
    <x v="52"/>
    <x v="1"/>
    <x v="0"/>
    <x v="0"/>
    <x v="1"/>
    <x v="0"/>
  </r>
  <r>
    <x v="0"/>
    <x v="0"/>
    <n v="2239269507"/>
    <x v="1"/>
    <n v="16800"/>
    <x v="2"/>
    <x v="0"/>
    <x v="52"/>
    <x v="1"/>
    <x v="0"/>
    <x v="0"/>
    <x v="1"/>
    <x v="0"/>
  </r>
  <r>
    <x v="0"/>
    <x v="0"/>
    <n v="2239269508"/>
    <x v="1"/>
    <n v="5400"/>
    <x v="2"/>
    <x v="0"/>
    <x v="52"/>
    <x v="1"/>
    <x v="0"/>
    <x v="0"/>
    <x v="1"/>
    <x v="0"/>
  </r>
  <r>
    <x v="0"/>
    <x v="0"/>
    <n v="2239269509"/>
    <x v="1"/>
    <n v="900"/>
    <x v="2"/>
    <x v="0"/>
    <x v="52"/>
    <x v="1"/>
    <x v="0"/>
    <x v="0"/>
    <x v="1"/>
    <x v="0"/>
  </r>
  <r>
    <x v="0"/>
    <x v="0"/>
    <n v="2239269510"/>
    <x v="1"/>
    <n v="1350"/>
    <x v="2"/>
    <x v="0"/>
    <x v="52"/>
    <x v="1"/>
    <x v="0"/>
    <x v="0"/>
    <x v="1"/>
    <x v="0"/>
  </r>
  <r>
    <x v="0"/>
    <x v="0"/>
    <n v="2239269511"/>
    <x v="1"/>
    <n v="1140"/>
    <x v="2"/>
    <x v="0"/>
    <x v="52"/>
    <x v="1"/>
    <x v="0"/>
    <x v="0"/>
    <x v="1"/>
    <x v="0"/>
  </r>
  <r>
    <x v="0"/>
    <x v="0"/>
    <n v="2239269512"/>
    <x v="1"/>
    <n v="900"/>
    <x v="2"/>
    <x v="0"/>
    <x v="52"/>
    <x v="1"/>
    <x v="0"/>
    <x v="0"/>
    <x v="1"/>
    <x v="0"/>
  </r>
  <r>
    <x v="0"/>
    <x v="0"/>
    <n v="2239269513"/>
    <x v="1"/>
    <n v="1140"/>
    <x v="2"/>
    <x v="0"/>
    <x v="52"/>
    <x v="1"/>
    <x v="0"/>
    <x v="0"/>
    <x v="1"/>
    <x v="0"/>
  </r>
  <r>
    <x v="0"/>
    <x v="0"/>
    <n v="2239269514"/>
    <x v="1"/>
    <n v="900"/>
    <x v="2"/>
    <x v="0"/>
    <x v="52"/>
    <x v="1"/>
    <x v="0"/>
    <x v="0"/>
    <x v="1"/>
    <x v="0"/>
  </r>
  <r>
    <x v="0"/>
    <x v="0"/>
    <n v="2239269515"/>
    <x v="1"/>
    <n v="2040"/>
    <x v="2"/>
    <x v="0"/>
    <x v="52"/>
    <x v="1"/>
    <x v="0"/>
    <x v="0"/>
    <x v="1"/>
    <x v="0"/>
  </r>
  <r>
    <x v="0"/>
    <x v="0"/>
    <n v="2239269516"/>
    <x v="1"/>
    <n v="30400"/>
    <x v="2"/>
    <x v="0"/>
    <x v="52"/>
    <x v="1"/>
    <x v="0"/>
    <x v="0"/>
    <x v="1"/>
    <x v="0"/>
  </r>
  <r>
    <x v="0"/>
    <x v="0"/>
    <n v="2239269517"/>
    <x v="1"/>
    <n v="3090"/>
    <x v="2"/>
    <x v="0"/>
    <x v="52"/>
    <x v="1"/>
    <x v="0"/>
    <x v="0"/>
    <x v="1"/>
    <x v="0"/>
  </r>
  <r>
    <x v="0"/>
    <x v="0"/>
    <n v="2239269518"/>
    <x v="1"/>
    <n v="20190"/>
    <x v="2"/>
    <x v="0"/>
    <x v="52"/>
    <x v="1"/>
    <x v="0"/>
    <x v="0"/>
    <x v="1"/>
    <x v="0"/>
  </r>
  <r>
    <x v="0"/>
    <x v="0"/>
    <n v="2239269519"/>
    <x v="1"/>
    <n v="3900"/>
    <x v="2"/>
    <x v="0"/>
    <x v="52"/>
    <x v="1"/>
    <x v="0"/>
    <x v="0"/>
    <x v="1"/>
    <x v="0"/>
  </r>
  <r>
    <x v="0"/>
    <x v="0"/>
    <n v="2239269520"/>
    <x v="1"/>
    <n v="71600"/>
    <x v="2"/>
    <x v="0"/>
    <x v="52"/>
    <x v="1"/>
    <x v="0"/>
    <x v="0"/>
    <x v="1"/>
    <x v="0"/>
  </r>
  <r>
    <x v="0"/>
    <x v="0"/>
    <n v="2239269521"/>
    <x v="1"/>
    <n v="25080"/>
    <x v="2"/>
    <x v="0"/>
    <x v="52"/>
    <x v="1"/>
    <x v="0"/>
    <x v="0"/>
    <x v="1"/>
    <x v="0"/>
  </r>
  <r>
    <x v="0"/>
    <x v="0"/>
    <n v="2239269522"/>
    <x v="1"/>
    <n v="28100"/>
    <x v="2"/>
    <x v="0"/>
    <x v="52"/>
    <x v="1"/>
    <x v="0"/>
    <x v="0"/>
    <x v="1"/>
    <x v="0"/>
  </r>
  <r>
    <x v="0"/>
    <x v="0"/>
    <n v="2239269523"/>
    <x v="1"/>
    <n v="2280"/>
    <x v="2"/>
    <x v="0"/>
    <x v="52"/>
    <x v="1"/>
    <x v="0"/>
    <x v="0"/>
    <x v="1"/>
    <x v="0"/>
  </r>
  <r>
    <x v="0"/>
    <x v="0"/>
    <n v="2239269524"/>
    <x v="2"/>
    <n v="17160"/>
    <x v="2"/>
    <x v="0"/>
    <x v="52"/>
    <x v="2"/>
    <x v="0"/>
    <x v="0"/>
    <x v="2"/>
    <x v="0"/>
  </r>
  <r>
    <x v="0"/>
    <x v="0"/>
    <n v="2239269524"/>
    <x v="7"/>
    <n v="3900"/>
    <x v="2"/>
    <x v="0"/>
    <x v="52"/>
    <x v="7"/>
    <x v="0"/>
    <x v="0"/>
    <x v="1"/>
    <x v="0"/>
  </r>
  <r>
    <x v="0"/>
    <x v="0"/>
    <n v="2239269525"/>
    <x v="1"/>
    <n v="23700"/>
    <x v="2"/>
    <x v="0"/>
    <x v="52"/>
    <x v="1"/>
    <x v="0"/>
    <x v="0"/>
    <x v="1"/>
    <x v="0"/>
  </r>
  <r>
    <x v="0"/>
    <x v="0"/>
    <n v="2239269526"/>
    <x v="1"/>
    <n v="1140"/>
    <x v="2"/>
    <x v="0"/>
    <x v="52"/>
    <x v="1"/>
    <x v="0"/>
    <x v="0"/>
    <x v="1"/>
    <x v="0"/>
  </r>
  <r>
    <x v="0"/>
    <x v="0"/>
    <n v="2239269527"/>
    <x v="1"/>
    <n v="6570"/>
    <x v="2"/>
    <x v="0"/>
    <x v="52"/>
    <x v="1"/>
    <x v="0"/>
    <x v="0"/>
    <x v="1"/>
    <x v="0"/>
  </r>
  <r>
    <x v="0"/>
    <x v="0"/>
    <n v="2239269528"/>
    <x v="1"/>
    <n v="27690"/>
    <x v="2"/>
    <x v="0"/>
    <x v="52"/>
    <x v="1"/>
    <x v="0"/>
    <x v="0"/>
    <x v="1"/>
    <x v="0"/>
  </r>
  <r>
    <x v="0"/>
    <x v="0"/>
    <n v="2239269529"/>
    <x v="1"/>
    <n v="4500"/>
    <x v="2"/>
    <x v="0"/>
    <x v="52"/>
    <x v="1"/>
    <x v="0"/>
    <x v="0"/>
    <x v="1"/>
    <x v="0"/>
  </r>
  <r>
    <x v="0"/>
    <x v="0"/>
    <n v="2239269530"/>
    <x v="1"/>
    <n v="6930"/>
    <x v="2"/>
    <x v="0"/>
    <x v="52"/>
    <x v="1"/>
    <x v="0"/>
    <x v="0"/>
    <x v="1"/>
    <x v="0"/>
  </r>
  <r>
    <x v="0"/>
    <x v="0"/>
    <n v="2239269531"/>
    <x v="1"/>
    <n v="1800"/>
    <x v="2"/>
    <x v="0"/>
    <x v="52"/>
    <x v="1"/>
    <x v="0"/>
    <x v="0"/>
    <x v="1"/>
    <x v="0"/>
  </r>
  <r>
    <x v="0"/>
    <x v="0"/>
    <n v="2239269532"/>
    <x v="1"/>
    <n v="1200"/>
    <x v="2"/>
    <x v="0"/>
    <x v="52"/>
    <x v="1"/>
    <x v="0"/>
    <x v="0"/>
    <x v="1"/>
    <x v="0"/>
  </r>
  <r>
    <x v="0"/>
    <x v="0"/>
    <n v="2239269533"/>
    <x v="2"/>
    <n v="7090"/>
    <x v="2"/>
    <x v="0"/>
    <x v="52"/>
    <x v="2"/>
    <x v="0"/>
    <x v="0"/>
    <x v="2"/>
    <x v="0"/>
  </r>
  <r>
    <x v="0"/>
    <x v="0"/>
    <n v="2239269534"/>
    <x v="2"/>
    <n v="11000"/>
    <x v="2"/>
    <x v="0"/>
    <x v="52"/>
    <x v="2"/>
    <x v="0"/>
    <x v="0"/>
    <x v="2"/>
    <x v="0"/>
  </r>
  <r>
    <x v="0"/>
    <x v="0"/>
    <n v="2239269535"/>
    <x v="3"/>
    <n v="7090"/>
    <x v="2"/>
    <x v="0"/>
    <x v="52"/>
    <x v="3"/>
    <x v="0"/>
    <x v="0"/>
    <x v="3"/>
    <x v="0"/>
  </r>
  <r>
    <x v="0"/>
    <x v="0"/>
    <n v="2239269536"/>
    <x v="2"/>
    <n v="14520"/>
    <x v="2"/>
    <x v="0"/>
    <x v="52"/>
    <x v="2"/>
    <x v="0"/>
    <x v="0"/>
    <x v="2"/>
    <x v="0"/>
  </r>
  <r>
    <x v="0"/>
    <x v="0"/>
    <n v="2239269536"/>
    <x v="7"/>
    <n v="3300"/>
    <x v="2"/>
    <x v="0"/>
    <x v="52"/>
    <x v="7"/>
    <x v="0"/>
    <x v="0"/>
    <x v="1"/>
    <x v="0"/>
  </r>
  <r>
    <x v="0"/>
    <x v="0"/>
    <n v="2239269537"/>
    <x v="1"/>
    <n v="2940"/>
    <x v="2"/>
    <x v="0"/>
    <x v="52"/>
    <x v="1"/>
    <x v="0"/>
    <x v="0"/>
    <x v="1"/>
    <x v="0"/>
  </r>
  <r>
    <x v="0"/>
    <x v="0"/>
    <n v="2239269538"/>
    <x v="1"/>
    <n v="1350"/>
    <x v="2"/>
    <x v="0"/>
    <x v="52"/>
    <x v="1"/>
    <x v="0"/>
    <x v="0"/>
    <x v="1"/>
    <x v="0"/>
  </r>
  <r>
    <x v="0"/>
    <x v="0"/>
    <n v="2239269539"/>
    <x v="6"/>
    <n v="9000"/>
    <x v="2"/>
    <x v="0"/>
    <x v="52"/>
    <x v="6"/>
    <x v="0"/>
    <x v="0"/>
    <x v="5"/>
    <x v="0"/>
  </r>
  <r>
    <x v="0"/>
    <x v="0"/>
    <n v="2239269541"/>
    <x v="1"/>
    <n v="1350"/>
    <x v="2"/>
    <x v="0"/>
    <x v="52"/>
    <x v="1"/>
    <x v="0"/>
    <x v="0"/>
    <x v="1"/>
    <x v="0"/>
  </r>
  <r>
    <x v="0"/>
    <x v="0"/>
    <n v="2239269542"/>
    <x v="2"/>
    <n v="3250"/>
    <x v="2"/>
    <x v="0"/>
    <x v="52"/>
    <x v="2"/>
    <x v="0"/>
    <x v="0"/>
    <x v="2"/>
    <x v="0"/>
  </r>
  <r>
    <x v="0"/>
    <x v="0"/>
    <n v="2239269543"/>
    <x v="2"/>
    <n v="4500"/>
    <x v="2"/>
    <x v="0"/>
    <x v="52"/>
    <x v="2"/>
    <x v="0"/>
    <x v="0"/>
    <x v="2"/>
    <x v="0"/>
  </r>
  <r>
    <x v="0"/>
    <x v="0"/>
    <n v="2239269544"/>
    <x v="2"/>
    <n v="18650"/>
    <x v="2"/>
    <x v="0"/>
    <x v="52"/>
    <x v="2"/>
    <x v="0"/>
    <x v="0"/>
    <x v="2"/>
    <x v="0"/>
  </r>
  <r>
    <x v="0"/>
    <x v="0"/>
    <n v="2239269546"/>
    <x v="2"/>
    <n v="7150"/>
    <x v="2"/>
    <x v="0"/>
    <x v="52"/>
    <x v="2"/>
    <x v="0"/>
    <x v="0"/>
    <x v="2"/>
    <x v="0"/>
  </r>
  <r>
    <x v="0"/>
    <x v="0"/>
    <n v="2239269547"/>
    <x v="2"/>
    <n v="3250"/>
    <x v="2"/>
    <x v="0"/>
    <x v="52"/>
    <x v="2"/>
    <x v="0"/>
    <x v="0"/>
    <x v="2"/>
    <x v="0"/>
  </r>
  <r>
    <x v="0"/>
    <x v="0"/>
    <n v="2239269548"/>
    <x v="2"/>
    <n v="23595"/>
    <x v="2"/>
    <x v="0"/>
    <x v="52"/>
    <x v="2"/>
    <x v="0"/>
    <x v="0"/>
    <x v="2"/>
    <x v="0"/>
  </r>
  <r>
    <x v="0"/>
    <x v="0"/>
    <n v="2239269549"/>
    <x v="1"/>
    <n v="7500"/>
    <x v="2"/>
    <x v="0"/>
    <x v="52"/>
    <x v="1"/>
    <x v="0"/>
    <x v="0"/>
    <x v="1"/>
    <x v="0"/>
  </r>
  <r>
    <x v="0"/>
    <x v="0"/>
    <n v="2239269551"/>
    <x v="6"/>
    <n v="3000"/>
    <x v="2"/>
    <x v="0"/>
    <x v="52"/>
    <x v="6"/>
    <x v="0"/>
    <x v="0"/>
    <x v="5"/>
    <x v="0"/>
  </r>
  <r>
    <x v="0"/>
    <x v="0"/>
    <n v="2239269552"/>
    <x v="1"/>
    <n v="1440"/>
    <x v="2"/>
    <x v="0"/>
    <x v="52"/>
    <x v="1"/>
    <x v="0"/>
    <x v="0"/>
    <x v="1"/>
    <x v="0"/>
  </r>
  <r>
    <x v="0"/>
    <x v="0"/>
    <n v="2239269553"/>
    <x v="6"/>
    <n v="2250"/>
    <x v="2"/>
    <x v="0"/>
    <x v="52"/>
    <x v="6"/>
    <x v="0"/>
    <x v="0"/>
    <x v="5"/>
    <x v="0"/>
  </r>
  <r>
    <x v="0"/>
    <x v="0"/>
    <n v="2239269554"/>
    <x v="3"/>
    <n v="22440"/>
    <x v="2"/>
    <x v="0"/>
    <x v="52"/>
    <x v="3"/>
    <x v="0"/>
    <x v="0"/>
    <x v="3"/>
    <x v="0"/>
  </r>
  <r>
    <x v="0"/>
    <x v="0"/>
    <n v="2239269554"/>
    <x v="7"/>
    <n v="5000"/>
    <x v="2"/>
    <x v="0"/>
    <x v="52"/>
    <x v="7"/>
    <x v="0"/>
    <x v="0"/>
    <x v="1"/>
    <x v="0"/>
  </r>
  <r>
    <x v="0"/>
    <x v="0"/>
    <n v="2239269555"/>
    <x v="1"/>
    <n v="6000"/>
    <x v="2"/>
    <x v="0"/>
    <x v="52"/>
    <x v="1"/>
    <x v="0"/>
    <x v="0"/>
    <x v="1"/>
    <x v="0"/>
  </r>
  <r>
    <x v="0"/>
    <x v="0"/>
    <n v="2239269556"/>
    <x v="2"/>
    <n v="6000"/>
    <x v="2"/>
    <x v="0"/>
    <x v="52"/>
    <x v="2"/>
    <x v="0"/>
    <x v="0"/>
    <x v="2"/>
    <x v="0"/>
  </r>
  <r>
    <x v="0"/>
    <x v="0"/>
    <n v="2239269557"/>
    <x v="2"/>
    <n v="24365"/>
    <x v="2"/>
    <x v="0"/>
    <x v="52"/>
    <x v="2"/>
    <x v="0"/>
    <x v="0"/>
    <x v="2"/>
    <x v="0"/>
  </r>
  <r>
    <x v="0"/>
    <x v="0"/>
    <n v="2239269558"/>
    <x v="1"/>
    <n v="3420"/>
    <x v="2"/>
    <x v="0"/>
    <x v="52"/>
    <x v="1"/>
    <x v="0"/>
    <x v="0"/>
    <x v="1"/>
    <x v="0"/>
  </r>
  <r>
    <x v="0"/>
    <x v="0"/>
    <n v="2239269559"/>
    <x v="2"/>
    <n v="1650"/>
    <x v="2"/>
    <x v="0"/>
    <x v="52"/>
    <x v="2"/>
    <x v="0"/>
    <x v="0"/>
    <x v="2"/>
    <x v="0"/>
  </r>
  <r>
    <x v="0"/>
    <x v="0"/>
    <n v="2239269560"/>
    <x v="2"/>
    <n v="4000"/>
    <x v="2"/>
    <x v="0"/>
    <x v="52"/>
    <x v="2"/>
    <x v="0"/>
    <x v="0"/>
    <x v="2"/>
    <x v="0"/>
  </r>
  <r>
    <x v="0"/>
    <x v="0"/>
    <n v="2239269562"/>
    <x v="2"/>
    <n v="15620"/>
    <x v="2"/>
    <x v="0"/>
    <x v="52"/>
    <x v="2"/>
    <x v="0"/>
    <x v="0"/>
    <x v="2"/>
    <x v="0"/>
  </r>
  <r>
    <x v="0"/>
    <x v="0"/>
    <n v="2239269563"/>
    <x v="2"/>
    <n v="2000"/>
    <x v="2"/>
    <x v="0"/>
    <x v="52"/>
    <x v="2"/>
    <x v="0"/>
    <x v="0"/>
    <x v="2"/>
    <x v="0"/>
  </r>
  <r>
    <x v="0"/>
    <x v="0"/>
    <n v="2239269564"/>
    <x v="3"/>
    <n v="16445"/>
    <x v="2"/>
    <x v="0"/>
    <x v="52"/>
    <x v="3"/>
    <x v="0"/>
    <x v="0"/>
    <x v="3"/>
    <x v="0"/>
  </r>
  <r>
    <x v="0"/>
    <x v="0"/>
    <n v="2239269565"/>
    <x v="4"/>
    <n v="38600"/>
    <x v="2"/>
    <x v="0"/>
    <x v="52"/>
    <x v="4"/>
    <x v="0"/>
    <x v="0"/>
    <x v="4"/>
    <x v="0"/>
  </r>
  <r>
    <x v="0"/>
    <x v="0"/>
    <n v="2239269566"/>
    <x v="5"/>
    <n v="-3250"/>
    <x v="2"/>
    <x v="0"/>
    <x v="52"/>
    <x v="5"/>
    <x v="0"/>
    <x v="0"/>
    <x v="5"/>
    <x v="0"/>
  </r>
  <r>
    <x v="0"/>
    <x v="0"/>
    <n v="2239269566"/>
    <x v="6"/>
    <n v="5000"/>
    <x v="2"/>
    <x v="0"/>
    <x v="52"/>
    <x v="6"/>
    <x v="0"/>
    <x v="0"/>
    <x v="5"/>
    <x v="0"/>
  </r>
  <r>
    <x v="0"/>
    <x v="0"/>
    <n v="2239269567"/>
    <x v="2"/>
    <n v="3250"/>
    <x v="2"/>
    <x v="0"/>
    <x v="52"/>
    <x v="2"/>
    <x v="0"/>
    <x v="0"/>
    <x v="2"/>
    <x v="0"/>
  </r>
  <r>
    <x v="0"/>
    <x v="0"/>
    <n v="2239269568"/>
    <x v="2"/>
    <n v="4180"/>
    <x v="2"/>
    <x v="0"/>
    <x v="52"/>
    <x v="2"/>
    <x v="0"/>
    <x v="0"/>
    <x v="2"/>
    <x v="0"/>
  </r>
  <r>
    <x v="0"/>
    <x v="0"/>
    <n v="2239269569"/>
    <x v="2"/>
    <n v="2500"/>
    <x v="2"/>
    <x v="0"/>
    <x v="52"/>
    <x v="2"/>
    <x v="0"/>
    <x v="0"/>
    <x v="2"/>
    <x v="0"/>
  </r>
  <r>
    <x v="0"/>
    <x v="0"/>
    <n v="2239269571"/>
    <x v="5"/>
    <n v="-500"/>
    <x v="2"/>
    <x v="0"/>
    <x v="52"/>
    <x v="5"/>
    <x v="0"/>
    <x v="0"/>
    <x v="5"/>
    <x v="0"/>
  </r>
  <r>
    <x v="0"/>
    <x v="0"/>
    <n v="2239269571"/>
    <x v="6"/>
    <n v="2000"/>
    <x v="2"/>
    <x v="0"/>
    <x v="52"/>
    <x v="6"/>
    <x v="0"/>
    <x v="0"/>
    <x v="5"/>
    <x v="0"/>
  </r>
  <r>
    <x v="0"/>
    <x v="0"/>
    <n v="2239269572"/>
    <x v="2"/>
    <n v="6000"/>
    <x v="2"/>
    <x v="0"/>
    <x v="52"/>
    <x v="2"/>
    <x v="0"/>
    <x v="0"/>
    <x v="2"/>
    <x v="0"/>
  </r>
  <r>
    <x v="0"/>
    <x v="0"/>
    <n v="2239269574"/>
    <x v="5"/>
    <n v="-5050"/>
    <x v="2"/>
    <x v="0"/>
    <x v="52"/>
    <x v="5"/>
    <x v="0"/>
    <x v="0"/>
    <x v="5"/>
    <x v="0"/>
  </r>
  <r>
    <x v="0"/>
    <x v="0"/>
    <n v="2239269574"/>
    <x v="6"/>
    <n v="10000"/>
    <x v="2"/>
    <x v="0"/>
    <x v="52"/>
    <x v="6"/>
    <x v="0"/>
    <x v="0"/>
    <x v="5"/>
    <x v="0"/>
  </r>
  <r>
    <x v="0"/>
    <x v="0"/>
    <n v="2239269575"/>
    <x v="2"/>
    <n v="3000"/>
    <x v="2"/>
    <x v="0"/>
    <x v="52"/>
    <x v="2"/>
    <x v="0"/>
    <x v="0"/>
    <x v="2"/>
    <x v="0"/>
  </r>
  <r>
    <x v="0"/>
    <x v="0"/>
    <n v="2239269577"/>
    <x v="5"/>
    <n v="-2000"/>
    <x v="2"/>
    <x v="0"/>
    <x v="52"/>
    <x v="5"/>
    <x v="0"/>
    <x v="0"/>
    <x v="5"/>
    <x v="0"/>
  </r>
  <r>
    <x v="0"/>
    <x v="0"/>
    <n v="2239269577"/>
    <x v="6"/>
    <n v="5000"/>
    <x v="2"/>
    <x v="0"/>
    <x v="52"/>
    <x v="6"/>
    <x v="0"/>
    <x v="0"/>
    <x v="5"/>
    <x v="0"/>
  </r>
  <r>
    <x v="0"/>
    <x v="0"/>
    <n v="2239269578"/>
    <x v="2"/>
    <n v="13970"/>
    <x v="2"/>
    <x v="0"/>
    <x v="52"/>
    <x v="2"/>
    <x v="0"/>
    <x v="0"/>
    <x v="2"/>
    <x v="0"/>
  </r>
  <r>
    <x v="0"/>
    <x v="0"/>
    <n v="2239269579"/>
    <x v="2"/>
    <n v="35000"/>
    <x v="2"/>
    <x v="0"/>
    <x v="52"/>
    <x v="2"/>
    <x v="0"/>
    <x v="0"/>
    <x v="2"/>
    <x v="0"/>
  </r>
  <r>
    <x v="0"/>
    <x v="0"/>
    <n v="2239269580"/>
    <x v="2"/>
    <n v="2250"/>
    <x v="2"/>
    <x v="0"/>
    <x v="52"/>
    <x v="2"/>
    <x v="0"/>
    <x v="0"/>
    <x v="2"/>
    <x v="0"/>
  </r>
  <r>
    <x v="0"/>
    <x v="0"/>
    <n v="2239269582"/>
    <x v="5"/>
    <n v="-500"/>
    <x v="2"/>
    <x v="0"/>
    <x v="52"/>
    <x v="5"/>
    <x v="0"/>
    <x v="0"/>
    <x v="5"/>
    <x v="0"/>
  </r>
  <r>
    <x v="0"/>
    <x v="0"/>
    <n v="2239269582"/>
    <x v="6"/>
    <n v="1000"/>
    <x v="2"/>
    <x v="0"/>
    <x v="52"/>
    <x v="6"/>
    <x v="0"/>
    <x v="0"/>
    <x v="5"/>
    <x v="0"/>
  </r>
  <r>
    <x v="0"/>
    <x v="0"/>
    <n v="2239269582"/>
    <x v="2"/>
    <n v="3000"/>
    <x v="2"/>
    <x v="0"/>
    <x v="52"/>
    <x v="2"/>
    <x v="0"/>
    <x v="0"/>
    <x v="2"/>
    <x v="0"/>
  </r>
  <r>
    <x v="0"/>
    <x v="0"/>
    <n v="2239269583"/>
    <x v="3"/>
    <n v="4500"/>
    <x v="2"/>
    <x v="0"/>
    <x v="52"/>
    <x v="3"/>
    <x v="0"/>
    <x v="0"/>
    <x v="3"/>
    <x v="0"/>
  </r>
  <r>
    <x v="0"/>
    <x v="0"/>
    <n v="2239269584"/>
    <x v="5"/>
    <n v="-3550"/>
    <x v="2"/>
    <x v="0"/>
    <x v="52"/>
    <x v="5"/>
    <x v="0"/>
    <x v="0"/>
    <x v="5"/>
    <x v="0"/>
  </r>
  <r>
    <x v="0"/>
    <x v="0"/>
    <n v="2239269584"/>
    <x v="6"/>
    <n v="10000"/>
    <x v="2"/>
    <x v="0"/>
    <x v="52"/>
    <x v="6"/>
    <x v="0"/>
    <x v="0"/>
    <x v="5"/>
    <x v="0"/>
  </r>
  <r>
    <x v="0"/>
    <x v="0"/>
    <n v="2239269585"/>
    <x v="5"/>
    <n v="-1550"/>
    <x v="2"/>
    <x v="0"/>
    <x v="52"/>
    <x v="5"/>
    <x v="0"/>
    <x v="0"/>
    <x v="5"/>
    <x v="0"/>
  </r>
  <r>
    <x v="0"/>
    <x v="0"/>
    <n v="2239269585"/>
    <x v="6"/>
    <n v="20000"/>
    <x v="2"/>
    <x v="0"/>
    <x v="52"/>
    <x v="6"/>
    <x v="0"/>
    <x v="0"/>
    <x v="5"/>
    <x v="0"/>
  </r>
  <r>
    <x v="0"/>
    <x v="0"/>
    <n v="2239269587"/>
    <x v="3"/>
    <n v="2250"/>
    <x v="2"/>
    <x v="0"/>
    <x v="52"/>
    <x v="3"/>
    <x v="0"/>
    <x v="0"/>
    <x v="3"/>
    <x v="0"/>
  </r>
  <r>
    <x v="0"/>
    <x v="0"/>
    <n v="2239269588"/>
    <x v="3"/>
    <n v="2250"/>
    <x v="2"/>
    <x v="0"/>
    <x v="52"/>
    <x v="3"/>
    <x v="0"/>
    <x v="0"/>
    <x v="3"/>
    <x v="0"/>
  </r>
  <r>
    <x v="0"/>
    <x v="0"/>
    <n v="2239269591"/>
    <x v="1"/>
    <n v="5700"/>
    <x v="2"/>
    <x v="0"/>
    <x v="52"/>
    <x v="1"/>
    <x v="0"/>
    <x v="0"/>
    <x v="1"/>
    <x v="0"/>
  </r>
  <r>
    <x v="0"/>
    <x v="0"/>
    <n v="2239269593"/>
    <x v="5"/>
    <n v="-6000"/>
    <x v="2"/>
    <x v="0"/>
    <x v="52"/>
    <x v="5"/>
    <x v="0"/>
    <x v="0"/>
    <x v="5"/>
    <x v="0"/>
  </r>
  <r>
    <x v="0"/>
    <x v="0"/>
    <n v="2239269593"/>
    <x v="6"/>
    <n v="10000"/>
    <x v="2"/>
    <x v="0"/>
    <x v="52"/>
    <x v="6"/>
    <x v="0"/>
    <x v="0"/>
    <x v="5"/>
    <x v="0"/>
  </r>
  <r>
    <x v="0"/>
    <x v="0"/>
    <n v="2239269594"/>
    <x v="5"/>
    <n v="-1000"/>
    <x v="2"/>
    <x v="0"/>
    <x v="52"/>
    <x v="5"/>
    <x v="0"/>
    <x v="0"/>
    <x v="5"/>
    <x v="0"/>
  </r>
  <r>
    <x v="0"/>
    <x v="0"/>
    <n v="2239269594"/>
    <x v="6"/>
    <n v="5000"/>
    <x v="2"/>
    <x v="0"/>
    <x v="52"/>
    <x v="6"/>
    <x v="0"/>
    <x v="0"/>
    <x v="5"/>
    <x v="0"/>
  </r>
  <r>
    <x v="0"/>
    <x v="0"/>
    <n v="2239269595"/>
    <x v="5"/>
    <n v="-5000"/>
    <x v="2"/>
    <x v="0"/>
    <x v="52"/>
    <x v="5"/>
    <x v="0"/>
    <x v="0"/>
    <x v="5"/>
    <x v="0"/>
  </r>
  <r>
    <x v="0"/>
    <x v="0"/>
    <n v="2239269595"/>
    <x v="4"/>
    <n v="10300"/>
    <x v="2"/>
    <x v="0"/>
    <x v="52"/>
    <x v="4"/>
    <x v="0"/>
    <x v="0"/>
    <x v="4"/>
    <x v="0"/>
  </r>
  <r>
    <x v="0"/>
    <x v="0"/>
    <n v="2239269596"/>
    <x v="4"/>
    <n v="4400"/>
    <x v="2"/>
    <x v="0"/>
    <x v="52"/>
    <x v="4"/>
    <x v="0"/>
    <x v="0"/>
    <x v="4"/>
    <x v="0"/>
  </r>
  <r>
    <x v="0"/>
    <x v="0"/>
    <n v="2239269597"/>
    <x v="2"/>
    <n v="4000"/>
    <x v="2"/>
    <x v="0"/>
    <x v="52"/>
    <x v="2"/>
    <x v="0"/>
    <x v="0"/>
    <x v="2"/>
    <x v="0"/>
  </r>
  <r>
    <x v="0"/>
    <x v="0"/>
    <n v="2239269598"/>
    <x v="5"/>
    <n v="-1000"/>
    <x v="2"/>
    <x v="0"/>
    <x v="52"/>
    <x v="5"/>
    <x v="0"/>
    <x v="0"/>
    <x v="5"/>
    <x v="0"/>
  </r>
  <r>
    <x v="0"/>
    <x v="0"/>
    <n v="2239269598"/>
    <x v="6"/>
    <n v="7000"/>
    <x v="2"/>
    <x v="0"/>
    <x v="52"/>
    <x v="6"/>
    <x v="0"/>
    <x v="0"/>
    <x v="5"/>
    <x v="0"/>
  </r>
  <r>
    <x v="0"/>
    <x v="0"/>
    <n v="2239269599"/>
    <x v="5"/>
    <n v="-14400"/>
    <x v="2"/>
    <x v="0"/>
    <x v="52"/>
    <x v="5"/>
    <x v="0"/>
    <x v="0"/>
    <x v="5"/>
    <x v="0"/>
  </r>
  <r>
    <x v="0"/>
    <x v="0"/>
    <n v="2239269599"/>
    <x v="4"/>
    <n v="20000"/>
    <x v="2"/>
    <x v="0"/>
    <x v="52"/>
    <x v="4"/>
    <x v="0"/>
    <x v="0"/>
    <x v="4"/>
    <x v="0"/>
  </r>
  <r>
    <x v="0"/>
    <x v="0"/>
    <n v="2239269600"/>
    <x v="3"/>
    <n v="2500"/>
    <x v="2"/>
    <x v="0"/>
    <x v="52"/>
    <x v="3"/>
    <x v="0"/>
    <x v="0"/>
    <x v="3"/>
    <x v="0"/>
  </r>
  <r>
    <x v="0"/>
    <x v="0"/>
    <n v="2239269601"/>
    <x v="2"/>
    <n v="4675"/>
    <x v="2"/>
    <x v="0"/>
    <x v="52"/>
    <x v="2"/>
    <x v="0"/>
    <x v="0"/>
    <x v="2"/>
    <x v="0"/>
  </r>
  <r>
    <x v="0"/>
    <x v="0"/>
    <n v="2239269602"/>
    <x v="5"/>
    <n v="-1000"/>
    <x v="2"/>
    <x v="0"/>
    <x v="52"/>
    <x v="5"/>
    <x v="0"/>
    <x v="0"/>
    <x v="5"/>
    <x v="0"/>
  </r>
  <r>
    <x v="0"/>
    <x v="0"/>
    <n v="2239269602"/>
    <x v="4"/>
    <n v="5400"/>
    <x v="2"/>
    <x v="0"/>
    <x v="52"/>
    <x v="4"/>
    <x v="0"/>
    <x v="0"/>
    <x v="4"/>
    <x v="0"/>
  </r>
  <r>
    <x v="0"/>
    <x v="0"/>
    <n v="2239269604"/>
    <x v="5"/>
    <n v="-4400"/>
    <x v="2"/>
    <x v="0"/>
    <x v="52"/>
    <x v="5"/>
    <x v="0"/>
    <x v="0"/>
    <x v="5"/>
    <x v="0"/>
  </r>
  <r>
    <x v="0"/>
    <x v="0"/>
    <n v="2239269604"/>
    <x v="4"/>
    <n v="15000"/>
    <x v="2"/>
    <x v="0"/>
    <x v="52"/>
    <x v="4"/>
    <x v="0"/>
    <x v="0"/>
    <x v="4"/>
    <x v="0"/>
  </r>
  <r>
    <x v="0"/>
    <x v="0"/>
    <n v="2239269605"/>
    <x v="3"/>
    <n v="2250"/>
    <x v="2"/>
    <x v="0"/>
    <x v="52"/>
    <x v="3"/>
    <x v="0"/>
    <x v="0"/>
    <x v="3"/>
    <x v="0"/>
  </r>
  <r>
    <x v="0"/>
    <x v="0"/>
    <n v="2239269606"/>
    <x v="3"/>
    <n v="11000"/>
    <x v="2"/>
    <x v="0"/>
    <x v="52"/>
    <x v="3"/>
    <x v="0"/>
    <x v="0"/>
    <x v="3"/>
    <x v="0"/>
  </r>
  <r>
    <x v="0"/>
    <x v="0"/>
    <n v="2239269606"/>
    <x v="7"/>
    <n v="6000"/>
    <x v="2"/>
    <x v="0"/>
    <x v="52"/>
    <x v="7"/>
    <x v="0"/>
    <x v="0"/>
    <x v="1"/>
    <x v="0"/>
  </r>
  <r>
    <x v="0"/>
    <x v="0"/>
    <n v="2239269608"/>
    <x v="3"/>
    <n v="4500"/>
    <x v="2"/>
    <x v="0"/>
    <x v="52"/>
    <x v="3"/>
    <x v="0"/>
    <x v="0"/>
    <x v="3"/>
    <x v="0"/>
  </r>
  <r>
    <x v="0"/>
    <x v="0"/>
    <n v="2239269609"/>
    <x v="3"/>
    <n v="3250"/>
    <x v="2"/>
    <x v="0"/>
    <x v="52"/>
    <x v="3"/>
    <x v="0"/>
    <x v="0"/>
    <x v="3"/>
    <x v="0"/>
  </r>
  <r>
    <x v="0"/>
    <x v="0"/>
    <n v="2239269610"/>
    <x v="5"/>
    <n v="-2000"/>
    <x v="2"/>
    <x v="0"/>
    <x v="52"/>
    <x v="5"/>
    <x v="0"/>
    <x v="0"/>
    <x v="5"/>
    <x v="0"/>
  </r>
  <r>
    <x v="0"/>
    <x v="0"/>
    <n v="2239269610"/>
    <x v="6"/>
    <n v="10000"/>
    <x v="2"/>
    <x v="0"/>
    <x v="52"/>
    <x v="6"/>
    <x v="0"/>
    <x v="0"/>
    <x v="5"/>
    <x v="0"/>
  </r>
  <r>
    <x v="0"/>
    <x v="0"/>
    <n v="2239269611"/>
    <x v="2"/>
    <n v="12900"/>
    <x v="2"/>
    <x v="0"/>
    <x v="52"/>
    <x v="2"/>
    <x v="0"/>
    <x v="0"/>
    <x v="2"/>
    <x v="0"/>
  </r>
  <r>
    <x v="0"/>
    <x v="0"/>
    <n v="2239269612"/>
    <x v="2"/>
    <n v="19690"/>
    <x v="2"/>
    <x v="0"/>
    <x v="52"/>
    <x v="2"/>
    <x v="0"/>
    <x v="0"/>
    <x v="2"/>
    <x v="0"/>
  </r>
  <r>
    <x v="0"/>
    <x v="0"/>
    <n v="2239269613"/>
    <x v="2"/>
    <n v="3500"/>
    <x v="2"/>
    <x v="0"/>
    <x v="52"/>
    <x v="2"/>
    <x v="0"/>
    <x v="0"/>
    <x v="2"/>
    <x v="0"/>
  </r>
  <r>
    <x v="0"/>
    <x v="0"/>
    <n v="2239269614"/>
    <x v="2"/>
    <n v="3300"/>
    <x v="2"/>
    <x v="0"/>
    <x v="52"/>
    <x v="2"/>
    <x v="0"/>
    <x v="0"/>
    <x v="2"/>
    <x v="0"/>
  </r>
  <r>
    <x v="0"/>
    <x v="0"/>
    <n v="2239269615"/>
    <x v="6"/>
    <n v="7750"/>
    <x v="2"/>
    <x v="0"/>
    <x v="52"/>
    <x v="6"/>
    <x v="0"/>
    <x v="0"/>
    <x v="5"/>
    <x v="0"/>
  </r>
  <r>
    <x v="0"/>
    <x v="0"/>
    <n v="2239269617"/>
    <x v="2"/>
    <n v="16500"/>
    <x v="2"/>
    <x v="0"/>
    <x v="52"/>
    <x v="2"/>
    <x v="0"/>
    <x v="0"/>
    <x v="2"/>
    <x v="0"/>
  </r>
  <r>
    <x v="0"/>
    <x v="0"/>
    <n v="2239269618"/>
    <x v="2"/>
    <n v="45100"/>
    <x v="2"/>
    <x v="0"/>
    <x v="52"/>
    <x v="2"/>
    <x v="0"/>
    <x v="0"/>
    <x v="2"/>
    <x v="0"/>
  </r>
  <r>
    <x v="0"/>
    <x v="0"/>
    <n v="2239269619"/>
    <x v="1"/>
    <n v="2400"/>
    <x v="2"/>
    <x v="0"/>
    <x v="52"/>
    <x v="1"/>
    <x v="0"/>
    <x v="0"/>
    <x v="1"/>
    <x v="0"/>
  </r>
  <r>
    <x v="0"/>
    <x v="0"/>
    <n v="2239269620"/>
    <x v="2"/>
    <n v="26400"/>
    <x v="2"/>
    <x v="0"/>
    <x v="52"/>
    <x v="2"/>
    <x v="0"/>
    <x v="0"/>
    <x v="2"/>
    <x v="0"/>
  </r>
  <r>
    <x v="0"/>
    <x v="0"/>
    <n v="2239269621"/>
    <x v="5"/>
    <n v="-500"/>
    <x v="2"/>
    <x v="0"/>
    <x v="52"/>
    <x v="5"/>
    <x v="0"/>
    <x v="0"/>
    <x v="5"/>
    <x v="0"/>
  </r>
  <r>
    <x v="0"/>
    <x v="0"/>
    <n v="2239269621"/>
    <x v="6"/>
    <n v="7000"/>
    <x v="2"/>
    <x v="0"/>
    <x v="52"/>
    <x v="6"/>
    <x v="0"/>
    <x v="0"/>
    <x v="5"/>
    <x v="0"/>
  </r>
  <r>
    <x v="0"/>
    <x v="0"/>
    <n v="2239269622"/>
    <x v="3"/>
    <n v="7150"/>
    <x v="2"/>
    <x v="0"/>
    <x v="52"/>
    <x v="3"/>
    <x v="0"/>
    <x v="0"/>
    <x v="3"/>
    <x v="0"/>
  </r>
  <r>
    <x v="0"/>
    <x v="0"/>
    <n v="2239269623"/>
    <x v="2"/>
    <n v="6500"/>
    <x v="2"/>
    <x v="0"/>
    <x v="52"/>
    <x v="2"/>
    <x v="0"/>
    <x v="0"/>
    <x v="2"/>
    <x v="0"/>
  </r>
  <r>
    <x v="0"/>
    <x v="0"/>
    <n v="2239269624"/>
    <x v="5"/>
    <n v="-7000"/>
    <x v="2"/>
    <x v="0"/>
    <x v="52"/>
    <x v="5"/>
    <x v="0"/>
    <x v="0"/>
    <x v="5"/>
    <x v="0"/>
  </r>
  <r>
    <x v="0"/>
    <x v="0"/>
    <n v="2239269624"/>
    <x v="6"/>
    <n v="10000"/>
    <x v="2"/>
    <x v="0"/>
    <x v="52"/>
    <x v="6"/>
    <x v="0"/>
    <x v="0"/>
    <x v="5"/>
    <x v="0"/>
  </r>
  <r>
    <x v="0"/>
    <x v="0"/>
    <n v="2239269625"/>
    <x v="2"/>
    <n v="17490"/>
    <x v="2"/>
    <x v="0"/>
    <x v="52"/>
    <x v="2"/>
    <x v="0"/>
    <x v="0"/>
    <x v="2"/>
    <x v="0"/>
  </r>
  <r>
    <x v="0"/>
    <x v="0"/>
    <n v="2239269626"/>
    <x v="5"/>
    <n v="-4300"/>
    <x v="2"/>
    <x v="0"/>
    <x v="52"/>
    <x v="5"/>
    <x v="0"/>
    <x v="0"/>
    <x v="5"/>
    <x v="0"/>
  </r>
  <r>
    <x v="0"/>
    <x v="0"/>
    <n v="2239269626"/>
    <x v="4"/>
    <n v="10000"/>
    <x v="2"/>
    <x v="0"/>
    <x v="52"/>
    <x v="4"/>
    <x v="0"/>
    <x v="0"/>
    <x v="4"/>
    <x v="0"/>
  </r>
  <r>
    <x v="0"/>
    <x v="0"/>
    <n v="2239269627"/>
    <x v="5"/>
    <n v="-300"/>
    <x v="2"/>
    <x v="0"/>
    <x v="52"/>
    <x v="5"/>
    <x v="0"/>
    <x v="0"/>
    <x v="5"/>
    <x v="0"/>
  </r>
  <r>
    <x v="0"/>
    <x v="0"/>
    <n v="2239269627"/>
    <x v="4"/>
    <n v="6000"/>
    <x v="2"/>
    <x v="0"/>
    <x v="52"/>
    <x v="4"/>
    <x v="0"/>
    <x v="0"/>
    <x v="4"/>
    <x v="0"/>
  </r>
  <r>
    <x v="0"/>
    <x v="0"/>
    <n v="2239269628"/>
    <x v="2"/>
    <n v="5720"/>
    <x v="2"/>
    <x v="0"/>
    <x v="52"/>
    <x v="2"/>
    <x v="0"/>
    <x v="0"/>
    <x v="2"/>
    <x v="0"/>
  </r>
  <r>
    <x v="0"/>
    <x v="0"/>
    <n v="2239269628"/>
    <x v="7"/>
    <n v="1300"/>
    <x v="2"/>
    <x v="0"/>
    <x v="52"/>
    <x v="7"/>
    <x v="0"/>
    <x v="0"/>
    <x v="1"/>
    <x v="0"/>
  </r>
  <r>
    <x v="0"/>
    <x v="0"/>
    <n v="2239269629"/>
    <x v="2"/>
    <n v="28600"/>
    <x v="2"/>
    <x v="0"/>
    <x v="52"/>
    <x v="2"/>
    <x v="0"/>
    <x v="0"/>
    <x v="2"/>
    <x v="0"/>
  </r>
  <r>
    <x v="0"/>
    <x v="0"/>
    <n v="2239269630"/>
    <x v="2"/>
    <n v="3500"/>
    <x v="2"/>
    <x v="0"/>
    <x v="52"/>
    <x v="2"/>
    <x v="0"/>
    <x v="0"/>
    <x v="2"/>
    <x v="0"/>
  </r>
  <r>
    <x v="0"/>
    <x v="0"/>
    <n v="2239269631"/>
    <x v="5"/>
    <n v="-1500"/>
    <x v="2"/>
    <x v="0"/>
    <x v="52"/>
    <x v="5"/>
    <x v="0"/>
    <x v="0"/>
    <x v="5"/>
    <x v="0"/>
  </r>
  <r>
    <x v="0"/>
    <x v="0"/>
    <n v="2239269631"/>
    <x v="6"/>
    <n v="5000"/>
    <x v="2"/>
    <x v="0"/>
    <x v="52"/>
    <x v="6"/>
    <x v="0"/>
    <x v="0"/>
    <x v="5"/>
    <x v="0"/>
  </r>
  <r>
    <x v="0"/>
    <x v="0"/>
    <n v="2239269632"/>
    <x v="2"/>
    <n v="11000"/>
    <x v="2"/>
    <x v="0"/>
    <x v="52"/>
    <x v="2"/>
    <x v="0"/>
    <x v="0"/>
    <x v="2"/>
    <x v="0"/>
  </r>
  <r>
    <x v="0"/>
    <x v="0"/>
    <n v="2239269633"/>
    <x v="5"/>
    <n v="-400"/>
    <x v="2"/>
    <x v="0"/>
    <x v="52"/>
    <x v="5"/>
    <x v="0"/>
    <x v="0"/>
    <x v="5"/>
    <x v="0"/>
  </r>
  <r>
    <x v="0"/>
    <x v="0"/>
    <n v="2239269633"/>
    <x v="4"/>
    <n v="5000"/>
    <x v="2"/>
    <x v="0"/>
    <x v="52"/>
    <x v="4"/>
    <x v="0"/>
    <x v="0"/>
    <x v="4"/>
    <x v="0"/>
  </r>
  <r>
    <x v="0"/>
    <x v="0"/>
    <n v="2239269634"/>
    <x v="2"/>
    <n v="24090"/>
    <x v="2"/>
    <x v="0"/>
    <x v="52"/>
    <x v="2"/>
    <x v="0"/>
    <x v="0"/>
    <x v="2"/>
    <x v="0"/>
  </r>
  <r>
    <x v="0"/>
    <x v="0"/>
    <n v="2239269635"/>
    <x v="4"/>
    <n v="5300"/>
    <x v="2"/>
    <x v="0"/>
    <x v="52"/>
    <x v="4"/>
    <x v="0"/>
    <x v="0"/>
    <x v="4"/>
    <x v="0"/>
  </r>
  <r>
    <x v="0"/>
    <x v="0"/>
    <n v="2239269636"/>
    <x v="2"/>
    <n v="28490"/>
    <x v="2"/>
    <x v="0"/>
    <x v="52"/>
    <x v="2"/>
    <x v="0"/>
    <x v="0"/>
    <x v="2"/>
    <x v="0"/>
  </r>
  <r>
    <x v="0"/>
    <x v="0"/>
    <n v="2239269637"/>
    <x v="2"/>
    <n v="19800"/>
    <x v="2"/>
    <x v="0"/>
    <x v="52"/>
    <x v="2"/>
    <x v="0"/>
    <x v="0"/>
    <x v="2"/>
    <x v="0"/>
  </r>
  <r>
    <x v="0"/>
    <x v="0"/>
    <n v="2239269638"/>
    <x v="5"/>
    <n v="-3500"/>
    <x v="2"/>
    <x v="0"/>
    <x v="52"/>
    <x v="5"/>
    <x v="0"/>
    <x v="0"/>
    <x v="5"/>
    <x v="0"/>
  </r>
  <r>
    <x v="0"/>
    <x v="0"/>
    <n v="2239269638"/>
    <x v="6"/>
    <n v="10000"/>
    <x v="2"/>
    <x v="0"/>
    <x v="52"/>
    <x v="6"/>
    <x v="0"/>
    <x v="0"/>
    <x v="5"/>
    <x v="0"/>
  </r>
  <r>
    <x v="0"/>
    <x v="0"/>
    <n v="2239269639"/>
    <x v="3"/>
    <n v="13080"/>
    <x v="2"/>
    <x v="0"/>
    <x v="52"/>
    <x v="3"/>
    <x v="0"/>
    <x v="0"/>
    <x v="3"/>
    <x v="0"/>
  </r>
  <r>
    <x v="0"/>
    <x v="0"/>
    <n v="2239269639"/>
    <x v="7"/>
    <n v="8720"/>
    <x v="2"/>
    <x v="0"/>
    <x v="52"/>
    <x v="7"/>
    <x v="0"/>
    <x v="0"/>
    <x v="1"/>
    <x v="0"/>
  </r>
  <r>
    <x v="0"/>
    <x v="0"/>
    <n v="2239269640"/>
    <x v="5"/>
    <n v="-4000"/>
    <x v="2"/>
    <x v="0"/>
    <x v="52"/>
    <x v="5"/>
    <x v="0"/>
    <x v="0"/>
    <x v="5"/>
    <x v="0"/>
  </r>
  <r>
    <x v="0"/>
    <x v="0"/>
    <n v="2239269640"/>
    <x v="6"/>
    <n v="10000"/>
    <x v="2"/>
    <x v="0"/>
    <x v="52"/>
    <x v="6"/>
    <x v="0"/>
    <x v="0"/>
    <x v="5"/>
    <x v="0"/>
  </r>
  <r>
    <x v="0"/>
    <x v="0"/>
    <n v="2239269642"/>
    <x v="5"/>
    <n v="-300"/>
    <x v="2"/>
    <x v="0"/>
    <x v="52"/>
    <x v="5"/>
    <x v="0"/>
    <x v="0"/>
    <x v="5"/>
    <x v="0"/>
  </r>
  <r>
    <x v="0"/>
    <x v="0"/>
    <n v="2239269642"/>
    <x v="4"/>
    <n v="6000"/>
    <x v="2"/>
    <x v="0"/>
    <x v="52"/>
    <x v="4"/>
    <x v="0"/>
    <x v="0"/>
    <x v="4"/>
    <x v="0"/>
  </r>
  <r>
    <x v="0"/>
    <x v="0"/>
    <n v="2239269643"/>
    <x v="2"/>
    <n v="30800"/>
    <x v="2"/>
    <x v="0"/>
    <x v="52"/>
    <x v="2"/>
    <x v="0"/>
    <x v="0"/>
    <x v="2"/>
    <x v="0"/>
  </r>
  <r>
    <x v="0"/>
    <x v="0"/>
    <n v="2239269643"/>
    <x v="7"/>
    <n v="5200"/>
    <x v="2"/>
    <x v="0"/>
    <x v="52"/>
    <x v="7"/>
    <x v="0"/>
    <x v="0"/>
    <x v="1"/>
    <x v="0"/>
  </r>
  <r>
    <x v="0"/>
    <x v="0"/>
    <n v="2239269644"/>
    <x v="5"/>
    <n v="-6000"/>
    <x v="2"/>
    <x v="0"/>
    <x v="52"/>
    <x v="5"/>
    <x v="0"/>
    <x v="0"/>
    <x v="5"/>
    <x v="0"/>
  </r>
  <r>
    <x v="0"/>
    <x v="0"/>
    <n v="2239269644"/>
    <x v="6"/>
    <n v="20000"/>
    <x v="2"/>
    <x v="0"/>
    <x v="52"/>
    <x v="6"/>
    <x v="0"/>
    <x v="0"/>
    <x v="5"/>
    <x v="0"/>
  </r>
  <r>
    <x v="0"/>
    <x v="0"/>
    <n v="2239269645"/>
    <x v="5"/>
    <n v="-400"/>
    <x v="2"/>
    <x v="0"/>
    <x v="52"/>
    <x v="5"/>
    <x v="0"/>
    <x v="0"/>
    <x v="5"/>
    <x v="0"/>
  </r>
  <r>
    <x v="0"/>
    <x v="0"/>
    <n v="2239269645"/>
    <x v="4"/>
    <n v="6000"/>
    <x v="2"/>
    <x v="0"/>
    <x v="52"/>
    <x v="4"/>
    <x v="0"/>
    <x v="0"/>
    <x v="4"/>
    <x v="0"/>
  </r>
  <r>
    <x v="0"/>
    <x v="0"/>
    <n v="2239269646"/>
    <x v="2"/>
    <n v="4500"/>
    <x v="2"/>
    <x v="0"/>
    <x v="52"/>
    <x v="2"/>
    <x v="0"/>
    <x v="0"/>
    <x v="2"/>
    <x v="0"/>
  </r>
  <r>
    <x v="0"/>
    <x v="0"/>
    <n v="2239269647"/>
    <x v="2"/>
    <n v="2400"/>
    <x v="2"/>
    <x v="0"/>
    <x v="52"/>
    <x v="2"/>
    <x v="0"/>
    <x v="0"/>
    <x v="2"/>
    <x v="0"/>
  </r>
  <r>
    <x v="0"/>
    <x v="0"/>
    <n v="2239269648"/>
    <x v="5"/>
    <n v="-5100"/>
    <x v="2"/>
    <x v="0"/>
    <x v="52"/>
    <x v="5"/>
    <x v="0"/>
    <x v="0"/>
    <x v="5"/>
    <x v="0"/>
  </r>
  <r>
    <x v="0"/>
    <x v="0"/>
    <n v="2239269648"/>
    <x v="6"/>
    <n v="40000"/>
    <x v="2"/>
    <x v="0"/>
    <x v="52"/>
    <x v="6"/>
    <x v="0"/>
    <x v="0"/>
    <x v="5"/>
    <x v="0"/>
  </r>
  <r>
    <x v="0"/>
    <x v="0"/>
    <n v="2239269649"/>
    <x v="5"/>
    <n v="-3120"/>
    <x v="2"/>
    <x v="0"/>
    <x v="52"/>
    <x v="5"/>
    <x v="0"/>
    <x v="0"/>
    <x v="5"/>
    <x v="0"/>
  </r>
  <r>
    <x v="0"/>
    <x v="0"/>
    <n v="2239269649"/>
    <x v="6"/>
    <n v="10000"/>
    <x v="2"/>
    <x v="0"/>
    <x v="52"/>
    <x v="6"/>
    <x v="0"/>
    <x v="0"/>
    <x v="5"/>
    <x v="0"/>
  </r>
  <r>
    <x v="0"/>
    <x v="0"/>
    <n v="2239269650"/>
    <x v="2"/>
    <n v="14234"/>
    <x v="2"/>
    <x v="0"/>
    <x v="52"/>
    <x v="2"/>
    <x v="0"/>
    <x v="0"/>
    <x v="2"/>
    <x v="0"/>
  </r>
  <r>
    <x v="0"/>
    <x v="0"/>
    <n v="2239269651"/>
    <x v="5"/>
    <n v="-4400"/>
    <x v="2"/>
    <x v="0"/>
    <x v="52"/>
    <x v="5"/>
    <x v="0"/>
    <x v="0"/>
    <x v="5"/>
    <x v="0"/>
  </r>
  <r>
    <x v="0"/>
    <x v="0"/>
    <n v="2239269651"/>
    <x v="4"/>
    <n v="10000"/>
    <x v="2"/>
    <x v="0"/>
    <x v="52"/>
    <x v="4"/>
    <x v="0"/>
    <x v="0"/>
    <x v="4"/>
    <x v="0"/>
  </r>
  <r>
    <x v="0"/>
    <x v="0"/>
    <n v="2239269652"/>
    <x v="2"/>
    <n v="5500"/>
    <x v="2"/>
    <x v="0"/>
    <x v="52"/>
    <x v="2"/>
    <x v="0"/>
    <x v="0"/>
    <x v="2"/>
    <x v="0"/>
  </r>
  <r>
    <x v="0"/>
    <x v="0"/>
    <n v="2239269654"/>
    <x v="2"/>
    <n v="79035"/>
    <x v="2"/>
    <x v="0"/>
    <x v="52"/>
    <x v="2"/>
    <x v="0"/>
    <x v="0"/>
    <x v="2"/>
    <x v="0"/>
  </r>
  <r>
    <x v="0"/>
    <x v="0"/>
    <n v="2239269656"/>
    <x v="2"/>
    <n v="15000"/>
    <x v="2"/>
    <x v="0"/>
    <x v="52"/>
    <x v="2"/>
    <x v="0"/>
    <x v="0"/>
    <x v="2"/>
    <x v="0"/>
  </r>
  <r>
    <x v="0"/>
    <x v="0"/>
    <n v="2239269657"/>
    <x v="5"/>
    <n v="-8100"/>
    <x v="2"/>
    <x v="0"/>
    <x v="52"/>
    <x v="5"/>
    <x v="0"/>
    <x v="0"/>
    <x v="5"/>
    <x v="0"/>
  </r>
  <r>
    <x v="0"/>
    <x v="0"/>
    <n v="2239269657"/>
    <x v="6"/>
    <n v="40000"/>
    <x v="2"/>
    <x v="0"/>
    <x v="52"/>
    <x v="6"/>
    <x v="0"/>
    <x v="0"/>
    <x v="5"/>
    <x v="0"/>
  </r>
  <r>
    <x v="0"/>
    <x v="0"/>
    <n v="2239269659"/>
    <x v="2"/>
    <n v="6500"/>
    <x v="2"/>
    <x v="0"/>
    <x v="52"/>
    <x v="2"/>
    <x v="0"/>
    <x v="0"/>
    <x v="2"/>
    <x v="0"/>
  </r>
  <r>
    <x v="0"/>
    <x v="0"/>
    <n v="2239269660"/>
    <x v="3"/>
    <n v="13000"/>
    <x v="2"/>
    <x v="0"/>
    <x v="52"/>
    <x v="3"/>
    <x v="0"/>
    <x v="0"/>
    <x v="3"/>
    <x v="0"/>
  </r>
  <r>
    <x v="0"/>
    <x v="0"/>
    <n v="2239269661"/>
    <x v="2"/>
    <n v="24200"/>
    <x v="2"/>
    <x v="0"/>
    <x v="52"/>
    <x v="2"/>
    <x v="0"/>
    <x v="0"/>
    <x v="2"/>
    <x v="0"/>
  </r>
  <r>
    <x v="0"/>
    <x v="0"/>
    <n v="2239269662"/>
    <x v="2"/>
    <n v="4500"/>
    <x v="2"/>
    <x v="0"/>
    <x v="52"/>
    <x v="2"/>
    <x v="0"/>
    <x v="0"/>
    <x v="2"/>
    <x v="0"/>
  </r>
  <r>
    <x v="0"/>
    <x v="0"/>
    <n v="2239269663"/>
    <x v="5"/>
    <n v="-5500"/>
    <x v="2"/>
    <x v="0"/>
    <x v="52"/>
    <x v="5"/>
    <x v="0"/>
    <x v="0"/>
    <x v="5"/>
    <x v="0"/>
  </r>
  <r>
    <x v="0"/>
    <x v="0"/>
    <n v="2239269663"/>
    <x v="6"/>
    <n v="10000"/>
    <x v="2"/>
    <x v="0"/>
    <x v="52"/>
    <x v="6"/>
    <x v="0"/>
    <x v="0"/>
    <x v="5"/>
    <x v="0"/>
  </r>
  <r>
    <x v="0"/>
    <x v="0"/>
    <n v="2239269665"/>
    <x v="2"/>
    <n v="20790"/>
    <x v="2"/>
    <x v="0"/>
    <x v="52"/>
    <x v="2"/>
    <x v="0"/>
    <x v="0"/>
    <x v="2"/>
    <x v="0"/>
  </r>
  <r>
    <x v="0"/>
    <x v="0"/>
    <n v="2239269666"/>
    <x v="5"/>
    <n v="-3780"/>
    <x v="2"/>
    <x v="0"/>
    <x v="52"/>
    <x v="5"/>
    <x v="0"/>
    <x v="0"/>
    <x v="5"/>
    <x v="0"/>
  </r>
  <r>
    <x v="0"/>
    <x v="0"/>
    <n v="2239269666"/>
    <x v="6"/>
    <n v="5000"/>
    <x v="2"/>
    <x v="0"/>
    <x v="52"/>
    <x v="6"/>
    <x v="0"/>
    <x v="0"/>
    <x v="5"/>
    <x v="0"/>
  </r>
  <r>
    <x v="0"/>
    <x v="0"/>
    <n v="2239269666"/>
    <x v="2"/>
    <n v="6200"/>
    <x v="2"/>
    <x v="0"/>
    <x v="52"/>
    <x v="2"/>
    <x v="0"/>
    <x v="0"/>
    <x v="2"/>
    <x v="0"/>
  </r>
  <r>
    <x v="0"/>
    <x v="0"/>
    <n v="2239269667"/>
    <x v="5"/>
    <n v="-2900"/>
    <x v="2"/>
    <x v="0"/>
    <x v="52"/>
    <x v="5"/>
    <x v="0"/>
    <x v="0"/>
    <x v="5"/>
    <x v="0"/>
  </r>
  <r>
    <x v="0"/>
    <x v="0"/>
    <n v="2239269667"/>
    <x v="6"/>
    <n v="5000"/>
    <x v="2"/>
    <x v="0"/>
    <x v="52"/>
    <x v="6"/>
    <x v="0"/>
    <x v="0"/>
    <x v="5"/>
    <x v="0"/>
  </r>
  <r>
    <x v="0"/>
    <x v="0"/>
    <n v="2239269668"/>
    <x v="5"/>
    <n v="-7000"/>
    <x v="2"/>
    <x v="0"/>
    <x v="52"/>
    <x v="5"/>
    <x v="0"/>
    <x v="0"/>
    <x v="5"/>
    <x v="0"/>
  </r>
  <r>
    <x v="0"/>
    <x v="0"/>
    <n v="2239269668"/>
    <x v="6"/>
    <n v="20230"/>
    <x v="2"/>
    <x v="0"/>
    <x v="52"/>
    <x v="6"/>
    <x v="0"/>
    <x v="0"/>
    <x v="5"/>
    <x v="0"/>
  </r>
  <r>
    <x v="0"/>
    <x v="0"/>
    <n v="2239269669"/>
    <x v="2"/>
    <n v="8800"/>
    <x v="2"/>
    <x v="0"/>
    <x v="52"/>
    <x v="2"/>
    <x v="0"/>
    <x v="0"/>
    <x v="2"/>
    <x v="0"/>
  </r>
  <r>
    <x v="0"/>
    <x v="0"/>
    <n v="2239269671"/>
    <x v="5"/>
    <n v="-7000"/>
    <x v="2"/>
    <x v="0"/>
    <x v="52"/>
    <x v="5"/>
    <x v="0"/>
    <x v="0"/>
    <x v="5"/>
    <x v="0"/>
  </r>
  <r>
    <x v="0"/>
    <x v="0"/>
    <n v="2239269671"/>
    <x v="6"/>
    <n v="20000"/>
    <x v="2"/>
    <x v="0"/>
    <x v="52"/>
    <x v="6"/>
    <x v="0"/>
    <x v="0"/>
    <x v="5"/>
    <x v="0"/>
  </r>
  <r>
    <x v="0"/>
    <x v="0"/>
    <n v="2239269672"/>
    <x v="2"/>
    <n v="29832"/>
    <x v="2"/>
    <x v="0"/>
    <x v="52"/>
    <x v="2"/>
    <x v="0"/>
    <x v="0"/>
    <x v="2"/>
    <x v="0"/>
  </r>
  <r>
    <x v="0"/>
    <x v="0"/>
    <n v="2239269673"/>
    <x v="2"/>
    <n v="31790"/>
    <x v="2"/>
    <x v="0"/>
    <x v="52"/>
    <x v="2"/>
    <x v="0"/>
    <x v="0"/>
    <x v="2"/>
    <x v="0"/>
  </r>
  <r>
    <x v="0"/>
    <x v="0"/>
    <n v="2239269674"/>
    <x v="4"/>
    <n v="5700"/>
    <x v="2"/>
    <x v="0"/>
    <x v="52"/>
    <x v="4"/>
    <x v="0"/>
    <x v="0"/>
    <x v="4"/>
    <x v="0"/>
  </r>
  <r>
    <x v="0"/>
    <x v="0"/>
    <n v="2239269675"/>
    <x v="2"/>
    <n v="7150"/>
    <x v="2"/>
    <x v="0"/>
    <x v="52"/>
    <x v="2"/>
    <x v="0"/>
    <x v="0"/>
    <x v="2"/>
    <x v="0"/>
  </r>
  <r>
    <x v="0"/>
    <x v="0"/>
    <n v="2239269676"/>
    <x v="2"/>
    <n v="9834"/>
    <x v="2"/>
    <x v="0"/>
    <x v="52"/>
    <x v="2"/>
    <x v="0"/>
    <x v="0"/>
    <x v="2"/>
    <x v="0"/>
  </r>
  <r>
    <x v="0"/>
    <x v="0"/>
    <n v="2239269677"/>
    <x v="2"/>
    <n v="6500"/>
    <x v="2"/>
    <x v="0"/>
    <x v="52"/>
    <x v="2"/>
    <x v="0"/>
    <x v="0"/>
    <x v="2"/>
    <x v="0"/>
  </r>
  <r>
    <x v="0"/>
    <x v="0"/>
    <n v="2239269680"/>
    <x v="5"/>
    <n v="-5600"/>
    <x v="2"/>
    <x v="0"/>
    <x v="52"/>
    <x v="5"/>
    <x v="0"/>
    <x v="0"/>
    <x v="5"/>
    <x v="0"/>
  </r>
  <r>
    <x v="0"/>
    <x v="0"/>
    <n v="2239269680"/>
    <x v="4"/>
    <n v="10000"/>
    <x v="2"/>
    <x v="0"/>
    <x v="52"/>
    <x v="4"/>
    <x v="0"/>
    <x v="0"/>
    <x v="4"/>
    <x v="0"/>
  </r>
  <r>
    <x v="0"/>
    <x v="0"/>
    <n v="2239269682"/>
    <x v="5"/>
    <n v="-4400"/>
    <x v="2"/>
    <x v="0"/>
    <x v="52"/>
    <x v="5"/>
    <x v="0"/>
    <x v="0"/>
    <x v="5"/>
    <x v="0"/>
  </r>
  <r>
    <x v="0"/>
    <x v="0"/>
    <n v="2239269682"/>
    <x v="4"/>
    <n v="10000"/>
    <x v="2"/>
    <x v="0"/>
    <x v="52"/>
    <x v="4"/>
    <x v="0"/>
    <x v="0"/>
    <x v="4"/>
    <x v="0"/>
  </r>
  <r>
    <x v="0"/>
    <x v="0"/>
    <n v="2239269683"/>
    <x v="5"/>
    <n v="-14700"/>
    <x v="2"/>
    <x v="0"/>
    <x v="52"/>
    <x v="5"/>
    <x v="0"/>
    <x v="0"/>
    <x v="5"/>
    <x v="0"/>
  </r>
  <r>
    <x v="0"/>
    <x v="0"/>
    <n v="2239269683"/>
    <x v="4"/>
    <n v="20000"/>
    <x v="2"/>
    <x v="0"/>
    <x v="52"/>
    <x v="4"/>
    <x v="0"/>
    <x v="0"/>
    <x v="4"/>
    <x v="0"/>
  </r>
  <r>
    <x v="0"/>
    <x v="0"/>
    <n v="2239269685"/>
    <x v="6"/>
    <n v="5000"/>
    <x v="2"/>
    <x v="0"/>
    <x v="52"/>
    <x v="6"/>
    <x v="0"/>
    <x v="0"/>
    <x v="5"/>
    <x v="0"/>
  </r>
  <r>
    <x v="0"/>
    <x v="0"/>
    <n v="2239269686"/>
    <x v="5"/>
    <n v="-4700"/>
    <x v="2"/>
    <x v="0"/>
    <x v="52"/>
    <x v="5"/>
    <x v="0"/>
    <x v="0"/>
    <x v="5"/>
    <x v="0"/>
  </r>
  <r>
    <x v="0"/>
    <x v="0"/>
    <n v="2239269686"/>
    <x v="4"/>
    <n v="10000"/>
    <x v="2"/>
    <x v="0"/>
    <x v="52"/>
    <x v="4"/>
    <x v="0"/>
    <x v="0"/>
    <x v="4"/>
    <x v="0"/>
  </r>
  <r>
    <x v="0"/>
    <x v="0"/>
    <n v="2239269687"/>
    <x v="5"/>
    <n v="-5400"/>
    <x v="2"/>
    <x v="0"/>
    <x v="52"/>
    <x v="5"/>
    <x v="0"/>
    <x v="0"/>
    <x v="5"/>
    <x v="0"/>
  </r>
  <r>
    <x v="0"/>
    <x v="0"/>
    <n v="2239269687"/>
    <x v="4"/>
    <n v="10000"/>
    <x v="2"/>
    <x v="0"/>
    <x v="52"/>
    <x v="4"/>
    <x v="0"/>
    <x v="0"/>
    <x v="4"/>
    <x v="0"/>
  </r>
  <r>
    <x v="0"/>
    <x v="0"/>
    <n v="2239269688"/>
    <x v="2"/>
    <n v="14300"/>
    <x v="2"/>
    <x v="0"/>
    <x v="52"/>
    <x v="2"/>
    <x v="0"/>
    <x v="0"/>
    <x v="2"/>
    <x v="0"/>
  </r>
  <r>
    <x v="0"/>
    <x v="0"/>
    <n v="2239269692"/>
    <x v="2"/>
    <n v="15312"/>
    <x v="2"/>
    <x v="0"/>
    <x v="52"/>
    <x v="2"/>
    <x v="0"/>
    <x v="0"/>
    <x v="2"/>
    <x v="0"/>
  </r>
  <r>
    <x v="0"/>
    <x v="0"/>
    <n v="2239269692"/>
    <x v="7"/>
    <n v="3480"/>
    <x v="2"/>
    <x v="0"/>
    <x v="52"/>
    <x v="7"/>
    <x v="0"/>
    <x v="0"/>
    <x v="1"/>
    <x v="0"/>
  </r>
  <r>
    <x v="0"/>
    <x v="0"/>
    <n v="2239269699"/>
    <x v="2"/>
    <n v="14300"/>
    <x v="2"/>
    <x v="0"/>
    <x v="52"/>
    <x v="2"/>
    <x v="0"/>
    <x v="0"/>
    <x v="2"/>
    <x v="0"/>
  </r>
  <r>
    <x v="0"/>
    <x v="0"/>
    <n v="2239269700"/>
    <x v="2"/>
    <n v="31350"/>
    <x v="2"/>
    <x v="0"/>
    <x v="52"/>
    <x v="2"/>
    <x v="0"/>
    <x v="0"/>
    <x v="2"/>
    <x v="0"/>
  </r>
  <r>
    <x v="0"/>
    <x v="0"/>
    <n v="2239269701"/>
    <x v="4"/>
    <n v="9700"/>
    <x v="2"/>
    <x v="0"/>
    <x v="52"/>
    <x v="4"/>
    <x v="0"/>
    <x v="0"/>
    <x v="4"/>
    <x v="0"/>
  </r>
  <r>
    <x v="0"/>
    <x v="0"/>
    <n v="2239269702"/>
    <x v="6"/>
    <n v="2000"/>
    <x v="2"/>
    <x v="0"/>
    <x v="52"/>
    <x v="6"/>
    <x v="0"/>
    <x v="0"/>
    <x v="5"/>
    <x v="0"/>
  </r>
  <r>
    <x v="0"/>
    <x v="0"/>
    <n v="2239269702"/>
    <x v="2"/>
    <n v="7500"/>
    <x v="2"/>
    <x v="0"/>
    <x v="52"/>
    <x v="2"/>
    <x v="0"/>
    <x v="0"/>
    <x v="2"/>
    <x v="0"/>
  </r>
  <r>
    <x v="0"/>
    <x v="0"/>
    <n v="2239269703"/>
    <x v="5"/>
    <n v="-4300"/>
    <x v="2"/>
    <x v="0"/>
    <x v="52"/>
    <x v="5"/>
    <x v="0"/>
    <x v="0"/>
    <x v="5"/>
    <x v="0"/>
  </r>
  <r>
    <x v="0"/>
    <x v="0"/>
    <n v="2239269703"/>
    <x v="4"/>
    <n v="10000"/>
    <x v="2"/>
    <x v="0"/>
    <x v="52"/>
    <x v="4"/>
    <x v="0"/>
    <x v="0"/>
    <x v="4"/>
    <x v="0"/>
  </r>
  <r>
    <x v="0"/>
    <x v="0"/>
    <n v="2239269704"/>
    <x v="5"/>
    <n v="-14400"/>
    <x v="2"/>
    <x v="0"/>
    <x v="52"/>
    <x v="5"/>
    <x v="0"/>
    <x v="0"/>
    <x v="5"/>
    <x v="0"/>
  </r>
  <r>
    <x v="0"/>
    <x v="0"/>
    <n v="2239269704"/>
    <x v="4"/>
    <n v="20000"/>
    <x v="2"/>
    <x v="0"/>
    <x v="52"/>
    <x v="4"/>
    <x v="0"/>
    <x v="0"/>
    <x v="4"/>
    <x v="0"/>
  </r>
  <r>
    <x v="0"/>
    <x v="0"/>
    <n v="2239273667"/>
    <x v="1"/>
    <n v="5700"/>
    <x v="2"/>
    <x v="0"/>
    <x v="18"/>
    <x v="1"/>
    <x v="0"/>
    <x v="0"/>
    <x v="1"/>
    <x v="0"/>
  </r>
  <r>
    <x v="0"/>
    <x v="0"/>
    <n v="2239273668"/>
    <x v="0"/>
    <n v="1500"/>
    <x v="2"/>
    <x v="0"/>
    <x v="18"/>
    <x v="0"/>
    <x v="0"/>
    <x v="0"/>
    <x v="0"/>
    <x v="0"/>
  </r>
  <r>
    <x v="0"/>
    <x v="0"/>
    <n v="2239273670"/>
    <x v="0"/>
    <n v="2700"/>
    <x v="2"/>
    <x v="0"/>
    <x v="18"/>
    <x v="0"/>
    <x v="0"/>
    <x v="0"/>
    <x v="0"/>
    <x v="0"/>
  </r>
  <r>
    <x v="0"/>
    <x v="0"/>
    <n v="2239273672"/>
    <x v="0"/>
    <n v="1800"/>
    <x v="2"/>
    <x v="0"/>
    <x v="18"/>
    <x v="0"/>
    <x v="0"/>
    <x v="0"/>
    <x v="0"/>
    <x v="0"/>
  </r>
  <r>
    <x v="0"/>
    <x v="0"/>
    <n v="2239273673"/>
    <x v="0"/>
    <n v="4770"/>
    <x v="2"/>
    <x v="0"/>
    <x v="18"/>
    <x v="0"/>
    <x v="0"/>
    <x v="0"/>
    <x v="0"/>
    <x v="0"/>
  </r>
  <r>
    <x v="0"/>
    <x v="0"/>
    <n v="2239273674"/>
    <x v="0"/>
    <n v="1350"/>
    <x v="2"/>
    <x v="0"/>
    <x v="18"/>
    <x v="0"/>
    <x v="0"/>
    <x v="0"/>
    <x v="0"/>
    <x v="0"/>
  </r>
  <r>
    <x v="0"/>
    <x v="0"/>
    <n v="2239273677"/>
    <x v="7"/>
    <n v="4000"/>
    <x v="2"/>
    <x v="0"/>
    <x v="18"/>
    <x v="7"/>
    <x v="0"/>
    <x v="0"/>
    <x v="1"/>
    <x v="0"/>
  </r>
  <r>
    <x v="0"/>
    <x v="0"/>
    <n v="2239273678"/>
    <x v="7"/>
    <n v="4500"/>
    <x v="2"/>
    <x v="0"/>
    <x v="18"/>
    <x v="7"/>
    <x v="0"/>
    <x v="0"/>
    <x v="1"/>
    <x v="0"/>
  </r>
  <r>
    <x v="0"/>
    <x v="0"/>
    <n v="2239273679"/>
    <x v="7"/>
    <n v="3000"/>
    <x v="2"/>
    <x v="0"/>
    <x v="18"/>
    <x v="7"/>
    <x v="0"/>
    <x v="0"/>
    <x v="1"/>
    <x v="0"/>
  </r>
  <r>
    <x v="0"/>
    <x v="0"/>
    <n v="2239273680"/>
    <x v="7"/>
    <n v="7500"/>
    <x v="2"/>
    <x v="0"/>
    <x v="18"/>
    <x v="7"/>
    <x v="0"/>
    <x v="0"/>
    <x v="1"/>
    <x v="0"/>
  </r>
  <r>
    <x v="0"/>
    <x v="0"/>
    <n v="2239273681"/>
    <x v="7"/>
    <n v="3000"/>
    <x v="2"/>
    <x v="0"/>
    <x v="18"/>
    <x v="7"/>
    <x v="0"/>
    <x v="0"/>
    <x v="1"/>
    <x v="0"/>
  </r>
  <r>
    <x v="0"/>
    <x v="0"/>
    <n v="2239273682"/>
    <x v="7"/>
    <n v="7500"/>
    <x v="2"/>
    <x v="0"/>
    <x v="18"/>
    <x v="7"/>
    <x v="0"/>
    <x v="0"/>
    <x v="1"/>
    <x v="0"/>
  </r>
  <r>
    <x v="0"/>
    <x v="0"/>
    <n v="2239273683"/>
    <x v="7"/>
    <n v="9000"/>
    <x v="2"/>
    <x v="0"/>
    <x v="18"/>
    <x v="7"/>
    <x v="0"/>
    <x v="0"/>
    <x v="1"/>
    <x v="0"/>
  </r>
  <r>
    <x v="0"/>
    <x v="0"/>
    <n v="2239273684"/>
    <x v="7"/>
    <n v="4000"/>
    <x v="2"/>
    <x v="0"/>
    <x v="18"/>
    <x v="7"/>
    <x v="0"/>
    <x v="0"/>
    <x v="1"/>
    <x v="0"/>
  </r>
  <r>
    <x v="0"/>
    <x v="0"/>
    <n v="2239273685"/>
    <x v="0"/>
    <n v="1500"/>
    <x v="2"/>
    <x v="0"/>
    <x v="18"/>
    <x v="0"/>
    <x v="0"/>
    <x v="0"/>
    <x v="0"/>
    <x v="0"/>
  </r>
  <r>
    <x v="0"/>
    <x v="0"/>
    <n v="2239273686"/>
    <x v="0"/>
    <n v="1500"/>
    <x v="2"/>
    <x v="0"/>
    <x v="18"/>
    <x v="0"/>
    <x v="0"/>
    <x v="0"/>
    <x v="0"/>
    <x v="0"/>
  </r>
  <r>
    <x v="0"/>
    <x v="0"/>
    <n v="2239273687"/>
    <x v="7"/>
    <n v="3000"/>
    <x v="2"/>
    <x v="0"/>
    <x v="18"/>
    <x v="7"/>
    <x v="0"/>
    <x v="0"/>
    <x v="1"/>
    <x v="0"/>
  </r>
  <r>
    <x v="0"/>
    <x v="0"/>
    <n v="2239273688"/>
    <x v="7"/>
    <n v="3000"/>
    <x v="2"/>
    <x v="0"/>
    <x v="18"/>
    <x v="7"/>
    <x v="0"/>
    <x v="0"/>
    <x v="1"/>
    <x v="0"/>
  </r>
  <r>
    <x v="0"/>
    <x v="0"/>
    <n v="2239273689"/>
    <x v="7"/>
    <n v="7500"/>
    <x v="2"/>
    <x v="0"/>
    <x v="18"/>
    <x v="7"/>
    <x v="0"/>
    <x v="0"/>
    <x v="1"/>
    <x v="0"/>
  </r>
  <r>
    <x v="0"/>
    <x v="0"/>
    <n v="2239273690"/>
    <x v="7"/>
    <n v="3000"/>
    <x v="2"/>
    <x v="0"/>
    <x v="18"/>
    <x v="7"/>
    <x v="0"/>
    <x v="0"/>
    <x v="1"/>
    <x v="0"/>
  </r>
  <r>
    <x v="0"/>
    <x v="0"/>
    <n v="2239273691"/>
    <x v="7"/>
    <n v="7500"/>
    <x v="2"/>
    <x v="0"/>
    <x v="18"/>
    <x v="7"/>
    <x v="0"/>
    <x v="0"/>
    <x v="1"/>
    <x v="0"/>
  </r>
  <r>
    <x v="0"/>
    <x v="0"/>
    <n v="2239273692"/>
    <x v="7"/>
    <n v="3800"/>
    <x v="2"/>
    <x v="0"/>
    <x v="18"/>
    <x v="7"/>
    <x v="0"/>
    <x v="0"/>
    <x v="1"/>
    <x v="0"/>
  </r>
  <r>
    <x v="0"/>
    <x v="0"/>
    <n v="2239273693"/>
    <x v="0"/>
    <n v="2250"/>
    <x v="2"/>
    <x v="0"/>
    <x v="18"/>
    <x v="0"/>
    <x v="0"/>
    <x v="0"/>
    <x v="0"/>
    <x v="0"/>
  </r>
  <r>
    <x v="0"/>
    <x v="0"/>
    <n v="2239273694"/>
    <x v="7"/>
    <n v="4500"/>
    <x v="2"/>
    <x v="0"/>
    <x v="18"/>
    <x v="7"/>
    <x v="0"/>
    <x v="0"/>
    <x v="1"/>
    <x v="0"/>
  </r>
  <r>
    <x v="0"/>
    <x v="0"/>
    <n v="2239273695"/>
    <x v="7"/>
    <n v="9900"/>
    <x v="2"/>
    <x v="0"/>
    <x v="18"/>
    <x v="7"/>
    <x v="0"/>
    <x v="0"/>
    <x v="1"/>
    <x v="0"/>
  </r>
  <r>
    <x v="0"/>
    <x v="0"/>
    <n v="2239273696"/>
    <x v="7"/>
    <n v="15000"/>
    <x v="2"/>
    <x v="0"/>
    <x v="18"/>
    <x v="7"/>
    <x v="0"/>
    <x v="0"/>
    <x v="1"/>
    <x v="0"/>
  </r>
  <r>
    <x v="0"/>
    <x v="0"/>
    <n v="2239273697"/>
    <x v="7"/>
    <n v="3000"/>
    <x v="2"/>
    <x v="0"/>
    <x v="18"/>
    <x v="7"/>
    <x v="0"/>
    <x v="0"/>
    <x v="1"/>
    <x v="0"/>
  </r>
  <r>
    <x v="0"/>
    <x v="0"/>
    <n v="2239273698"/>
    <x v="7"/>
    <n v="3000"/>
    <x v="2"/>
    <x v="0"/>
    <x v="18"/>
    <x v="7"/>
    <x v="0"/>
    <x v="0"/>
    <x v="1"/>
    <x v="0"/>
  </r>
  <r>
    <x v="0"/>
    <x v="0"/>
    <n v="2239273699"/>
    <x v="7"/>
    <n v="18000"/>
    <x v="2"/>
    <x v="0"/>
    <x v="18"/>
    <x v="7"/>
    <x v="0"/>
    <x v="0"/>
    <x v="1"/>
    <x v="0"/>
  </r>
  <r>
    <x v="0"/>
    <x v="0"/>
    <n v="2239273700"/>
    <x v="7"/>
    <n v="2500"/>
    <x v="2"/>
    <x v="0"/>
    <x v="18"/>
    <x v="7"/>
    <x v="0"/>
    <x v="0"/>
    <x v="1"/>
    <x v="0"/>
  </r>
  <r>
    <x v="0"/>
    <x v="0"/>
    <n v="2239273701"/>
    <x v="7"/>
    <n v="3000"/>
    <x v="2"/>
    <x v="0"/>
    <x v="18"/>
    <x v="7"/>
    <x v="0"/>
    <x v="0"/>
    <x v="1"/>
    <x v="0"/>
  </r>
  <r>
    <x v="0"/>
    <x v="0"/>
    <n v="2239273702"/>
    <x v="7"/>
    <n v="7500"/>
    <x v="2"/>
    <x v="0"/>
    <x v="18"/>
    <x v="7"/>
    <x v="0"/>
    <x v="0"/>
    <x v="1"/>
    <x v="0"/>
  </r>
  <r>
    <x v="0"/>
    <x v="0"/>
    <n v="2239273703"/>
    <x v="1"/>
    <n v="29640"/>
    <x v="2"/>
    <x v="0"/>
    <x v="18"/>
    <x v="1"/>
    <x v="0"/>
    <x v="0"/>
    <x v="1"/>
    <x v="0"/>
  </r>
  <r>
    <x v="0"/>
    <x v="0"/>
    <n v="2239273704"/>
    <x v="0"/>
    <n v="1500"/>
    <x v="2"/>
    <x v="0"/>
    <x v="18"/>
    <x v="0"/>
    <x v="0"/>
    <x v="0"/>
    <x v="0"/>
    <x v="0"/>
  </r>
  <r>
    <x v="0"/>
    <x v="0"/>
    <n v="2239273705"/>
    <x v="1"/>
    <n v="29250"/>
    <x v="2"/>
    <x v="0"/>
    <x v="18"/>
    <x v="1"/>
    <x v="0"/>
    <x v="0"/>
    <x v="1"/>
    <x v="0"/>
  </r>
  <r>
    <x v="0"/>
    <x v="0"/>
    <n v="2239273706"/>
    <x v="7"/>
    <n v="6500"/>
    <x v="2"/>
    <x v="0"/>
    <x v="18"/>
    <x v="7"/>
    <x v="0"/>
    <x v="0"/>
    <x v="1"/>
    <x v="0"/>
  </r>
  <r>
    <x v="0"/>
    <x v="0"/>
    <n v="2239273707"/>
    <x v="1"/>
    <n v="25860"/>
    <x v="2"/>
    <x v="0"/>
    <x v="18"/>
    <x v="1"/>
    <x v="0"/>
    <x v="0"/>
    <x v="1"/>
    <x v="0"/>
  </r>
  <r>
    <x v="0"/>
    <x v="0"/>
    <n v="2239273708"/>
    <x v="7"/>
    <n v="3500"/>
    <x v="2"/>
    <x v="0"/>
    <x v="18"/>
    <x v="7"/>
    <x v="0"/>
    <x v="0"/>
    <x v="1"/>
    <x v="0"/>
  </r>
  <r>
    <x v="0"/>
    <x v="0"/>
    <n v="2239273709"/>
    <x v="0"/>
    <n v="1500"/>
    <x v="2"/>
    <x v="0"/>
    <x v="18"/>
    <x v="0"/>
    <x v="0"/>
    <x v="0"/>
    <x v="0"/>
    <x v="0"/>
  </r>
  <r>
    <x v="0"/>
    <x v="0"/>
    <n v="2239273710"/>
    <x v="7"/>
    <n v="4500"/>
    <x v="2"/>
    <x v="0"/>
    <x v="18"/>
    <x v="7"/>
    <x v="0"/>
    <x v="0"/>
    <x v="1"/>
    <x v="0"/>
  </r>
  <r>
    <x v="0"/>
    <x v="0"/>
    <n v="2239273711"/>
    <x v="7"/>
    <n v="7500"/>
    <x v="2"/>
    <x v="0"/>
    <x v="18"/>
    <x v="7"/>
    <x v="0"/>
    <x v="0"/>
    <x v="1"/>
    <x v="0"/>
  </r>
  <r>
    <x v="0"/>
    <x v="0"/>
    <n v="2239273712"/>
    <x v="7"/>
    <n v="7500"/>
    <x v="2"/>
    <x v="0"/>
    <x v="18"/>
    <x v="7"/>
    <x v="0"/>
    <x v="0"/>
    <x v="1"/>
    <x v="0"/>
  </r>
  <r>
    <x v="0"/>
    <x v="0"/>
    <n v="2239273713"/>
    <x v="7"/>
    <n v="4500"/>
    <x v="2"/>
    <x v="0"/>
    <x v="18"/>
    <x v="7"/>
    <x v="0"/>
    <x v="0"/>
    <x v="1"/>
    <x v="0"/>
  </r>
  <r>
    <x v="0"/>
    <x v="0"/>
    <n v="2239273714"/>
    <x v="1"/>
    <n v="28170"/>
    <x v="2"/>
    <x v="0"/>
    <x v="18"/>
    <x v="1"/>
    <x v="0"/>
    <x v="0"/>
    <x v="1"/>
    <x v="0"/>
  </r>
  <r>
    <x v="0"/>
    <x v="0"/>
    <n v="2239273715"/>
    <x v="0"/>
    <n v="1500"/>
    <x v="2"/>
    <x v="0"/>
    <x v="18"/>
    <x v="0"/>
    <x v="0"/>
    <x v="0"/>
    <x v="0"/>
    <x v="0"/>
  </r>
  <r>
    <x v="0"/>
    <x v="0"/>
    <n v="2239273716"/>
    <x v="1"/>
    <n v="29220"/>
    <x v="2"/>
    <x v="0"/>
    <x v="18"/>
    <x v="1"/>
    <x v="0"/>
    <x v="0"/>
    <x v="1"/>
    <x v="0"/>
  </r>
  <r>
    <x v="0"/>
    <x v="0"/>
    <n v="2239273717"/>
    <x v="7"/>
    <n v="2500"/>
    <x v="2"/>
    <x v="0"/>
    <x v="18"/>
    <x v="7"/>
    <x v="0"/>
    <x v="0"/>
    <x v="1"/>
    <x v="0"/>
  </r>
  <r>
    <x v="0"/>
    <x v="0"/>
    <n v="2239273718"/>
    <x v="1"/>
    <n v="3900"/>
    <x v="2"/>
    <x v="0"/>
    <x v="18"/>
    <x v="1"/>
    <x v="0"/>
    <x v="0"/>
    <x v="1"/>
    <x v="0"/>
  </r>
  <r>
    <x v="0"/>
    <x v="0"/>
    <n v="2239273719"/>
    <x v="7"/>
    <n v="3000"/>
    <x v="2"/>
    <x v="0"/>
    <x v="18"/>
    <x v="7"/>
    <x v="0"/>
    <x v="0"/>
    <x v="1"/>
    <x v="0"/>
  </r>
  <r>
    <x v="0"/>
    <x v="0"/>
    <n v="2239273720"/>
    <x v="1"/>
    <n v="3420"/>
    <x v="2"/>
    <x v="0"/>
    <x v="18"/>
    <x v="1"/>
    <x v="0"/>
    <x v="0"/>
    <x v="1"/>
    <x v="0"/>
  </r>
  <r>
    <x v="0"/>
    <x v="0"/>
    <n v="2239273721"/>
    <x v="7"/>
    <n v="3000"/>
    <x v="2"/>
    <x v="0"/>
    <x v="18"/>
    <x v="7"/>
    <x v="0"/>
    <x v="0"/>
    <x v="1"/>
    <x v="0"/>
  </r>
  <r>
    <x v="0"/>
    <x v="0"/>
    <n v="2239273722"/>
    <x v="7"/>
    <n v="7500"/>
    <x v="2"/>
    <x v="0"/>
    <x v="18"/>
    <x v="7"/>
    <x v="0"/>
    <x v="0"/>
    <x v="1"/>
    <x v="0"/>
  </r>
  <r>
    <x v="0"/>
    <x v="0"/>
    <n v="2239273723"/>
    <x v="7"/>
    <n v="7500"/>
    <x v="2"/>
    <x v="0"/>
    <x v="18"/>
    <x v="7"/>
    <x v="0"/>
    <x v="0"/>
    <x v="1"/>
    <x v="0"/>
  </r>
  <r>
    <x v="0"/>
    <x v="0"/>
    <n v="2239273724"/>
    <x v="7"/>
    <n v="3000"/>
    <x v="2"/>
    <x v="0"/>
    <x v="18"/>
    <x v="7"/>
    <x v="0"/>
    <x v="0"/>
    <x v="1"/>
    <x v="0"/>
  </r>
  <r>
    <x v="0"/>
    <x v="0"/>
    <n v="2239273725"/>
    <x v="7"/>
    <n v="7500"/>
    <x v="2"/>
    <x v="0"/>
    <x v="18"/>
    <x v="7"/>
    <x v="0"/>
    <x v="0"/>
    <x v="1"/>
    <x v="0"/>
  </r>
  <r>
    <x v="0"/>
    <x v="0"/>
    <n v="2239273726"/>
    <x v="7"/>
    <n v="3000"/>
    <x v="2"/>
    <x v="0"/>
    <x v="18"/>
    <x v="7"/>
    <x v="0"/>
    <x v="0"/>
    <x v="1"/>
    <x v="0"/>
  </r>
  <r>
    <x v="0"/>
    <x v="0"/>
    <n v="2239273727"/>
    <x v="1"/>
    <n v="1800"/>
    <x v="2"/>
    <x v="0"/>
    <x v="18"/>
    <x v="1"/>
    <x v="0"/>
    <x v="0"/>
    <x v="1"/>
    <x v="0"/>
  </r>
  <r>
    <x v="0"/>
    <x v="0"/>
    <n v="2239273728"/>
    <x v="1"/>
    <n v="2700"/>
    <x v="2"/>
    <x v="0"/>
    <x v="18"/>
    <x v="1"/>
    <x v="0"/>
    <x v="0"/>
    <x v="1"/>
    <x v="0"/>
  </r>
  <r>
    <x v="0"/>
    <x v="0"/>
    <n v="2239273730"/>
    <x v="1"/>
    <n v="900"/>
    <x v="2"/>
    <x v="0"/>
    <x v="18"/>
    <x v="1"/>
    <x v="0"/>
    <x v="0"/>
    <x v="1"/>
    <x v="0"/>
  </r>
  <r>
    <x v="0"/>
    <x v="0"/>
    <n v="2239273731"/>
    <x v="7"/>
    <n v="3000"/>
    <x v="2"/>
    <x v="0"/>
    <x v="18"/>
    <x v="7"/>
    <x v="0"/>
    <x v="0"/>
    <x v="1"/>
    <x v="0"/>
  </r>
  <r>
    <x v="0"/>
    <x v="0"/>
    <n v="2239273732"/>
    <x v="7"/>
    <n v="6500"/>
    <x v="2"/>
    <x v="0"/>
    <x v="18"/>
    <x v="7"/>
    <x v="0"/>
    <x v="0"/>
    <x v="1"/>
    <x v="0"/>
  </r>
  <r>
    <x v="0"/>
    <x v="0"/>
    <n v="2239273733"/>
    <x v="7"/>
    <n v="3000"/>
    <x v="2"/>
    <x v="0"/>
    <x v="18"/>
    <x v="7"/>
    <x v="0"/>
    <x v="0"/>
    <x v="1"/>
    <x v="0"/>
  </r>
  <r>
    <x v="0"/>
    <x v="0"/>
    <n v="2239273734"/>
    <x v="7"/>
    <n v="4500"/>
    <x v="2"/>
    <x v="0"/>
    <x v="18"/>
    <x v="7"/>
    <x v="0"/>
    <x v="0"/>
    <x v="1"/>
    <x v="0"/>
  </r>
  <r>
    <x v="0"/>
    <x v="0"/>
    <n v="2239273735"/>
    <x v="7"/>
    <n v="10500"/>
    <x v="2"/>
    <x v="0"/>
    <x v="18"/>
    <x v="7"/>
    <x v="0"/>
    <x v="0"/>
    <x v="1"/>
    <x v="0"/>
  </r>
  <r>
    <x v="0"/>
    <x v="0"/>
    <n v="2239273736"/>
    <x v="7"/>
    <n v="7500"/>
    <x v="2"/>
    <x v="0"/>
    <x v="18"/>
    <x v="7"/>
    <x v="0"/>
    <x v="0"/>
    <x v="1"/>
    <x v="0"/>
  </r>
  <r>
    <x v="0"/>
    <x v="0"/>
    <n v="2239273737"/>
    <x v="7"/>
    <n v="9000"/>
    <x v="2"/>
    <x v="0"/>
    <x v="18"/>
    <x v="7"/>
    <x v="0"/>
    <x v="0"/>
    <x v="1"/>
    <x v="0"/>
  </r>
  <r>
    <x v="0"/>
    <x v="0"/>
    <n v="2239273738"/>
    <x v="7"/>
    <n v="7500"/>
    <x v="2"/>
    <x v="0"/>
    <x v="18"/>
    <x v="7"/>
    <x v="0"/>
    <x v="0"/>
    <x v="1"/>
    <x v="0"/>
  </r>
  <r>
    <x v="0"/>
    <x v="0"/>
    <n v="2239273739"/>
    <x v="0"/>
    <n v="37770"/>
    <x v="2"/>
    <x v="0"/>
    <x v="18"/>
    <x v="0"/>
    <x v="0"/>
    <x v="0"/>
    <x v="0"/>
    <x v="0"/>
  </r>
  <r>
    <x v="0"/>
    <x v="0"/>
    <n v="2239273740"/>
    <x v="7"/>
    <n v="5000"/>
    <x v="2"/>
    <x v="0"/>
    <x v="18"/>
    <x v="7"/>
    <x v="0"/>
    <x v="0"/>
    <x v="1"/>
    <x v="0"/>
  </r>
  <r>
    <x v="0"/>
    <x v="0"/>
    <n v="2239273741"/>
    <x v="7"/>
    <n v="7500"/>
    <x v="2"/>
    <x v="0"/>
    <x v="18"/>
    <x v="7"/>
    <x v="0"/>
    <x v="0"/>
    <x v="1"/>
    <x v="0"/>
  </r>
  <r>
    <x v="0"/>
    <x v="0"/>
    <n v="2239273742"/>
    <x v="1"/>
    <n v="10380"/>
    <x v="2"/>
    <x v="0"/>
    <x v="18"/>
    <x v="1"/>
    <x v="0"/>
    <x v="0"/>
    <x v="1"/>
    <x v="0"/>
  </r>
  <r>
    <x v="0"/>
    <x v="0"/>
    <n v="2239273743"/>
    <x v="1"/>
    <n v="2280"/>
    <x v="2"/>
    <x v="0"/>
    <x v="18"/>
    <x v="1"/>
    <x v="0"/>
    <x v="0"/>
    <x v="1"/>
    <x v="0"/>
  </r>
  <r>
    <x v="0"/>
    <x v="0"/>
    <n v="2239273744"/>
    <x v="7"/>
    <n v="6500"/>
    <x v="2"/>
    <x v="0"/>
    <x v="18"/>
    <x v="7"/>
    <x v="0"/>
    <x v="0"/>
    <x v="1"/>
    <x v="0"/>
  </r>
  <r>
    <x v="0"/>
    <x v="0"/>
    <n v="2239273745"/>
    <x v="7"/>
    <n v="6500"/>
    <x v="2"/>
    <x v="0"/>
    <x v="18"/>
    <x v="7"/>
    <x v="0"/>
    <x v="0"/>
    <x v="1"/>
    <x v="0"/>
  </r>
  <r>
    <x v="0"/>
    <x v="0"/>
    <n v="2239273746"/>
    <x v="12"/>
    <n v="15500"/>
    <x v="2"/>
    <x v="0"/>
    <x v="18"/>
    <x v="12"/>
    <x v="0"/>
    <x v="0"/>
    <x v="0"/>
    <x v="0"/>
  </r>
  <r>
    <x v="0"/>
    <x v="0"/>
    <n v="2239273747"/>
    <x v="7"/>
    <n v="8000"/>
    <x v="2"/>
    <x v="0"/>
    <x v="18"/>
    <x v="7"/>
    <x v="0"/>
    <x v="0"/>
    <x v="1"/>
    <x v="0"/>
  </r>
  <r>
    <x v="0"/>
    <x v="0"/>
    <n v="2239273748"/>
    <x v="7"/>
    <n v="8000"/>
    <x v="2"/>
    <x v="0"/>
    <x v="18"/>
    <x v="7"/>
    <x v="0"/>
    <x v="0"/>
    <x v="1"/>
    <x v="0"/>
  </r>
  <r>
    <x v="0"/>
    <x v="0"/>
    <n v="2239273749"/>
    <x v="1"/>
    <n v="7230"/>
    <x v="2"/>
    <x v="0"/>
    <x v="18"/>
    <x v="1"/>
    <x v="0"/>
    <x v="0"/>
    <x v="1"/>
    <x v="0"/>
  </r>
  <r>
    <x v="0"/>
    <x v="0"/>
    <n v="2239273750"/>
    <x v="1"/>
    <n v="3300"/>
    <x v="2"/>
    <x v="0"/>
    <x v="18"/>
    <x v="1"/>
    <x v="0"/>
    <x v="0"/>
    <x v="1"/>
    <x v="0"/>
  </r>
  <r>
    <x v="0"/>
    <x v="0"/>
    <n v="2239273751"/>
    <x v="1"/>
    <n v="3150"/>
    <x v="2"/>
    <x v="0"/>
    <x v="18"/>
    <x v="1"/>
    <x v="0"/>
    <x v="0"/>
    <x v="1"/>
    <x v="0"/>
  </r>
  <r>
    <x v="0"/>
    <x v="0"/>
    <n v="2239273752"/>
    <x v="1"/>
    <n v="42110"/>
    <x v="2"/>
    <x v="0"/>
    <x v="18"/>
    <x v="1"/>
    <x v="0"/>
    <x v="0"/>
    <x v="1"/>
    <x v="0"/>
  </r>
  <r>
    <x v="0"/>
    <x v="0"/>
    <n v="2239273753"/>
    <x v="1"/>
    <n v="34150"/>
    <x v="2"/>
    <x v="0"/>
    <x v="18"/>
    <x v="1"/>
    <x v="0"/>
    <x v="0"/>
    <x v="1"/>
    <x v="0"/>
  </r>
  <r>
    <x v="0"/>
    <x v="0"/>
    <n v="2239273754"/>
    <x v="7"/>
    <n v="8000"/>
    <x v="2"/>
    <x v="0"/>
    <x v="18"/>
    <x v="7"/>
    <x v="0"/>
    <x v="0"/>
    <x v="1"/>
    <x v="0"/>
  </r>
  <r>
    <x v="0"/>
    <x v="0"/>
    <n v="2239273755"/>
    <x v="7"/>
    <n v="8000"/>
    <x v="2"/>
    <x v="0"/>
    <x v="18"/>
    <x v="7"/>
    <x v="0"/>
    <x v="0"/>
    <x v="1"/>
    <x v="0"/>
  </r>
  <r>
    <x v="0"/>
    <x v="0"/>
    <n v="2239273757"/>
    <x v="7"/>
    <n v="7500"/>
    <x v="2"/>
    <x v="0"/>
    <x v="18"/>
    <x v="7"/>
    <x v="0"/>
    <x v="0"/>
    <x v="1"/>
    <x v="0"/>
  </r>
  <r>
    <x v="0"/>
    <x v="0"/>
    <n v="2239273758"/>
    <x v="1"/>
    <n v="24270"/>
    <x v="2"/>
    <x v="0"/>
    <x v="18"/>
    <x v="1"/>
    <x v="0"/>
    <x v="0"/>
    <x v="1"/>
    <x v="0"/>
  </r>
  <r>
    <x v="0"/>
    <x v="0"/>
    <n v="2239273759"/>
    <x v="7"/>
    <n v="7500"/>
    <x v="2"/>
    <x v="0"/>
    <x v="18"/>
    <x v="7"/>
    <x v="0"/>
    <x v="0"/>
    <x v="1"/>
    <x v="0"/>
  </r>
  <r>
    <x v="0"/>
    <x v="0"/>
    <n v="2239273760"/>
    <x v="1"/>
    <n v="3150"/>
    <x v="2"/>
    <x v="0"/>
    <x v="18"/>
    <x v="1"/>
    <x v="0"/>
    <x v="0"/>
    <x v="1"/>
    <x v="0"/>
  </r>
  <r>
    <x v="0"/>
    <x v="0"/>
    <n v="2239273761"/>
    <x v="1"/>
    <n v="3300"/>
    <x v="2"/>
    <x v="0"/>
    <x v="18"/>
    <x v="1"/>
    <x v="0"/>
    <x v="0"/>
    <x v="1"/>
    <x v="0"/>
  </r>
  <r>
    <x v="0"/>
    <x v="0"/>
    <n v="2239273762"/>
    <x v="1"/>
    <n v="21550"/>
    <x v="2"/>
    <x v="0"/>
    <x v="18"/>
    <x v="1"/>
    <x v="0"/>
    <x v="0"/>
    <x v="1"/>
    <x v="0"/>
  </r>
  <r>
    <x v="0"/>
    <x v="0"/>
    <n v="2239273763"/>
    <x v="7"/>
    <n v="6500"/>
    <x v="2"/>
    <x v="0"/>
    <x v="18"/>
    <x v="7"/>
    <x v="0"/>
    <x v="0"/>
    <x v="1"/>
    <x v="0"/>
  </r>
  <r>
    <x v="0"/>
    <x v="0"/>
    <n v="2239273764"/>
    <x v="7"/>
    <n v="7500"/>
    <x v="2"/>
    <x v="0"/>
    <x v="18"/>
    <x v="7"/>
    <x v="0"/>
    <x v="0"/>
    <x v="1"/>
    <x v="0"/>
  </r>
  <r>
    <x v="0"/>
    <x v="0"/>
    <n v="2239273765"/>
    <x v="7"/>
    <n v="7500"/>
    <x v="2"/>
    <x v="0"/>
    <x v="18"/>
    <x v="7"/>
    <x v="0"/>
    <x v="0"/>
    <x v="1"/>
    <x v="0"/>
  </r>
  <r>
    <x v="0"/>
    <x v="0"/>
    <n v="2239273766"/>
    <x v="0"/>
    <n v="1500"/>
    <x v="2"/>
    <x v="0"/>
    <x v="18"/>
    <x v="0"/>
    <x v="0"/>
    <x v="0"/>
    <x v="0"/>
    <x v="0"/>
  </r>
  <r>
    <x v="0"/>
    <x v="0"/>
    <n v="2239273767"/>
    <x v="7"/>
    <n v="2500"/>
    <x v="2"/>
    <x v="0"/>
    <x v="18"/>
    <x v="7"/>
    <x v="0"/>
    <x v="0"/>
    <x v="1"/>
    <x v="0"/>
  </r>
  <r>
    <x v="0"/>
    <x v="0"/>
    <n v="2239273768"/>
    <x v="1"/>
    <n v="8250"/>
    <x v="2"/>
    <x v="0"/>
    <x v="18"/>
    <x v="1"/>
    <x v="0"/>
    <x v="0"/>
    <x v="1"/>
    <x v="0"/>
  </r>
  <r>
    <x v="0"/>
    <x v="0"/>
    <n v="2239273769"/>
    <x v="0"/>
    <n v="2250"/>
    <x v="2"/>
    <x v="0"/>
    <x v="18"/>
    <x v="0"/>
    <x v="0"/>
    <x v="0"/>
    <x v="0"/>
    <x v="0"/>
  </r>
  <r>
    <x v="0"/>
    <x v="0"/>
    <n v="2239273770"/>
    <x v="0"/>
    <n v="6300"/>
    <x v="2"/>
    <x v="0"/>
    <x v="18"/>
    <x v="0"/>
    <x v="0"/>
    <x v="0"/>
    <x v="0"/>
    <x v="0"/>
  </r>
  <r>
    <x v="0"/>
    <x v="0"/>
    <n v="2239273771"/>
    <x v="0"/>
    <n v="12630"/>
    <x v="2"/>
    <x v="0"/>
    <x v="18"/>
    <x v="0"/>
    <x v="0"/>
    <x v="0"/>
    <x v="0"/>
    <x v="0"/>
  </r>
  <r>
    <x v="0"/>
    <x v="0"/>
    <n v="2239273772"/>
    <x v="7"/>
    <n v="7500"/>
    <x v="2"/>
    <x v="0"/>
    <x v="18"/>
    <x v="7"/>
    <x v="0"/>
    <x v="0"/>
    <x v="1"/>
    <x v="0"/>
  </r>
  <r>
    <x v="0"/>
    <x v="0"/>
    <n v="2239273773"/>
    <x v="1"/>
    <n v="36200"/>
    <x v="2"/>
    <x v="0"/>
    <x v="18"/>
    <x v="1"/>
    <x v="0"/>
    <x v="0"/>
    <x v="1"/>
    <x v="0"/>
  </r>
  <r>
    <x v="0"/>
    <x v="0"/>
    <n v="2239273774"/>
    <x v="7"/>
    <n v="10500"/>
    <x v="2"/>
    <x v="0"/>
    <x v="18"/>
    <x v="7"/>
    <x v="0"/>
    <x v="0"/>
    <x v="1"/>
    <x v="0"/>
  </r>
  <r>
    <x v="0"/>
    <x v="0"/>
    <n v="2239273775"/>
    <x v="0"/>
    <n v="11640"/>
    <x v="2"/>
    <x v="0"/>
    <x v="18"/>
    <x v="0"/>
    <x v="0"/>
    <x v="0"/>
    <x v="0"/>
    <x v="0"/>
  </r>
  <r>
    <x v="0"/>
    <x v="0"/>
    <n v="2239273776"/>
    <x v="1"/>
    <n v="25870"/>
    <x v="2"/>
    <x v="0"/>
    <x v="18"/>
    <x v="1"/>
    <x v="0"/>
    <x v="0"/>
    <x v="1"/>
    <x v="0"/>
  </r>
  <r>
    <x v="0"/>
    <x v="0"/>
    <n v="2239273777"/>
    <x v="0"/>
    <n v="14700"/>
    <x v="2"/>
    <x v="0"/>
    <x v="18"/>
    <x v="0"/>
    <x v="0"/>
    <x v="0"/>
    <x v="0"/>
    <x v="0"/>
  </r>
  <r>
    <x v="0"/>
    <x v="0"/>
    <n v="2239273778"/>
    <x v="0"/>
    <n v="1500"/>
    <x v="2"/>
    <x v="0"/>
    <x v="18"/>
    <x v="0"/>
    <x v="0"/>
    <x v="0"/>
    <x v="0"/>
    <x v="0"/>
  </r>
  <r>
    <x v="0"/>
    <x v="0"/>
    <n v="2239273779"/>
    <x v="7"/>
    <n v="6500"/>
    <x v="2"/>
    <x v="0"/>
    <x v="18"/>
    <x v="7"/>
    <x v="0"/>
    <x v="0"/>
    <x v="1"/>
    <x v="0"/>
  </r>
  <r>
    <x v="0"/>
    <x v="0"/>
    <n v="2239273780"/>
    <x v="1"/>
    <n v="3150"/>
    <x v="2"/>
    <x v="0"/>
    <x v="18"/>
    <x v="1"/>
    <x v="0"/>
    <x v="0"/>
    <x v="1"/>
    <x v="0"/>
  </r>
  <r>
    <x v="0"/>
    <x v="0"/>
    <n v="2239273781"/>
    <x v="6"/>
    <n v="7500"/>
    <x v="2"/>
    <x v="0"/>
    <x v="18"/>
    <x v="6"/>
    <x v="0"/>
    <x v="0"/>
    <x v="5"/>
    <x v="0"/>
  </r>
  <r>
    <x v="0"/>
    <x v="0"/>
    <n v="2239273782"/>
    <x v="0"/>
    <n v="4200"/>
    <x v="2"/>
    <x v="0"/>
    <x v="18"/>
    <x v="0"/>
    <x v="0"/>
    <x v="0"/>
    <x v="0"/>
    <x v="0"/>
  </r>
  <r>
    <x v="0"/>
    <x v="0"/>
    <n v="2239273783"/>
    <x v="0"/>
    <n v="1500"/>
    <x v="2"/>
    <x v="0"/>
    <x v="18"/>
    <x v="0"/>
    <x v="0"/>
    <x v="0"/>
    <x v="0"/>
    <x v="0"/>
  </r>
  <r>
    <x v="0"/>
    <x v="0"/>
    <n v="2239273784"/>
    <x v="1"/>
    <n v="900"/>
    <x v="2"/>
    <x v="0"/>
    <x v="18"/>
    <x v="1"/>
    <x v="0"/>
    <x v="0"/>
    <x v="1"/>
    <x v="0"/>
  </r>
  <r>
    <x v="0"/>
    <x v="0"/>
    <n v="2239273785"/>
    <x v="7"/>
    <n v="4500"/>
    <x v="2"/>
    <x v="0"/>
    <x v="18"/>
    <x v="7"/>
    <x v="0"/>
    <x v="0"/>
    <x v="1"/>
    <x v="0"/>
  </r>
  <r>
    <x v="0"/>
    <x v="0"/>
    <n v="2239273786"/>
    <x v="7"/>
    <n v="7500"/>
    <x v="2"/>
    <x v="0"/>
    <x v="18"/>
    <x v="7"/>
    <x v="0"/>
    <x v="0"/>
    <x v="1"/>
    <x v="0"/>
  </r>
  <r>
    <x v="0"/>
    <x v="0"/>
    <n v="2239273787"/>
    <x v="7"/>
    <n v="3000"/>
    <x v="2"/>
    <x v="0"/>
    <x v="18"/>
    <x v="7"/>
    <x v="0"/>
    <x v="0"/>
    <x v="1"/>
    <x v="0"/>
  </r>
  <r>
    <x v="0"/>
    <x v="0"/>
    <n v="2239273788"/>
    <x v="7"/>
    <n v="7500"/>
    <x v="2"/>
    <x v="0"/>
    <x v="18"/>
    <x v="7"/>
    <x v="0"/>
    <x v="0"/>
    <x v="1"/>
    <x v="0"/>
  </r>
  <r>
    <x v="0"/>
    <x v="0"/>
    <n v="2239273789"/>
    <x v="7"/>
    <n v="7500"/>
    <x v="2"/>
    <x v="0"/>
    <x v="18"/>
    <x v="7"/>
    <x v="0"/>
    <x v="0"/>
    <x v="1"/>
    <x v="0"/>
  </r>
  <r>
    <x v="0"/>
    <x v="0"/>
    <n v="2239273790"/>
    <x v="1"/>
    <n v="11800"/>
    <x v="2"/>
    <x v="0"/>
    <x v="18"/>
    <x v="1"/>
    <x v="0"/>
    <x v="0"/>
    <x v="1"/>
    <x v="0"/>
  </r>
  <r>
    <x v="0"/>
    <x v="0"/>
    <n v="2239273791"/>
    <x v="7"/>
    <n v="10500"/>
    <x v="2"/>
    <x v="0"/>
    <x v="18"/>
    <x v="7"/>
    <x v="0"/>
    <x v="0"/>
    <x v="1"/>
    <x v="0"/>
  </r>
  <r>
    <x v="0"/>
    <x v="0"/>
    <n v="2239273792"/>
    <x v="7"/>
    <n v="9000"/>
    <x v="2"/>
    <x v="0"/>
    <x v="18"/>
    <x v="7"/>
    <x v="0"/>
    <x v="0"/>
    <x v="1"/>
    <x v="0"/>
  </r>
  <r>
    <x v="0"/>
    <x v="0"/>
    <n v="2239273793"/>
    <x v="7"/>
    <n v="9000"/>
    <x v="2"/>
    <x v="0"/>
    <x v="18"/>
    <x v="7"/>
    <x v="0"/>
    <x v="0"/>
    <x v="1"/>
    <x v="0"/>
  </r>
  <r>
    <x v="0"/>
    <x v="0"/>
    <n v="2239273794"/>
    <x v="7"/>
    <n v="9000"/>
    <x v="2"/>
    <x v="0"/>
    <x v="18"/>
    <x v="7"/>
    <x v="0"/>
    <x v="0"/>
    <x v="1"/>
    <x v="0"/>
  </r>
  <r>
    <x v="0"/>
    <x v="0"/>
    <n v="2239273795"/>
    <x v="7"/>
    <n v="9000"/>
    <x v="2"/>
    <x v="0"/>
    <x v="18"/>
    <x v="7"/>
    <x v="0"/>
    <x v="0"/>
    <x v="1"/>
    <x v="0"/>
  </r>
  <r>
    <x v="0"/>
    <x v="0"/>
    <n v="2239273796"/>
    <x v="7"/>
    <n v="4500"/>
    <x v="2"/>
    <x v="0"/>
    <x v="18"/>
    <x v="7"/>
    <x v="0"/>
    <x v="0"/>
    <x v="1"/>
    <x v="0"/>
  </r>
  <r>
    <x v="0"/>
    <x v="0"/>
    <n v="2239273797"/>
    <x v="7"/>
    <n v="15500"/>
    <x v="2"/>
    <x v="0"/>
    <x v="18"/>
    <x v="7"/>
    <x v="0"/>
    <x v="0"/>
    <x v="1"/>
    <x v="0"/>
  </r>
  <r>
    <x v="0"/>
    <x v="0"/>
    <n v="2239273798"/>
    <x v="6"/>
    <n v="18600"/>
    <x v="2"/>
    <x v="0"/>
    <x v="18"/>
    <x v="6"/>
    <x v="0"/>
    <x v="0"/>
    <x v="5"/>
    <x v="0"/>
  </r>
  <r>
    <x v="0"/>
    <x v="0"/>
    <n v="2239273799"/>
    <x v="7"/>
    <n v="4500"/>
    <x v="2"/>
    <x v="0"/>
    <x v="18"/>
    <x v="7"/>
    <x v="0"/>
    <x v="0"/>
    <x v="1"/>
    <x v="0"/>
  </r>
  <r>
    <x v="0"/>
    <x v="0"/>
    <n v="2239273800"/>
    <x v="1"/>
    <n v="11820"/>
    <x v="2"/>
    <x v="0"/>
    <x v="18"/>
    <x v="1"/>
    <x v="0"/>
    <x v="0"/>
    <x v="1"/>
    <x v="0"/>
  </r>
  <r>
    <x v="0"/>
    <x v="0"/>
    <n v="2239273801"/>
    <x v="7"/>
    <n v="10500"/>
    <x v="2"/>
    <x v="0"/>
    <x v="18"/>
    <x v="7"/>
    <x v="0"/>
    <x v="0"/>
    <x v="1"/>
    <x v="0"/>
  </r>
  <r>
    <x v="0"/>
    <x v="0"/>
    <n v="2239273802"/>
    <x v="7"/>
    <n v="7500"/>
    <x v="2"/>
    <x v="0"/>
    <x v="18"/>
    <x v="7"/>
    <x v="0"/>
    <x v="0"/>
    <x v="1"/>
    <x v="0"/>
  </r>
  <r>
    <x v="0"/>
    <x v="0"/>
    <n v="2239273803"/>
    <x v="0"/>
    <n v="1950"/>
    <x v="2"/>
    <x v="0"/>
    <x v="18"/>
    <x v="0"/>
    <x v="0"/>
    <x v="0"/>
    <x v="0"/>
    <x v="0"/>
  </r>
  <r>
    <x v="0"/>
    <x v="0"/>
    <n v="2239273804"/>
    <x v="1"/>
    <n v="17520"/>
    <x v="2"/>
    <x v="0"/>
    <x v="18"/>
    <x v="1"/>
    <x v="0"/>
    <x v="0"/>
    <x v="1"/>
    <x v="0"/>
  </r>
  <r>
    <x v="0"/>
    <x v="0"/>
    <n v="2239273805"/>
    <x v="7"/>
    <n v="4500"/>
    <x v="2"/>
    <x v="0"/>
    <x v="18"/>
    <x v="7"/>
    <x v="0"/>
    <x v="0"/>
    <x v="1"/>
    <x v="0"/>
  </r>
  <r>
    <x v="0"/>
    <x v="0"/>
    <n v="2239273806"/>
    <x v="1"/>
    <n v="8970"/>
    <x v="2"/>
    <x v="0"/>
    <x v="18"/>
    <x v="1"/>
    <x v="0"/>
    <x v="0"/>
    <x v="1"/>
    <x v="0"/>
  </r>
  <r>
    <x v="0"/>
    <x v="0"/>
    <n v="2239273807"/>
    <x v="7"/>
    <n v="3000"/>
    <x v="2"/>
    <x v="0"/>
    <x v="18"/>
    <x v="7"/>
    <x v="0"/>
    <x v="0"/>
    <x v="1"/>
    <x v="0"/>
  </r>
  <r>
    <x v="0"/>
    <x v="0"/>
    <n v="2239273808"/>
    <x v="1"/>
    <n v="29420"/>
    <x v="2"/>
    <x v="0"/>
    <x v="18"/>
    <x v="1"/>
    <x v="0"/>
    <x v="0"/>
    <x v="1"/>
    <x v="0"/>
  </r>
  <r>
    <x v="0"/>
    <x v="0"/>
    <n v="2239273809"/>
    <x v="1"/>
    <n v="13740"/>
    <x v="2"/>
    <x v="0"/>
    <x v="18"/>
    <x v="1"/>
    <x v="0"/>
    <x v="0"/>
    <x v="1"/>
    <x v="0"/>
  </r>
  <r>
    <x v="0"/>
    <x v="0"/>
    <n v="2239273810"/>
    <x v="7"/>
    <n v="6500"/>
    <x v="2"/>
    <x v="0"/>
    <x v="18"/>
    <x v="7"/>
    <x v="0"/>
    <x v="0"/>
    <x v="1"/>
    <x v="0"/>
  </r>
  <r>
    <x v="0"/>
    <x v="0"/>
    <n v="2239273812"/>
    <x v="7"/>
    <n v="7500"/>
    <x v="2"/>
    <x v="0"/>
    <x v="18"/>
    <x v="7"/>
    <x v="0"/>
    <x v="0"/>
    <x v="1"/>
    <x v="0"/>
  </r>
  <r>
    <x v="0"/>
    <x v="0"/>
    <n v="2239273813"/>
    <x v="0"/>
    <n v="13000"/>
    <x v="2"/>
    <x v="0"/>
    <x v="18"/>
    <x v="0"/>
    <x v="0"/>
    <x v="0"/>
    <x v="0"/>
    <x v="0"/>
  </r>
  <r>
    <x v="0"/>
    <x v="0"/>
    <n v="2239273814"/>
    <x v="1"/>
    <n v="1800"/>
    <x v="2"/>
    <x v="0"/>
    <x v="18"/>
    <x v="1"/>
    <x v="0"/>
    <x v="0"/>
    <x v="1"/>
    <x v="0"/>
  </r>
  <r>
    <x v="0"/>
    <x v="0"/>
    <n v="2239273815"/>
    <x v="0"/>
    <n v="1500"/>
    <x v="2"/>
    <x v="0"/>
    <x v="18"/>
    <x v="0"/>
    <x v="0"/>
    <x v="0"/>
    <x v="0"/>
    <x v="0"/>
  </r>
  <r>
    <x v="0"/>
    <x v="0"/>
    <n v="2239273816"/>
    <x v="0"/>
    <n v="61500"/>
    <x v="2"/>
    <x v="0"/>
    <x v="18"/>
    <x v="0"/>
    <x v="0"/>
    <x v="0"/>
    <x v="0"/>
    <x v="0"/>
  </r>
  <r>
    <x v="0"/>
    <x v="0"/>
    <n v="2239273817"/>
    <x v="1"/>
    <n v="7440"/>
    <x v="2"/>
    <x v="0"/>
    <x v="18"/>
    <x v="1"/>
    <x v="0"/>
    <x v="0"/>
    <x v="1"/>
    <x v="0"/>
  </r>
  <r>
    <x v="0"/>
    <x v="0"/>
    <n v="2239273818"/>
    <x v="0"/>
    <n v="1500"/>
    <x v="2"/>
    <x v="0"/>
    <x v="18"/>
    <x v="0"/>
    <x v="0"/>
    <x v="0"/>
    <x v="0"/>
    <x v="0"/>
  </r>
  <r>
    <x v="0"/>
    <x v="0"/>
    <n v="2239273819"/>
    <x v="7"/>
    <n v="3000"/>
    <x v="2"/>
    <x v="0"/>
    <x v="18"/>
    <x v="7"/>
    <x v="0"/>
    <x v="0"/>
    <x v="1"/>
    <x v="0"/>
  </r>
  <r>
    <x v="0"/>
    <x v="0"/>
    <n v="2239273820"/>
    <x v="7"/>
    <n v="3800"/>
    <x v="2"/>
    <x v="0"/>
    <x v="18"/>
    <x v="7"/>
    <x v="0"/>
    <x v="0"/>
    <x v="1"/>
    <x v="0"/>
  </r>
  <r>
    <x v="0"/>
    <x v="0"/>
    <n v="2239273821"/>
    <x v="7"/>
    <n v="7500"/>
    <x v="2"/>
    <x v="0"/>
    <x v="18"/>
    <x v="7"/>
    <x v="0"/>
    <x v="0"/>
    <x v="1"/>
    <x v="0"/>
  </r>
  <r>
    <x v="0"/>
    <x v="0"/>
    <n v="2239273822"/>
    <x v="7"/>
    <n v="6500"/>
    <x v="2"/>
    <x v="0"/>
    <x v="18"/>
    <x v="7"/>
    <x v="0"/>
    <x v="0"/>
    <x v="1"/>
    <x v="0"/>
  </r>
  <r>
    <x v="0"/>
    <x v="0"/>
    <n v="2239273823"/>
    <x v="7"/>
    <n v="3000"/>
    <x v="2"/>
    <x v="0"/>
    <x v="18"/>
    <x v="7"/>
    <x v="0"/>
    <x v="0"/>
    <x v="1"/>
    <x v="0"/>
  </r>
  <r>
    <x v="0"/>
    <x v="0"/>
    <n v="2239273824"/>
    <x v="1"/>
    <n v="4950"/>
    <x v="2"/>
    <x v="0"/>
    <x v="18"/>
    <x v="1"/>
    <x v="0"/>
    <x v="0"/>
    <x v="1"/>
    <x v="0"/>
  </r>
  <r>
    <x v="0"/>
    <x v="0"/>
    <n v="2239273825"/>
    <x v="7"/>
    <n v="15000"/>
    <x v="2"/>
    <x v="0"/>
    <x v="18"/>
    <x v="7"/>
    <x v="0"/>
    <x v="0"/>
    <x v="1"/>
    <x v="0"/>
  </r>
  <r>
    <x v="0"/>
    <x v="0"/>
    <n v="2239273826"/>
    <x v="1"/>
    <n v="12940"/>
    <x v="2"/>
    <x v="0"/>
    <x v="18"/>
    <x v="1"/>
    <x v="0"/>
    <x v="0"/>
    <x v="1"/>
    <x v="0"/>
  </r>
  <r>
    <x v="0"/>
    <x v="0"/>
    <n v="2239273827"/>
    <x v="0"/>
    <n v="2280"/>
    <x v="2"/>
    <x v="0"/>
    <x v="18"/>
    <x v="0"/>
    <x v="0"/>
    <x v="0"/>
    <x v="0"/>
    <x v="0"/>
  </r>
  <r>
    <x v="0"/>
    <x v="0"/>
    <n v="2239273828"/>
    <x v="7"/>
    <n v="2000"/>
    <x v="2"/>
    <x v="0"/>
    <x v="18"/>
    <x v="7"/>
    <x v="0"/>
    <x v="0"/>
    <x v="1"/>
    <x v="0"/>
  </r>
  <r>
    <x v="0"/>
    <x v="0"/>
    <n v="2239273829"/>
    <x v="1"/>
    <n v="11520"/>
    <x v="2"/>
    <x v="0"/>
    <x v="18"/>
    <x v="1"/>
    <x v="0"/>
    <x v="0"/>
    <x v="1"/>
    <x v="0"/>
  </r>
  <r>
    <x v="0"/>
    <x v="0"/>
    <n v="2239273830"/>
    <x v="0"/>
    <n v="1140"/>
    <x v="2"/>
    <x v="0"/>
    <x v="18"/>
    <x v="0"/>
    <x v="0"/>
    <x v="0"/>
    <x v="0"/>
    <x v="0"/>
  </r>
  <r>
    <x v="0"/>
    <x v="0"/>
    <n v="2239273831"/>
    <x v="7"/>
    <n v="50500"/>
    <x v="2"/>
    <x v="0"/>
    <x v="18"/>
    <x v="7"/>
    <x v="0"/>
    <x v="0"/>
    <x v="1"/>
    <x v="0"/>
  </r>
  <r>
    <x v="0"/>
    <x v="0"/>
    <n v="2239273832"/>
    <x v="3"/>
    <n v="7090"/>
    <x v="2"/>
    <x v="0"/>
    <x v="18"/>
    <x v="3"/>
    <x v="0"/>
    <x v="0"/>
    <x v="3"/>
    <x v="0"/>
  </r>
  <r>
    <x v="0"/>
    <x v="0"/>
    <n v="2239273833"/>
    <x v="2"/>
    <n v="14168"/>
    <x v="2"/>
    <x v="0"/>
    <x v="18"/>
    <x v="2"/>
    <x v="0"/>
    <x v="0"/>
    <x v="2"/>
    <x v="0"/>
  </r>
  <r>
    <x v="0"/>
    <x v="0"/>
    <n v="2239273834"/>
    <x v="2"/>
    <n v="21252"/>
    <x v="2"/>
    <x v="0"/>
    <x v="18"/>
    <x v="2"/>
    <x v="0"/>
    <x v="0"/>
    <x v="2"/>
    <x v="0"/>
  </r>
  <r>
    <x v="0"/>
    <x v="0"/>
    <n v="2239273835"/>
    <x v="2"/>
    <n v="28336"/>
    <x v="2"/>
    <x v="0"/>
    <x v="18"/>
    <x v="2"/>
    <x v="0"/>
    <x v="0"/>
    <x v="2"/>
    <x v="0"/>
  </r>
  <r>
    <x v="0"/>
    <x v="0"/>
    <n v="2239273836"/>
    <x v="6"/>
    <n v="15900"/>
    <x v="2"/>
    <x v="0"/>
    <x v="18"/>
    <x v="6"/>
    <x v="0"/>
    <x v="0"/>
    <x v="5"/>
    <x v="0"/>
  </r>
  <r>
    <x v="0"/>
    <x v="0"/>
    <n v="2239273837"/>
    <x v="7"/>
    <n v="3000"/>
    <x v="2"/>
    <x v="0"/>
    <x v="18"/>
    <x v="7"/>
    <x v="0"/>
    <x v="0"/>
    <x v="1"/>
    <x v="0"/>
  </r>
  <r>
    <x v="0"/>
    <x v="0"/>
    <n v="2239273839"/>
    <x v="2"/>
    <n v="3000"/>
    <x v="2"/>
    <x v="0"/>
    <x v="18"/>
    <x v="2"/>
    <x v="0"/>
    <x v="0"/>
    <x v="2"/>
    <x v="0"/>
  </r>
  <r>
    <x v="0"/>
    <x v="0"/>
    <n v="2239273840"/>
    <x v="6"/>
    <n v="5850"/>
    <x v="2"/>
    <x v="0"/>
    <x v="18"/>
    <x v="6"/>
    <x v="0"/>
    <x v="0"/>
    <x v="5"/>
    <x v="0"/>
  </r>
  <r>
    <x v="0"/>
    <x v="0"/>
    <n v="2239273840"/>
    <x v="7"/>
    <n v="650"/>
    <x v="2"/>
    <x v="0"/>
    <x v="18"/>
    <x v="7"/>
    <x v="0"/>
    <x v="0"/>
    <x v="1"/>
    <x v="0"/>
  </r>
  <r>
    <x v="0"/>
    <x v="0"/>
    <n v="2239273841"/>
    <x v="7"/>
    <n v="2500"/>
    <x v="2"/>
    <x v="0"/>
    <x v="18"/>
    <x v="7"/>
    <x v="0"/>
    <x v="0"/>
    <x v="1"/>
    <x v="0"/>
  </r>
  <r>
    <x v="0"/>
    <x v="0"/>
    <n v="2239273842"/>
    <x v="1"/>
    <n v="1140"/>
    <x v="2"/>
    <x v="0"/>
    <x v="18"/>
    <x v="1"/>
    <x v="0"/>
    <x v="0"/>
    <x v="1"/>
    <x v="0"/>
  </r>
  <r>
    <x v="0"/>
    <x v="0"/>
    <n v="2239273843"/>
    <x v="7"/>
    <n v="5000"/>
    <x v="2"/>
    <x v="0"/>
    <x v="18"/>
    <x v="7"/>
    <x v="0"/>
    <x v="0"/>
    <x v="1"/>
    <x v="0"/>
  </r>
  <r>
    <x v="0"/>
    <x v="0"/>
    <n v="2239273844"/>
    <x v="1"/>
    <n v="1140"/>
    <x v="2"/>
    <x v="0"/>
    <x v="18"/>
    <x v="1"/>
    <x v="0"/>
    <x v="0"/>
    <x v="1"/>
    <x v="0"/>
  </r>
  <r>
    <x v="0"/>
    <x v="0"/>
    <n v="2239273845"/>
    <x v="1"/>
    <n v="1350"/>
    <x v="2"/>
    <x v="0"/>
    <x v="18"/>
    <x v="1"/>
    <x v="0"/>
    <x v="0"/>
    <x v="1"/>
    <x v="0"/>
  </r>
  <r>
    <x v="0"/>
    <x v="0"/>
    <n v="2239273849"/>
    <x v="7"/>
    <n v="8000"/>
    <x v="2"/>
    <x v="0"/>
    <x v="18"/>
    <x v="7"/>
    <x v="0"/>
    <x v="0"/>
    <x v="1"/>
    <x v="0"/>
  </r>
  <r>
    <x v="0"/>
    <x v="0"/>
    <n v="2239273850"/>
    <x v="6"/>
    <n v="5850"/>
    <x v="2"/>
    <x v="0"/>
    <x v="18"/>
    <x v="6"/>
    <x v="0"/>
    <x v="0"/>
    <x v="5"/>
    <x v="0"/>
  </r>
  <r>
    <x v="0"/>
    <x v="0"/>
    <n v="2239273850"/>
    <x v="7"/>
    <n v="650"/>
    <x v="2"/>
    <x v="0"/>
    <x v="18"/>
    <x v="7"/>
    <x v="0"/>
    <x v="0"/>
    <x v="1"/>
    <x v="0"/>
  </r>
  <r>
    <x v="0"/>
    <x v="0"/>
    <n v="2239273851"/>
    <x v="7"/>
    <n v="6000"/>
    <x v="2"/>
    <x v="0"/>
    <x v="18"/>
    <x v="7"/>
    <x v="0"/>
    <x v="0"/>
    <x v="1"/>
    <x v="0"/>
  </r>
  <r>
    <x v="0"/>
    <x v="0"/>
    <n v="2239273852"/>
    <x v="6"/>
    <n v="8000"/>
    <x v="2"/>
    <x v="0"/>
    <x v="18"/>
    <x v="6"/>
    <x v="0"/>
    <x v="0"/>
    <x v="5"/>
    <x v="0"/>
  </r>
  <r>
    <x v="0"/>
    <x v="0"/>
    <n v="2239273853"/>
    <x v="7"/>
    <n v="4500"/>
    <x v="2"/>
    <x v="0"/>
    <x v="18"/>
    <x v="7"/>
    <x v="0"/>
    <x v="0"/>
    <x v="1"/>
    <x v="0"/>
  </r>
  <r>
    <x v="0"/>
    <x v="0"/>
    <n v="2239273855"/>
    <x v="6"/>
    <n v="3000"/>
    <x v="2"/>
    <x v="0"/>
    <x v="18"/>
    <x v="6"/>
    <x v="0"/>
    <x v="0"/>
    <x v="5"/>
    <x v="0"/>
  </r>
  <r>
    <x v="0"/>
    <x v="0"/>
    <n v="2239273856"/>
    <x v="2"/>
    <n v="4500"/>
    <x v="2"/>
    <x v="0"/>
    <x v="18"/>
    <x v="2"/>
    <x v="0"/>
    <x v="0"/>
    <x v="2"/>
    <x v="0"/>
  </r>
  <r>
    <x v="0"/>
    <x v="0"/>
    <n v="2239273857"/>
    <x v="6"/>
    <n v="4000"/>
    <x v="2"/>
    <x v="0"/>
    <x v="18"/>
    <x v="6"/>
    <x v="0"/>
    <x v="0"/>
    <x v="5"/>
    <x v="0"/>
  </r>
  <r>
    <x v="0"/>
    <x v="0"/>
    <n v="2239273858"/>
    <x v="3"/>
    <n v="22220"/>
    <x v="2"/>
    <x v="0"/>
    <x v="18"/>
    <x v="3"/>
    <x v="0"/>
    <x v="0"/>
    <x v="3"/>
    <x v="0"/>
  </r>
  <r>
    <x v="0"/>
    <x v="0"/>
    <n v="2239273859"/>
    <x v="6"/>
    <n v="5500"/>
    <x v="2"/>
    <x v="0"/>
    <x v="18"/>
    <x v="6"/>
    <x v="0"/>
    <x v="0"/>
    <x v="5"/>
    <x v="0"/>
  </r>
  <r>
    <x v="0"/>
    <x v="0"/>
    <n v="2239273860"/>
    <x v="7"/>
    <n v="4500"/>
    <x v="2"/>
    <x v="0"/>
    <x v="18"/>
    <x v="7"/>
    <x v="0"/>
    <x v="0"/>
    <x v="1"/>
    <x v="0"/>
  </r>
  <r>
    <x v="0"/>
    <x v="0"/>
    <n v="2239273861"/>
    <x v="6"/>
    <n v="20950"/>
    <x v="2"/>
    <x v="0"/>
    <x v="18"/>
    <x v="6"/>
    <x v="0"/>
    <x v="0"/>
    <x v="5"/>
    <x v="0"/>
  </r>
  <r>
    <x v="0"/>
    <x v="0"/>
    <n v="2239273862"/>
    <x v="3"/>
    <n v="2400"/>
    <x v="2"/>
    <x v="0"/>
    <x v="18"/>
    <x v="3"/>
    <x v="0"/>
    <x v="0"/>
    <x v="3"/>
    <x v="0"/>
  </r>
  <r>
    <x v="0"/>
    <x v="0"/>
    <n v="2239273862"/>
    <x v="7"/>
    <n v="2400"/>
    <x v="2"/>
    <x v="0"/>
    <x v="18"/>
    <x v="7"/>
    <x v="0"/>
    <x v="0"/>
    <x v="1"/>
    <x v="0"/>
  </r>
  <r>
    <x v="0"/>
    <x v="0"/>
    <n v="2239273863"/>
    <x v="3"/>
    <n v="35805"/>
    <x v="2"/>
    <x v="0"/>
    <x v="18"/>
    <x v="3"/>
    <x v="0"/>
    <x v="0"/>
    <x v="3"/>
    <x v="0"/>
  </r>
  <r>
    <x v="0"/>
    <x v="0"/>
    <n v="2239273864"/>
    <x v="1"/>
    <n v="26540"/>
    <x v="2"/>
    <x v="0"/>
    <x v="18"/>
    <x v="1"/>
    <x v="0"/>
    <x v="0"/>
    <x v="1"/>
    <x v="0"/>
  </r>
  <r>
    <x v="0"/>
    <x v="0"/>
    <n v="2239273865"/>
    <x v="1"/>
    <n v="2280"/>
    <x v="2"/>
    <x v="0"/>
    <x v="18"/>
    <x v="1"/>
    <x v="0"/>
    <x v="0"/>
    <x v="1"/>
    <x v="0"/>
  </r>
  <r>
    <x v="0"/>
    <x v="0"/>
    <n v="2239273866"/>
    <x v="1"/>
    <n v="9990"/>
    <x v="2"/>
    <x v="0"/>
    <x v="18"/>
    <x v="1"/>
    <x v="0"/>
    <x v="0"/>
    <x v="1"/>
    <x v="0"/>
  </r>
  <r>
    <x v="0"/>
    <x v="0"/>
    <n v="2239273867"/>
    <x v="1"/>
    <n v="4500"/>
    <x v="2"/>
    <x v="0"/>
    <x v="18"/>
    <x v="1"/>
    <x v="0"/>
    <x v="0"/>
    <x v="1"/>
    <x v="0"/>
  </r>
  <r>
    <x v="0"/>
    <x v="0"/>
    <n v="2239273869"/>
    <x v="2"/>
    <n v="32560"/>
    <x v="2"/>
    <x v="0"/>
    <x v="18"/>
    <x v="2"/>
    <x v="0"/>
    <x v="0"/>
    <x v="2"/>
    <x v="0"/>
  </r>
  <r>
    <x v="0"/>
    <x v="0"/>
    <n v="2239273870"/>
    <x v="6"/>
    <n v="2650"/>
    <x v="2"/>
    <x v="0"/>
    <x v="18"/>
    <x v="6"/>
    <x v="0"/>
    <x v="0"/>
    <x v="5"/>
    <x v="0"/>
  </r>
  <r>
    <x v="0"/>
    <x v="0"/>
    <n v="2239273871"/>
    <x v="1"/>
    <n v="900"/>
    <x v="2"/>
    <x v="0"/>
    <x v="18"/>
    <x v="1"/>
    <x v="0"/>
    <x v="0"/>
    <x v="1"/>
    <x v="0"/>
  </r>
  <r>
    <x v="0"/>
    <x v="0"/>
    <n v="2239273872"/>
    <x v="7"/>
    <n v="6500"/>
    <x v="2"/>
    <x v="0"/>
    <x v="18"/>
    <x v="7"/>
    <x v="0"/>
    <x v="0"/>
    <x v="1"/>
    <x v="0"/>
  </r>
  <r>
    <x v="0"/>
    <x v="0"/>
    <n v="2239273873"/>
    <x v="7"/>
    <n v="4500"/>
    <x v="2"/>
    <x v="0"/>
    <x v="18"/>
    <x v="7"/>
    <x v="0"/>
    <x v="0"/>
    <x v="1"/>
    <x v="0"/>
  </r>
  <r>
    <x v="0"/>
    <x v="0"/>
    <n v="2239273875"/>
    <x v="6"/>
    <n v="2000"/>
    <x v="2"/>
    <x v="0"/>
    <x v="18"/>
    <x v="6"/>
    <x v="0"/>
    <x v="0"/>
    <x v="5"/>
    <x v="0"/>
  </r>
  <r>
    <x v="0"/>
    <x v="0"/>
    <n v="2239273876"/>
    <x v="2"/>
    <n v="18040"/>
    <x v="2"/>
    <x v="0"/>
    <x v="18"/>
    <x v="2"/>
    <x v="0"/>
    <x v="0"/>
    <x v="2"/>
    <x v="0"/>
  </r>
  <r>
    <x v="0"/>
    <x v="0"/>
    <n v="2239273877"/>
    <x v="7"/>
    <n v="15000"/>
    <x v="2"/>
    <x v="0"/>
    <x v="18"/>
    <x v="7"/>
    <x v="0"/>
    <x v="0"/>
    <x v="1"/>
    <x v="0"/>
  </r>
  <r>
    <x v="0"/>
    <x v="0"/>
    <n v="2239273878"/>
    <x v="3"/>
    <n v="14080"/>
    <x v="2"/>
    <x v="0"/>
    <x v="18"/>
    <x v="3"/>
    <x v="0"/>
    <x v="0"/>
    <x v="3"/>
    <x v="0"/>
  </r>
  <r>
    <x v="0"/>
    <x v="0"/>
    <n v="2239273879"/>
    <x v="5"/>
    <n v="-2100"/>
    <x v="2"/>
    <x v="0"/>
    <x v="18"/>
    <x v="5"/>
    <x v="0"/>
    <x v="0"/>
    <x v="5"/>
    <x v="0"/>
  </r>
  <r>
    <x v="0"/>
    <x v="0"/>
    <n v="2239273879"/>
    <x v="6"/>
    <n v="20000"/>
    <x v="2"/>
    <x v="0"/>
    <x v="18"/>
    <x v="6"/>
    <x v="0"/>
    <x v="0"/>
    <x v="5"/>
    <x v="0"/>
  </r>
  <r>
    <x v="0"/>
    <x v="0"/>
    <n v="2239273880"/>
    <x v="6"/>
    <n v="3800"/>
    <x v="2"/>
    <x v="0"/>
    <x v="18"/>
    <x v="6"/>
    <x v="0"/>
    <x v="0"/>
    <x v="5"/>
    <x v="0"/>
  </r>
  <r>
    <x v="0"/>
    <x v="0"/>
    <n v="2239273880"/>
    <x v="7"/>
    <n v="3800"/>
    <x v="2"/>
    <x v="0"/>
    <x v="18"/>
    <x v="7"/>
    <x v="0"/>
    <x v="0"/>
    <x v="1"/>
    <x v="0"/>
  </r>
  <r>
    <x v="0"/>
    <x v="0"/>
    <n v="2239273881"/>
    <x v="5"/>
    <n v="-16000"/>
    <x v="2"/>
    <x v="0"/>
    <x v="18"/>
    <x v="5"/>
    <x v="0"/>
    <x v="0"/>
    <x v="5"/>
    <x v="0"/>
  </r>
  <r>
    <x v="0"/>
    <x v="0"/>
    <n v="2239273881"/>
    <x v="6"/>
    <n v="20000"/>
    <x v="2"/>
    <x v="0"/>
    <x v="18"/>
    <x v="6"/>
    <x v="0"/>
    <x v="0"/>
    <x v="5"/>
    <x v="0"/>
  </r>
  <r>
    <x v="0"/>
    <x v="0"/>
    <n v="2239273881"/>
    <x v="7"/>
    <n v="4000"/>
    <x v="2"/>
    <x v="0"/>
    <x v="18"/>
    <x v="7"/>
    <x v="0"/>
    <x v="0"/>
    <x v="1"/>
    <x v="0"/>
  </r>
  <r>
    <x v="0"/>
    <x v="0"/>
    <n v="2239273882"/>
    <x v="5"/>
    <n v="-550"/>
    <x v="2"/>
    <x v="0"/>
    <x v="18"/>
    <x v="5"/>
    <x v="0"/>
    <x v="0"/>
    <x v="5"/>
    <x v="0"/>
  </r>
  <r>
    <x v="0"/>
    <x v="0"/>
    <n v="2239273882"/>
    <x v="6"/>
    <n v="11000"/>
    <x v="2"/>
    <x v="0"/>
    <x v="18"/>
    <x v="6"/>
    <x v="0"/>
    <x v="0"/>
    <x v="5"/>
    <x v="0"/>
  </r>
  <r>
    <x v="0"/>
    <x v="0"/>
    <n v="2239273883"/>
    <x v="7"/>
    <n v="7500"/>
    <x v="2"/>
    <x v="0"/>
    <x v="18"/>
    <x v="7"/>
    <x v="0"/>
    <x v="0"/>
    <x v="1"/>
    <x v="0"/>
  </r>
  <r>
    <x v="0"/>
    <x v="0"/>
    <n v="2239273885"/>
    <x v="7"/>
    <n v="215500"/>
    <x v="2"/>
    <x v="0"/>
    <x v="18"/>
    <x v="7"/>
    <x v="0"/>
    <x v="0"/>
    <x v="1"/>
    <x v="0"/>
  </r>
  <r>
    <x v="0"/>
    <x v="0"/>
    <n v="2239273886"/>
    <x v="7"/>
    <n v="3000"/>
    <x v="2"/>
    <x v="0"/>
    <x v="18"/>
    <x v="7"/>
    <x v="0"/>
    <x v="0"/>
    <x v="1"/>
    <x v="0"/>
  </r>
  <r>
    <x v="0"/>
    <x v="0"/>
    <n v="2239273887"/>
    <x v="2"/>
    <n v="2000"/>
    <x v="2"/>
    <x v="0"/>
    <x v="18"/>
    <x v="2"/>
    <x v="0"/>
    <x v="0"/>
    <x v="2"/>
    <x v="0"/>
  </r>
  <r>
    <x v="0"/>
    <x v="0"/>
    <n v="2239273888"/>
    <x v="6"/>
    <n v="2000"/>
    <x v="2"/>
    <x v="0"/>
    <x v="18"/>
    <x v="6"/>
    <x v="0"/>
    <x v="0"/>
    <x v="5"/>
    <x v="0"/>
  </r>
  <r>
    <x v="0"/>
    <x v="0"/>
    <n v="2239273889"/>
    <x v="5"/>
    <n v="-5600"/>
    <x v="2"/>
    <x v="0"/>
    <x v="18"/>
    <x v="5"/>
    <x v="0"/>
    <x v="0"/>
    <x v="5"/>
    <x v="0"/>
  </r>
  <r>
    <x v="0"/>
    <x v="0"/>
    <n v="2239273889"/>
    <x v="6"/>
    <n v="20000"/>
    <x v="2"/>
    <x v="0"/>
    <x v="18"/>
    <x v="6"/>
    <x v="0"/>
    <x v="0"/>
    <x v="5"/>
    <x v="0"/>
  </r>
  <r>
    <x v="0"/>
    <x v="0"/>
    <n v="2239273890"/>
    <x v="2"/>
    <n v="37345"/>
    <x v="2"/>
    <x v="0"/>
    <x v="18"/>
    <x v="2"/>
    <x v="0"/>
    <x v="0"/>
    <x v="2"/>
    <x v="0"/>
  </r>
  <r>
    <x v="0"/>
    <x v="0"/>
    <n v="2239273891"/>
    <x v="1"/>
    <n v="6300"/>
    <x v="2"/>
    <x v="0"/>
    <x v="18"/>
    <x v="1"/>
    <x v="0"/>
    <x v="0"/>
    <x v="1"/>
    <x v="0"/>
  </r>
  <r>
    <x v="0"/>
    <x v="0"/>
    <n v="2239273892"/>
    <x v="4"/>
    <n v="19000"/>
    <x v="2"/>
    <x v="0"/>
    <x v="18"/>
    <x v="4"/>
    <x v="0"/>
    <x v="0"/>
    <x v="4"/>
    <x v="0"/>
  </r>
  <r>
    <x v="0"/>
    <x v="0"/>
    <n v="2239273893"/>
    <x v="5"/>
    <n v="-12000"/>
    <x v="2"/>
    <x v="0"/>
    <x v="18"/>
    <x v="5"/>
    <x v="0"/>
    <x v="0"/>
    <x v="5"/>
    <x v="0"/>
  </r>
  <r>
    <x v="0"/>
    <x v="0"/>
    <n v="2239273893"/>
    <x v="6"/>
    <n v="20000"/>
    <x v="2"/>
    <x v="0"/>
    <x v="18"/>
    <x v="6"/>
    <x v="0"/>
    <x v="0"/>
    <x v="5"/>
    <x v="0"/>
  </r>
  <r>
    <x v="0"/>
    <x v="0"/>
    <n v="2239273894"/>
    <x v="2"/>
    <n v="20900"/>
    <x v="2"/>
    <x v="0"/>
    <x v="18"/>
    <x v="2"/>
    <x v="0"/>
    <x v="0"/>
    <x v="2"/>
    <x v="0"/>
  </r>
  <r>
    <x v="0"/>
    <x v="0"/>
    <n v="2239273895"/>
    <x v="2"/>
    <n v="49665"/>
    <x v="2"/>
    <x v="0"/>
    <x v="18"/>
    <x v="2"/>
    <x v="0"/>
    <x v="0"/>
    <x v="2"/>
    <x v="0"/>
  </r>
  <r>
    <x v="0"/>
    <x v="0"/>
    <n v="2239273896"/>
    <x v="6"/>
    <n v="2000"/>
    <x v="2"/>
    <x v="0"/>
    <x v="18"/>
    <x v="6"/>
    <x v="0"/>
    <x v="0"/>
    <x v="5"/>
    <x v="0"/>
  </r>
  <r>
    <x v="0"/>
    <x v="0"/>
    <n v="2239273897"/>
    <x v="3"/>
    <n v="18040"/>
    <x v="2"/>
    <x v="0"/>
    <x v="18"/>
    <x v="3"/>
    <x v="0"/>
    <x v="0"/>
    <x v="3"/>
    <x v="0"/>
  </r>
  <r>
    <x v="0"/>
    <x v="0"/>
    <n v="2239273899"/>
    <x v="5"/>
    <n v="-4400"/>
    <x v="2"/>
    <x v="0"/>
    <x v="18"/>
    <x v="5"/>
    <x v="0"/>
    <x v="0"/>
    <x v="5"/>
    <x v="0"/>
  </r>
  <r>
    <x v="0"/>
    <x v="0"/>
    <n v="2239273899"/>
    <x v="4"/>
    <n v="10000"/>
    <x v="2"/>
    <x v="0"/>
    <x v="18"/>
    <x v="4"/>
    <x v="0"/>
    <x v="0"/>
    <x v="4"/>
    <x v="0"/>
  </r>
  <r>
    <x v="0"/>
    <x v="0"/>
    <n v="2239273900"/>
    <x v="5"/>
    <n v="-7000"/>
    <x v="2"/>
    <x v="0"/>
    <x v="18"/>
    <x v="5"/>
    <x v="0"/>
    <x v="0"/>
    <x v="5"/>
    <x v="0"/>
  </r>
  <r>
    <x v="0"/>
    <x v="0"/>
    <n v="2239273900"/>
    <x v="6"/>
    <n v="10250"/>
    <x v="2"/>
    <x v="0"/>
    <x v="18"/>
    <x v="6"/>
    <x v="0"/>
    <x v="0"/>
    <x v="5"/>
    <x v="0"/>
  </r>
  <r>
    <x v="0"/>
    <x v="0"/>
    <n v="2239273901"/>
    <x v="2"/>
    <n v="12800"/>
    <x v="2"/>
    <x v="0"/>
    <x v="18"/>
    <x v="2"/>
    <x v="0"/>
    <x v="0"/>
    <x v="2"/>
    <x v="0"/>
  </r>
  <r>
    <x v="0"/>
    <x v="0"/>
    <n v="2239273902"/>
    <x v="5"/>
    <n v="-4550"/>
    <x v="2"/>
    <x v="0"/>
    <x v="18"/>
    <x v="5"/>
    <x v="0"/>
    <x v="0"/>
    <x v="5"/>
    <x v="0"/>
  </r>
  <r>
    <x v="0"/>
    <x v="0"/>
    <n v="2239273902"/>
    <x v="6"/>
    <n v="20000"/>
    <x v="2"/>
    <x v="0"/>
    <x v="18"/>
    <x v="6"/>
    <x v="0"/>
    <x v="0"/>
    <x v="5"/>
    <x v="0"/>
  </r>
  <r>
    <x v="0"/>
    <x v="0"/>
    <n v="2239273905"/>
    <x v="6"/>
    <n v="2000"/>
    <x v="2"/>
    <x v="0"/>
    <x v="18"/>
    <x v="6"/>
    <x v="0"/>
    <x v="0"/>
    <x v="5"/>
    <x v="0"/>
  </r>
  <r>
    <x v="0"/>
    <x v="0"/>
    <n v="2239273906"/>
    <x v="2"/>
    <n v="53625"/>
    <x v="2"/>
    <x v="0"/>
    <x v="18"/>
    <x v="2"/>
    <x v="0"/>
    <x v="0"/>
    <x v="2"/>
    <x v="0"/>
  </r>
  <r>
    <x v="0"/>
    <x v="0"/>
    <n v="2239273907"/>
    <x v="5"/>
    <n v="-18000"/>
    <x v="2"/>
    <x v="0"/>
    <x v="18"/>
    <x v="5"/>
    <x v="0"/>
    <x v="0"/>
    <x v="5"/>
    <x v="0"/>
  </r>
  <r>
    <x v="0"/>
    <x v="0"/>
    <n v="2239273907"/>
    <x v="6"/>
    <n v="20000"/>
    <x v="2"/>
    <x v="0"/>
    <x v="18"/>
    <x v="6"/>
    <x v="0"/>
    <x v="0"/>
    <x v="5"/>
    <x v="0"/>
  </r>
  <r>
    <x v="0"/>
    <x v="0"/>
    <n v="2239273908"/>
    <x v="2"/>
    <n v="5445"/>
    <x v="2"/>
    <x v="0"/>
    <x v="18"/>
    <x v="2"/>
    <x v="0"/>
    <x v="0"/>
    <x v="2"/>
    <x v="0"/>
  </r>
  <r>
    <x v="0"/>
    <x v="0"/>
    <n v="2239273909"/>
    <x v="1"/>
    <n v="2490"/>
    <x v="2"/>
    <x v="0"/>
    <x v="18"/>
    <x v="1"/>
    <x v="0"/>
    <x v="0"/>
    <x v="1"/>
    <x v="0"/>
  </r>
  <r>
    <x v="0"/>
    <x v="0"/>
    <n v="2239273910"/>
    <x v="9"/>
    <n v="678700"/>
    <x v="2"/>
    <x v="0"/>
    <x v="18"/>
    <x v="9"/>
    <x v="0"/>
    <x v="0"/>
    <x v="6"/>
    <x v="0"/>
  </r>
  <r>
    <x v="0"/>
    <x v="0"/>
    <n v="2239273912"/>
    <x v="4"/>
    <n v="5700"/>
    <x v="2"/>
    <x v="0"/>
    <x v="18"/>
    <x v="4"/>
    <x v="0"/>
    <x v="0"/>
    <x v="4"/>
    <x v="0"/>
  </r>
  <r>
    <x v="0"/>
    <x v="0"/>
    <n v="2239273913"/>
    <x v="4"/>
    <n v="5700"/>
    <x v="2"/>
    <x v="0"/>
    <x v="18"/>
    <x v="4"/>
    <x v="0"/>
    <x v="0"/>
    <x v="4"/>
    <x v="0"/>
  </r>
  <r>
    <x v="0"/>
    <x v="0"/>
    <n v="2239273914"/>
    <x v="2"/>
    <n v="9500"/>
    <x v="2"/>
    <x v="0"/>
    <x v="18"/>
    <x v="2"/>
    <x v="0"/>
    <x v="0"/>
    <x v="2"/>
    <x v="0"/>
  </r>
  <r>
    <x v="0"/>
    <x v="0"/>
    <n v="2239273916"/>
    <x v="6"/>
    <n v="12000"/>
    <x v="2"/>
    <x v="0"/>
    <x v="18"/>
    <x v="6"/>
    <x v="0"/>
    <x v="0"/>
    <x v="5"/>
    <x v="0"/>
  </r>
  <r>
    <x v="0"/>
    <x v="0"/>
    <n v="2239273917"/>
    <x v="2"/>
    <n v="4043"/>
    <x v="2"/>
    <x v="0"/>
    <x v="18"/>
    <x v="2"/>
    <x v="0"/>
    <x v="0"/>
    <x v="2"/>
    <x v="0"/>
  </r>
  <r>
    <x v="0"/>
    <x v="0"/>
    <n v="2239273918"/>
    <x v="1"/>
    <n v="2940"/>
    <x v="2"/>
    <x v="0"/>
    <x v="18"/>
    <x v="1"/>
    <x v="0"/>
    <x v="0"/>
    <x v="1"/>
    <x v="0"/>
  </r>
  <r>
    <x v="0"/>
    <x v="0"/>
    <n v="2239273919"/>
    <x v="1"/>
    <n v="2850"/>
    <x v="2"/>
    <x v="0"/>
    <x v="18"/>
    <x v="1"/>
    <x v="0"/>
    <x v="0"/>
    <x v="1"/>
    <x v="0"/>
  </r>
  <r>
    <x v="0"/>
    <x v="0"/>
    <n v="2239273920"/>
    <x v="7"/>
    <n v="7500"/>
    <x v="2"/>
    <x v="0"/>
    <x v="18"/>
    <x v="7"/>
    <x v="0"/>
    <x v="0"/>
    <x v="1"/>
    <x v="0"/>
  </r>
  <r>
    <x v="0"/>
    <x v="0"/>
    <n v="2239273922"/>
    <x v="5"/>
    <n v="-8100"/>
    <x v="2"/>
    <x v="0"/>
    <x v="18"/>
    <x v="5"/>
    <x v="0"/>
    <x v="0"/>
    <x v="5"/>
    <x v="0"/>
  </r>
  <r>
    <x v="0"/>
    <x v="0"/>
    <n v="2239273922"/>
    <x v="6"/>
    <n v="20000"/>
    <x v="2"/>
    <x v="0"/>
    <x v="18"/>
    <x v="6"/>
    <x v="0"/>
    <x v="0"/>
    <x v="5"/>
    <x v="0"/>
  </r>
  <r>
    <x v="0"/>
    <x v="0"/>
    <n v="2239273923"/>
    <x v="3"/>
    <n v="2000"/>
    <x v="2"/>
    <x v="0"/>
    <x v="18"/>
    <x v="3"/>
    <x v="0"/>
    <x v="0"/>
    <x v="3"/>
    <x v="0"/>
  </r>
  <r>
    <x v="0"/>
    <x v="0"/>
    <n v="2239273924"/>
    <x v="5"/>
    <n v="-5800"/>
    <x v="2"/>
    <x v="0"/>
    <x v="18"/>
    <x v="5"/>
    <x v="0"/>
    <x v="0"/>
    <x v="5"/>
    <x v="0"/>
  </r>
  <r>
    <x v="0"/>
    <x v="0"/>
    <n v="2239273924"/>
    <x v="6"/>
    <n v="20000"/>
    <x v="2"/>
    <x v="0"/>
    <x v="18"/>
    <x v="6"/>
    <x v="0"/>
    <x v="0"/>
    <x v="5"/>
    <x v="0"/>
  </r>
  <r>
    <x v="0"/>
    <x v="0"/>
    <n v="2239273925"/>
    <x v="2"/>
    <n v="11000"/>
    <x v="2"/>
    <x v="0"/>
    <x v="18"/>
    <x v="2"/>
    <x v="0"/>
    <x v="0"/>
    <x v="2"/>
    <x v="0"/>
  </r>
  <r>
    <x v="0"/>
    <x v="0"/>
    <n v="2239273926"/>
    <x v="2"/>
    <n v="41500"/>
    <x v="2"/>
    <x v="0"/>
    <x v="18"/>
    <x v="2"/>
    <x v="0"/>
    <x v="0"/>
    <x v="2"/>
    <x v="0"/>
  </r>
  <r>
    <x v="0"/>
    <x v="0"/>
    <n v="2239273929"/>
    <x v="2"/>
    <n v="28270"/>
    <x v="2"/>
    <x v="0"/>
    <x v="18"/>
    <x v="2"/>
    <x v="0"/>
    <x v="0"/>
    <x v="2"/>
    <x v="0"/>
  </r>
  <r>
    <x v="0"/>
    <x v="0"/>
    <n v="2239273932"/>
    <x v="2"/>
    <n v="39985"/>
    <x v="2"/>
    <x v="0"/>
    <x v="18"/>
    <x v="2"/>
    <x v="0"/>
    <x v="0"/>
    <x v="2"/>
    <x v="0"/>
  </r>
  <r>
    <x v="0"/>
    <x v="0"/>
    <n v="2239273932"/>
    <x v="7"/>
    <n v="5450"/>
    <x v="2"/>
    <x v="0"/>
    <x v="18"/>
    <x v="7"/>
    <x v="0"/>
    <x v="0"/>
    <x v="1"/>
    <x v="0"/>
  </r>
  <r>
    <x v="0"/>
    <x v="0"/>
    <n v="2239273934"/>
    <x v="2"/>
    <n v="20020"/>
    <x v="2"/>
    <x v="0"/>
    <x v="18"/>
    <x v="2"/>
    <x v="0"/>
    <x v="0"/>
    <x v="2"/>
    <x v="0"/>
  </r>
  <r>
    <x v="0"/>
    <x v="0"/>
    <n v="2239273936"/>
    <x v="5"/>
    <n v="-2070"/>
    <x v="2"/>
    <x v="0"/>
    <x v="18"/>
    <x v="5"/>
    <x v="0"/>
    <x v="0"/>
    <x v="5"/>
    <x v="0"/>
  </r>
  <r>
    <x v="0"/>
    <x v="0"/>
    <n v="2239273936"/>
    <x v="6"/>
    <n v="30000"/>
    <x v="2"/>
    <x v="0"/>
    <x v="18"/>
    <x v="6"/>
    <x v="0"/>
    <x v="0"/>
    <x v="5"/>
    <x v="0"/>
  </r>
  <r>
    <x v="0"/>
    <x v="0"/>
    <n v="2239273938"/>
    <x v="2"/>
    <n v="8525"/>
    <x v="2"/>
    <x v="0"/>
    <x v="18"/>
    <x v="2"/>
    <x v="0"/>
    <x v="0"/>
    <x v="2"/>
    <x v="0"/>
  </r>
  <r>
    <x v="0"/>
    <x v="0"/>
    <n v="2239273938"/>
    <x v="7"/>
    <n v="4250"/>
    <x v="2"/>
    <x v="0"/>
    <x v="18"/>
    <x v="7"/>
    <x v="0"/>
    <x v="0"/>
    <x v="1"/>
    <x v="0"/>
  </r>
  <r>
    <x v="0"/>
    <x v="0"/>
    <n v="2239273939"/>
    <x v="5"/>
    <n v="-2000"/>
    <x v="2"/>
    <x v="0"/>
    <x v="18"/>
    <x v="5"/>
    <x v="0"/>
    <x v="0"/>
    <x v="5"/>
    <x v="0"/>
  </r>
  <r>
    <x v="0"/>
    <x v="0"/>
    <n v="2239273939"/>
    <x v="6"/>
    <n v="10000"/>
    <x v="2"/>
    <x v="0"/>
    <x v="18"/>
    <x v="6"/>
    <x v="0"/>
    <x v="0"/>
    <x v="5"/>
    <x v="0"/>
  </r>
  <r>
    <x v="0"/>
    <x v="0"/>
    <n v="2239273940"/>
    <x v="5"/>
    <n v="-5200"/>
    <x v="2"/>
    <x v="0"/>
    <x v="18"/>
    <x v="5"/>
    <x v="0"/>
    <x v="0"/>
    <x v="5"/>
    <x v="0"/>
  </r>
  <r>
    <x v="0"/>
    <x v="0"/>
    <n v="2239273940"/>
    <x v="4"/>
    <n v="10500"/>
    <x v="2"/>
    <x v="0"/>
    <x v="18"/>
    <x v="4"/>
    <x v="0"/>
    <x v="0"/>
    <x v="4"/>
    <x v="0"/>
  </r>
  <r>
    <x v="0"/>
    <x v="0"/>
    <n v="2239273942"/>
    <x v="2"/>
    <n v="8800"/>
    <x v="2"/>
    <x v="0"/>
    <x v="18"/>
    <x v="2"/>
    <x v="0"/>
    <x v="0"/>
    <x v="2"/>
    <x v="0"/>
  </r>
  <r>
    <x v="0"/>
    <x v="0"/>
    <n v="2239273944"/>
    <x v="6"/>
    <n v="2000"/>
    <x v="2"/>
    <x v="0"/>
    <x v="18"/>
    <x v="6"/>
    <x v="0"/>
    <x v="0"/>
    <x v="5"/>
    <x v="0"/>
  </r>
  <r>
    <x v="0"/>
    <x v="0"/>
    <n v="2239273945"/>
    <x v="2"/>
    <n v="1500"/>
    <x v="2"/>
    <x v="0"/>
    <x v="18"/>
    <x v="2"/>
    <x v="0"/>
    <x v="0"/>
    <x v="2"/>
    <x v="0"/>
  </r>
  <r>
    <x v="0"/>
    <x v="0"/>
    <n v="2239273947"/>
    <x v="5"/>
    <n v="-1000"/>
    <x v="2"/>
    <x v="0"/>
    <x v="18"/>
    <x v="5"/>
    <x v="0"/>
    <x v="0"/>
    <x v="5"/>
    <x v="0"/>
  </r>
  <r>
    <x v="0"/>
    <x v="0"/>
    <n v="2239273947"/>
    <x v="6"/>
    <n v="7000"/>
    <x v="2"/>
    <x v="0"/>
    <x v="18"/>
    <x v="6"/>
    <x v="0"/>
    <x v="0"/>
    <x v="5"/>
    <x v="0"/>
  </r>
  <r>
    <x v="0"/>
    <x v="0"/>
    <n v="2239273948"/>
    <x v="6"/>
    <n v="5200"/>
    <x v="2"/>
    <x v="0"/>
    <x v="18"/>
    <x v="6"/>
    <x v="0"/>
    <x v="0"/>
    <x v="5"/>
    <x v="0"/>
  </r>
  <r>
    <x v="0"/>
    <x v="0"/>
    <n v="2239273948"/>
    <x v="7"/>
    <n v="1300"/>
    <x v="2"/>
    <x v="0"/>
    <x v="18"/>
    <x v="7"/>
    <x v="0"/>
    <x v="0"/>
    <x v="1"/>
    <x v="0"/>
  </r>
  <r>
    <x v="0"/>
    <x v="0"/>
    <n v="2239273949"/>
    <x v="5"/>
    <n v="-5700"/>
    <x v="2"/>
    <x v="0"/>
    <x v="18"/>
    <x v="5"/>
    <x v="0"/>
    <x v="0"/>
    <x v="5"/>
    <x v="0"/>
  </r>
  <r>
    <x v="0"/>
    <x v="0"/>
    <n v="2239273949"/>
    <x v="4"/>
    <n v="5700"/>
    <x v="2"/>
    <x v="0"/>
    <x v="18"/>
    <x v="4"/>
    <x v="0"/>
    <x v="0"/>
    <x v="4"/>
    <x v="0"/>
  </r>
  <r>
    <x v="0"/>
    <x v="0"/>
    <n v="2239273950"/>
    <x v="4"/>
    <n v="11000"/>
    <x v="2"/>
    <x v="0"/>
    <x v="18"/>
    <x v="4"/>
    <x v="0"/>
    <x v="0"/>
    <x v="4"/>
    <x v="0"/>
  </r>
  <r>
    <x v="0"/>
    <x v="0"/>
    <n v="2239273952"/>
    <x v="6"/>
    <n v="13300"/>
    <x v="2"/>
    <x v="0"/>
    <x v="18"/>
    <x v="6"/>
    <x v="0"/>
    <x v="0"/>
    <x v="5"/>
    <x v="0"/>
  </r>
  <r>
    <x v="0"/>
    <x v="0"/>
    <n v="2239273953"/>
    <x v="2"/>
    <n v="40645"/>
    <x v="2"/>
    <x v="0"/>
    <x v="18"/>
    <x v="2"/>
    <x v="0"/>
    <x v="0"/>
    <x v="2"/>
    <x v="0"/>
  </r>
  <r>
    <x v="0"/>
    <x v="0"/>
    <n v="2239273954"/>
    <x v="2"/>
    <n v="7500"/>
    <x v="2"/>
    <x v="0"/>
    <x v="18"/>
    <x v="2"/>
    <x v="0"/>
    <x v="0"/>
    <x v="2"/>
    <x v="0"/>
  </r>
  <r>
    <x v="0"/>
    <x v="0"/>
    <n v="2239273955"/>
    <x v="2"/>
    <n v="11500"/>
    <x v="2"/>
    <x v="0"/>
    <x v="18"/>
    <x v="2"/>
    <x v="0"/>
    <x v="0"/>
    <x v="2"/>
    <x v="0"/>
  </r>
  <r>
    <x v="0"/>
    <x v="0"/>
    <n v="2239273957"/>
    <x v="2"/>
    <n v="4400"/>
    <x v="2"/>
    <x v="0"/>
    <x v="18"/>
    <x v="2"/>
    <x v="0"/>
    <x v="0"/>
    <x v="2"/>
    <x v="0"/>
  </r>
  <r>
    <x v="0"/>
    <x v="0"/>
    <n v="2239273958"/>
    <x v="2"/>
    <n v="19000"/>
    <x v="2"/>
    <x v="0"/>
    <x v="18"/>
    <x v="2"/>
    <x v="0"/>
    <x v="0"/>
    <x v="2"/>
    <x v="0"/>
  </r>
  <r>
    <x v="0"/>
    <x v="0"/>
    <n v="2239273959"/>
    <x v="2"/>
    <n v="4400"/>
    <x v="2"/>
    <x v="0"/>
    <x v="18"/>
    <x v="2"/>
    <x v="0"/>
    <x v="0"/>
    <x v="2"/>
    <x v="0"/>
  </r>
  <r>
    <x v="0"/>
    <x v="0"/>
    <n v="2239273962"/>
    <x v="5"/>
    <n v="-880"/>
    <x v="2"/>
    <x v="0"/>
    <x v="18"/>
    <x v="5"/>
    <x v="0"/>
    <x v="0"/>
    <x v="5"/>
    <x v="0"/>
  </r>
  <r>
    <x v="0"/>
    <x v="0"/>
    <n v="2239273962"/>
    <x v="6"/>
    <n v="67000"/>
    <x v="2"/>
    <x v="0"/>
    <x v="18"/>
    <x v="6"/>
    <x v="0"/>
    <x v="0"/>
    <x v="5"/>
    <x v="0"/>
  </r>
  <r>
    <x v="0"/>
    <x v="0"/>
    <n v="2239273962"/>
    <x v="7"/>
    <n v="4360"/>
    <x v="2"/>
    <x v="0"/>
    <x v="18"/>
    <x v="7"/>
    <x v="0"/>
    <x v="0"/>
    <x v="1"/>
    <x v="0"/>
  </r>
  <r>
    <x v="0"/>
    <x v="0"/>
    <n v="2239273963"/>
    <x v="2"/>
    <n v="10890"/>
    <x v="2"/>
    <x v="0"/>
    <x v="18"/>
    <x v="2"/>
    <x v="0"/>
    <x v="0"/>
    <x v="2"/>
    <x v="0"/>
  </r>
  <r>
    <x v="0"/>
    <x v="0"/>
    <n v="2239273964"/>
    <x v="1"/>
    <n v="1140"/>
    <x v="2"/>
    <x v="0"/>
    <x v="18"/>
    <x v="1"/>
    <x v="0"/>
    <x v="0"/>
    <x v="1"/>
    <x v="0"/>
  </r>
  <r>
    <x v="0"/>
    <x v="0"/>
    <n v="2239273965"/>
    <x v="5"/>
    <n v="-5500"/>
    <x v="2"/>
    <x v="0"/>
    <x v="18"/>
    <x v="5"/>
    <x v="0"/>
    <x v="0"/>
    <x v="5"/>
    <x v="0"/>
  </r>
  <r>
    <x v="0"/>
    <x v="0"/>
    <n v="2239273965"/>
    <x v="6"/>
    <n v="10000"/>
    <x v="2"/>
    <x v="0"/>
    <x v="18"/>
    <x v="6"/>
    <x v="0"/>
    <x v="0"/>
    <x v="5"/>
    <x v="0"/>
  </r>
  <r>
    <x v="0"/>
    <x v="0"/>
    <n v="2239273968"/>
    <x v="6"/>
    <n v="10000"/>
    <x v="2"/>
    <x v="0"/>
    <x v="18"/>
    <x v="6"/>
    <x v="0"/>
    <x v="0"/>
    <x v="5"/>
    <x v="0"/>
  </r>
  <r>
    <x v="0"/>
    <x v="0"/>
    <n v="2239273970"/>
    <x v="3"/>
    <n v="3520"/>
    <x v="2"/>
    <x v="0"/>
    <x v="18"/>
    <x v="3"/>
    <x v="0"/>
    <x v="0"/>
    <x v="3"/>
    <x v="0"/>
  </r>
  <r>
    <x v="0"/>
    <x v="0"/>
    <n v="2239273971"/>
    <x v="5"/>
    <n v="-2500"/>
    <x v="2"/>
    <x v="0"/>
    <x v="18"/>
    <x v="5"/>
    <x v="0"/>
    <x v="0"/>
    <x v="5"/>
    <x v="0"/>
  </r>
  <r>
    <x v="0"/>
    <x v="0"/>
    <n v="2239273971"/>
    <x v="6"/>
    <n v="10000"/>
    <x v="2"/>
    <x v="0"/>
    <x v="18"/>
    <x v="6"/>
    <x v="0"/>
    <x v="0"/>
    <x v="5"/>
    <x v="0"/>
  </r>
  <r>
    <x v="0"/>
    <x v="0"/>
    <n v="2239273972"/>
    <x v="5"/>
    <n v="-4800"/>
    <x v="2"/>
    <x v="0"/>
    <x v="18"/>
    <x v="5"/>
    <x v="0"/>
    <x v="0"/>
    <x v="5"/>
    <x v="0"/>
  </r>
  <r>
    <x v="0"/>
    <x v="0"/>
    <n v="2239273972"/>
    <x v="6"/>
    <n v="10000"/>
    <x v="2"/>
    <x v="0"/>
    <x v="18"/>
    <x v="6"/>
    <x v="0"/>
    <x v="0"/>
    <x v="5"/>
    <x v="0"/>
  </r>
  <r>
    <x v="0"/>
    <x v="0"/>
    <n v="2239273972"/>
    <x v="7"/>
    <n v="1300"/>
    <x v="2"/>
    <x v="0"/>
    <x v="18"/>
    <x v="7"/>
    <x v="0"/>
    <x v="0"/>
    <x v="1"/>
    <x v="0"/>
  </r>
  <r>
    <x v="0"/>
    <x v="0"/>
    <n v="2239273974"/>
    <x v="2"/>
    <n v="10500"/>
    <x v="2"/>
    <x v="0"/>
    <x v="18"/>
    <x v="2"/>
    <x v="0"/>
    <x v="0"/>
    <x v="2"/>
    <x v="0"/>
  </r>
  <r>
    <x v="0"/>
    <x v="0"/>
    <n v="2239273975"/>
    <x v="2"/>
    <n v="12800"/>
    <x v="2"/>
    <x v="0"/>
    <x v="18"/>
    <x v="2"/>
    <x v="0"/>
    <x v="0"/>
    <x v="2"/>
    <x v="0"/>
  </r>
  <r>
    <x v="0"/>
    <x v="0"/>
    <n v="2239273976"/>
    <x v="2"/>
    <n v="47740"/>
    <x v="2"/>
    <x v="0"/>
    <x v="18"/>
    <x v="2"/>
    <x v="0"/>
    <x v="0"/>
    <x v="2"/>
    <x v="0"/>
  </r>
  <r>
    <x v="0"/>
    <x v="0"/>
    <n v="2239273977"/>
    <x v="2"/>
    <n v="6600"/>
    <x v="2"/>
    <x v="0"/>
    <x v="18"/>
    <x v="2"/>
    <x v="0"/>
    <x v="0"/>
    <x v="2"/>
    <x v="0"/>
  </r>
  <r>
    <x v="0"/>
    <x v="0"/>
    <n v="2239273979"/>
    <x v="2"/>
    <n v="22000"/>
    <x v="2"/>
    <x v="0"/>
    <x v="18"/>
    <x v="2"/>
    <x v="0"/>
    <x v="0"/>
    <x v="2"/>
    <x v="0"/>
  </r>
  <r>
    <x v="0"/>
    <x v="0"/>
    <n v="2239273980"/>
    <x v="5"/>
    <n v="-4300"/>
    <x v="2"/>
    <x v="0"/>
    <x v="18"/>
    <x v="5"/>
    <x v="0"/>
    <x v="0"/>
    <x v="5"/>
    <x v="0"/>
  </r>
  <r>
    <x v="0"/>
    <x v="0"/>
    <n v="2239273980"/>
    <x v="4"/>
    <n v="10000"/>
    <x v="2"/>
    <x v="0"/>
    <x v="18"/>
    <x v="4"/>
    <x v="0"/>
    <x v="0"/>
    <x v="4"/>
    <x v="0"/>
  </r>
  <r>
    <x v="0"/>
    <x v="0"/>
    <n v="2239273986"/>
    <x v="2"/>
    <n v="33440"/>
    <x v="2"/>
    <x v="0"/>
    <x v="18"/>
    <x v="2"/>
    <x v="0"/>
    <x v="0"/>
    <x v="2"/>
    <x v="0"/>
  </r>
  <r>
    <x v="0"/>
    <x v="0"/>
    <n v="2239273987"/>
    <x v="5"/>
    <n v="-2500"/>
    <x v="2"/>
    <x v="0"/>
    <x v="18"/>
    <x v="5"/>
    <x v="0"/>
    <x v="0"/>
    <x v="5"/>
    <x v="0"/>
  </r>
  <r>
    <x v="0"/>
    <x v="0"/>
    <n v="2239273987"/>
    <x v="6"/>
    <n v="10000"/>
    <x v="2"/>
    <x v="0"/>
    <x v="18"/>
    <x v="6"/>
    <x v="0"/>
    <x v="0"/>
    <x v="5"/>
    <x v="0"/>
  </r>
  <r>
    <x v="0"/>
    <x v="0"/>
    <n v="2239273988"/>
    <x v="2"/>
    <n v="10450"/>
    <x v="2"/>
    <x v="0"/>
    <x v="18"/>
    <x v="2"/>
    <x v="0"/>
    <x v="0"/>
    <x v="2"/>
    <x v="0"/>
  </r>
  <r>
    <x v="0"/>
    <x v="0"/>
    <n v="2239273990"/>
    <x v="5"/>
    <n v="-17000"/>
    <x v="2"/>
    <x v="0"/>
    <x v="18"/>
    <x v="5"/>
    <x v="0"/>
    <x v="0"/>
    <x v="5"/>
    <x v="0"/>
  </r>
  <r>
    <x v="0"/>
    <x v="0"/>
    <n v="2239273990"/>
    <x v="6"/>
    <n v="25000"/>
    <x v="2"/>
    <x v="0"/>
    <x v="18"/>
    <x v="6"/>
    <x v="0"/>
    <x v="0"/>
    <x v="5"/>
    <x v="0"/>
  </r>
  <r>
    <x v="0"/>
    <x v="0"/>
    <n v="2239273991"/>
    <x v="3"/>
    <n v="10000"/>
    <x v="2"/>
    <x v="0"/>
    <x v="18"/>
    <x v="3"/>
    <x v="0"/>
    <x v="0"/>
    <x v="3"/>
    <x v="0"/>
  </r>
  <r>
    <x v="0"/>
    <x v="0"/>
    <n v="2239273992"/>
    <x v="2"/>
    <n v="26730"/>
    <x v="2"/>
    <x v="0"/>
    <x v="18"/>
    <x v="2"/>
    <x v="0"/>
    <x v="0"/>
    <x v="2"/>
    <x v="0"/>
  </r>
  <r>
    <x v="0"/>
    <x v="0"/>
    <n v="2239273993"/>
    <x v="5"/>
    <n v="-5200"/>
    <x v="2"/>
    <x v="0"/>
    <x v="18"/>
    <x v="5"/>
    <x v="0"/>
    <x v="0"/>
    <x v="5"/>
    <x v="0"/>
  </r>
  <r>
    <x v="0"/>
    <x v="0"/>
    <n v="2239273993"/>
    <x v="4"/>
    <n v="10500"/>
    <x v="2"/>
    <x v="0"/>
    <x v="18"/>
    <x v="4"/>
    <x v="0"/>
    <x v="0"/>
    <x v="4"/>
    <x v="0"/>
  </r>
  <r>
    <x v="0"/>
    <x v="0"/>
    <n v="2239273994"/>
    <x v="6"/>
    <n v="5200"/>
    <x v="2"/>
    <x v="0"/>
    <x v="18"/>
    <x v="6"/>
    <x v="0"/>
    <x v="0"/>
    <x v="5"/>
    <x v="0"/>
  </r>
  <r>
    <x v="0"/>
    <x v="0"/>
    <n v="2239273994"/>
    <x v="7"/>
    <n v="1300"/>
    <x v="2"/>
    <x v="0"/>
    <x v="18"/>
    <x v="7"/>
    <x v="0"/>
    <x v="0"/>
    <x v="1"/>
    <x v="0"/>
  </r>
  <r>
    <x v="0"/>
    <x v="0"/>
    <n v="2239273995"/>
    <x v="2"/>
    <n v="20680"/>
    <x v="2"/>
    <x v="0"/>
    <x v="18"/>
    <x v="2"/>
    <x v="0"/>
    <x v="0"/>
    <x v="2"/>
    <x v="0"/>
  </r>
  <r>
    <x v="0"/>
    <x v="0"/>
    <n v="2239273997"/>
    <x v="2"/>
    <n v="10164"/>
    <x v="2"/>
    <x v="0"/>
    <x v="18"/>
    <x v="2"/>
    <x v="0"/>
    <x v="0"/>
    <x v="2"/>
    <x v="0"/>
  </r>
  <r>
    <x v="0"/>
    <x v="0"/>
    <n v="2239273998"/>
    <x v="5"/>
    <n v="-15600"/>
    <x v="2"/>
    <x v="0"/>
    <x v="18"/>
    <x v="5"/>
    <x v="0"/>
    <x v="0"/>
    <x v="5"/>
    <x v="0"/>
  </r>
  <r>
    <x v="0"/>
    <x v="0"/>
    <n v="2239273998"/>
    <x v="4"/>
    <n v="20000"/>
    <x v="2"/>
    <x v="0"/>
    <x v="18"/>
    <x v="4"/>
    <x v="0"/>
    <x v="0"/>
    <x v="4"/>
    <x v="0"/>
  </r>
  <r>
    <x v="0"/>
    <x v="0"/>
    <n v="2239273999"/>
    <x v="1"/>
    <n v="5250"/>
    <x v="2"/>
    <x v="0"/>
    <x v="18"/>
    <x v="1"/>
    <x v="0"/>
    <x v="0"/>
    <x v="1"/>
    <x v="0"/>
  </r>
  <r>
    <x v="0"/>
    <x v="0"/>
    <n v="2239274000"/>
    <x v="2"/>
    <n v="6650"/>
    <x v="2"/>
    <x v="0"/>
    <x v="18"/>
    <x v="2"/>
    <x v="0"/>
    <x v="0"/>
    <x v="2"/>
    <x v="0"/>
  </r>
  <r>
    <x v="0"/>
    <x v="0"/>
    <n v="2239274001"/>
    <x v="6"/>
    <n v="5000"/>
    <x v="2"/>
    <x v="0"/>
    <x v="18"/>
    <x v="6"/>
    <x v="0"/>
    <x v="0"/>
    <x v="5"/>
    <x v="0"/>
  </r>
  <r>
    <x v="0"/>
    <x v="0"/>
    <n v="2239274002"/>
    <x v="5"/>
    <n v="-2340"/>
    <x v="2"/>
    <x v="0"/>
    <x v="18"/>
    <x v="5"/>
    <x v="0"/>
    <x v="0"/>
    <x v="5"/>
    <x v="0"/>
  </r>
  <r>
    <x v="0"/>
    <x v="0"/>
    <n v="2239274002"/>
    <x v="6"/>
    <n v="40000"/>
    <x v="2"/>
    <x v="0"/>
    <x v="18"/>
    <x v="6"/>
    <x v="0"/>
    <x v="0"/>
    <x v="5"/>
    <x v="0"/>
  </r>
  <r>
    <x v="0"/>
    <x v="0"/>
    <n v="2239274005"/>
    <x v="2"/>
    <n v="16500"/>
    <x v="2"/>
    <x v="0"/>
    <x v="18"/>
    <x v="2"/>
    <x v="0"/>
    <x v="0"/>
    <x v="2"/>
    <x v="0"/>
  </r>
  <r>
    <x v="0"/>
    <x v="0"/>
    <n v="2239274006"/>
    <x v="2"/>
    <n v="8250"/>
    <x v="2"/>
    <x v="0"/>
    <x v="18"/>
    <x v="2"/>
    <x v="0"/>
    <x v="0"/>
    <x v="2"/>
    <x v="0"/>
  </r>
  <r>
    <x v="0"/>
    <x v="0"/>
    <n v="2239274007"/>
    <x v="2"/>
    <n v="14850"/>
    <x v="2"/>
    <x v="0"/>
    <x v="18"/>
    <x v="2"/>
    <x v="0"/>
    <x v="0"/>
    <x v="2"/>
    <x v="0"/>
  </r>
  <r>
    <x v="0"/>
    <x v="0"/>
    <n v="2239274009"/>
    <x v="5"/>
    <n v="-500"/>
    <x v="2"/>
    <x v="0"/>
    <x v="18"/>
    <x v="5"/>
    <x v="0"/>
    <x v="0"/>
    <x v="5"/>
    <x v="0"/>
  </r>
  <r>
    <x v="0"/>
    <x v="0"/>
    <n v="2239274009"/>
    <x v="6"/>
    <n v="11000"/>
    <x v="2"/>
    <x v="0"/>
    <x v="18"/>
    <x v="6"/>
    <x v="0"/>
    <x v="0"/>
    <x v="5"/>
    <x v="0"/>
  </r>
  <r>
    <x v="0"/>
    <x v="0"/>
    <n v="2239274010"/>
    <x v="5"/>
    <n v="-2500"/>
    <x v="2"/>
    <x v="0"/>
    <x v="18"/>
    <x v="5"/>
    <x v="0"/>
    <x v="0"/>
    <x v="5"/>
    <x v="0"/>
  </r>
  <r>
    <x v="0"/>
    <x v="0"/>
    <n v="2239274010"/>
    <x v="6"/>
    <n v="10000"/>
    <x v="2"/>
    <x v="0"/>
    <x v="18"/>
    <x v="6"/>
    <x v="0"/>
    <x v="0"/>
    <x v="5"/>
    <x v="0"/>
  </r>
  <r>
    <x v="0"/>
    <x v="0"/>
    <n v="2239274011"/>
    <x v="2"/>
    <n v="4400"/>
    <x v="2"/>
    <x v="0"/>
    <x v="18"/>
    <x v="2"/>
    <x v="0"/>
    <x v="0"/>
    <x v="2"/>
    <x v="0"/>
  </r>
  <r>
    <x v="0"/>
    <x v="0"/>
    <n v="2239274012"/>
    <x v="5"/>
    <n v="-2500"/>
    <x v="2"/>
    <x v="0"/>
    <x v="18"/>
    <x v="5"/>
    <x v="0"/>
    <x v="0"/>
    <x v="5"/>
    <x v="0"/>
  </r>
  <r>
    <x v="0"/>
    <x v="0"/>
    <n v="2239274012"/>
    <x v="6"/>
    <n v="10000"/>
    <x v="2"/>
    <x v="0"/>
    <x v="18"/>
    <x v="6"/>
    <x v="0"/>
    <x v="0"/>
    <x v="5"/>
    <x v="0"/>
  </r>
  <r>
    <x v="0"/>
    <x v="0"/>
    <n v="2239274014"/>
    <x v="5"/>
    <n v="-500"/>
    <x v="2"/>
    <x v="0"/>
    <x v="18"/>
    <x v="5"/>
    <x v="0"/>
    <x v="0"/>
    <x v="5"/>
    <x v="0"/>
  </r>
  <r>
    <x v="0"/>
    <x v="0"/>
    <n v="2239274014"/>
    <x v="6"/>
    <n v="10000"/>
    <x v="2"/>
    <x v="0"/>
    <x v="18"/>
    <x v="6"/>
    <x v="0"/>
    <x v="0"/>
    <x v="5"/>
    <x v="0"/>
  </r>
  <r>
    <x v="0"/>
    <x v="0"/>
    <n v="2239274015"/>
    <x v="5"/>
    <n v="-600"/>
    <x v="2"/>
    <x v="0"/>
    <x v="18"/>
    <x v="5"/>
    <x v="0"/>
    <x v="0"/>
    <x v="5"/>
    <x v="0"/>
  </r>
  <r>
    <x v="0"/>
    <x v="0"/>
    <n v="2239274015"/>
    <x v="4"/>
    <n v="5000"/>
    <x v="2"/>
    <x v="0"/>
    <x v="18"/>
    <x v="4"/>
    <x v="0"/>
    <x v="0"/>
    <x v="4"/>
    <x v="0"/>
  </r>
  <r>
    <x v="0"/>
    <x v="0"/>
    <n v="2239274016"/>
    <x v="6"/>
    <n v="3000"/>
    <x v="2"/>
    <x v="0"/>
    <x v="18"/>
    <x v="6"/>
    <x v="0"/>
    <x v="0"/>
    <x v="5"/>
    <x v="0"/>
  </r>
  <r>
    <x v="0"/>
    <x v="0"/>
    <n v="2239274017"/>
    <x v="2"/>
    <n v="10450"/>
    <x v="2"/>
    <x v="0"/>
    <x v="18"/>
    <x v="2"/>
    <x v="0"/>
    <x v="0"/>
    <x v="2"/>
    <x v="0"/>
  </r>
  <r>
    <x v="0"/>
    <x v="0"/>
    <n v="2239274018"/>
    <x v="5"/>
    <n v="-2500"/>
    <x v="2"/>
    <x v="0"/>
    <x v="18"/>
    <x v="5"/>
    <x v="0"/>
    <x v="0"/>
    <x v="5"/>
    <x v="0"/>
  </r>
  <r>
    <x v="0"/>
    <x v="0"/>
    <n v="2239274018"/>
    <x v="6"/>
    <n v="10000"/>
    <x v="2"/>
    <x v="0"/>
    <x v="18"/>
    <x v="6"/>
    <x v="0"/>
    <x v="0"/>
    <x v="5"/>
    <x v="0"/>
  </r>
  <r>
    <x v="0"/>
    <x v="0"/>
    <n v="2239274019"/>
    <x v="5"/>
    <n v="-4600"/>
    <x v="2"/>
    <x v="0"/>
    <x v="18"/>
    <x v="5"/>
    <x v="0"/>
    <x v="0"/>
    <x v="5"/>
    <x v="0"/>
  </r>
  <r>
    <x v="0"/>
    <x v="0"/>
    <n v="2239274019"/>
    <x v="6"/>
    <n v="20000"/>
    <x v="2"/>
    <x v="0"/>
    <x v="18"/>
    <x v="6"/>
    <x v="0"/>
    <x v="0"/>
    <x v="5"/>
    <x v="0"/>
  </r>
  <r>
    <x v="0"/>
    <x v="0"/>
    <n v="2239274020"/>
    <x v="3"/>
    <n v="16390"/>
    <x v="2"/>
    <x v="0"/>
    <x v="18"/>
    <x v="3"/>
    <x v="0"/>
    <x v="0"/>
    <x v="3"/>
    <x v="0"/>
  </r>
  <r>
    <x v="0"/>
    <x v="0"/>
    <n v="2239274021"/>
    <x v="2"/>
    <n v="10450"/>
    <x v="2"/>
    <x v="0"/>
    <x v="18"/>
    <x v="2"/>
    <x v="0"/>
    <x v="0"/>
    <x v="2"/>
    <x v="0"/>
  </r>
  <r>
    <x v="0"/>
    <x v="0"/>
    <n v="2239274022"/>
    <x v="2"/>
    <n v="7150"/>
    <x v="2"/>
    <x v="0"/>
    <x v="18"/>
    <x v="2"/>
    <x v="0"/>
    <x v="0"/>
    <x v="2"/>
    <x v="0"/>
  </r>
  <r>
    <x v="0"/>
    <x v="0"/>
    <n v="2239274023"/>
    <x v="2"/>
    <n v="4400"/>
    <x v="2"/>
    <x v="0"/>
    <x v="18"/>
    <x v="2"/>
    <x v="0"/>
    <x v="0"/>
    <x v="2"/>
    <x v="0"/>
  </r>
  <r>
    <x v="0"/>
    <x v="0"/>
    <n v="2239274025"/>
    <x v="2"/>
    <n v="16500"/>
    <x v="2"/>
    <x v="0"/>
    <x v="18"/>
    <x v="2"/>
    <x v="0"/>
    <x v="0"/>
    <x v="2"/>
    <x v="0"/>
  </r>
  <r>
    <x v="0"/>
    <x v="0"/>
    <n v="2239274026"/>
    <x v="5"/>
    <n v="-20"/>
    <x v="2"/>
    <x v="0"/>
    <x v="18"/>
    <x v="5"/>
    <x v="0"/>
    <x v="0"/>
    <x v="5"/>
    <x v="0"/>
  </r>
  <r>
    <x v="0"/>
    <x v="0"/>
    <n v="2239274026"/>
    <x v="6"/>
    <n v="200"/>
    <x v="2"/>
    <x v="0"/>
    <x v="18"/>
    <x v="6"/>
    <x v="0"/>
    <x v="0"/>
    <x v="5"/>
    <x v="0"/>
  </r>
  <r>
    <x v="0"/>
    <x v="0"/>
    <n v="2239274026"/>
    <x v="2"/>
    <n v="12000"/>
    <x v="2"/>
    <x v="0"/>
    <x v="18"/>
    <x v="2"/>
    <x v="0"/>
    <x v="0"/>
    <x v="2"/>
    <x v="0"/>
  </r>
  <r>
    <x v="0"/>
    <x v="0"/>
    <n v="2239274027"/>
    <x v="5"/>
    <n v="-400"/>
    <x v="2"/>
    <x v="0"/>
    <x v="18"/>
    <x v="5"/>
    <x v="0"/>
    <x v="0"/>
    <x v="5"/>
    <x v="0"/>
  </r>
  <r>
    <x v="0"/>
    <x v="0"/>
    <n v="2239274027"/>
    <x v="4"/>
    <n v="6000"/>
    <x v="2"/>
    <x v="0"/>
    <x v="18"/>
    <x v="4"/>
    <x v="0"/>
    <x v="0"/>
    <x v="4"/>
    <x v="0"/>
  </r>
  <r>
    <x v="0"/>
    <x v="0"/>
    <n v="2239274028"/>
    <x v="2"/>
    <n v="14300"/>
    <x v="2"/>
    <x v="0"/>
    <x v="18"/>
    <x v="2"/>
    <x v="0"/>
    <x v="0"/>
    <x v="2"/>
    <x v="0"/>
  </r>
  <r>
    <x v="0"/>
    <x v="0"/>
    <n v="2239274029"/>
    <x v="2"/>
    <n v="6500"/>
    <x v="2"/>
    <x v="0"/>
    <x v="18"/>
    <x v="2"/>
    <x v="0"/>
    <x v="0"/>
    <x v="2"/>
    <x v="0"/>
  </r>
  <r>
    <x v="0"/>
    <x v="0"/>
    <n v="2239274030"/>
    <x v="5"/>
    <n v="-4700"/>
    <x v="2"/>
    <x v="0"/>
    <x v="18"/>
    <x v="5"/>
    <x v="0"/>
    <x v="0"/>
    <x v="5"/>
    <x v="0"/>
  </r>
  <r>
    <x v="0"/>
    <x v="0"/>
    <n v="2239274030"/>
    <x v="4"/>
    <n v="10000"/>
    <x v="2"/>
    <x v="0"/>
    <x v="18"/>
    <x v="4"/>
    <x v="0"/>
    <x v="0"/>
    <x v="4"/>
    <x v="0"/>
  </r>
  <r>
    <x v="0"/>
    <x v="0"/>
    <n v="2239274031"/>
    <x v="2"/>
    <n v="8250"/>
    <x v="2"/>
    <x v="0"/>
    <x v="18"/>
    <x v="2"/>
    <x v="0"/>
    <x v="0"/>
    <x v="2"/>
    <x v="0"/>
  </r>
  <r>
    <x v="0"/>
    <x v="0"/>
    <n v="2239274032"/>
    <x v="2"/>
    <n v="7500"/>
    <x v="2"/>
    <x v="0"/>
    <x v="18"/>
    <x v="2"/>
    <x v="0"/>
    <x v="0"/>
    <x v="2"/>
    <x v="0"/>
  </r>
  <r>
    <x v="0"/>
    <x v="0"/>
    <n v="2239274034"/>
    <x v="5"/>
    <n v="-5000"/>
    <x v="2"/>
    <x v="0"/>
    <x v="18"/>
    <x v="5"/>
    <x v="0"/>
    <x v="0"/>
    <x v="5"/>
    <x v="0"/>
  </r>
  <r>
    <x v="0"/>
    <x v="0"/>
    <n v="2239274034"/>
    <x v="6"/>
    <n v="10200"/>
    <x v="2"/>
    <x v="0"/>
    <x v="18"/>
    <x v="6"/>
    <x v="0"/>
    <x v="0"/>
    <x v="5"/>
    <x v="0"/>
  </r>
  <r>
    <x v="0"/>
    <x v="0"/>
    <n v="2239274034"/>
    <x v="7"/>
    <n v="1300"/>
    <x v="2"/>
    <x v="0"/>
    <x v="18"/>
    <x v="7"/>
    <x v="0"/>
    <x v="0"/>
    <x v="1"/>
    <x v="0"/>
  </r>
  <r>
    <x v="0"/>
    <x v="0"/>
    <n v="2239274037"/>
    <x v="2"/>
    <n v="10500"/>
    <x v="2"/>
    <x v="0"/>
    <x v="18"/>
    <x v="2"/>
    <x v="0"/>
    <x v="0"/>
    <x v="2"/>
    <x v="0"/>
  </r>
  <r>
    <x v="0"/>
    <x v="0"/>
    <n v="2239274038"/>
    <x v="2"/>
    <n v="24750"/>
    <x v="2"/>
    <x v="0"/>
    <x v="18"/>
    <x v="2"/>
    <x v="0"/>
    <x v="0"/>
    <x v="2"/>
    <x v="0"/>
  </r>
  <r>
    <x v="0"/>
    <x v="0"/>
    <n v="2239274039"/>
    <x v="3"/>
    <n v="3960"/>
    <x v="2"/>
    <x v="0"/>
    <x v="18"/>
    <x v="3"/>
    <x v="0"/>
    <x v="0"/>
    <x v="3"/>
    <x v="0"/>
  </r>
  <r>
    <x v="0"/>
    <x v="0"/>
    <n v="2239274040"/>
    <x v="5"/>
    <n v="-3500"/>
    <x v="2"/>
    <x v="0"/>
    <x v="18"/>
    <x v="5"/>
    <x v="0"/>
    <x v="0"/>
    <x v="5"/>
    <x v="0"/>
  </r>
  <r>
    <x v="0"/>
    <x v="0"/>
    <n v="2239274040"/>
    <x v="6"/>
    <n v="10000"/>
    <x v="2"/>
    <x v="0"/>
    <x v="18"/>
    <x v="6"/>
    <x v="0"/>
    <x v="0"/>
    <x v="5"/>
    <x v="0"/>
  </r>
  <r>
    <x v="0"/>
    <x v="0"/>
    <n v="2239274045"/>
    <x v="2"/>
    <n v="7970"/>
    <x v="2"/>
    <x v="0"/>
    <x v="18"/>
    <x v="2"/>
    <x v="0"/>
    <x v="0"/>
    <x v="2"/>
    <x v="0"/>
  </r>
  <r>
    <x v="0"/>
    <x v="0"/>
    <n v="2239274046"/>
    <x v="2"/>
    <n v="6000"/>
    <x v="2"/>
    <x v="0"/>
    <x v="18"/>
    <x v="2"/>
    <x v="0"/>
    <x v="0"/>
    <x v="2"/>
    <x v="0"/>
  </r>
  <r>
    <x v="0"/>
    <x v="0"/>
    <n v="2239274047"/>
    <x v="5"/>
    <n v="-3500"/>
    <x v="2"/>
    <x v="0"/>
    <x v="18"/>
    <x v="5"/>
    <x v="0"/>
    <x v="0"/>
    <x v="5"/>
    <x v="0"/>
  </r>
  <r>
    <x v="0"/>
    <x v="0"/>
    <n v="2239274047"/>
    <x v="6"/>
    <n v="10000"/>
    <x v="2"/>
    <x v="0"/>
    <x v="18"/>
    <x v="6"/>
    <x v="0"/>
    <x v="0"/>
    <x v="5"/>
    <x v="0"/>
  </r>
  <r>
    <x v="0"/>
    <x v="0"/>
    <n v="2239274048"/>
    <x v="1"/>
    <n v="1140"/>
    <x v="2"/>
    <x v="0"/>
    <x v="18"/>
    <x v="1"/>
    <x v="0"/>
    <x v="0"/>
    <x v="1"/>
    <x v="0"/>
  </r>
  <r>
    <x v="0"/>
    <x v="0"/>
    <n v="2239274049"/>
    <x v="5"/>
    <n v="-1"/>
    <x v="2"/>
    <x v="0"/>
    <x v="18"/>
    <x v="5"/>
    <x v="0"/>
    <x v="0"/>
    <x v="5"/>
    <x v="0"/>
  </r>
  <r>
    <x v="0"/>
    <x v="0"/>
    <n v="2239274049"/>
    <x v="6"/>
    <n v="1"/>
    <x v="2"/>
    <x v="0"/>
    <x v="18"/>
    <x v="6"/>
    <x v="0"/>
    <x v="0"/>
    <x v="5"/>
    <x v="0"/>
  </r>
  <r>
    <x v="0"/>
    <x v="0"/>
    <n v="2239274051"/>
    <x v="5"/>
    <n v="-3620"/>
    <x v="2"/>
    <x v="0"/>
    <x v="18"/>
    <x v="5"/>
    <x v="0"/>
    <x v="0"/>
    <x v="5"/>
    <x v="0"/>
  </r>
  <r>
    <x v="0"/>
    <x v="0"/>
    <n v="2239274051"/>
    <x v="6"/>
    <n v="20000"/>
    <x v="2"/>
    <x v="0"/>
    <x v="18"/>
    <x v="6"/>
    <x v="0"/>
    <x v="0"/>
    <x v="5"/>
    <x v="0"/>
  </r>
  <r>
    <x v="0"/>
    <x v="0"/>
    <n v="2239274052"/>
    <x v="5"/>
    <n v="-2100"/>
    <x v="2"/>
    <x v="0"/>
    <x v="18"/>
    <x v="5"/>
    <x v="0"/>
    <x v="0"/>
    <x v="5"/>
    <x v="0"/>
  </r>
  <r>
    <x v="0"/>
    <x v="0"/>
    <n v="2239274052"/>
    <x v="6"/>
    <n v="10000"/>
    <x v="2"/>
    <x v="0"/>
    <x v="18"/>
    <x v="6"/>
    <x v="0"/>
    <x v="0"/>
    <x v="5"/>
    <x v="0"/>
  </r>
  <r>
    <x v="0"/>
    <x v="0"/>
    <n v="2239274053"/>
    <x v="2"/>
    <n v="4180"/>
    <x v="2"/>
    <x v="0"/>
    <x v="18"/>
    <x v="2"/>
    <x v="0"/>
    <x v="0"/>
    <x v="2"/>
    <x v="0"/>
  </r>
  <r>
    <x v="0"/>
    <x v="0"/>
    <n v="2239274054"/>
    <x v="5"/>
    <n v="-1200"/>
    <x v="2"/>
    <x v="0"/>
    <x v="18"/>
    <x v="5"/>
    <x v="0"/>
    <x v="0"/>
    <x v="5"/>
    <x v="0"/>
  </r>
  <r>
    <x v="0"/>
    <x v="0"/>
    <n v="2239274054"/>
    <x v="6"/>
    <n v="10000"/>
    <x v="2"/>
    <x v="0"/>
    <x v="18"/>
    <x v="6"/>
    <x v="0"/>
    <x v="0"/>
    <x v="5"/>
    <x v="0"/>
  </r>
  <r>
    <x v="0"/>
    <x v="0"/>
    <n v="2239274055"/>
    <x v="6"/>
    <n v="1000"/>
    <x v="2"/>
    <x v="0"/>
    <x v="18"/>
    <x v="6"/>
    <x v="0"/>
    <x v="0"/>
    <x v="5"/>
    <x v="0"/>
  </r>
  <r>
    <x v="0"/>
    <x v="0"/>
    <n v="2239274056"/>
    <x v="5"/>
    <n v="-2500"/>
    <x v="2"/>
    <x v="0"/>
    <x v="18"/>
    <x v="5"/>
    <x v="0"/>
    <x v="0"/>
    <x v="5"/>
    <x v="0"/>
  </r>
  <r>
    <x v="0"/>
    <x v="0"/>
    <n v="2239274056"/>
    <x v="6"/>
    <n v="10000"/>
    <x v="2"/>
    <x v="0"/>
    <x v="18"/>
    <x v="6"/>
    <x v="0"/>
    <x v="0"/>
    <x v="5"/>
    <x v="0"/>
  </r>
  <r>
    <x v="0"/>
    <x v="0"/>
    <n v="2239274057"/>
    <x v="2"/>
    <n v="22000"/>
    <x v="2"/>
    <x v="0"/>
    <x v="18"/>
    <x v="2"/>
    <x v="0"/>
    <x v="0"/>
    <x v="2"/>
    <x v="0"/>
  </r>
  <r>
    <x v="0"/>
    <x v="0"/>
    <n v="2239274058"/>
    <x v="2"/>
    <n v="6600"/>
    <x v="2"/>
    <x v="0"/>
    <x v="18"/>
    <x v="2"/>
    <x v="0"/>
    <x v="0"/>
    <x v="2"/>
    <x v="0"/>
  </r>
  <r>
    <x v="0"/>
    <x v="0"/>
    <n v="2239274059"/>
    <x v="5"/>
    <n v="-18500"/>
    <x v="2"/>
    <x v="0"/>
    <x v="18"/>
    <x v="5"/>
    <x v="0"/>
    <x v="0"/>
    <x v="5"/>
    <x v="0"/>
  </r>
  <r>
    <x v="0"/>
    <x v="0"/>
    <n v="2239274059"/>
    <x v="6"/>
    <n v="25000"/>
    <x v="2"/>
    <x v="0"/>
    <x v="18"/>
    <x v="6"/>
    <x v="0"/>
    <x v="0"/>
    <x v="5"/>
    <x v="0"/>
  </r>
  <r>
    <x v="0"/>
    <x v="0"/>
    <n v="2239274060"/>
    <x v="5"/>
    <n v="-400"/>
    <x v="2"/>
    <x v="0"/>
    <x v="18"/>
    <x v="5"/>
    <x v="0"/>
    <x v="0"/>
    <x v="5"/>
    <x v="0"/>
  </r>
  <r>
    <x v="0"/>
    <x v="0"/>
    <n v="2239274060"/>
    <x v="4"/>
    <n v="5000"/>
    <x v="2"/>
    <x v="0"/>
    <x v="18"/>
    <x v="4"/>
    <x v="0"/>
    <x v="0"/>
    <x v="4"/>
    <x v="0"/>
  </r>
  <r>
    <x v="0"/>
    <x v="0"/>
    <n v="2239274061"/>
    <x v="5"/>
    <n v="-1200"/>
    <x v="2"/>
    <x v="0"/>
    <x v="18"/>
    <x v="5"/>
    <x v="0"/>
    <x v="0"/>
    <x v="5"/>
    <x v="0"/>
  </r>
  <r>
    <x v="0"/>
    <x v="0"/>
    <n v="2239274061"/>
    <x v="6"/>
    <n v="10000"/>
    <x v="2"/>
    <x v="0"/>
    <x v="18"/>
    <x v="6"/>
    <x v="0"/>
    <x v="0"/>
    <x v="5"/>
    <x v="0"/>
  </r>
  <r>
    <x v="0"/>
    <x v="0"/>
    <n v="2239274065"/>
    <x v="2"/>
    <n v="17600"/>
    <x v="2"/>
    <x v="0"/>
    <x v="18"/>
    <x v="2"/>
    <x v="0"/>
    <x v="0"/>
    <x v="2"/>
    <x v="0"/>
  </r>
  <r>
    <x v="0"/>
    <x v="0"/>
    <n v="2239274066"/>
    <x v="2"/>
    <n v="3300"/>
    <x v="2"/>
    <x v="0"/>
    <x v="18"/>
    <x v="2"/>
    <x v="0"/>
    <x v="0"/>
    <x v="2"/>
    <x v="0"/>
  </r>
  <r>
    <x v="0"/>
    <x v="0"/>
    <n v="2239274067"/>
    <x v="5"/>
    <n v="-5400"/>
    <x v="2"/>
    <x v="0"/>
    <x v="18"/>
    <x v="5"/>
    <x v="0"/>
    <x v="0"/>
    <x v="5"/>
    <x v="0"/>
  </r>
  <r>
    <x v="0"/>
    <x v="0"/>
    <n v="2239274067"/>
    <x v="4"/>
    <n v="10000"/>
    <x v="2"/>
    <x v="0"/>
    <x v="18"/>
    <x v="4"/>
    <x v="0"/>
    <x v="0"/>
    <x v="4"/>
    <x v="0"/>
  </r>
  <r>
    <x v="0"/>
    <x v="0"/>
    <n v="2239279856"/>
    <x v="5"/>
    <n v="-3700"/>
    <x v="2"/>
    <x v="0"/>
    <x v="19"/>
    <x v="5"/>
    <x v="0"/>
    <x v="0"/>
    <x v="5"/>
    <x v="0"/>
  </r>
  <r>
    <x v="0"/>
    <x v="0"/>
    <n v="2239279856"/>
    <x v="6"/>
    <n v="10000"/>
    <x v="2"/>
    <x v="0"/>
    <x v="19"/>
    <x v="6"/>
    <x v="0"/>
    <x v="0"/>
    <x v="5"/>
    <x v="0"/>
  </r>
  <r>
    <x v="0"/>
    <x v="0"/>
    <n v="2239279857"/>
    <x v="1"/>
    <n v="900"/>
    <x v="2"/>
    <x v="0"/>
    <x v="19"/>
    <x v="1"/>
    <x v="0"/>
    <x v="0"/>
    <x v="1"/>
    <x v="0"/>
  </r>
  <r>
    <x v="0"/>
    <x v="0"/>
    <n v="2239279858"/>
    <x v="7"/>
    <n v="3000"/>
    <x v="2"/>
    <x v="0"/>
    <x v="19"/>
    <x v="7"/>
    <x v="0"/>
    <x v="0"/>
    <x v="1"/>
    <x v="0"/>
  </r>
  <r>
    <x v="0"/>
    <x v="0"/>
    <n v="2239279859"/>
    <x v="5"/>
    <n v="-2800"/>
    <x v="2"/>
    <x v="0"/>
    <x v="19"/>
    <x v="5"/>
    <x v="0"/>
    <x v="0"/>
    <x v="5"/>
    <x v="0"/>
  </r>
  <r>
    <x v="0"/>
    <x v="0"/>
    <n v="2239279859"/>
    <x v="6"/>
    <n v="10000"/>
    <x v="2"/>
    <x v="0"/>
    <x v="19"/>
    <x v="6"/>
    <x v="0"/>
    <x v="0"/>
    <x v="5"/>
    <x v="0"/>
  </r>
  <r>
    <x v="0"/>
    <x v="0"/>
    <n v="2239279860"/>
    <x v="1"/>
    <n v="126300"/>
    <x v="2"/>
    <x v="0"/>
    <x v="19"/>
    <x v="1"/>
    <x v="0"/>
    <x v="0"/>
    <x v="1"/>
    <x v="0"/>
  </r>
  <r>
    <x v="0"/>
    <x v="0"/>
    <n v="2239279861"/>
    <x v="1"/>
    <n v="6270"/>
    <x v="2"/>
    <x v="0"/>
    <x v="19"/>
    <x v="1"/>
    <x v="0"/>
    <x v="0"/>
    <x v="1"/>
    <x v="0"/>
  </r>
  <r>
    <x v="0"/>
    <x v="0"/>
    <n v="2239279862"/>
    <x v="1"/>
    <n v="10050"/>
    <x v="2"/>
    <x v="0"/>
    <x v="19"/>
    <x v="1"/>
    <x v="0"/>
    <x v="0"/>
    <x v="1"/>
    <x v="0"/>
  </r>
  <r>
    <x v="0"/>
    <x v="0"/>
    <n v="2239279863"/>
    <x v="1"/>
    <n v="1950"/>
    <x v="2"/>
    <x v="0"/>
    <x v="19"/>
    <x v="1"/>
    <x v="0"/>
    <x v="0"/>
    <x v="1"/>
    <x v="0"/>
  </r>
  <r>
    <x v="0"/>
    <x v="0"/>
    <n v="2239279864"/>
    <x v="1"/>
    <n v="6270"/>
    <x v="2"/>
    <x v="0"/>
    <x v="19"/>
    <x v="1"/>
    <x v="0"/>
    <x v="0"/>
    <x v="1"/>
    <x v="0"/>
  </r>
  <r>
    <x v="0"/>
    <x v="0"/>
    <n v="2239279865"/>
    <x v="2"/>
    <n v="17820"/>
    <x v="2"/>
    <x v="0"/>
    <x v="19"/>
    <x v="2"/>
    <x v="0"/>
    <x v="0"/>
    <x v="2"/>
    <x v="0"/>
  </r>
  <r>
    <x v="0"/>
    <x v="0"/>
    <n v="2239279866"/>
    <x v="1"/>
    <n v="45210"/>
    <x v="2"/>
    <x v="0"/>
    <x v="19"/>
    <x v="1"/>
    <x v="0"/>
    <x v="0"/>
    <x v="1"/>
    <x v="0"/>
  </r>
  <r>
    <x v="0"/>
    <x v="0"/>
    <n v="2239279867"/>
    <x v="1"/>
    <n v="9090"/>
    <x v="2"/>
    <x v="0"/>
    <x v="19"/>
    <x v="1"/>
    <x v="0"/>
    <x v="0"/>
    <x v="1"/>
    <x v="0"/>
  </r>
  <r>
    <x v="0"/>
    <x v="0"/>
    <n v="2239279868"/>
    <x v="1"/>
    <n v="3300"/>
    <x v="2"/>
    <x v="0"/>
    <x v="19"/>
    <x v="1"/>
    <x v="0"/>
    <x v="0"/>
    <x v="1"/>
    <x v="0"/>
  </r>
  <r>
    <x v="0"/>
    <x v="0"/>
    <n v="2239279869"/>
    <x v="1"/>
    <n v="4770"/>
    <x v="2"/>
    <x v="0"/>
    <x v="19"/>
    <x v="1"/>
    <x v="0"/>
    <x v="0"/>
    <x v="1"/>
    <x v="0"/>
  </r>
  <r>
    <x v="0"/>
    <x v="0"/>
    <n v="2239279870"/>
    <x v="1"/>
    <n v="17100"/>
    <x v="2"/>
    <x v="0"/>
    <x v="19"/>
    <x v="1"/>
    <x v="0"/>
    <x v="0"/>
    <x v="1"/>
    <x v="0"/>
  </r>
  <r>
    <x v="0"/>
    <x v="0"/>
    <n v="2239279871"/>
    <x v="1"/>
    <n v="6300"/>
    <x v="2"/>
    <x v="0"/>
    <x v="19"/>
    <x v="1"/>
    <x v="0"/>
    <x v="0"/>
    <x v="1"/>
    <x v="0"/>
  </r>
  <r>
    <x v="0"/>
    <x v="0"/>
    <n v="2239279872"/>
    <x v="1"/>
    <n v="5370"/>
    <x v="2"/>
    <x v="0"/>
    <x v="19"/>
    <x v="1"/>
    <x v="0"/>
    <x v="0"/>
    <x v="1"/>
    <x v="0"/>
  </r>
  <r>
    <x v="0"/>
    <x v="0"/>
    <n v="2239279873"/>
    <x v="1"/>
    <n v="2250"/>
    <x v="2"/>
    <x v="0"/>
    <x v="19"/>
    <x v="1"/>
    <x v="0"/>
    <x v="0"/>
    <x v="1"/>
    <x v="0"/>
  </r>
  <r>
    <x v="0"/>
    <x v="0"/>
    <n v="2239279874"/>
    <x v="1"/>
    <n v="6300"/>
    <x v="2"/>
    <x v="0"/>
    <x v="19"/>
    <x v="1"/>
    <x v="0"/>
    <x v="0"/>
    <x v="1"/>
    <x v="0"/>
  </r>
  <r>
    <x v="0"/>
    <x v="0"/>
    <n v="2239279875"/>
    <x v="1"/>
    <n v="2100"/>
    <x v="2"/>
    <x v="0"/>
    <x v="19"/>
    <x v="1"/>
    <x v="0"/>
    <x v="0"/>
    <x v="1"/>
    <x v="0"/>
  </r>
  <r>
    <x v="0"/>
    <x v="0"/>
    <n v="2239279876"/>
    <x v="1"/>
    <n v="15670"/>
    <x v="2"/>
    <x v="0"/>
    <x v="19"/>
    <x v="1"/>
    <x v="0"/>
    <x v="0"/>
    <x v="1"/>
    <x v="0"/>
  </r>
  <r>
    <x v="0"/>
    <x v="0"/>
    <n v="2239279877"/>
    <x v="3"/>
    <n v="7090"/>
    <x v="2"/>
    <x v="0"/>
    <x v="19"/>
    <x v="3"/>
    <x v="0"/>
    <x v="0"/>
    <x v="3"/>
    <x v="0"/>
  </r>
  <r>
    <x v="0"/>
    <x v="0"/>
    <n v="2239279878"/>
    <x v="2"/>
    <n v="7090"/>
    <x v="2"/>
    <x v="0"/>
    <x v="19"/>
    <x v="2"/>
    <x v="0"/>
    <x v="0"/>
    <x v="2"/>
    <x v="0"/>
  </r>
  <r>
    <x v="0"/>
    <x v="0"/>
    <n v="2239279879"/>
    <x v="3"/>
    <n v="3000"/>
    <x v="2"/>
    <x v="0"/>
    <x v="19"/>
    <x v="3"/>
    <x v="0"/>
    <x v="0"/>
    <x v="3"/>
    <x v="0"/>
  </r>
  <r>
    <x v="0"/>
    <x v="0"/>
    <n v="2239279880"/>
    <x v="3"/>
    <n v="7090"/>
    <x v="2"/>
    <x v="0"/>
    <x v="19"/>
    <x v="3"/>
    <x v="0"/>
    <x v="0"/>
    <x v="3"/>
    <x v="0"/>
  </r>
  <r>
    <x v="0"/>
    <x v="0"/>
    <n v="2239279881"/>
    <x v="7"/>
    <n v="4000"/>
    <x v="2"/>
    <x v="0"/>
    <x v="19"/>
    <x v="7"/>
    <x v="0"/>
    <x v="0"/>
    <x v="1"/>
    <x v="0"/>
  </r>
  <r>
    <x v="0"/>
    <x v="0"/>
    <n v="2239279882"/>
    <x v="1"/>
    <n v="1800"/>
    <x v="2"/>
    <x v="0"/>
    <x v="19"/>
    <x v="1"/>
    <x v="0"/>
    <x v="0"/>
    <x v="1"/>
    <x v="0"/>
  </r>
  <r>
    <x v="0"/>
    <x v="0"/>
    <n v="2239279883"/>
    <x v="2"/>
    <n v="7500"/>
    <x v="2"/>
    <x v="0"/>
    <x v="19"/>
    <x v="2"/>
    <x v="0"/>
    <x v="0"/>
    <x v="2"/>
    <x v="0"/>
  </r>
  <r>
    <x v="0"/>
    <x v="0"/>
    <n v="2239279884"/>
    <x v="7"/>
    <n v="3000"/>
    <x v="2"/>
    <x v="0"/>
    <x v="19"/>
    <x v="7"/>
    <x v="0"/>
    <x v="0"/>
    <x v="1"/>
    <x v="0"/>
  </r>
  <r>
    <x v="0"/>
    <x v="0"/>
    <n v="2239279885"/>
    <x v="7"/>
    <n v="6000"/>
    <x v="2"/>
    <x v="0"/>
    <x v="19"/>
    <x v="7"/>
    <x v="0"/>
    <x v="0"/>
    <x v="1"/>
    <x v="0"/>
  </r>
  <r>
    <x v="0"/>
    <x v="0"/>
    <n v="2239279886"/>
    <x v="2"/>
    <n v="44165"/>
    <x v="2"/>
    <x v="0"/>
    <x v="19"/>
    <x v="2"/>
    <x v="0"/>
    <x v="0"/>
    <x v="2"/>
    <x v="0"/>
  </r>
  <r>
    <x v="0"/>
    <x v="0"/>
    <n v="2239279887"/>
    <x v="7"/>
    <n v="10000"/>
    <x v="2"/>
    <x v="0"/>
    <x v="19"/>
    <x v="7"/>
    <x v="0"/>
    <x v="0"/>
    <x v="1"/>
    <x v="0"/>
  </r>
  <r>
    <x v="0"/>
    <x v="0"/>
    <n v="2239279888"/>
    <x v="7"/>
    <n v="7500"/>
    <x v="2"/>
    <x v="0"/>
    <x v="19"/>
    <x v="7"/>
    <x v="0"/>
    <x v="0"/>
    <x v="1"/>
    <x v="0"/>
  </r>
  <r>
    <x v="0"/>
    <x v="0"/>
    <n v="2239279889"/>
    <x v="2"/>
    <n v="94490"/>
    <x v="2"/>
    <x v="0"/>
    <x v="19"/>
    <x v="2"/>
    <x v="0"/>
    <x v="0"/>
    <x v="2"/>
    <x v="0"/>
  </r>
  <r>
    <x v="0"/>
    <x v="0"/>
    <n v="2239279890"/>
    <x v="7"/>
    <n v="3000"/>
    <x v="2"/>
    <x v="0"/>
    <x v="19"/>
    <x v="7"/>
    <x v="0"/>
    <x v="0"/>
    <x v="1"/>
    <x v="0"/>
  </r>
  <r>
    <x v="0"/>
    <x v="0"/>
    <n v="2239279891"/>
    <x v="2"/>
    <n v="68860"/>
    <x v="2"/>
    <x v="0"/>
    <x v="19"/>
    <x v="2"/>
    <x v="0"/>
    <x v="0"/>
    <x v="2"/>
    <x v="0"/>
  </r>
  <r>
    <x v="0"/>
    <x v="0"/>
    <n v="2239279892"/>
    <x v="2"/>
    <n v="81125"/>
    <x v="2"/>
    <x v="0"/>
    <x v="19"/>
    <x v="2"/>
    <x v="0"/>
    <x v="0"/>
    <x v="2"/>
    <x v="0"/>
  </r>
  <r>
    <x v="0"/>
    <x v="0"/>
    <n v="2239279893"/>
    <x v="5"/>
    <n v="-4350"/>
    <x v="2"/>
    <x v="0"/>
    <x v="19"/>
    <x v="5"/>
    <x v="0"/>
    <x v="0"/>
    <x v="5"/>
    <x v="0"/>
  </r>
  <r>
    <x v="0"/>
    <x v="0"/>
    <n v="2239279893"/>
    <x v="6"/>
    <n v="20000"/>
    <x v="2"/>
    <x v="0"/>
    <x v="19"/>
    <x v="6"/>
    <x v="0"/>
    <x v="0"/>
    <x v="5"/>
    <x v="0"/>
  </r>
  <r>
    <x v="0"/>
    <x v="0"/>
    <n v="2239279894"/>
    <x v="8"/>
    <n v="94765"/>
    <x v="2"/>
    <x v="0"/>
    <x v="19"/>
    <x v="8"/>
    <x v="0"/>
    <x v="0"/>
    <x v="3"/>
    <x v="0"/>
  </r>
  <r>
    <x v="0"/>
    <x v="0"/>
    <n v="2239279896"/>
    <x v="5"/>
    <n v="-750"/>
    <x v="2"/>
    <x v="0"/>
    <x v="19"/>
    <x v="5"/>
    <x v="0"/>
    <x v="0"/>
    <x v="5"/>
    <x v="0"/>
  </r>
  <r>
    <x v="0"/>
    <x v="0"/>
    <n v="2239279896"/>
    <x v="6"/>
    <n v="6000"/>
    <x v="2"/>
    <x v="0"/>
    <x v="19"/>
    <x v="6"/>
    <x v="0"/>
    <x v="0"/>
    <x v="5"/>
    <x v="0"/>
  </r>
  <r>
    <x v="0"/>
    <x v="0"/>
    <n v="2239279896"/>
    <x v="7"/>
    <n v="5250"/>
    <x v="2"/>
    <x v="0"/>
    <x v="19"/>
    <x v="7"/>
    <x v="0"/>
    <x v="0"/>
    <x v="1"/>
    <x v="0"/>
  </r>
  <r>
    <x v="0"/>
    <x v="0"/>
    <n v="2239279897"/>
    <x v="2"/>
    <n v="8195"/>
    <x v="2"/>
    <x v="0"/>
    <x v="19"/>
    <x v="2"/>
    <x v="0"/>
    <x v="0"/>
    <x v="2"/>
    <x v="0"/>
  </r>
  <r>
    <x v="0"/>
    <x v="0"/>
    <n v="2239279898"/>
    <x v="2"/>
    <n v="1650"/>
    <x v="2"/>
    <x v="0"/>
    <x v="19"/>
    <x v="2"/>
    <x v="0"/>
    <x v="0"/>
    <x v="2"/>
    <x v="0"/>
  </r>
  <r>
    <x v="0"/>
    <x v="0"/>
    <n v="2239279900"/>
    <x v="3"/>
    <n v="76615"/>
    <x v="2"/>
    <x v="0"/>
    <x v="19"/>
    <x v="3"/>
    <x v="0"/>
    <x v="0"/>
    <x v="3"/>
    <x v="0"/>
  </r>
  <r>
    <x v="0"/>
    <x v="0"/>
    <n v="2239279901"/>
    <x v="2"/>
    <n v="9570"/>
    <x v="2"/>
    <x v="0"/>
    <x v="19"/>
    <x v="2"/>
    <x v="0"/>
    <x v="0"/>
    <x v="2"/>
    <x v="0"/>
  </r>
  <r>
    <x v="0"/>
    <x v="0"/>
    <n v="2239279902"/>
    <x v="6"/>
    <n v="1500"/>
    <x v="2"/>
    <x v="0"/>
    <x v="19"/>
    <x v="6"/>
    <x v="0"/>
    <x v="0"/>
    <x v="5"/>
    <x v="0"/>
  </r>
  <r>
    <x v="0"/>
    <x v="0"/>
    <n v="2239279903"/>
    <x v="2"/>
    <n v="5500"/>
    <x v="2"/>
    <x v="0"/>
    <x v="19"/>
    <x v="2"/>
    <x v="0"/>
    <x v="0"/>
    <x v="2"/>
    <x v="0"/>
  </r>
  <r>
    <x v="0"/>
    <x v="0"/>
    <n v="2239279904"/>
    <x v="5"/>
    <n v="-7050"/>
    <x v="2"/>
    <x v="0"/>
    <x v="19"/>
    <x v="5"/>
    <x v="0"/>
    <x v="0"/>
    <x v="5"/>
    <x v="0"/>
  </r>
  <r>
    <x v="0"/>
    <x v="0"/>
    <n v="2239279904"/>
    <x v="6"/>
    <n v="10300"/>
    <x v="2"/>
    <x v="0"/>
    <x v="19"/>
    <x v="6"/>
    <x v="0"/>
    <x v="0"/>
    <x v="5"/>
    <x v="0"/>
  </r>
  <r>
    <x v="0"/>
    <x v="0"/>
    <n v="2239279905"/>
    <x v="2"/>
    <n v="61900"/>
    <x v="2"/>
    <x v="0"/>
    <x v="19"/>
    <x v="2"/>
    <x v="0"/>
    <x v="0"/>
    <x v="2"/>
    <x v="0"/>
  </r>
  <r>
    <x v="0"/>
    <x v="0"/>
    <n v="2239279906"/>
    <x v="2"/>
    <n v="27995"/>
    <x v="2"/>
    <x v="0"/>
    <x v="19"/>
    <x v="2"/>
    <x v="0"/>
    <x v="0"/>
    <x v="2"/>
    <x v="0"/>
  </r>
  <r>
    <x v="0"/>
    <x v="0"/>
    <n v="2239279907"/>
    <x v="7"/>
    <n v="2000"/>
    <x v="2"/>
    <x v="0"/>
    <x v="19"/>
    <x v="7"/>
    <x v="0"/>
    <x v="0"/>
    <x v="1"/>
    <x v="0"/>
  </r>
  <r>
    <x v="0"/>
    <x v="0"/>
    <n v="2239279908"/>
    <x v="2"/>
    <n v="84700"/>
    <x v="2"/>
    <x v="0"/>
    <x v="19"/>
    <x v="2"/>
    <x v="0"/>
    <x v="0"/>
    <x v="2"/>
    <x v="0"/>
  </r>
  <r>
    <x v="0"/>
    <x v="0"/>
    <n v="2239279909"/>
    <x v="5"/>
    <n v="-2050"/>
    <x v="2"/>
    <x v="0"/>
    <x v="19"/>
    <x v="5"/>
    <x v="0"/>
    <x v="0"/>
    <x v="5"/>
    <x v="0"/>
  </r>
  <r>
    <x v="0"/>
    <x v="0"/>
    <n v="2239279909"/>
    <x v="6"/>
    <n v="80000"/>
    <x v="2"/>
    <x v="0"/>
    <x v="19"/>
    <x v="6"/>
    <x v="0"/>
    <x v="0"/>
    <x v="5"/>
    <x v="0"/>
  </r>
  <r>
    <x v="0"/>
    <x v="0"/>
    <n v="2239279910"/>
    <x v="2"/>
    <n v="86020"/>
    <x v="2"/>
    <x v="0"/>
    <x v="19"/>
    <x v="2"/>
    <x v="0"/>
    <x v="0"/>
    <x v="2"/>
    <x v="0"/>
  </r>
  <r>
    <x v="0"/>
    <x v="0"/>
    <n v="2239279911"/>
    <x v="5"/>
    <n v="-1750"/>
    <x v="2"/>
    <x v="0"/>
    <x v="19"/>
    <x v="5"/>
    <x v="0"/>
    <x v="0"/>
    <x v="5"/>
    <x v="0"/>
  </r>
  <r>
    <x v="0"/>
    <x v="0"/>
    <n v="2239279911"/>
    <x v="6"/>
    <n v="5000"/>
    <x v="2"/>
    <x v="0"/>
    <x v="19"/>
    <x v="6"/>
    <x v="0"/>
    <x v="0"/>
    <x v="5"/>
    <x v="0"/>
  </r>
  <r>
    <x v="0"/>
    <x v="0"/>
    <n v="2239279912"/>
    <x v="7"/>
    <n v="6500"/>
    <x v="2"/>
    <x v="0"/>
    <x v="19"/>
    <x v="7"/>
    <x v="0"/>
    <x v="0"/>
    <x v="1"/>
    <x v="0"/>
  </r>
  <r>
    <x v="0"/>
    <x v="0"/>
    <n v="2239279914"/>
    <x v="2"/>
    <n v="61820"/>
    <x v="2"/>
    <x v="0"/>
    <x v="19"/>
    <x v="2"/>
    <x v="0"/>
    <x v="0"/>
    <x v="2"/>
    <x v="0"/>
  </r>
  <r>
    <x v="0"/>
    <x v="0"/>
    <n v="2239279915"/>
    <x v="3"/>
    <n v="37345"/>
    <x v="2"/>
    <x v="0"/>
    <x v="19"/>
    <x v="3"/>
    <x v="0"/>
    <x v="0"/>
    <x v="3"/>
    <x v="0"/>
  </r>
  <r>
    <x v="0"/>
    <x v="0"/>
    <n v="2239279915"/>
    <x v="7"/>
    <n v="8500"/>
    <x v="2"/>
    <x v="0"/>
    <x v="19"/>
    <x v="7"/>
    <x v="0"/>
    <x v="0"/>
    <x v="1"/>
    <x v="0"/>
  </r>
  <r>
    <x v="0"/>
    <x v="0"/>
    <n v="2239279916"/>
    <x v="2"/>
    <n v="32890"/>
    <x v="2"/>
    <x v="0"/>
    <x v="19"/>
    <x v="2"/>
    <x v="0"/>
    <x v="0"/>
    <x v="2"/>
    <x v="0"/>
  </r>
  <r>
    <x v="0"/>
    <x v="0"/>
    <n v="2239279917"/>
    <x v="5"/>
    <n v="-6200"/>
    <x v="2"/>
    <x v="0"/>
    <x v="19"/>
    <x v="5"/>
    <x v="0"/>
    <x v="0"/>
    <x v="5"/>
    <x v="0"/>
  </r>
  <r>
    <x v="0"/>
    <x v="0"/>
    <n v="2239279917"/>
    <x v="6"/>
    <n v="10000"/>
    <x v="2"/>
    <x v="0"/>
    <x v="19"/>
    <x v="6"/>
    <x v="0"/>
    <x v="0"/>
    <x v="5"/>
    <x v="0"/>
  </r>
  <r>
    <x v="0"/>
    <x v="0"/>
    <n v="2239279917"/>
    <x v="7"/>
    <n v="3800"/>
    <x v="2"/>
    <x v="0"/>
    <x v="19"/>
    <x v="7"/>
    <x v="0"/>
    <x v="0"/>
    <x v="1"/>
    <x v="0"/>
  </r>
  <r>
    <x v="0"/>
    <x v="0"/>
    <n v="2239279918"/>
    <x v="2"/>
    <n v="32340"/>
    <x v="2"/>
    <x v="0"/>
    <x v="19"/>
    <x v="2"/>
    <x v="0"/>
    <x v="0"/>
    <x v="2"/>
    <x v="0"/>
  </r>
  <r>
    <x v="0"/>
    <x v="0"/>
    <n v="2239279919"/>
    <x v="7"/>
    <n v="9000"/>
    <x v="2"/>
    <x v="0"/>
    <x v="19"/>
    <x v="7"/>
    <x v="0"/>
    <x v="0"/>
    <x v="1"/>
    <x v="0"/>
  </r>
  <r>
    <x v="0"/>
    <x v="0"/>
    <n v="2239279920"/>
    <x v="5"/>
    <n v="-300"/>
    <x v="2"/>
    <x v="0"/>
    <x v="19"/>
    <x v="5"/>
    <x v="0"/>
    <x v="0"/>
    <x v="5"/>
    <x v="0"/>
  </r>
  <r>
    <x v="0"/>
    <x v="0"/>
    <n v="2239279920"/>
    <x v="6"/>
    <n v="22000"/>
    <x v="2"/>
    <x v="0"/>
    <x v="19"/>
    <x v="6"/>
    <x v="0"/>
    <x v="0"/>
    <x v="5"/>
    <x v="0"/>
  </r>
  <r>
    <x v="0"/>
    <x v="0"/>
    <n v="2239279921"/>
    <x v="2"/>
    <n v="17490"/>
    <x v="2"/>
    <x v="0"/>
    <x v="19"/>
    <x v="2"/>
    <x v="0"/>
    <x v="0"/>
    <x v="2"/>
    <x v="0"/>
  </r>
  <r>
    <x v="0"/>
    <x v="0"/>
    <n v="2239279922"/>
    <x v="8"/>
    <n v="8250"/>
    <x v="2"/>
    <x v="0"/>
    <x v="19"/>
    <x v="8"/>
    <x v="0"/>
    <x v="0"/>
    <x v="3"/>
    <x v="0"/>
  </r>
  <r>
    <x v="0"/>
    <x v="0"/>
    <n v="2239279922"/>
    <x v="7"/>
    <n v="3250"/>
    <x v="2"/>
    <x v="0"/>
    <x v="19"/>
    <x v="7"/>
    <x v="0"/>
    <x v="0"/>
    <x v="1"/>
    <x v="0"/>
  </r>
  <r>
    <x v="0"/>
    <x v="0"/>
    <n v="2239279923"/>
    <x v="3"/>
    <n v="58245"/>
    <x v="2"/>
    <x v="0"/>
    <x v="19"/>
    <x v="3"/>
    <x v="0"/>
    <x v="0"/>
    <x v="3"/>
    <x v="0"/>
  </r>
  <r>
    <x v="0"/>
    <x v="0"/>
    <n v="2239279924"/>
    <x v="3"/>
    <n v="4000"/>
    <x v="2"/>
    <x v="0"/>
    <x v="19"/>
    <x v="3"/>
    <x v="0"/>
    <x v="0"/>
    <x v="3"/>
    <x v="0"/>
  </r>
  <r>
    <x v="0"/>
    <x v="0"/>
    <n v="2239279925"/>
    <x v="2"/>
    <n v="2500"/>
    <x v="2"/>
    <x v="0"/>
    <x v="19"/>
    <x v="2"/>
    <x v="0"/>
    <x v="0"/>
    <x v="2"/>
    <x v="0"/>
  </r>
  <r>
    <x v="0"/>
    <x v="0"/>
    <n v="2239279926"/>
    <x v="3"/>
    <n v="10500"/>
    <x v="2"/>
    <x v="0"/>
    <x v="19"/>
    <x v="3"/>
    <x v="0"/>
    <x v="0"/>
    <x v="3"/>
    <x v="0"/>
  </r>
  <r>
    <x v="0"/>
    <x v="0"/>
    <n v="2239279927"/>
    <x v="2"/>
    <n v="51400"/>
    <x v="2"/>
    <x v="0"/>
    <x v="19"/>
    <x v="2"/>
    <x v="0"/>
    <x v="0"/>
    <x v="2"/>
    <x v="0"/>
  </r>
  <r>
    <x v="0"/>
    <x v="0"/>
    <n v="2239279928"/>
    <x v="5"/>
    <n v="-16250"/>
    <x v="2"/>
    <x v="0"/>
    <x v="19"/>
    <x v="5"/>
    <x v="0"/>
    <x v="0"/>
    <x v="5"/>
    <x v="0"/>
  </r>
  <r>
    <x v="0"/>
    <x v="0"/>
    <n v="2239279928"/>
    <x v="6"/>
    <n v="20000"/>
    <x v="2"/>
    <x v="0"/>
    <x v="19"/>
    <x v="6"/>
    <x v="0"/>
    <x v="0"/>
    <x v="5"/>
    <x v="0"/>
  </r>
  <r>
    <x v="0"/>
    <x v="0"/>
    <n v="2239279928"/>
    <x v="7"/>
    <n v="3750"/>
    <x v="2"/>
    <x v="0"/>
    <x v="19"/>
    <x v="7"/>
    <x v="0"/>
    <x v="0"/>
    <x v="1"/>
    <x v="0"/>
  </r>
  <r>
    <x v="0"/>
    <x v="0"/>
    <n v="2239279929"/>
    <x v="2"/>
    <n v="8625"/>
    <x v="2"/>
    <x v="0"/>
    <x v="19"/>
    <x v="2"/>
    <x v="0"/>
    <x v="0"/>
    <x v="2"/>
    <x v="0"/>
  </r>
  <r>
    <x v="0"/>
    <x v="0"/>
    <n v="2239279929"/>
    <x v="7"/>
    <n v="7500"/>
    <x v="2"/>
    <x v="0"/>
    <x v="19"/>
    <x v="7"/>
    <x v="0"/>
    <x v="0"/>
    <x v="1"/>
    <x v="0"/>
  </r>
  <r>
    <x v="0"/>
    <x v="0"/>
    <n v="2239279930"/>
    <x v="2"/>
    <n v="7500"/>
    <x v="2"/>
    <x v="0"/>
    <x v="19"/>
    <x v="2"/>
    <x v="0"/>
    <x v="0"/>
    <x v="2"/>
    <x v="0"/>
  </r>
  <r>
    <x v="0"/>
    <x v="0"/>
    <n v="2239279931"/>
    <x v="3"/>
    <n v="109780"/>
    <x v="2"/>
    <x v="0"/>
    <x v="19"/>
    <x v="3"/>
    <x v="0"/>
    <x v="0"/>
    <x v="3"/>
    <x v="0"/>
  </r>
  <r>
    <x v="0"/>
    <x v="0"/>
    <n v="2239279932"/>
    <x v="2"/>
    <n v="35640"/>
    <x v="2"/>
    <x v="0"/>
    <x v="19"/>
    <x v="2"/>
    <x v="0"/>
    <x v="0"/>
    <x v="2"/>
    <x v="0"/>
  </r>
  <r>
    <x v="0"/>
    <x v="0"/>
    <n v="2239279934"/>
    <x v="2"/>
    <n v="3025"/>
    <x v="2"/>
    <x v="0"/>
    <x v="19"/>
    <x v="2"/>
    <x v="0"/>
    <x v="0"/>
    <x v="2"/>
    <x v="0"/>
  </r>
  <r>
    <x v="0"/>
    <x v="0"/>
    <n v="2239279935"/>
    <x v="2"/>
    <n v="3250"/>
    <x v="2"/>
    <x v="0"/>
    <x v="19"/>
    <x v="2"/>
    <x v="0"/>
    <x v="0"/>
    <x v="2"/>
    <x v="0"/>
  </r>
  <r>
    <x v="0"/>
    <x v="0"/>
    <n v="2239279936"/>
    <x v="5"/>
    <n v="-1000"/>
    <x v="2"/>
    <x v="0"/>
    <x v="19"/>
    <x v="5"/>
    <x v="0"/>
    <x v="0"/>
    <x v="5"/>
    <x v="0"/>
  </r>
  <r>
    <x v="0"/>
    <x v="0"/>
    <n v="2239279936"/>
    <x v="6"/>
    <n v="22000"/>
    <x v="2"/>
    <x v="0"/>
    <x v="19"/>
    <x v="6"/>
    <x v="0"/>
    <x v="0"/>
    <x v="5"/>
    <x v="0"/>
  </r>
  <r>
    <x v="0"/>
    <x v="0"/>
    <n v="2239279937"/>
    <x v="3"/>
    <n v="1500"/>
    <x v="2"/>
    <x v="0"/>
    <x v="19"/>
    <x v="3"/>
    <x v="0"/>
    <x v="0"/>
    <x v="3"/>
    <x v="0"/>
  </r>
  <r>
    <x v="0"/>
    <x v="0"/>
    <n v="2239279938"/>
    <x v="6"/>
    <n v="21000"/>
    <x v="2"/>
    <x v="0"/>
    <x v="19"/>
    <x v="6"/>
    <x v="0"/>
    <x v="0"/>
    <x v="5"/>
    <x v="0"/>
  </r>
  <r>
    <x v="0"/>
    <x v="0"/>
    <n v="2239279939"/>
    <x v="2"/>
    <n v="3100"/>
    <x v="2"/>
    <x v="0"/>
    <x v="19"/>
    <x v="2"/>
    <x v="0"/>
    <x v="0"/>
    <x v="2"/>
    <x v="0"/>
  </r>
  <r>
    <x v="0"/>
    <x v="0"/>
    <n v="2239279940"/>
    <x v="3"/>
    <n v="7500"/>
    <x v="2"/>
    <x v="0"/>
    <x v="19"/>
    <x v="3"/>
    <x v="0"/>
    <x v="0"/>
    <x v="3"/>
    <x v="0"/>
  </r>
  <r>
    <x v="0"/>
    <x v="0"/>
    <n v="2239279941"/>
    <x v="2"/>
    <n v="87934"/>
    <x v="2"/>
    <x v="0"/>
    <x v="19"/>
    <x v="2"/>
    <x v="0"/>
    <x v="0"/>
    <x v="2"/>
    <x v="0"/>
  </r>
  <r>
    <x v="0"/>
    <x v="0"/>
    <n v="2239279942"/>
    <x v="2"/>
    <n v="5665"/>
    <x v="2"/>
    <x v="0"/>
    <x v="19"/>
    <x v="2"/>
    <x v="0"/>
    <x v="0"/>
    <x v="2"/>
    <x v="0"/>
  </r>
  <r>
    <x v="0"/>
    <x v="0"/>
    <n v="2239279944"/>
    <x v="2"/>
    <n v="23100"/>
    <x v="2"/>
    <x v="0"/>
    <x v="19"/>
    <x v="2"/>
    <x v="0"/>
    <x v="0"/>
    <x v="2"/>
    <x v="0"/>
  </r>
  <r>
    <x v="0"/>
    <x v="0"/>
    <n v="2239279945"/>
    <x v="2"/>
    <n v="7425"/>
    <x v="2"/>
    <x v="0"/>
    <x v="19"/>
    <x v="2"/>
    <x v="0"/>
    <x v="0"/>
    <x v="2"/>
    <x v="0"/>
  </r>
  <r>
    <x v="0"/>
    <x v="0"/>
    <n v="2239279946"/>
    <x v="3"/>
    <n v="3300"/>
    <x v="2"/>
    <x v="0"/>
    <x v="19"/>
    <x v="3"/>
    <x v="0"/>
    <x v="0"/>
    <x v="3"/>
    <x v="0"/>
  </r>
  <r>
    <x v="0"/>
    <x v="0"/>
    <n v="2239279948"/>
    <x v="2"/>
    <n v="6600"/>
    <x v="2"/>
    <x v="0"/>
    <x v="19"/>
    <x v="2"/>
    <x v="0"/>
    <x v="0"/>
    <x v="2"/>
    <x v="0"/>
  </r>
  <r>
    <x v="0"/>
    <x v="0"/>
    <n v="2239279949"/>
    <x v="2"/>
    <n v="4000"/>
    <x v="2"/>
    <x v="0"/>
    <x v="19"/>
    <x v="2"/>
    <x v="0"/>
    <x v="0"/>
    <x v="2"/>
    <x v="0"/>
  </r>
  <r>
    <x v="0"/>
    <x v="0"/>
    <n v="2239279950"/>
    <x v="2"/>
    <n v="38170"/>
    <x v="2"/>
    <x v="0"/>
    <x v="19"/>
    <x v="2"/>
    <x v="0"/>
    <x v="0"/>
    <x v="2"/>
    <x v="0"/>
  </r>
  <r>
    <x v="0"/>
    <x v="0"/>
    <n v="2239279951"/>
    <x v="2"/>
    <n v="45540"/>
    <x v="2"/>
    <x v="0"/>
    <x v="19"/>
    <x v="2"/>
    <x v="0"/>
    <x v="0"/>
    <x v="2"/>
    <x v="0"/>
  </r>
  <r>
    <x v="0"/>
    <x v="0"/>
    <n v="2239279952"/>
    <x v="7"/>
    <n v="8000"/>
    <x v="2"/>
    <x v="0"/>
    <x v="19"/>
    <x v="7"/>
    <x v="0"/>
    <x v="0"/>
    <x v="1"/>
    <x v="0"/>
  </r>
  <r>
    <x v="0"/>
    <x v="0"/>
    <n v="2239279953"/>
    <x v="2"/>
    <n v="3000"/>
    <x v="2"/>
    <x v="0"/>
    <x v="19"/>
    <x v="2"/>
    <x v="0"/>
    <x v="0"/>
    <x v="2"/>
    <x v="0"/>
  </r>
  <r>
    <x v="0"/>
    <x v="0"/>
    <n v="2239279954"/>
    <x v="2"/>
    <n v="18645"/>
    <x v="2"/>
    <x v="0"/>
    <x v="19"/>
    <x v="2"/>
    <x v="0"/>
    <x v="0"/>
    <x v="2"/>
    <x v="0"/>
  </r>
  <r>
    <x v="0"/>
    <x v="0"/>
    <n v="2239279955"/>
    <x v="3"/>
    <n v="6600"/>
    <x v="2"/>
    <x v="0"/>
    <x v="19"/>
    <x v="3"/>
    <x v="0"/>
    <x v="0"/>
    <x v="3"/>
    <x v="0"/>
  </r>
  <r>
    <x v="0"/>
    <x v="0"/>
    <n v="2239279956"/>
    <x v="2"/>
    <n v="40590"/>
    <x v="2"/>
    <x v="0"/>
    <x v="19"/>
    <x v="2"/>
    <x v="0"/>
    <x v="0"/>
    <x v="2"/>
    <x v="0"/>
  </r>
  <r>
    <x v="0"/>
    <x v="0"/>
    <n v="2239279956"/>
    <x v="7"/>
    <n v="2500"/>
    <x v="2"/>
    <x v="0"/>
    <x v="19"/>
    <x v="7"/>
    <x v="0"/>
    <x v="0"/>
    <x v="1"/>
    <x v="0"/>
  </r>
  <r>
    <x v="0"/>
    <x v="0"/>
    <n v="2239279957"/>
    <x v="5"/>
    <n v="-11250"/>
    <x v="2"/>
    <x v="0"/>
    <x v="19"/>
    <x v="5"/>
    <x v="0"/>
    <x v="0"/>
    <x v="5"/>
    <x v="0"/>
  </r>
  <r>
    <x v="0"/>
    <x v="0"/>
    <n v="2239279957"/>
    <x v="6"/>
    <n v="20000"/>
    <x v="2"/>
    <x v="0"/>
    <x v="19"/>
    <x v="6"/>
    <x v="0"/>
    <x v="0"/>
    <x v="5"/>
    <x v="0"/>
  </r>
  <r>
    <x v="0"/>
    <x v="0"/>
    <n v="2239279958"/>
    <x v="2"/>
    <n v="3250"/>
    <x v="2"/>
    <x v="0"/>
    <x v="19"/>
    <x v="2"/>
    <x v="0"/>
    <x v="0"/>
    <x v="2"/>
    <x v="0"/>
  </r>
  <r>
    <x v="0"/>
    <x v="0"/>
    <n v="2239279959"/>
    <x v="2"/>
    <n v="38940"/>
    <x v="2"/>
    <x v="0"/>
    <x v="19"/>
    <x v="2"/>
    <x v="0"/>
    <x v="0"/>
    <x v="2"/>
    <x v="0"/>
  </r>
  <r>
    <x v="0"/>
    <x v="0"/>
    <n v="2239279960"/>
    <x v="2"/>
    <n v="6500"/>
    <x v="2"/>
    <x v="0"/>
    <x v="19"/>
    <x v="2"/>
    <x v="0"/>
    <x v="0"/>
    <x v="2"/>
    <x v="0"/>
  </r>
  <r>
    <x v="0"/>
    <x v="0"/>
    <n v="2239279961"/>
    <x v="3"/>
    <n v="43945"/>
    <x v="2"/>
    <x v="0"/>
    <x v="19"/>
    <x v="3"/>
    <x v="0"/>
    <x v="0"/>
    <x v="3"/>
    <x v="0"/>
  </r>
  <r>
    <x v="0"/>
    <x v="0"/>
    <n v="2239279962"/>
    <x v="2"/>
    <n v="5225"/>
    <x v="2"/>
    <x v="0"/>
    <x v="19"/>
    <x v="2"/>
    <x v="0"/>
    <x v="0"/>
    <x v="2"/>
    <x v="0"/>
  </r>
  <r>
    <x v="0"/>
    <x v="0"/>
    <n v="2239279963"/>
    <x v="5"/>
    <n v="-2800"/>
    <x v="2"/>
    <x v="0"/>
    <x v="19"/>
    <x v="5"/>
    <x v="0"/>
    <x v="0"/>
    <x v="5"/>
    <x v="0"/>
  </r>
  <r>
    <x v="0"/>
    <x v="0"/>
    <n v="2239279963"/>
    <x v="6"/>
    <n v="35000"/>
    <x v="2"/>
    <x v="0"/>
    <x v="19"/>
    <x v="6"/>
    <x v="0"/>
    <x v="0"/>
    <x v="5"/>
    <x v="0"/>
  </r>
  <r>
    <x v="0"/>
    <x v="0"/>
    <n v="2239279964"/>
    <x v="2"/>
    <n v="5500"/>
    <x v="2"/>
    <x v="0"/>
    <x v="19"/>
    <x v="2"/>
    <x v="0"/>
    <x v="0"/>
    <x v="2"/>
    <x v="0"/>
  </r>
  <r>
    <x v="0"/>
    <x v="0"/>
    <n v="2239279965"/>
    <x v="2"/>
    <n v="19745"/>
    <x v="2"/>
    <x v="0"/>
    <x v="19"/>
    <x v="2"/>
    <x v="0"/>
    <x v="0"/>
    <x v="2"/>
    <x v="0"/>
  </r>
  <r>
    <x v="0"/>
    <x v="0"/>
    <n v="2239279966"/>
    <x v="2"/>
    <n v="7700"/>
    <x v="2"/>
    <x v="0"/>
    <x v="19"/>
    <x v="2"/>
    <x v="0"/>
    <x v="0"/>
    <x v="2"/>
    <x v="0"/>
  </r>
  <r>
    <x v="0"/>
    <x v="0"/>
    <n v="2239279968"/>
    <x v="8"/>
    <n v="6500"/>
    <x v="2"/>
    <x v="0"/>
    <x v="19"/>
    <x v="8"/>
    <x v="0"/>
    <x v="0"/>
    <x v="3"/>
    <x v="0"/>
  </r>
  <r>
    <x v="0"/>
    <x v="0"/>
    <n v="2239279969"/>
    <x v="5"/>
    <n v="-5000"/>
    <x v="2"/>
    <x v="0"/>
    <x v="19"/>
    <x v="5"/>
    <x v="0"/>
    <x v="0"/>
    <x v="5"/>
    <x v="0"/>
  </r>
  <r>
    <x v="0"/>
    <x v="0"/>
    <n v="2239279969"/>
    <x v="6"/>
    <n v="10000"/>
    <x v="2"/>
    <x v="0"/>
    <x v="19"/>
    <x v="6"/>
    <x v="0"/>
    <x v="0"/>
    <x v="5"/>
    <x v="0"/>
  </r>
  <r>
    <x v="0"/>
    <x v="0"/>
    <n v="2239279970"/>
    <x v="5"/>
    <n v="-4300"/>
    <x v="2"/>
    <x v="0"/>
    <x v="19"/>
    <x v="5"/>
    <x v="0"/>
    <x v="0"/>
    <x v="5"/>
    <x v="0"/>
  </r>
  <r>
    <x v="0"/>
    <x v="0"/>
    <n v="2239279970"/>
    <x v="6"/>
    <n v="40000"/>
    <x v="2"/>
    <x v="0"/>
    <x v="19"/>
    <x v="6"/>
    <x v="0"/>
    <x v="0"/>
    <x v="5"/>
    <x v="0"/>
  </r>
  <r>
    <x v="0"/>
    <x v="0"/>
    <n v="2239279971"/>
    <x v="4"/>
    <n v="5300"/>
    <x v="2"/>
    <x v="0"/>
    <x v="19"/>
    <x v="4"/>
    <x v="0"/>
    <x v="0"/>
    <x v="4"/>
    <x v="0"/>
  </r>
  <r>
    <x v="0"/>
    <x v="0"/>
    <n v="2239279973"/>
    <x v="2"/>
    <n v="77660"/>
    <x v="2"/>
    <x v="0"/>
    <x v="19"/>
    <x v="2"/>
    <x v="0"/>
    <x v="0"/>
    <x v="2"/>
    <x v="0"/>
  </r>
  <r>
    <x v="0"/>
    <x v="0"/>
    <n v="2239279974"/>
    <x v="2"/>
    <n v="24090"/>
    <x v="2"/>
    <x v="0"/>
    <x v="19"/>
    <x v="2"/>
    <x v="0"/>
    <x v="0"/>
    <x v="2"/>
    <x v="0"/>
  </r>
  <r>
    <x v="0"/>
    <x v="0"/>
    <n v="2239279975"/>
    <x v="2"/>
    <n v="6000"/>
    <x v="2"/>
    <x v="0"/>
    <x v="19"/>
    <x v="2"/>
    <x v="0"/>
    <x v="0"/>
    <x v="2"/>
    <x v="0"/>
  </r>
  <r>
    <x v="0"/>
    <x v="0"/>
    <n v="2239279976"/>
    <x v="2"/>
    <n v="8250"/>
    <x v="2"/>
    <x v="0"/>
    <x v="19"/>
    <x v="2"/>
    <x v="0"/>
    <x v="0"/>
    <x v="2"/>
    <x v="0"/>
  </r>
  <r>
    <x v="0"/>
    <x v="0"/>
    <n v="2239279977"/>
    <x v="8"/>
    <n v="6500"/>
    <x v="2"/>
    <x v="0"/>
    <x v="19"/>
    <x v="8"/>
    <x v="0"/>
    <x v="0"/>
    <x v="3"/>
    <x v="0"/>
  </r>
  <r>
    <x v="0"/>
    <x v="0"/>
    <n v="2239279978"/>
    <x v="2"/>
    <n v="18975"/>
    <x v="2"/>
    <x v="0"/>
    <x v="19"/>
    <x v="2"/>
    <x v="0"/>
    <x v="0"/>
    <x v="2"/>
    <x v="0"/>
  </r>
  <r>
    <x v="0"/>
    <x v="0"/>
    <n v="2239279979"/>
    <x v="2"/>
    <n v="8250"/>
    <x v="2"/>
    <x v="0"/>
    <x v="19"/>
    <x v="2"/>
    <x v="0"/>
    <x v="0"/>
    <x v="2"/>
    <x v="0"/>
  </r>
  <r>
    <x v="0"/>
    <x v="0"/>
    <n v="2239279981"/>
    <x v="5"/>
    <n v="-50"/>
    <x v="2"/>
    <x v="0"/>
    <x v="19"/>
    <x v="5"/>
    <x v="0"/>
    <x v="0"/>
    <x v="5"/>
    <x v="0"/>
  </r>
  <r>
    <x v="0"/>
    <x v="0"/>
    <n v="2239279981"/>
    <x v="6"/>
    <n v="10000"/>
    <x v="2"/>
    <x v="0"/>
    <x v="19"/>
    <x v="6"/>
    <x v="0"/>
    <x v="0"/>
    <x v="5"/>
    <x v="0"/>
  </r>
  <r>
    <x v="0"/>
    <x v="0"/>
    <n v="2239279985"/>
    <x v="2"/>
    <n v="18700"/>
    <x v="2"/>
    <x v="0"/>
    <x v="19"/>
    <x v="2"/>
    <x v="0"/>
    <x v="0"/>
    <x v="2"/>
    <x v="0"/>
  </r>
  <r>
    <x v="0"/>
    <x v="0"/>
    <n v="2239279986"/>
    <x v="5"/>
    <n v="-13500"/>
    <x v="2"/>
    <x v="0"/>
    <x v="19"/>
    <x v="5"/>
    <x v="0"/>
    <x v="0"/>
    <x v="5"/>
    <x v="0"/>
  </r>
  <r>
    <x v="0"/>
    <x v="0"/>
    <n v="2239279986"/>
    <x v="6"/>
    <n v="20000"/>
    <x v="2"/>
    <x v="0"/>
    <x v="19"/>
    <x v="6"/>
    <x v="0"/>
    <x v="0"/>
    <x v="5"/>
    <x v="0"/>
  </r>
  <r>
    <x v="0"/>
    <x v="0"/>
    <n v="2239279987"/>
    <x v="2"/>
    <n v="27445"/>
    <x v="2"/>
    <x v="0"/>
    <x v="19"/>
    <x v="2"/>
    <x v="0"/>
    <x v="0"/>
    <x v="2"/>
    <x v="0"/>
  </r>
  <r>
    <x v="0"/>
    <x v="0"/>
    <n v="2239279989"/>
    <x v="5"/>
    <n v="-12500"/>
    <x v="2"/>
    <x v="0"/>
    <x v="19"/>
    <x v="5"/>
    <x v="0"/>
    <x v="0"/>
    <x v="5"/>
    <x v="0"/>
  </r>
  <r>
    <x v="0"/>
    <x v="0"/>
    <n v="2239279989"/>
    <x v="6"/>
    <n v="20000"/>
    <x v="2"/>
    <x v="0"/>
    <x v="19"/>
    <x v="6"/>
    <x v="0"/>
    <x v="0"/>
    <x v="5"/>
    <x v="0"/>
  </r>
  <r>
    <x v="0"/>
    <x v="0"/>
    <n v="2239279991"/>
    <x v="2"/>
    <n v="5000"/>
    <x v="2"/>
    <x v="0"/>
    <x v="19"/>
    <x v="2"/>
    <x v="0"/>
    <x v="0"/>
    <x v="2"/>
    <x v="0"/>
  </r>
  <r>
    <x v="0"/>
    <x v="0"/>
    <n v="2239279992"/>
    <x v="2"/>
    <n v="6400"/>
    <x v="2"/>
    <x v="0"/>
    <x v="19"/>
    <x v="2"/>
    <x v="0"/>
    <x v="0"/>
    <x v="2"/>
    <x v="0"/>
  </r>
  <r>
    <x v="0"/>
    <x v="0"/>
    <n v="2239279993"/>
    <x v="2"/>
    <n v="7500"/>
    <x v="2"/>
    <x v="0"/>
    <x v="19"/>
    <x v="2"/>
    <x v="0"/>
    <x v="0"/>
    <x v="2"/>
    <x v="0"/>
  </r>
  <r>
    <x v="0"/>
    <x v="0"/>
    <n v="2239279994"/>
    <x v="3"/>
    <n v="7250"/>
    <x v="2"/>
    <x v="0"/>
    <x v="19"/>
    <x v="3"/>
    <x v="0"/>
    <x v="0"/>
    <x v="3"/>
    <x v="0"/>
  </r>
  <r>
    <x v="0"/>
    <x v="0"/>
    <n v="2239279995"/>
    <x v="7"/>
    <n v="10500"/>
    <x v="2"/>
    <x v="0"/>
    <x v="19"/>
    <x v="7"/>
    <x v="0"/>
    <x v="0"/>
    <x v="1"/>
    <x v="0"/>
  </r>
  <r>
    <x v="0"/>
    <x v="0"/>
    <n v="2239279996"/>
    <x v="2"/>
    <n v="6875"/>
    <x v="2"/>
    <x v="0"/>
    <x v="19"/>
    <x v="2"/>
    <x v="0"/>
    <x v="0"/>
    <x v="2"/>
    <x v="0"/>
  </r>
  <r>
    <x v="0"/>
    <x v="0"/>
    <n v="2239279997"/>
    <x v="2"/>
    <n v="6750"/>
    <x v="2"/>
    <x v="0"/>
    <x v="19"/>
    <x v="2"/>
    <x v="0"/>
    <x v="0"/>
    <x v="2"/>
    <x v="0"/>
  </r>
  <r>
    <x v="0"/>
    <x v="0"/>
    <n v="2239279998"/>
    <x v="2"/>
    <n v="6500"/>
    <x v="2"/>
    <x v="0"/>
    <x v="19"/>
    <x v="2"/>
    <x v="0"/>
    <x v="0"/>
    <x v="2"/>
    <x v="0"/>
  </r>
  <r>
    <x v="0"/>
    <x v="0"/>
    <n v="2239279999"/>
    <x v="5"/>
    <n v="-3500"/>
    <x v="2"/>
    <x v="0"/>
    <x v="19"/>
    <x v="5"/>
    <x v="0"/>
    <x v="0"/>
    <x v="5"/>
    <x v="0"/>
  </r>
  <r>
    <x v="0"/>
    <x v="0"/>
    <n v="2239279999"/>
    <x v="6"/>
    <n v="10000"/>
    <x v="2"/>
    <x v="0"/>
    <x v="19"/>
    <x v="6"/>
    <x v="0"/>
    <x v="0"/>
    <x v="5"/>
    <x v="0"/>
  </r>
  <r>
    <x v="0"/>
    <x v="0"/>
    <n v="2239280002"/>
    <x v="5"/>
    <n v="-600"/>
    <x v="2"/>
    <x v="0"/>
    <x v="19"/>
    <x v="5"/>
    <x v="0"/>
    <x v="0"/>
    <x v="5"/>
    <x v="0"/>
  </r>
  <r>
    <x v="0"/>
    <x v="0"/>
    <n v="2239280002"/>
    <x v="4"/>
    <n v="5000"/>
    <x v="2"/>
    <x v="0"/>
    <x v="19"/>
    <x v="4"/>
    <x v="0"/>
    <x v="0"/>
    <x v="4"/>
    <x v="0"/>
  </r>
  <r>
    <x v="0"/>
    <x v="0"/>
    <n v="2239280003"/>
    <x v="3"/>
    <n v="64240"/>
    <x v="2"/>
    <x v="0"/>
    <x v="19"/>
    <x v="3"/>
    <x v="0"/>
    <x v="0"/>
    <x v="3"/>
    <x v="0"/>
  </r>
  <r>
    <x v="0"/>
    <x v="0"/>
    <n v="2239280004"/>
    <x v="5"/>
    <n v="-3250"/>
    <x v="2"/>
    <x v="0"/>
    <x v="19"/>
    <x v="5"/>
    <x v="0"/>
    <x v="0"/>
    <x v="5"/>
    <x v="0"/>
  </r>
  <r>
    <x v="0"/>
    <x v="0"/>
    <n v="2239280004"/>
    <x v="6"/>
    <n v="10000"/>
    <x v="2"/>
    <x v="0"/>
    <x v="19"/>
    <x v="6"/>
    <x v="0"/>
    <x v="0"/>
    <x v="5"/>
    <x v="0"/>
  </r>
  <r>
    <x v="0"/>
    <x v="0"/>
    <n v="2239280005"/>
    <x v="5"/>
    <n v="-9750"/>
    <x v="2"/>
    <x v="0"/>
    <x v="19"/>
    <x v="5"/>
    <x v="0"/>
    <x v="0"/>
    <x v="5"/>
    <x v="0"/>
  </r>
  <r>
    <x v="0"/>
    <x v="0"/>
    <n v="2239280005"/>
    <x v="6"/>
    <n v="20000"/>
    <x v="2"/>
    <x v="0"/>
    <x v="19"/>
    <x v="6"/>
    <x v="0"/>
    <x v="0"/>
    <x v="5"/>
    <x v="0"/>
  </r>
  <r>
    <x v="0"/>
    <x v="0"/>
    <n v="2239280006"/>
    <x v="2"/>
    <n v="8250"/>
    <x v="2"/>
    <x v="0"/>
    <x v="19"/>
    <x v="2"/>
    <x v="0"/>
    <x v="0"/>
    <x v="2"/>
    <x v="0"/>
  </r>
  <r>
    <x v="0"/>
    <x v="0"/>
    <n v="2239280008"/>
    <x v="2"/>
    <n v="18250"/>
    <x v="2"/>
    <x v="0"/>
    <x v="19"/>
    <x v="2"/>
    <x v="0"/>
    <x v="0"/>
    <x v="2"/>
    <x v="0"/>
  </r>
  <r>
    <x v="0"/>
    <x v="0"/>
    <n v="2239280008"/>
    <x v="7"/>
    <n v="4250"/>
    <x v="2"/>
    <x v="0"/>
    <x v="19"/>
    <x v="7"/>
    <x v="0"/>
    <x v="0"/>
    <x v="1"/>
    <x v="0"/>
  </r>
  <r>
    <x v="0"/>
    <x v="0"/>
    <n v="2239280009"/>
    <x v="2"/>
    <n v="26000"/>
    <x v="2"/>
    <x v="0"/>
    <x v="19"/>
    <x v="2"/>
    <x v="0"/>
    <x v="0"/>
    <x v="2"/>
    <x v="0"/>
  </r>
  <r>
    <x v="0"/>
    <x v="0"/>
    <n v="2239280011"/>
    <x v="5"/>
    <n v="-10000"/>
    <x v="2"/>
    <x v="0"/>
    <x v="19"/>
    <x v="5"/>
    <x v="0"/>
    <x v="0"/>
    <x v="5"/>
    <x v="0"/>
  </r>
  <r>
    <x v="0"/>
    <x v="0"/>
    <n v="2239280011"/>
    <x v="6"/>
    <n v="20250"/>
    <x v="2"/>
    <x v="0"/>
    <x v="19"/>
    <x v="6"/>
    <x v="0"/>
    <x v="0"/>
    <x v="5"/>
    <x v="0"/>
  </r>
  <r>
    <x v="0"/>
    <x v="0"/>
    <n v="2239280012"/>
    <x v="5"/>
    <n v="-9500"/>
    <x v="2"/>
    <x v="0"/>
    <x v="19"/>
    <x v="5"/>
    <x v="0"/>
    <x v="0"/>
    <x v="5"/>
    <x v="0"/>
  </r>
  <r>
    <x v="0"/>
    <x v="0"/>
    <n v="2239280012"/>
    <x v="6"/>
    <n v="20000"/>
    <x v="2"/>
    <x v="0"/>
    <x v="19"/>
    <x v="6"/>
    <x v="0"/>
    <x v="0"/>
    <x v="5"/>
    <x v="0"/>
  </r>
  <r>
    <x v="0"/>
    <x v="0"/>
    <n v="2239280013"/>
    <x v="5"/>
    <n v="-250"/>
    <x v="2"/>
    <x v="0"/>
    <x v="19"/>
    <x v="5"/>
    <x v="0"/>
    <x v="0"/>
    <x v="5"/>
    <x v="0"/>
  </r>
  <r>
    <x v="0"/>
    <x v="0"/>
    <n v="2239280013"/>
    <x v="6"/>
    <n v="10500"/>
    <x v="2"/>
    <x v="0"/>
    <x v="19"/>
    <x v="6"/>
    <x v="0"/>
    <x v="0"/>
    <x v="5"/>
    <x v="0"/>
  </r>
  <r>
    <x v="0"/>
    <x v="0"/>
    <n v="2239280014"/>
    <x v="3"/>
    <n v="3000"/>
    <x v="2"/>
    <x v="0"/>
    <x v="19"/>
    <x v="3"/>
    <x v="0"/>
    <x v="0"/>
    <x v="3"/>
    <x v="0"/>
  </r>
  <r>
    <x v="0"/>
    <x v="0"/>
    <n v="2239280015"/>
    <x v="5"/>
    <n v="-2500"/>
    <x v="2"/>
    <x v="0"/>
    <x v="19"/>
    <x v="5"/>
    <x v="0"/>
    <x v="0"/>
    <x v="5"/>
    <x v="0"/>
  </r>
  <r>
    <x v="0"/>
    <x v="0"/>
    <n v="2239280015"/>
    <x v="6"/>
    <n v="10000"/>
    <x v="2"/>
    <x v="0"/>
    <x v="19"/>
    <x v="6"/>
    <x v="0"/>
    <x v="0"/>
    <x v="5"/>
    <x v="0"/>
  </r>
  <r>
    <x v="0"/>
    <x v="0"/>
    <n v="2239280015"/>
    <x v="7"/>
    <n v="1500"/>
    <x v="2"/>
    <x v="0"/>
    <x v="19"/>
    <x v="7"/>
    <x v="0"/>
    <x v="0"/>
    <x v="1"/>
    <x v="0"/>
  </r>
  <r>
    <x v="0"/>
    <x v="0"/>
    <n v="2239280016"/>
    <x v="2"/>
    <n v="15400"/>
    <x v="2"/>
    <x v="0"/>
    <x v="19"/>
    <x v="2"/>
    <x v="0"/>
    <x v="0"/>
    <x v="2"/>
    <x v="0"/>
  </r>
  <r>
    <x v="0"/>
    <x v="0"/>
    <n v="2239280017"/>
    <x v="3"/>
    <n v="6000"/>
    <x v="2"/>
    <x v="0"/>
    <x v="19"/>
    <x v="3"/>
    <x v="0"/>
    <x v="0"/>
    <x v="3"/>
    <x v="0"/>
  </r>
  <r>
    <x v="0"/>
    <x v="0"/>
    <n v="2239280018"/>
    <x v="2"/>
    <n v="26070"/>
    <x v="2"/>
    <x v="0"/>
    <x v="19"/>
    <x v="2"/>
    <x v="0"/>
    <x v="0"/>
    <x v="2"/>
    <x v="0"/>
  </r>
  <r>
    <x v="0"/>
    <x v="0"/>
    <n v="2239280019"/>
    <x v="2"/>
    <n v="11275"/>
    <x v="2"/>
    <x v="0"/>
    <x v="19"/>
    <x v="2"/>
    <x v="0"/>
    <x v="0"/>
    <x v="2"/>
    <x v="0"/>
  </r>
  <r>
    <x v="0"/>
    <x v="0"/>
    <n v="2239280020"/>
    <x v="2"/>
    <n v="4750"/>
    <x v="2"/>
    <x v="0"/>
    <x v="19"/>
    <x v="2"/>
    <x v="0"/>
    <x v="0"/>
    <x v="2"/>
    <x v="0"/>
  </r>
  <r>
    <x v="0"/>
    <x v="0"/>
    <n v="2239280021"/>
    <x v="3"/>
    <n v="6500"/>
    <x v="2"/>
    <x v="0"/>
    <x v="19"/>
    <x v="3"/>
    <x v="0"/>
    <x v="0"/>
    <x v="3"/>
    <x v="0"/>
  </r>
  <r>
    <x v="0"/>
    <x v="0"/>
    <n v="2239280021"/>
    <x v="7"/>
    <n v="3250"/>
    <x v="2"/>
    <x v="0"/>
    <x v="19"/>
    <x v="7"/>
    <x v="0"/>
    <x v="0"/>
    <x v="1"/>
    <x v="0"/>
  </r>
  <r>
    <x v="0"/>
    <x v="0"/>
    <n v="2239280023"/>
    <x v="3"/>
    <n v="25900"/>
    <x v="2"/>
    <x v="0"/>
    <x v="19"/>
    <x v="3"/>
    <x v="0"/>
    <x v="0"/>
    <x v="3"/>
    <x v="0"/>
  </r>
  <r>
    <x v="0"/>
    <x v="0"/>
    <n v="2239280024"/>
    <x v="5"/>
    <n v="-500"/>
    <x v="2"/>
    <x v="0"/>
    <x v="19"/>
    <x v="5"/>
    <x v="0"/>
    <x v="0"/>
    <x v="5"/>
    <x v="0"/>
  </r>
  <r>
    <x v="0"/>
    <x v="0"/>
    <n v="2239280024"/>
    <x v="6"/>
    <n v="11000"/>
    <x v="2"/>
    <x v="0"/>
    <x v="19"/>
    <x v="6"/>
    <x v="0"/>
    <x v="0"/>
    <x v="5"/>
    <x v="0"/>
  </r>
  <r>
    <x v="0"/>
    <x v="0"/>
    <n v="2239280025"/>
    <x v="2"/>
    <n v="22425"/>
    <x v="2"/>
    <x v="0"/>
    <x v="19"/>
    <x v="2"/>
    <x v="0"/>
    <x v="0"/>
    <x v="2"/>
    <x v="0"/>
  </r>
  <r>
    <x v="0"/>
    <x v="0"/>
    <n v="2239280026"/>
    <x v="2"/>
    <n v="11550"/>
    <x v="2"/>
    <x v="0"/>
    <x v="19"/>
    <x v="2"/>
    <x v="0"/>
    <x v="0"/>
    <x v="2"/>
    <x v="0"/>
  </r>
  <r>
    <x v="0"/>
    <x v="0"/>
    <n v="2239280027"/>
    <x v="2"/>
    <n v="19000"/>
    <x v="2"/>
    <x v="0"/>
    <x v="19"/>
    <x v="2"/>
    <x v="0"/>
    <x v="0"/>
    <x v="2"/>
    <x v="0"/>
  </r>
  <r>
    <x v="0"/>
    <x v="0"/>
    <n v="2239280028"/>
    <x v="2"/>
    <n v="6000"/>
    <x v="2"/>
    <x v="0"/>
    <x v="19"/>
    <x v="2"/>
    <x v="0"/>
    <x v="0"/>
    <x v="2"/>
    <x v="0"/>
  </r>
  <r>
    <x v="0"/>
    <x v="0"/>
    <n v="2239280029"/>
    <x v="2"/>
    <n v="10250"/>
    <x v="2"/>
    <x v="0"/>
    <x v="19"/>
    <x v="2"/>
    <x v="0"/>
    <x v="0"/>
    <x v="2"/>
    <x v="0"/>
  </r>
  <r>
    <x v="0"/>
    <x v="0"/>
    <n v="2239280030"/>
    <x v="2"/>
    <n v="35550"/>
    <x v="2"/>
    <x v="0"/>
    <x v="19"/>
    <x v="2"/>
    <x v="0"/>
    <x v="0"/>
    <x v="2"/>
    <x v="0"/>
  </r>
  <r>
    <x v="0"/>
    <x v="0"/>
    <n v="2239280031"/>
    <x v="2"/>
    <n v="10950"/>
    <x v="2"/>
    <x v="0"/>
    <x v="19"/>
    <x v="2"/>
    <x v="0"/>
    <x v="0"/>
    <x v="2"/>
    <x v="0"/>
  </r>
  <r>
    <x v="0"/>
    <x v="0"/>
    <n v="2239280032"/>
    <x v="3"/>
    <n v="6500"/>
    <x v="2"/>
    <x v="0"/>
    <x v="19"/>
    <x v="3"/>
    <x v="0"/>
    <x v="0"/>
    <x v="3"/>
    <x v="0"/>
  </r>
  <r>
    <x v="0"/>
    <x v="0"/>
    <n v="2239280032"/>
    <x v="7"/>
    <n v="3250"/>
    <x v="2"/>
    <x v="0"/>
    <x v="19"/>
    <x v="7"/>
    <x v="0"/>
    <x v="0"/>
    <x v="1"/>
    <x v="0"/>
  </r>
  <r>
    <x v="0"/>
    <x v="0"/>
    <n v="2239280033"/>
    <x v="2"/>
    <n v="7750"/>
    <x v="2"/>
    <x v="0"/>
    <x v="19"/>
    <x v="2"/>
    <x v="0"/>
    <x v="0"/>
    <x v="2"/>
    <x v="0"/>
  </r>
  <r>
    <x v="0"/>
    <x v="0"/>
    <n v="2239280034"/>
    <x v="2"/>
    <n v="9900"/>
    <x v="2"/>
    <x v="0"/>
    <x v="19"/>
    <x v="2"/>
    <x v="0"/>
    <x v="0"/>
    <x v="2"/>
    <x v="0"/>
  </r>
  <r>
    <x v="0"/>
    <x v="0"/>
    <n v="2239280035"/>
    <x v="2"/>
    <n v="8250"/>
    <x v="2"/>
    <x v="0"/>
    <x v="19"/>
    <x v="2"/>
    <x v="0"/>
    <x v="0"/>
    <x v="2"/>
    <x v="0"/>
  </r>
  <r>
    <x v="0"/>
    <x v="0"/>
    <n v="2239280036"/>
    <x v="2"/>
    <n v="12000"/>
    <x v="2"/>
    <x v="0"/>
    <x v="19"/>
    <x v="2"/>
    <x v="0"/>
    <x v="0"/>
    <x v="2"/>
    <x v="0"/>
  </r>
  <r>
    <x v="0"/>
    <x v="0"/>
    <n v="2239280037"/>
    <x v="2"/>
    <n v="6000"/>
    <x v="2"/>
    <x v="0"/>
    <x v="19"/>
    <x v="2"/>
    <x v="0"/>
    <x v="0"/>
    <x v="2"/>
    <x v="0"/>
  </r>
  <r>
    <x v="0"/>
    <x v="0"/>
    <n v="2239280038"/>
    <x v="2"/>
    <n v="4750"/>
    <x v="2"/>
    <x v="0"/>
    <x v="19"/>
    <x v="2"/>
    <x v="0"/>
    <x v="0"/>
    <x v="2"/>
    <x v="0"/>
  </r>
  <r>
    <x v="0"/>
    <x v="0"/>
    <n v="2239280040"/>
    <x v="5"/>
    <n v="-4000"/>
    <x v="2"/>
    <x v="0"/>
    <x v="19"/>
    <x v="5"/>
    <x v="0"/>
    <x v="0"/>
    <x v="5"/>
    <x v="0"/>
  </r>
  <r>
    <x v="0"/>
    <x v="0"/>
    <n v="2239280040"/>
    <x v="6"/>
    <n v="15000"/>
    <x v="2"/>
    <x v="0"/>
    <x v="19"/>
    <x v="6"/>
    <x v="0"/>
    <x v="0"/>
    <x v="5"/>
    <x v="0"/>
  </r>
  <r>
    <x v="0"/>
    <x v="0"/>
    <n v="2239280041"/>
    <x v="2"/>
    <n v="25080"/>
    <x v="2"/>
    <x v="0"/>
    <x v="19"/>
    <x v="2"/>
    <x v="0"/>
    <x v="0"/>
    <x v="2"/>
    <x v="0"/>
  </r>
  <r>
    <x v="0"/>
    <x v="0"/>
    <n v="2239280042"/>
    <x v="2"/>
    <n v="15400"/>
    <x v="2"/>
    <x v="0"/>
    <x v="19"/>
    <x v="2"/>
    <x v="0"/>
    <x v="0"/>
    <x v="2"/>
    <x v="0"/>
  </r>
  <r>
    <x v="0"/>
    <x v="0"/>
    <n v="2239280043"/>
    <x v="2"/>
    <n v="13255"/>
    <x v="2"/>
    <x v="0"/>
    <x v="19"/>
    <x v="2"/>
    <x v="0"/>
    <x v="0"/>
    <x v="2"/>
    <x v="0"/>
  </r>
  <r>
    <x v="0"/>
    <x v="0"/>
    <n v="2239280044"/>
    <x v="2"/>
    <n v="17325"/>
    <x v="2"/>
    <x v="0"/>
    <x v="19"/>
    <x v="2"/>
    <x v="0"/>
    <x v="0"/>
    <x v="2"/>
    <x v="0"/>
  </r>
  <r>
    <x v="0"/>
    <x v="0"/>
    <n v="2239280044"/>
    <x v="7"/>
    <n v="4250"/>
    <x v="2"/>
    <x v="0"/>
    <x v="19"/>
    <x v="7"/>
    <x v="0"/>
    <x v="0"/>
    <x v="1"/>
    <x v="0"/>
  </r>
  <r>
    <x v="0"/>
    <x v="0"/>
    <n v="2239280045"/>
    <x v="3"/>
    <n v="46450"/>
    <x v="2"/>
    <x v="0"/>
    <x v="19"/>
    <x v="3"/>
    <x v="0"/>
    <x v="0"/>
    <x v="3"/>
    <x v="0"/>
  </r>
  <r>
    <x v="0"/>
    <x v="0"/>
    <n v="2239280046"/>
    <x v="2"/>
    <n v="4500"/>
    <x v="2"/>
    <x v="0"/>
    <x v="19"/>
    <x v="2"/>
    <x v="0"/>
    <x v="0"/>
    <x v="2"/>
    <x v="0"/>
  </r>
  <r>
    <x v="0"/>
    <x v="0"/>
    <n v="2239280047"/>
    <x v="2"/>
    <n v="41745"/>
    <x v="2"/>
    <x v="0"/>
    <x v="19"/>
    <x v="2"/>
    <x v="0"/>
    <x v="0"/>
    <x v="2"/>
    <x v="0"/>
  </r>
  <r>
    <x v="0"/>
    <x v="0"/>
    <n v="2239280048"/>
    <x v="5"/>
    <n v="-3000"/>
    <x v="2"/>
    <x v="0"/>
    <x v="19"/>
    <x v="5"/>
    <x v="0"/>
    <x v="0"/>
    <x v="5"/>
    <x v="0"/>
  </r>
  <r>
    <x v="0"/>
    <x v="0"/>
    <n v="2239280048"/>
    <x v="6"/>
    <n v="10000"/>
    <x v="2"/>
    <x v="0"/>
    <x v="19"/>
    <x v="6"/>
    <x v="0"/>
    <x v="0"/>
    <x v="5"/>
    <x v="0"/>
  </r>
  <r>
    <x v="0"/>
    <x v="0"/>
    <n v="2239280049"/>
    <x v="5"/>
    <n v="-4300"/>
    <x v="2"/>
    <x v="0"/>
    <x v="19"/>
    <x v="5"/>
    <x v="0"/>
    <x v="0"/>
    <x v="5"/>
    <x v="0"/>
  </r>
  <r>
    <x v="0"/>
    <x v="0"/>
    <n v="2239280049"/>
    <x v="4"/>
    <n v="10000"/>
    <x v="2"/>
    <x v="0"/>
    <x v="19"/>
    <x v="4"/>
    <x v="0"/>
    <x v="0"/>
    <x v="4"/>
    <x v="0"/>
  </r>
  <r>
    <x v="0"/>
    <x v="0"/>
    <n v="2239280050"/>
    <x v="2"/>
    <n v="8000"/>
    <x v="2"/>
    <x v="0"/>
    <x v="19"/>
    <x v="2"/>
    <x v="0"/>
    <x v="0"/>
    <x v="2"/>
    <x v="0"/>
  </r>
  <r>
    <x v="0"/>
    <x v="0"/>
    <n v="2239280051"/>
    <x v="2"/>
    <n v="11275"/>
    <x v="2"/>
    <x v="0"/>
    <x v="19"/>
    <x v="2"/>
    <x v="0"/>
    <x v="0"/>
    <x v="2"/>
    <x v="0"/>
  </r>
  <r>
    <x v="0"/>
    <x v="0"/>
    <n v="2239280052"/>
    <x v="5"/>
    <n v="-4000"/>
    <x v="2"/>
    <x v="0"/>
    <x v="19"/>
    <x v="5"/>
    <x v="0"/>
    <x v="0"/>
    <x v="5"/>
    <x v="0"/>
  </r>
  <r>
    <x v="0"/>
    <x v="0"/>
    <n v="2239280052"/>
    <x v="6"/>
    <n v="10000"/>
    <x v="2"/>
    <x v="0"/>
    <x v="19"/>
    <x v="6"/>
    <x v="0"/>
    <x v="0"/>
    <x v="5"/>
    <x v="0"/>
  </r>
  <r>
    <x v="0"/>
    <x v="0"/>
    <n v="2239280053"/>
    <x v="2"/>
    <n v="6000"/>
    <x v="2"/>
    <x v="0"/>
    <x v="19"/>
    <x v="2"/>
    <x v="0"/>
    <x v="0"/>
    <x v="2"/>
    <x v="0"/>
  </r>
  <r>
    <x v="0"/>
    <x v="0"/>
    <n v="2239280054"/>
    <x v="2"/>
    <n v="48750"/>
    <x v="2"/>
    <x v="0"/>
    <x v="19"/>
    <x v="2"/>
    <x v="0"/>
    <x v="0"/>
    <x v="2"/>
    <x v="0"/>
  </r>
  <r>
    <x v="0"/>
    <x v="0"/>
    <n v="2239280056"/>
    <x v="5"/>
    <n v="-6000"/>
    <x v="2"/>
    <x v="0"/>
    <x v="19"/>
    <x v="5"/>
    <x v="0"/>
    <x v="0"/>
    <x v="5"/>
    <x v="0"/>
  </r>
  <r>
    <x v="0"/>
    <x v="0"/>
    <n v="2239280056"/>
    <x v="6"/>
    <n v="10000"/>
    <x v="2"/>
    <x v="0"/>
    <x v="19"/>
    <x v="6"/>
    <x v="0"/>
    <x v="0"/>
    <x v="5"/>
    <x v="0"/>
  </r>
  <r>
    <x v="0"/>
    <x v="0"/>
    <n v="2239280057"/>
    <x v="5"/>
    <n v="-4000"/>
    <x v="2"/>
    <x v="0"/>
    <x v="19"/>
    <x v="5"/>
    <x v="0"/>
    <x v="0"/>
    <x v="5"/>
    <x v="0"/>
  </r>
  <r>
    <x v="0"/>
    <x v="0"/>
    <n v="2239280057"/>
    <x v="6"/>
    <n v="10000"/>
    <x v="2"/>
    <x v="0"/>
    <x v="19"/>
    <x v="6"/>
    <x v="0"/>
    <x v="0"/>
    <x v="5"/>
    <x v="0"/>
  </r>
  <r>
    <x v="0"/>
    <x v="0"/>
    <n v="2239280059"/>
    <x v="2"/>
    <n v="6000"/>
    <x v="2"/>
    <x v="0"/>
    <x v="19"/>
    <x v="2"/>
    <x v="0"/>
    <x v="0"/>
    <x v="2"/>
    <x v="0"/>
  </r>
  <r>
    <x v="0"/>
    <x v="0"/>
    <n v="2239280060"/>
    <x v="3"/>
    <n v="12500"/>
    <x v="2"/>
    <x v="0"/>
    <x v="19"/>
    <x v="3"/>
    <x v="0"/>
    <x v="0"/>
    <x v="3"/>
    <x v="0"/>
  </r>
  <r>
    <x v="0"/>
    <x v="0"/>
    <n v="2239280061"/>
    <x v="2"/>
    <n v="18645"/>
    <x v="2"/>
    <x v="0"/>
    <x v="19"/>
    <x v="2"/>
    <x v="0"/>
    <x v="0"/>
    <x v="2"/>
    <x v="0"/>
  </r>
  <r>
    <x v="0"/>
    <x v="0"/>
    <n v="2239280062"/>
    <x v="2"/>
    <n v="16500"/>
    <x v="2"/>
    <x v="0"/>
    <x v="19"/>
    <x v="2"/>
    <x v="0"/>
    <x v="0"/>
    <x v="2"/>
    <x v="0"/>
  </r>
  <r>
    <x v="0"/>
    <x v="0"/>
    <n v="2239280064"/>
    <x v="3"/>
    <n v="12045"/>
    <x v="2"/>
    <x v="0"/>
    <x v="19"/>
    <x v="3"/>
    <x v="0"/>
    <x v="0"/>
    <x v="3"/>
    <x v="0"/>
  </r>
  <r>
    <x v="0"/>
    <x v="0"/>
    <n v="2239280066"/>
    <x v="2"/>
    <n v="6000"/>
    <x v="2"/>
    <x v="0"/>
    <x v="19"/>
    <x v="2"/>
    <x v="0"/>
    <x v="0"/>
    <x v="2"/>
    <x v="0"/>
  </r>
  <r>
    <x v="0"/>
    <x v="0"/>
    <n v="2239280067"/>
    <x v="2"/>
    <n v="39400"/>
    <x v="2"/>
    <x v="0"/>
    <x v="19"/>
    <x v="2"/>
    <x v="0"/>
    <x v="0"/>
    <x v="2"/>
    <x v="0"/>
  </r>
  <r>
    <x v="0"/>
    <x v="0"/>
    <n v="2239280068"/>
    <x v="5"/>
    <n v="-600"/>
    <x v="2"/>
    <x v="0"/>
    <x v="19"/>
    <x v="5"/>
    <x v="0"/>
    <x v="0"/>
    <x v="5"/>
    <x v="0"/>
  </r>
  <r>
    <x v="0"/>
    <x v="0"/>
    <n v="2239280068"/>
    <x v="4"/>
    <n v="5000"/>
    <x v="2"/>
    <x v="0"/>
    <x v="19"/>
    <x v="4"/>
    <x v="0"/>
    <x v="0"/>
    <x v="4"/>
    <x v="0"/>
  </r>
  <r>
    <x v="0"/>
    <x v="0"/>
    <n v="2239280069"/>
    <x v="3"/>
    <n v="28050"/>
    <x v="2"/>
    <x v="0"/>
    <x v="19"/>
    <x v="3"/>
    <x v="0"/>
    <x v="0"/>
    <x v="3"/>
    <x v="0"/>
  </r>
  <r>
    <x v="0"/>
    <x v="0"/>
    <n v="2239280070"/>
    <x v="2"/>
    <n v="33495"/>
    <x v="2"/>
    <x v="0"/>
    <x v="19"/>
    <x v="2"/>
    <x v="0"/>
    <x v="0"/>
    <x v="2"/>
    <x v="0"/>
  </r>
  <r>
    <x v="0"/>
    <x v="0"/>
    <n v="2239280071"/>
    <x v="5"/>
    <n v="-4300"/>
    <x v="2"/>
    <x v="0"/>
    <x v="19"/>
    <x v="5"/>
    <x v="0"/>
    <x v="0"/>
    <x v="5"/>
    <x v="0"/>
  </r>
  <r>
    <x v="0"/>
    <x v="0"/>
    <n v="2239280071"/>
    <x v="4"/>
    <n v="10000"/>
    <x v="2"/>
    <x v="0"/>
    <x v="19"/>
    <x v="4"/>
    <x v="0"/>
    <x v="0"/>
    <x v="4"/>
    <x v="0"/>
  </r>
  <r>
    <x v="0"/>
    <x v="0"/>
    <n v="2239280073"/>
    <x v="2"/>
    <n v="12000"/>
    <x v="2"/>
    <x v="0"/>
    <x v="19"/>
    <x v="2"/>
    <x v="0"/>
    <x v="0"/>
    <x v="2"/>
    <x v="0"/>
  </r>
  <r>
    <x v="0"/>
    <x v="0"/>
    <n v="2239280074"/>
    <x v="2"/>
    <n v="22495"/>
    <x v="2"/>
    <x v="0"/>
    <x v="19"/>
    <x v="2"/>
    <x v="0"/>
    <x v="0"/>
    <x v="2"/>
    <x v="0"/>
  </r>
  <r>
    <x v="0"/>
    <x v="0"/>
    <n v="2239280075"/>
    <x v="2"/>
    <n v="21450"/>
    <x v="2"/>
    <x v="0"/>
    <x v="19"/>
    <x v="2"/>
    <x v="0"/>
    <x v="0"/>
    <x v="2"/>
    <x v="0"/>
  </r>
  <r>
    <x v="0"/>
    <x v="0"/>
    <n v="2239280076"/>
    <x v="2"/>
    <n v="22000"/>
    <x v="2"/>
    <x v="0"/>
    <x v="19"/>
    <x v="2"/>
    <x v="0"/>
    <x v="0"/>
    <x v="2"/>
    <x v="0"/>
  </r>
  <r>
    <x v="0"/>
    <x v="0"/>
    <n v="2239280077"/>
    <x v="5"/>
    <n v="-550"/>
    <x v="2"/>
    <x v="0"/>
    <x v="19"/>
    <x v="5"/>
    <x v="0"/>
    <x v="0"/>
    <x v="5"/>
    <x v="0"/>
  </r>
  <r>
    <x v="0"/>
    <x v="0"/>
    <n v="2239280077"/>
    <x v="6"/>
    <n v="80000"/>
    <x v="2"/>
    <x v="0"/>
    <x v="19"/>
    <x v="6"/>
    <x v="0"/>
    <x v="0"/>
    <x v="5"/>
    <x v="0"/>
  </r>
  <r>
    <x v="0"/>
    <x v="0"/>
    <n v="2239280078"/>
    <x v="2"/>
    <n v="6000"/>
    <x v="2"/>
    <x v="0"/>
    <x v="19"/>
    <x v="2"/>
    <x v="0"/>
    <x v="0"/>
    <x v="2"/>
    <x v="0"/>
  </r>
  <r>
    <x v="0"/>
    <x v="0"/>
    <n v="2239280079"/>
    <x v="3"/>
    <n v="7000"/>
    <x v="2"/>
    <x v="0"/>
    <x v="19"/>
    <x v="3"/>
    <x v="0"/>
    <x v="0"/>
    <x v="3"/>
    <x v="0"/>
  </r>
  <r>
    <x v="0"/>
    <x v="0"/>
    <n v="2239280080"/>
    <x v="2"/>
    <n v="22500"/>
    <x v="2"/>
    <x v="0"/>
    <x v="19"/>
    <x v="2"/>
    <x v="0"/>
    <x v="0"/>
    <x v="2"/>
    <x v="0"/>
  </r>
  <r>
    <x v="0"/>
    <x v="0"/>
    <n v="2239280081"/>
    <x v="2"/>
    <n v="33000"/>
    <x v="2"/>
    <x v="0"/>
    <x v="19"/>
    <x v="2"/>
    <x v="0"/>
    <x v="0"/>
    <x v="2"/>
    <x v="0"/>
  </r>
  <r>
    <x v="0"/>
    <x v="0"/>
    <n v="2239280082"/>
    <x v="2"/>
    <n v="7150"/>
    <x v="2"/>
    <x v="0"/>
    <x v="19"/>
    <x v="2"/>
    <x v="0"/>
    <x v="0"/>
    <x v="2"/>
    <x v="0"/>
  </r>
  <r>
    <x v="0"/>
    <x v="0"/>
    <n v="2239280083"/>
    <x v="3"/>
    <n v="9500"/>
    <x v="2"/>
    <x v="0"/>
    <x v="19"/>
    <x v="3"/>
    <x v="0"/>
    <x v="0"/>
    <x v="3"/>
    <x v="0"/>
  </r>
  <r>
    <x v="0"/>
    <x v="0"/>
    <n v="2239280084"/>
    <x v="2"/>
    <n v="6500"/>
    <x v="2"/>
    <x v="0"/>
    <x v="19"/>
    <x v="2"/>
    <x v="0"/>
    <x v="0"/>
    <x v="2"/>
    <x v="0"/>
  </r>
  <r>
    <x v="0"/>
    <x v="0"/>
    <n v="2239280086"/>
    <x v="5"/>
    <n v="-12500"/>
    <x v="2"/>
    <x v="0"/>
    <x v="19"/>
    <x v="5"/>
    <x v="0"/>
    <x v="0"/>
    <x v="5"/>
    <x v="0"/>
  </r>
  <r>
    <x v="0"/>
    <x v="0"/>
    <n v="2239280086"/>
    <x v="6"/>
    <n v="20000"/>
    <x v="2"/>
    <x v="0"/>
    <x v="19"/>
    <x v="6"/>
    <x v="0"/>
    <x v="0"/>
    <x v="5"/>
    <x v="0"/>
  </r>
  <r>
    <x v="0"/>
    <x v="0"/>
    <n v="2239280087"/>
    <x v="2"/>
    <n v="8250"/>
    <x v="2"/>
    <x v="0"/>
    <x v="19"/>
    <x v="2"/>
    <x v="0"/>
    <x v="0"/>
    <x v="2"/>
    <x v="0"/>
  </r>
  <r>
    <x v="0"/>
    <x v="0"/>
    <n v="2239280088"/>
    <x v="2"/>
    <n v="7500"/>
    <x v="2"/>
    <x v="0"/>
    <x v="19"/>
    <x v="2"/>
    <x v="0"/>
    <x v="0"/>
    <x v="2"/>
    <x v="0"/>
  </r>
  <r>
    <x v="0"/>
    <x v="0"/>
    <n v="2239280089"/>
    <x v="2"/>
    <n v="104390"/>
    <x v="2"/>
    <x v="0"/>
    <x v="19"/>
    <x v="2"/>
    <x v="0"/>
    <x v="0"/>
    <x v="2"/>
    <x v="0"/>
  </r>
  <r>
    <x v="0"/>
    <x v="0"/>
    <n v="2239280089"/>
    <x v="7"/>
    <n v="5200"/>
    <x v="2"/>
    <x v="0"/>
    <x v="19"/>
    <x v="7"/>
    <x v="0"/>
    <x v="0"/>
    <x v="1"/>
    <x v="0"/>
  </r>
  <r>
    <x v="0"/>
    <x v="0"/>
    <n v="2239280091"/>
    <x v="5"/>
    <n v="-14000"/>
    <x v="2"/>
    <x v="0"/>
    <x v="19"/>
    <x v="5"/>
    <x v="0"/>
    <x v="0"/>
    <x v="5"/>
    <x v="0"/>
  </r>
  <r>
    <x v="0"/>
    <x v="0"/>
    <n v="2239280091"/>
    <x v="6"/>
    <n v="20000"/>
    <x v="2"/>
    <x v="0"/>
    <x v="19"/>
    <x v="6"/>
    <x v="0"/>
    <x v="0"/>
    <x v="5"/>
    <x v="0"/>
  </r>
  <r>
    <x v="0"/>
    <x v="0"/>
    <n v="2239280092"/>
    <x v="2"/>
    <n v="7500"/>
    <x v="2"/>
    <x v="0"/>
    <x v="19"/>
    <x v="2"/>
    <x v="0"/>
    <x v="0"/>
    <x v="2"/>
    <x v="0"/>
  </r>
  <r>
    <x v="0"/>
    <x v="0"/>
    <n v="2239280093"/>
    <x v="5"/>
    <n v="-500"/>
    <x v="2"/>
    <x v="0"/>
    <x v="19"/>
    <x v="5"/>
    <x v="0"/>
    <x v="0"/>
    <x v="5"/>
    <x v="0"/>
  </r>
  <r>
    <x v="0"/>
    <x v="0"/>
    <n v="2239280093"/>
    <x v="6"/>
    <n v="8000"/>
    <x v="2"/>
    <x v="0"/>
    <x v="19"/>
    <x v="6"/>
    <x v="0"/>
    <x v="0"/>
    <x v="5"/>
    <x v="0"/>
  </r>
  <r>
    <x v="0"/>
    <x v="0"/>
    <n v="2239280094"/>
    <x v="2"/>
    <n v="7500"/>
    <x v="2"/>
    <x v="0"/>
    <x v="19"/>
    <x v="2"/>
    <x v="0"/>
    <x v="0"/>
    <x v="2"/>
    <x v="0"/>
  </r>
  <r>
    <x v="0"/>
    <x v="0"/>
    <n v="2239280095"/>
    <x v="2"/>
    <n v="14300"/>
    <x v="2"/>
    <x v="0"/>
    <x v="19"/>
    <x v="2"/>
    <x v="0"/>
    <x v="0"/>
    <x v="2"/>
    <x v="0"/>
  </r>
  <r>
    <x v="0"/>
    <x v="0"/>
    <n v="2239280096"/>
    <x v="5"/>
    <n v="-4700"/>
    <x v="2"/>
    <x v="0"/>
    <x v="19"/>
    <x v="5"/>
    <x v="0"/>
    <x v="0"/>
    <x v="5"/>
    <x v="0"/>
  </r>
  <r>
    <x v="0"/>
    <x v="0"/>
    <n v="2239280096"/>
    <x v="4"/>
    <n v="10000"/>
    <x v="2"/>
    <x v="0"/>
    <x v="19"/>
    <x v="4"/>
    <x v="0"/>
    <x v="0"/>
    <x v="4"/>
    <x v="0"/>
  </r>
  <r>
    <x v="0"/>
    <x v="0"/>
    <n v="2239280097"/>
    <x v="2"/>
    <n v="6500"/>
    <x v="2"/>
    <x v="0"/>
    <x v="19"/>
    <x v="2"/>
    <x v="0"/>
    <x v="0"/>
    <x v="2"/>
    <x v="0"/>
  </r>
  <r>
    <x v="0"/>
    <x v="0"/>
    <n v="2239280098"/>
    <x v="2"/>
    <n v="13000"/>
    <x v="2"/>
    <x v="0"/>
    <x v="19"/>
    <x v="2"/>
    <x v="0"/>
    <x v="0"/>
    <x v="2"/>
    <x v="0"/>
  </r>
  <r>
    <x v="0"/>
    <x v="0"/>
    <n v="2239280100"/>
    <x v="2"/>
    <n v="15000"/>
    <x v="2"/>
    <x v="0"/>
    <x v="19"/>
    <x v="2"/>
    <x v="0"/>
    <x v="0"/>
    <x v="2"/>
    <x v="0"/>
  </r>
  <r>
    <x v="0"/>
    <x v="0"/>
    <n v="2239280102"/>
    <x v="3"/>
    <n v="16500"/>
    <x v="2"/>
    <x v="0"/>
    <x v="19"/>
    <x v="3"/>
    <x v="0"/>
    <x v="0"/>
    <x v="3"/>
    <x v="0"/>
  </r>
  <r>
    <x v="0"/>
    <x v="0"/>
    <n v="2239280103"/>
    <x v="2"/>
    <n v="3000"/>
    <x v="2"/>
    <x v="0"/>
    <x v="19"/>
    <x v="2"/>
    <x v="0"/>
    <x v="0"/>
    <x v="2"/>
    <x v="0"/>
  </r>
  <r>
    <x v="0"/>
    <x v="0"/>
    <n v="2239280105"/>
    <x v="2"/>
    <n v="33000"/>
    <x v="2"/>
    <x v="0"/>
    <x v="19"/>
    <x v="2"/>
    <x v="0"/>
    <x v="0"/>
    <x v="2"/>
    <x v="0"/>
  </r>
  <r>
    <x v="0"/>
    <x v="0"/>
    <n v="2239280106"/>
    <x v="5"/>
    <n v="-4300"/>
    <x v="2"/>
    <x v="0"/>
    <x v="19"/>
    <x v="5"/>
    <x v="0"/>
    <x v="0"/>
    <x v="5"/>
    <x v="0"/>
  </r>
  <r>
    <x v="0"/>
    <x v="0"/>
    <n v="2239280106"/>
    <x v="4"/>
    <n v="10000"/>
    <x v="2"/>
    <x v="0"/>
    <x v="19"/>
    <x v="4"/>
    <x v="0"/>
    <x v="0"/>
    <x v="4"/>
    <x v="0"/>
  </r>
  <r>
    <x v="0"/>
    <x v="0"/>
    <n v="2239280107"/>
    <x v="5"/>
    <n v="-4300"/>
    <x v="2"/>
    <x v="0"/>
    <x v="19"/>
    <x v="5"/>
    <x v="0"/>
    <x v="0"/>
    <x v="5"/>
    <x v="0"/>
  </r>
  <r>
    <x v="0"/>
    <x v="0"/>
    <n v="2239280107"/>
    <x v="4"/>
    <n v="10000"/>
    <x v="2"/>
    <x v="0"/>
    <x v="19"/>
    <x v="4"/>
    <x v="0"/>
    <x v="0"/>
    <x v="4"/>
    <x v="0"/>
  </r>
  <r>
    <x v="0"/>
    <x v="0"/>
    <n v="2239280108"/>
    <x v="2"/>
    <n v="30690"/>
    <x v="2"/>
    <x v="0"/>
    <x v="19"/>
    <x v="2"/>
    <x v="0"/>
    <x v="0"/>
    <x v="2"/>
    <x v="0"/>
  </r>
  <r>
    <x v="0"/>
    <x v="0"/>
    <n v="2239280109"/>
    <x v="2"/>
    <n v="13000"/>
    <x v="2"/>
    <x v="0"/>
    <x v="19"/>
    <x v="2"/>
    <x v="0"/>
    <x v="0"/>
    <x v="2"/>
    <x v="0"/>
  </r>
  <r>
    <x v="0"/>
    <x v="0"/>
    <n v="2239280110"/>
    <x v="7"/>
    <n v="153400"/>
    <x v="2"/>
    <x v="0"/>
    <x v="19"/>
    <x v="7"/>
    <x v="0"/>
    <x v="0"/>
    <x v="1"/>
    <x v="0"/>
  </r>
  <r>
    <x v="0"/>
    <x v="0"/>
    <n v="2239280111"/>
    <x v="2"/>
    <n v="3000"/>
    <x v="2"/>
    <x v="0"/>
    <x v="19"/>
    <x v="2"/>
    <x v="0"/>
    <x v="0"/>
    <x v="2"/>
    <x v="0"/>
  </r>
  <r>
    <x v="0"/>
    <x v="0"/>
    <n v="2239280112"/>
    <x v="2"/>
    <n v="8250"/>
    <x v="2"/>
    <x v="0"/>
    <x v="19"/>
    <x v="2"/>
    <x v="0"/>
    <x v="0"/>
    <x v="2"/>
    <x v="0"/>
  </r>
  <r>
    <x v="0"/>
    <x v="0"/>
    <n v="2239280113"/>
    <x v="2"/>
    <n v="14000"/>
    <x v="2"/>
    <x v="0"/>
    <x v="19"/>
    <x v="2"/>
    <x v="0"/>
    <x v="0"/>
    <x v="2"/>
    <x v="0"/>
  </r>
  <r>
    <x v="0"/>
    <x v="0"/>
    <n v="2239280114"/>
    <x v="2"/>
    <n v="7500"/>
    <x v="2"/>
    <x v="0"/>
    <x v="19"/>
    <x v="2"/>
    <x v="0"/>
    <x v="0"/>
    <x v="2"/>
    <x v="0"/>
  </r>
  <r>
    <x v="0"/>
    <x v="0"/>
    <n v="2239280115"/>
    <x v="2"/>
    <n v="5000"/>
    <x v="2"/>
    <x v="0"/>
    <x v="19"/>
    <x v="2"/>
    <x v="0"/>
    <x v="0"/>
    <x v="2"/>
    <x v="0"/>
  </r>
  <r>
    <x v="0"/>
    <x v="0"/>
    <n v="2239280116"/>
    <x v="2"/>
    <n v="12000"/>
    <x v="2"/>
    <x v="0"/>
    <x v="19"/>
    <x v="2"/>
    <x v="0"/>
    <x v="0"/>
    <x v="2"/>
    <x v="0"/>
  </r>
  <r>
    <x v="0"/>
    <x v="0"/>
    <n v="2239280117"/>
    <x v="2"/>
    <n v="31295"/>
    <x v="2"/>
    <x v="0"/>
    <x v="19"/>
    <x v="2"/>
    <x v="0"/>
    <x v="0"/>
    <x v="2"/>
    <x v="0"/>
  </r>
  <r>
    <x v="0"/>
    <x v="0"/>
    <n v="2239280118"/>
    <x v="2"/>
    <n v="8500"/>
    <x v="2"/>
    <x v="0"/>
    <x v="19"/>
    <x v="2"/>
    <x v="0"/>
    <x v="0"/>
    <x v="2"/>
    <x v="0"/>
  </r>
  <r>
    <x v="0"/>
    <x v="0"/>
    <n v="2239280119"/>
    <x v="2"/>
    <n v="6500"/>
    <x v="2"/>
    <x v="0"/>
    <x v="19"/>
    <x v="2"/>
    <x v="0"/>
    <x v="0"/>
    <x v="2"/>
    <x v="0"/>
  </r>
  <r>
    <x v="0"/>
    <x v="0"/>
    <n v="2239280120"/>
    <x v="2"/>
    <n v="28000"/>
    <x v="2"/>
    <x v="0"/>
    <x v="19"/>
    <x v="2"/>
    <x v="0"/>
    <x v="0"/>
    <x v="2"/>
    <x v="0"/>
  </r>
  <r>
    <x v="0"/>
    <x v="0"/>
    <n v="2239280121"/>
    <x v="3"/>
    <n v="15000"/>
    <x v="2"/>
    <x v="0"/>
    <x v="19"/>
    <x v="3"/>
    <x v="0"/>
    <x v="0"/>
    <x v="3"/>
    <x v="0"/>
  </r>
  <r>
    <x v="0"/>
    <x v="0"/>
    <n v="2239280122"/>
    <x v="2"/>
    <n v="8000"/>
    <x v="2"/>
    <x v="0"/>
    <x v="19"/>
    <x v="2"/>
    <x v="0"/>
    <x v="0"/>
    <x v="2"/>
    <x v="0"/>
  </r>
  <r>
    <x v="0"/>
    <x v="0"/>
    <n v="2239280123"/>
    <x v="2"/>
    <n v="14300"/>
    <x v="2"/>
    <x v="0"/>
    <x v="19"/>
    <x v="2"/>
    <x v="0"/>
    <x v="0"/>
    <x v="2"/>
    <x v="0"/>
  </r>
  <r>
    <x v="0"/>
    <x v="0"/>
    <n v="2239280124"/>
    <x v="8"/>
    <n v="24090"/>
    <x v="2"/>
    <x v="0"/>
    <x v="19"/>
    <x v="8"/>
    <x v="0"/>
    <x v="0"/>
    <x v="3"/>
    <x v="0"/>
  </r>
  <r>
    <x v="0"/>
    <x v="0"/>
    <n v="2239280125"/>
    <x v="5"/>
    <n v="-2000"/>
    <x v="2"/>
    <x v="0"/>
    <x v="19"/>
    <x v="5"/>
    <x v="0"/>
    <x v="0"/>
    <x v="5"/>
    <x v="0"/>
  </r>
  <r>
    <x v="0"/>
    <x v="0"/>
    <n v="2239280125"/>
    <x v="6"/>
    <n v="15000"/>
    <x v="2"/>
    <x v="0"/>
    <x v="19"/>
    <x v="6"/>
    <x v="0"/>
    <x v="0"/>
    <x v="5"/>
    <x v="0"/>
  </r>
  <r>
    <x v="0"/>
    <x v="0"/>
    <n v="2239280126"/>
    <x v="2"/>
    <n v="12000"/>
    <x v="2"/>
    <x v="0"/>
    <x v="19"/>
    <x v="2"/>
    <x v="0"/>
    <x v="0"/>
    <x v="2"/>
    <x v="0"/>
  </r>
  <r>
    <x v="0"/>
    <x v="0"/>
    <n v="2239280127"/>
    <x v="2"/>
    <n v="14300"/>
    <x v="2"/>
    <x v="0"/>
    <x v="19"/>
    <x v="2"/>
    <x v="0"/>
    <x v="0"/>
    <x v="2"/>
    <x v="0"/>
  </r>
  <r>
    <x v="0"/>
    <x v="0"/>
    <n v="2239280128"/>
    <x v="2"/>
    <n v="6500"/>
    <x v="2"/>
    <x v="0"/>
    <x v="19"/>
    <x v="2"/>
    <x v="0"/>
    <x v="0"/>
    <x v="2"/>
    <x v="0"/>
  </r>
  <r>
    <x v="0"/>
    <x v="0"/>
    <n v="2239280129"/>
    <x v="2"/>
    <n v="6500"/>
    <x v="2"/>
    <x v="0"/>
    <x v="19"/>
    <x v="2"/>
    <x v="0"/>
    <x v="0"/>
    <x v="2"/>
    <x v="0"/>
  </r>
  <r>
    <x v="0"/>
    <x v="0"/>
    <n v="2239280131"/>
    <x v="3"/>
    <n v="82060"/>
    <x v="2"/>
    <x v="0"/>
    <x v="19"/>
    <x v="3"/>
    <x v="0"/>
    <x v="0"/>
    <x v="3"/>
    <x v="0"/>
  </r>
  <r>
    <x v="0"/>
    <x v="0"/>
    <n v="2239280132"/>
    <x v="2"/>
    <n v="6500"/>
    <x v="2"/>
    <x v="0"/>
    <x v="19"/>
    <x v="2"/>
    <x v="0"/>
    <x v="0"/>
    <x v="2"/>
    <x v="0"/>
  </r>
  <r>
    <x v="0"/>
    <x v="0"/>
    <n v="2239280133"/>
    <x v="2"/>
    <n v="12980"/>
    <x v="2"/>
    <x v="0"/>
    <x v="19"/>
    <x v="2"/>
    <x v="0"/>
    <x v="0"/>
    <x v="2"/>
    <x v="0"/>
  </r>
  <r>
    <x v="0"/>
    <x v="0"/>
    <n v="2239280134"/>
    <x v="3"/>
    <n v="15400"/>
    <x v="2"/>
    <x v="0"/>
    <x v="19"/>
    <x v="3"/>
    <x v="0"/>
    <x v="0"/>
    <x v="3"/>
    <x v="0"/>
  </r>
  <r>
    <x v="0"/>
    <x v="0"/>
    <n v="2239280135"/>
    <x v="5"/>
    <n v="-500"/>
    <x v="2"/>
    <x v="0"/>
    <x v="19"/>
    <x v="5"/>
    <x v="0"/>
    <x v="0"/>
    <x v="5"/>
    <x v="0"/>
  </r>
  <r>
    <x v="0"/>
    <x v="0"/>
    <n v="2239280135"/>
    <x v="6"/>
    <n v="10000"/>
    <x v="2"/>
    <x v="0"/>
    <x v="19"/>
    <x v="6"/>
    <x v="0"/>
    <x v="0"/>
    <x v="5"/>
    <x v="0"/>
  </r>
  <r>
    <x v="0"/>
    <x v="0"/>
    <n v="2239280136"/>
    <x v="2"/>
    <n v="15500"/>
    <x v="2"/>
    <x v="0"/>
    <x v="19"/>
    <x v="2"/>
    <x v="0"/>
    <x v="0"/>
    <x v="2"/>
    <x v="0"/>
  </r>
  <r>
    <x v="0"/>
    <x v="0"/>
    <n v="2239280137"/>
    <x v="2"/>
    <n v="10500"/>
    <x v="2"/>
    <x v="0"/>
    <x v="19"/>
    <x v="2"/>
    <x v="0"/>
    <x v="0"/>
    <x v="2"/>
    <x v="0"/>
  </r>
  <r>
    <x v="0"/>
    <x v="0"/>
    <n v="2239280138"/>
    <x v="2"/>
    <n v="14850"/>
    <x v="2"/>
    <x v="0"/>
    <x v="19"/>
    <x v="2"/>
    <x v="0"/>
    <x v="0"/>
    <x v="2"/>
    <x v="0"/>
  </r>
  <r>
    <x v="0"/>
    <x v="0"/>
    <n v="2239280139"/>
    <x v="2"/>
    <n v="17600"/>
    <x v="2"/>
    <x v="0"/>
    <x v="19"/>
    <x v="2"/>
    <x v="0"/>
    <x v="0"/>
    <x v="2"/>
    <x v="0"/>
  </r>
  <r>
    <x v="0"/>
    <x v="0"/>
    <n v="2239280140"/>
    <x v="2"/>
    <n v="10000"/>
    <x v="2"/>
    <x v="0"/>
    <x v="19"/>
    <x v="2"/>
    <x v="0"/>
    <x v="0"/>
    <x v="2"/>
    <x v="0"/>
  </r>
  <r>
    <x v="0"/>
    <x v="0"/>
    <n v="2239280141"/>
    <x v="2"/>
    <n v="10500"/>
    <x v="2"/>
    <x v="0"/>
    <x v="19"/>
    <x v="2"/>
    <x v="0"/>
    <x v="0"/>
    <x v="2"/>
    <x v="0"/>
  </r>
  <r>
    <x v="0"/>
    <x v="0"/>
    <n v="2239280142"/>
    <x v="5"/>
    <n v="-7000"/>
    <x v="2"/>
    <x v="0"/>
    <x v="19"/>
    <x v="5"/>
    <x v="0"/>
    <x v="0"/>
    <x v="5"/>
    <x v="0"/>
  </r>
  <r>
    <x v="0"/>
    <x v="0"/>
    <n v="2239280142"/>
    <x v="6"/>
    <n v="20000"/>
    <x v="2"/>
    <x v="0"/>
    <x v="19"/>
    <x v="6"/>
    <x v="0"/>
    <x v="0"/>
    <x v="5"/>
    <x v="0"/>
  </r>
  <r>
    <x v="0"/>
    <x v="0"/>
    <n v="2239280143"/>
    <x v="2"/>
    <n v="44880"/>
    <x v="2"/>
    <x v="0"/>
    <x v="19"/>
    <x v="2"/>
    <x v="0"/>
    <x v="0"/>
    <x v="2"/>
    <x v="0"/>
  </r>
  <r>
    <x v="0"/>
    <x v="0"/>
    <n v="2239280144"/>
    <x v="2"/>
    <n v="14850"/>
    <x v="2"/>
    <x v="0"/>
    <x v="19"/>
    <x v="2"/>
    <x v="0"/>
    <x v="0"/>
    <x v="2"/>
    <x v="0"/>
  </r>
  <r>
    <x v="0"/>
    <x v="0"/>
    <n v="2239280145"/>
    <x v="2"/>
    <n v="13000"/>
    <x v="2"/>
    <x v="0"/>
    <x v="19"/>
    <x v="2"/>
    <x v="0"/>
    <x v="0"/>
    <x v="2"/>
    <x v="0"/>
  </r>
  <r>
    <x v="0"/>
    <x v="0"/>
    <n v="2239280147"/>
    <x v="2"/>
    <n v="11000"/>
    <x v="2"/>
    <x v="0"/>
    <x v="19"/>
    <x v="2"/>
    <x v="0"/>
    <x v="0"/>
    <x v="2"/>
    <x v="0"/>
  </r>
  <r>
    <x v="0"/>
    <x v="0"/>
    <n v="2239280148"/>
    <x v="2"/>
    <n v="74910"/>
    <x v="2"/>
    <x v="0"/>
    <x v="19"/>
    <x v="2"/>
    <x v="0"/>
    <x v="0"/>
    <x v="2"/>
    <x v="0"/>
  </r>
  <r>
    <x v="0"/>
    <x v="0"/>
    <n v="2239280149"/>
    <x v="2"/>
    <n v="24900"/>
    <x v="2"/>
    <x v="0"/>
    <x v="19"/>
    <x v="2"/>
    <x v="0"/>
    <x v="0"/>
    <x v="2"/>
    <x v="0"/>
  </r>
  <r>
    <x v="0"/>
    <x v="0"/>
    <n v="2239280150"/>
    <x v="2"/>
    <n v="10450"/>
    <x v="2"/>
    <x v="0"/>
    <x v="19"/>
    <x v="2"/>
    <x v="0"/>
    <x v="0"/>
    <x v="2"/>
    <x v="0"/>
  </r>
  <r>
    <x v="0"/>
    <x v="0"/>
    <n v="2239280151"/>
    <x v="2"/>
    <n v="5400"/>
    <x v="2"/>
    <x v="0"/>
    <x v="19"/>
    <x v="2"/>
    <x v="0"/>
    <x v="0"/>
    <x v="2"/>
    <x v="0"/>
  </r>
  <r>
    <x v="0"/>
    <x v="0"/>
    <n v="2239280152"/>
    <x v="2"/>
    <n v="11550"/>
    <x v="2"/>
    <x v="0"/>
    <x v="19"/>
    <x v="2"/>
    <x v="0"/>
    <x v="0"/>
    <x v="2"/>
    <x v="0"/>
  </r>
  <r>
    <x v="0"/>
    <x v="0"/>
    <n v="2239280153"/>
    <x v="2"/>
    <n v="10000"/>
    <x v="2"/>
    <x v="0"/>
    <x v="19"/>
    <x v="2"/>
    <x v="0"/>
    <x v="0"/>
    <x v="2"/>
    <x v="0"/>
  </r>
  <r>
    <x v="0"/>
    <x v="0"/>
    <n v="2239280154"/>
    <x v="2"/>
    <n v="21450"/>
    <x v="2"/>
    <x v="0"/>
    <x v="19"/>
    <x v="2"/>
    <x v="0"/>
    <x v="0"/>
    <x v="2"/>
    <x v="0"/>
  </r>
  <r>
    <x v="0"/>
    <x v="0"/>
    <n v="2239280155"/>
    <x v="2"/>
    <n v="6000"/>
    <x v="2"/>
    <x v="0"/>
    <x v="19"/>
    <x v="2"/>
    <x v="0"/>
    <x v="0"/>
    <x v="2"/>
    <x v="0"/>
  </r>
  <r>
    <x v="0"/>
    <x v="0"/>
    <n v="2239280156"/>
    <x v="2"/>
    <n v="10890"/>
    <x v="2"/>
    <x v="0"/>
    <x v="19"/>
    <x v="2"/>
    <x v="0"/>
    <x v="0"/>
    <x v="2"/>
    <x v="0"/>
  </r>
  <r>
    <x v="0"/>
    <x v="0"/>
    <n v="2239280158"/>
    <x v="2"/>
    <n v="13200"/>
    <x v="2"/>
    <x v="0"/>
    <x v="19"/>
    <x v="2"/>
    <x v="0"/>
    <x v="0"/>
    <x v="2"/>
    <x v="0"/>
  </r>
  <r>
    <x v="0"/>
    <x v="0"/>
    <n v="2239280159"/>
    <x v="3"/>
    <n v="7150"/>
    <x v="2"/>
    <x v="0"/>
    <x v="19"/>
    <x v="3"/>
    <x v="0"/>
    <x v="0"/>
    <x v="3"/>
    <x v="0"/>
  </r>
  <r>
    <x v="0"/>
    <x v="0"/>
    <n v="2239280160"/>
    <x v="2"/>
    <n v="7500"/>
    <x v="2"/>
    <x v="0"/>
    <x v="19"/>
    <x v="2"/>
    <x v="0"/>
    <x v="0"/>
    <x v="2"/>
    <x v="0"/>
  </r>
  <r>
    <x v="0"/>
    <x v="0"/>
    <n v="2239280161"/>
    <x v="2"/>
    <n v="7500"/>
    <x v="2"/>
    <x v="0"/>
    <x v="19"/>
    <x v="2"/>
    <x v="0"/>
    <x v="0"/>
    <x v="2"/>
    <x v="0"/>
  </r>
  <r>
    <x v="0"/>
    <x v="0"/>
    <n v="2239280162"/>
    <x v="2"/>
    <n v="7500"/>
    <x v="2"/>
    <x v="0"/>
    <x v="19"/>
    <x v="2"/>
    <x v="0"/>
    <x v="0"/>
    <x v="2"/>
    <x v="0"/>
  </r>
  <r>
    <x v="0"/>
    <x v="0"/>
    <n v="2239280163"/>
    <x v="2"/>
    <n v="14300"/>
    <x v="2"/>
    <x v="0"/>
    <x v="19"/>
    <x v="2"/>
    <x v="0"/>
    <x v="0"/>
    <x v="2"/>
    <x v="0"/>
  </r>
  <r>
    <x v="0"/>
    <x v="0"/>
    <n v="2239280164"/>
    <x v="5"/>
    <n v="-1000"/>
    <x v="2"/>
    <x v="0"/>
    <x v="19"/>
    <x v="5"/>
    <x v="0"/>
    <x v="0"/>
    <x v="5"/>
    <x v="0"/>
  </r>
  <r>
    <x v="0"/>
    <x v="0"/>
    <n v="2239280164"/>
    <x v="6"/>
    <n v="15000"/>
    <x v="2"/>
    <x v="0"/>
    <x v="19"/>
    <x v="6"/>
    <x v="0"/>
    <x v="0"/>
    <x v="5"/>
    <x v="0"/>
  </r>
  <r>
    <x v="0"/>
    <x v="0"/>
    <n v="2239280165"/>
    <x v="3"/>
    <n v="8000"/>
    <x v="2"/>
    <x v="0"/>
    <x v="19"/>
    <x v="3"/>
    <x v="0"/>
    <x v="0"/>
    <x v="3"/>
    <x v="0"/>
  </r>
  <r>
    <x v="0"/>
    <x v="0"/>
    <n v="2239280166"/>
    <x v="5"/>
    <n v="-3500"/>
    <x v="2"/>
    <x v="0"/>
    <x v="19"/>
    <x v="5"/>
    <x v="0"/>
    <x v="0"/>
    <x v="5"/>
    <x v="0"/>
  </r>
  <r>
    <x v="0"/>
    <x v="0"/>
    <n v="2239280166"/>
    <x v="6"/>
    <n v="10000"/>
    <x v="2"/>
    <x v="0"/>
    <x v="19"/>
    <x v="6"/>
    <x v="0"/>
    <x v="0"/>
    <x v="5"/>
    <x v="0"/>
  </r>
  <r>
    <x v="0"/>
    <x v="0"/>
    <n v="2239280167"/>
    <x v="2"/>
    <n v="11000"/>
    <x v="2"/>
    <x v="0"/>
    <x v="19"/>
    <x v="2"/>
    <x v="0"/>
    <x v="0"/>
    <x v="2"/>
    <x v="0"/>
  </r>
  <r>
    <x v="0"/>
    <x v="0"/>
    <n v="2239280168"/>
    <x v="2"/>
    <n v="5000"/>
    <x v="2"/>
    <x v="0"/>
    <x v="19"/>
    <x v="2"/>
    <x v="0"/>
    <x v="0"/>
    <x v="2"/>
    <x v="0"/>
  </r>
  <r>
    <x v="0"/>
    <x v="0"/>
    <n v="2239280169"/>
    <x v="5"/>
    <n v="-5500"/>
    <x v="2"/>
    <x v="0"/>
    <x v="19"/>
    <x v="5"/>
    <x v="0"/>
    <x v="0"/>
    <x v="5"/>
    <x v="0"/>
  </r>
  <r>
    <x v="0"/>
    <x v="0"/>
    <n v="2239280169"/>
    <x v="6"/>
    <n v="20000"/>
    <x v="2"/>
    <x v="0"/>
    <x v="19"/>
    <x v="6"/>
    <x v="0"/>
    <x v="0"/>
    <x v="5"/>
    <x v="0"/>
  </r>
  <r>
    <x v="0"/>
    <x v="0"/>
    <n v="2239280170"/>
    <x v="2"/>
    <n v="8250"/>
    <x v="2"/>
    <x v="0"/>
    <x v="19"/>
    <x v="2"/>
    <x v="0"/>
    <x v="0"/>
    <x v="2"/>
    <x v="0"/>
  </r>
  <r>
    <x v="0"/>
    <x v="0"/>
    <n v="2239280172"/>
    <x v="6"/>
    <n v="6500"/>
    <x v="2"/>
    <x v="0"/>
    <x v="19"/>
    <x v="6"/>
    <x v="0"/>
    <x v="0"/>
    <x v="5"/>
    <x v="0"/>
  </r>
  <r>
    <x v="0"/>
    <x v="0"/>
    <n v="2239280173"/>
    <x v="2"/>
    <n v="14850"/>
    <x v="2"/>
    <x v="0"/>
    <x v="19"/>
    <x v="2"/>
    <x v="0"/>
    <x v="0"/>
    <x v="2"/>
    <x v="0"/>
  </r>
  <r>
    <x v="0"/>
    <x v="0"/>
    <n v="2239280174"/>
    <x v="2"/>
    <n v="10450"/>
    <x v="2"/>
    <x v="0"/>
    <x v="19"/>
    <x v="2"/>
    <x v="0"/>
    <x v="0"/>
    <x v="2"/>
    <x v="0"/>
  </r>
  <r>
    <x v="0"/>
    <x v="0"/>
    <n v="2239280176"/>
    <x v="2"/>
    <n v="4500"/>
    <x v="2"/>
    <x v="0"/>
    <x v="19"/>
    <x v="2"/>
    <x v="0"/>
    <x v="0"/>
    <x v="2"/>
    <x v="0"/>
  </r>
  <r>
    <x v="0"/>
    <x v="0"/>
    <n v="2239280177"/>
    <x v="6"/>
    <n v="3000"/>
    <x v="2"/>
    <x v="0"/>
    <x v="19"/>
    <x v="6"/>
    <x v="0"/>
    <x v="0"/>
    <x v="5"/>
    <x v="0"/>
  </r>
  <r>
    <x v="0"/>
    <x v="0"/>
    <n v="2239280178"/>
    <x v="2"/>
    <n v="15400"/>
    <x v="2"/>
    <x v="0"/>
    <x v="19"/>
    <x v="2"/>
    <x v="0"/>
    <x v="0"/>
    <x v="2"/>
    <x v="0"/>
  </r>
  <r>
    <x v="0"/>
    <x v="0"/>
    <n v="2239280179"/>
    <x v="2"/>
    <n v="28600"/>
    <x v="2"/>
    <x v="0"/>
    <x v="19"/>
    <x v="2"/>
    <x v="0"/>
    <x v="0"/>
    <x v="2"/>
    <x v="0"/>
  </r>
  <r>
    <x v="0"/>
    <x v="0"/>
    <n v="2239280180"/>
    <x v="2"/>
    <n v="14000"/>
    <x v="2"/>
    <x v="0"/>
    <x v="19"/>
    <x v="2"/>
    <x v="0"/>
    <x v="0"/>
    <x v="2"/>
    <x v="0"/>
  </r>
  <r>
    <x v="0"/>
    <x v="0"/>
    <n v="2239280181"/>
    <x v="5"/>
    <n v="-3500"/>
    <x v="2"/>
    <x v="0"/>
    <x v="19"/>
    <x v="5"/>
    <x v="0"/>
    <x v="0"/>
    <x v="5"/>
    <x v="0"/>
  </r>
  <r>
    <x v="0"/>
    <x v="0"/>
    <n v="2239280181"/>
    <x v="6"/>
    <n v="10000"/>
    <x v="2"/>
    <x v="0"/>
    <x v="19"/>
    <x v="6"/>
    <x v="0"/>
    <x v="0"/>
    <x v="5"/>
    <x v="0"/>
  </r>
  <r>
    <x v="0"/>
    <x v="0"/>
    <n v="2239280182"/>
    <x v="2"/>
    <n v="7500"/>
    <x v="2"/>
    <x v="0"/>
    <x v="19"/>
    <x v="2"/>
    <x v="0"/>
    <x v="0"/>
    <x v="2"/>
    <x v="0"/>
  </r>
  <r>
    <x v="0"/>
    <x v="0"/>
    <n v="2239280183"/>
    <x v="2"/>
    <n v="11550"/>
    <x v="2"/>
    <x v="0"/>
    <x v="19"/>
    <x v="2"/>
    <x v="0"/>
    <x v="0"/>
    <x v="2"/>
    <x v="0"/>
  </r>
  <r>
    <x v="0"/>
    <x v="0"/>
    <n v="2239280184"/>
    <x v="5"/>
    <n v="-3500"/>
    <x v="2"/>
    <x v="0"/>
    <x v="19"/>
    <x v="5"/>
    <x v="0"/>
    <x v="0"/>
    <x v="5"/>
    <x v="0"/>
  </r>
  <r>
    <x v="0"/>
    <x v="0"/>
    <n v="2239280184"/>
    <x v="6"/>
    <n v="10000"/>
    <x v="2"/>
    <x v="0"/>
    <x v="19"/>
    <x v="6"/>
    <x v="0"/>
    <x v="0"/>
    <x v="5"/>
    <x v="0"/>
  </r>
  <r>
    <x v="0"/>
    <x v="0"/>
    <n v="2239280185"/>
    <x v="2"/>
    <n v="17000"/>
    <x v="2"/>
    <x v="0"/>
    <x v="19"/>
    <x v="2"/>
    <x v="0"/>
    <x v="0"/>
    <x v="2"/>
    <x v="0"/>
  </r>
  <r>
    <x v="0"/>
    <x v="0"/>
    <n v="2239280186"/>
    <x v="2"/>
    <n v="10500"/>
    <x v="2"/>
    <x v="0"/>
    <x v="19"/>
    <x v="2"/>
    <x v="0"/>
    <x v="0"/>
    <x v="2"/>
    <x v="0"/>
  </r>
  <r>
    <x v="0"/>
    <x v="0"/>
    <n v="2239280187"/>
    <x v="3"/>
    <n v="11000"/>
    <x v="2"/>
    <x v="0"/>
    <x v="19"/>
    <x v="3"/>
    <x v="0"/>
    <x v="0"/>
    <x v="3"/>
    <x v="0"/>
  </r>
  <r>
    <x v="0"/>
    <x v="0"/>
    <n v="2239280188"/>
    <x v="2"/>
    <n v="23595"/>
    <x v="2"/>
    <x v="0"/>
    <x v="19"/>
    <x v="2"/>
    <x v="0"/>
    <x v="0"/>
    <x v="2"/>
    <x v="0"/>
  </r>
  <r>
    <x v="0"/>
    <x v="0"/>
    <n v="2239280190"/>
    <x v="2"/>
    <n v="10000"/>
    <x v="2"/>
    <x v="0"/>
    <x v="19"/>
    <x v="2"/>
    <x v="0"/>
    <x v="0"/>
    <x v="2"/>
    <x v="0"/>
  </r>
  <r>
    <x v="0"/>
    <x v="0"/>
    <n v="2239280191"/>
    <x v="2"/>
    <n v="17600"/>
    <x v="2"/>
    <x v="0"/>
    <x v="19"/>
    <x v="2"/>
    <x v="0"/>
    <x v="0"/>
    <x v="2"/>
    <x v="0"/>
  </r>
  <r>
    <x v="0"/>
    <x v="0"/>
    <n v="2239280193"/>
    <x v="5"/>
    <n v="-3900"/>
    <x v="2"/>
    <x v="0"/>
    <x v="19"/>
    <x v="5"/>
    <x v="0"/>
    <x v="0"/>
    <x v="5"/>
    <x v="0"/>
  </r>
  <r>
    <x v="0"/>
    <x v="0"/>
    <n v="2239280193"/>
    <x v="6"/>
    <n v="15000"/>
    <x v="2"/>
    <x v="0"/>
    <x v="19"/>
    <x v="6"/>
    <x v="0"/>
    <x v="0"/>
    <x v="5"/>
    <x v="0"/>
  </r>
  <r>
    <x v="0"/>
    <x v="0"/>
    <n v="2239280195"/>
    <x v="2"/>
    <n v="13500"/>
    <x v="2"/>
    <x v="0"/>
    <x v="19"/>
    <x v="2"/>
    <x v="0"/>
    <x v="0"/>
    <x v="2"/>
    <x v="0"/>
  </r>
  <r>
    <x v="0"/>
    <x v="0"/>
    <n v="2239280196"/>
    <x v="5"/>
    <n v="-2500"/>
    <x v="2"/>
    <x v="0"/>
    <x v="19"/>
    <x v="5"/>
    <x v="0"/>
    <x v="0"/>
    <x v="5"/>
    <x v="0"/>
  </r>
  <r>
    <x v="0"/>
    <x v="0"/>
    <n v="2239280196"/>
    <x v="6"/>
    <n v="10000"/>
    <x v="2"/>
    <x v="0"/>
    <x v="19"/>
    <x v="6"/>
    <x v="0"/>
    <x v="0"/>
    <x v="5"/>
    <x v="0"/>
  </r>
  <r>
    <x v="0"/>
    <x v="0"/>
    <n v="2239280197"/>
    <x v="2"/>
    <n v="22500"/>
    <x v="2"/>
    <x v="0"/>
    <x v="19"/>
    <x v="2"/>
    <x v="0"/>
    <x v="0"/>
    <x v="2"/>
    <x v="0"/>
  </r>
  <r>
    <x v="0"/>
    <x v="0"/>
    <n v="2239280198"/>
    <x v="3"/>
    <n v="17200"/>
    <x v="2"/>
    <x v="0"/>
    <x v="19"/>
    <x v="3"/>
    <x v="0"/>
    <x v="0"/>
    <x v="3"/>
    <x v="0"/>
  </r>
  <r>
    <x v="0"/>
    <x v="0"/>
    <n v="2239280199"/>
    <x v="2"/>
    <n v="15400"/>
    <x v="2"/>
    <x v="0"/>
    <x v="19"/>
    <x v="2"/>
    <x v="0"/>
    <x v="0"/>
    <x v="2"/>
    <x v="0"/>
  </r>
  <r>
    <x v="0"/>
    <x v="0"/>
    <n v="2239280200"/>
    <x v="5"/>
    <n v="-5600"/>
    <x v="2"/>
    <x v="0"/>
    <x v="19"/>
    <x v="5"/>
    <x v="0"/>
    <x v="0"/>
    <x v="5"/>
    <x v="0"/>
  </r>
  <r>
    <x v="0"/>
    <x v="0"/>
    <n v="2239280200"/>
    <x v="4"/>
    <n v="10000"/>
    <x v="2"/>
    <x v="0"/>
    <x v="19"/>
    <x v="4"/>
    <x v="0"/>
    <x v="0"/>
    <x v="4"/>
    <x v="0"/>
  </r>
  <r>
    <x v="0"/>
    <x v="0"/>
    <n v="2239280201"/>
    <x v="2"/>
    <n v="7150"/>
    <x v="2"/>
    <x v="0"/>
    <x v="19"/>
    <x v="2"/>
    <x v="0"/>
    <x v="0"/>
    <x v="2"/>
    <x v="0"/>
  </r>
  <r>
    <x v="0"/>
    <x v="0"/>
    <n v="2239280202"/>
    <x v="2"/>
    <n v="8000"/>
    <x v="2"/>
    <x v="0"/>
    <x v="19"/>
    <x v="2"/>
    <x v="0"/>
    <x v="0"/>
    <x v="2"/>
    <x v="0"/>
  </r>
  <r>
    <x v="0"/>
    <x v="0"/>
    <n v="2239280203"/>
    <x v="2"/>
    <n v="10500"/>
    <x v="2"/>
    <x v="0"/>
    <x v="19"/>
    <x v="2"/>
    <x v="0"/>
    <x v="0"/>
    <x v="2"/>
    <x v="0"/>
  </r>
  <r>
    <x v="0"/>
    <x v="0"/>
    <n v="2239280204"/>
    <x v="2"/>
    <n v="37950"/>
    <x v="2"/>
    <x v="0"/>
    <x v="19"/>
    <x v="2"/>
    <x v="0"/>
    <x v="0"/>
    <x v="2"/>
    <x v="0"/>
  </r>
  <r>
    <x v="0"/>
    <x v="0"/>
    <n v="2239280205"/>
    <x v="2"/>
    <n v="13200"/>
    <x v="2"/>
    <x v="0"/>
    <x v="19"/>
    <x v="2"/>
    <x v="0"/>
    <x v="0"/>
    <x v="2"/>
    <x v="0"/>
  </r>
  <r>
    <x v="0"/>
    <x v="0"/>
    <n v="2239280206"/>
    <x v="2"/>
    <n v="16000"/>
    <x v="2"/>
    <x v="0"/>
    <x v="19"/>
    <x v="2"/>
    <x v="0"/>
    <x v="0"/>
    <x v="2"/>
    <x v="0"/>
  </r>
  <r>
    <x v="0"/>
    <x v="0"/>
    <n v="2239280207"/>
    <x v="2"/>
    <n v="8000"/>
    <x v="2"/>
    <x v="0"/>
    <x v="19"/>
    <x v="2"/>
    <x v="0"/>
    <x v="0"/>
    <x v="2"/>
    <x v="0"/>
  </r>
  <r>
    <x v="0"/>
    <x v="0"/>
    <n v="2239280208"/>
    <x v="2"/>
    <n v="13000"/>
    <x v="2"/>
    <x v="0"/>
    <x v="19"/>
    <x v="2"/>
    <x v="0"/>
    <x v="0"/>
    <x v="2"/>
    <x v="0"/>
  </r>
  <r>
    <x v="0"/>
    <x v="0"/>
    <n v="2239280209"/>
    <x v="5"/>
    <n v="-300"/>
    <x v="2"/>
    <x v="0"/>
    <x v="19"/>
    <x v="5"/>
    <x v="0"/>
    <x v="0"/>
    <x v="5"/>
    <x v="0"/>
  </r>
  <r>
    <x v="0"/>
    <x v="0"/>
    <n v="2239280209"/>
    <x v="4"/>
    <n v="6000"/>
    <x v="2"/>
    <x v="0"/>
    <x v="19"/>
    <x v="4"/>
    <x v="0"/>
    <x v="0"/>
    <x v="4"/>
    <x v="0"/>
  </r>
  <r>
    <x v="0"/>
    <x v="0"/>
    <n v="2239280211"/>
    <x v="2"/>
    <n v="13000"/>
    <x v="2"/>
    <x v="0"/>
    <x v="19"/>
    <x v="2"/>
    <x v="0"/>
    <x v="0"/>
    <x v="2"/>
    <x v="0"/>
  </r>
  <r>
    <x v="0"/>
    <x v="0"/>
    <n v="2239280212"/>
    <x v="2"/>
    <n v="50270"/>
    <x v="2"/>
    <x v="0"/>
    <x v="19"/>
    <x v="2"/>
    <x v="0"/>
    <x v="0"/>
    <x v="2"/>
    <x v="0"/>
  </r>
  <r>
    <x v="0"/>
    <x v="0"/>
    <n v="2239280213"/>
    <x v="2"/>
    <n v="26500"/>
    <x v="2"/>
    <x v="0"/>
    <x v="19"/>
    <x v="2"/>
    <x v="0"/>
    <x v="0"/>
    <x v="2"/>
    <x v="0"/>
  </r>
  <r>
    <x v="0"/>
    <x v="0"/>
    <n v="2239280214"/>
    <x v="5"/>
    <n v="-14700"/>
    <x v="2"/>
    <x v="0"/>
    <x v="19"/>
    <x v="5"/>
    <x v="0"/>
    <x v="0"/>
    <x v="5"/>
    <x v="0"/>
  </r>
  <r>
    <x v="0"/>
    <x v="0"/>
    <n v="2239280214"/>
    <x v="4"/>
    <n v="20000"/>
    <x v="2"/>
    <x v="0"/>
    <x v="19"/>
    <x v="4"/>
    <x v="0"/>
    <x v="0"/>
    <x v="4"/>
    <x v="0"/>
  </r>
  <r>
    <x v="0"/>
    <x v="0"/>
    <n v="2239280215"/>
    <x v="5"/>
    <n v="-11000"/>
    <x v="2"/>
    <x v="0"/>
    <x v="19"/>
    <x v="5"/>
    <x v="0"/>
    <x v="0"/>
    <x v="5"/>
    <x v="0"/>
  </r>
  <r>
    <x v="0"/>
    <x v="0"/>
    <n v="2239280215"/>
    <x v="6"/>
    <n v="20000"/>
    <x v="2"/>
    <x v="0"/>
    <x v="19"/>
    <x v="6"/>
    <x v="0"/>
    <x v="0"/>
    <x v="5"/>
    <x v="0"/>
  </r>
  <r>
    <x v="0"/>
    <x v="0"/>
    <n v="2239280216"/>
    <x v="2"/>
    <n v="13500"/>
    <x v="2"/>
    <x v="0"/>
    <x v="19"/>
    <x v="2"/>
    <x v="0"/>
    <x v="0"/>
    <x v="2"/>
    <x v="0"/>
  </r>
  <r>
    <x v="0"/>
    <x v="0"/>
    <n v="2239280217"/>
    <x v="3"/>
    <n v="49280"/>
    <x v="2"/>
    <x v="0"/>
    <x v="19"/>
    <x v="3"/>
    <x v="0"/>
    <x v="0"/>
    <x v="3"/>
    <x v="0"/>
  </r>
  <r>
    <x v="0"/>
    <x v="0"/>
    <n v="2239280218"/>
    <x v="2"/>
    <n v="5400"/>
    <x v="2"/>
    <x v="0"/>
    <x v="19"/>
    <x v="2"/>
    <x v="0"/>
    <x v="0"/>
    <x v="2"/>
    <x v="0"/>
  </r>
  <r>
    <x v="0"/>
    <x v="0"/>
    <n v="2239280219"/>
    <x v="5"/>
    <n v="-2500"/>
    <x v="2"/>
    <x v="0"/>
    <x v="19"/>
    <x v="5"/>
    <x v="0"/>
    <x v="0"/>
    <x v="5"/>
    <x v="0"/>
  </r>
  <r>
    <x v="0"/>
    <x v="0"/>
    <n v="2239280219"/>
    <x v="6"/>
    <n v="10000"/>
    <x v="2"/>
    <x v="0"/>
    <x v="19"/>
    <x v="6"/>
    <x v="0"/>
    <x v="0"/>
    <x v="5"/>
    <x v="0"/>
  </r>
  <r>
    <x v="0"/>
    <x v="0"/>
    <n v="2239280220"/>
    <x v="3"/>
    <n v="9350"/>
    <x v="2"/>
    <x v="0"/>
    <x v="19"/>
    <x v="3"/>
    <x v="0"/>
    <x v="0"/>
    <x v="3"/>
    <x v="0"/>
  </r>
  <r>
    <x v="0"/>
    <x v="0"/>
    <n v="2239280221"/>
    <x v="5"/>
    <n v="-6000"/>
    <x v="2"/>
    <x v="0"/>
    <x v="19"/>
    <x v="5"/>
    <x v="0"/>
    <x v="0"/>
    <x v="5"/>
    <x v="0"/>
  </r>
  <r>
    <x v="0"/>
    <x v="0"/>
    <n v="2239280221"/>
    <x v="6"/>
    <n v="20000"/>
    <x v="2"/>
    <x v="0"/>
    <x v="19"/>
    <x v="6"/>
    <x v="0"/>
    <x v="0"/>
    <x v="5"/>
    <x v="0"/>
  </r>
  <r>
    <x v="0"/>
    <x v="0"/>
    <n v="2239280222"/>
    <x v="5"/>
    <n v="-2500"/>
    <x v="2"/>
    <x v="0"/>
    <x v="19"/>
    <x v="5"/>
    <x v="0"/>
    <x v="0"/>
    <x v="5"/>
    <x v="0"/>
  </r>
  <r>
    <x v="0"/>
    <x v="0"/>
    <n v="2239280222"/>
    <x v="6"/>
    <n v="10000"/>
    <x v="2"/>
    <x v="0"/>
    <x v="19"/>
    <x v="6"/>
    <x v="0"/>
    <x v="0"/>
    <x v="5"/>
    <x v="0"/>
  </r>
  <r>
    <x v="0"/>
    <x v="0"/>
    <n v="2239280223"/>
    <x v="2"/>
    <n v="40500"/>
    <x v="2"/>
    <x v="0"/>
    <x v="19"/>
    <x v="2"/>
    <x v="0"/>
    <x v="0"/>
    <x v="2"/>
    <x v="0"/>
  </r>
  <r>
    <x v="0"/>
    <x v="0"/>
    <n v="2239280224"/>
    <x v="5"/>
    <n v="-800"/>
    <x v="2"/>
    <x v="0"/>
    <x v="19"/>
    <x v="5"/>
    <x v="0"/>
    <x v="0"/>
    <x v="5"/>
    <x v="0"/>
  </r>
  <r>
    <x v="0"/>
    <x v="0"/>
    <n v="2239280224"/>
    <x v="6"/>
    <n v="20000"/>
    <x v="2"/>
    <x v="0"/>
    <x v="19"/>
    <x v="6"/>
    <x v="0"/>
    <x v="0"/>
    <x v="5"/>
    <x v="0"/>
  </r>
  <r>
    <x v="0"/>
    <x v="0"/>
    <n v="2239280224"/>
    <x v="7"/>
    <n v="4800"/>
    <x v="2"/>
    <x v="0"/>
    <x v="19"/>
    <x v="7"/>
    <x v="0"/>
    <x v="0"/>
    <x v="1"/>
    <x v="0"/>
  </r>
  <r>
    <x v="0"/>
    <x v="0"/>
    <n v="2239280225"/>
    <x v="5"/>
    <n v="-3000"/>
    <x v="2"/>
    <x v="0"/>
    <x v="19"/>
    <x v="5"/>
    <x v="0"/>
    <x v="0"/>
    <x v="5"/>
    <x v="0"/>
  </r>
  <r>
    <x v="0"/>
    <x v="0"/>
    <n v="2239280225"/>
    <x v="6"/>
    <n v="30000"/>
    <x v="2"/>
    <x v="0"/>
    <x v="19"/>
    <x v="6"/>
    <x v="0"/>
    <x v="0"/>
    <x v="5"/>
    <x v="0"/>
  </r>
  <r>
    <x v="0"/>
    <x v="0"/>
    <n v="2239280227"/>
    <x v="2"/>
    <n v="22500"/>
    <x v="2"/>
    <x v="0"/>
    <x v="19"/>
    <x v="2"/>
    <x v="0"/>
    <x v="0"/>
    <x v="2"/>
    <x v="0"/>
  </r>
  <r>
    <x v="0"/>
    <x v="0"/>
    <n v="2239280228"/>
    <x v="5"/>
    <n v="-3500"/>
    <x v="2"/>
    <x v="0"/>
    <x v="19"/>
    <x v="5"/>
    <x v="0"/>
    <x v="0"/>
    <x v="5"/>
    <x v="0"/>
  </r>
  <r>
    <x v="0"/>
    <x v="0"/>
    <n v="2239280228"/>
    <x v="6"/>
    <n v="10000"/>
    <x v="2"/>
    <x v="0"/>
    <x v="19"/>
    <x v="6"/>
    <x v="0"/>
    <x v="0"/>
    <x v="5"/>
    <x v="0"/>
  </r>
  <r>
    <x v="0"/>
    <x v="0"/>
    <n v="2239280229"/>
    <x v="3"/>
    <n v="11300"/>
    <x v="2"/>
    <x v="0"/>
    <x v="19"/>
    <x v="3"/>
    <x v="0"/>
    <x v="0"/>
    <x v="3"/>
    <x v="0"/>
  </r>
  <r>
    <x v="0"/>
    <x v="0"/>
    <n v="2239280230"/>
    <x v="2"/>
    <n v="7500"/>
    <x v="2"/>
    <x v="0"/>
    <x v="19"/>
    <x v="2"/>
    <x v="0"/>
    <x v="0"/>
    <x v="2"/>
    <x v="0"/>
  </r>
  <r>
    <x v="0"/>
    <x v="0"/>
    <n v="2239280233"/>
    <x v="2"/>
    <n v="12000"/>
    <x v="2"/>
    <x v="0"/>
    <x v="19"/>
    <x v="2"/>
    <x v="0"/>
    <x v="0"/>
    <x v="2"/>
    <x v="0"/>
  </r>
  <r>
    <x v="0"/>
    <x v="0"/>
    <n v="2239280234"/>
    <x v="2"/>
    <n v="14000"/>
    <x v="2"/>
    <x v="0"/>
    <x v="19"/>
    <x v="2"/>
    <x v="0"/>
    <x v="0"/>
    <x v="2"/>
    <x v="0"/>
  </r>
  <r>
    <x v="0"/>
    <x v="0"/>
    <n v="2239280235"/>
    <x v="5"/>
    <n v="-3500"/>
    <x v="2"/>
    <x v="0"/>
    <x v="19"/>
    <x v="5"/>
    <x v="0"/>
    <x v="0"/>
    <x v="5"/>
    <x v="0"/>
  </r>
  <r>
    <x v="0"/>
    <x v="0"/>
    <n v="2239280235"/>
    <x v="6"/>
    <n v="10000"/>
    <x v="2"/>
    <x v="0"/>
    <x v="19"/>
    <x v="6"/>
    <x v="0"/>
    <x v="0"/>
    <x v="5"/>
    <x v="0"/>
  </r>
  <r>
    <x v="0"/>
    <x v="0"/>
    <n v="2239280236"/>
    <x v="2"/>
    <n v="13000"/>
    <x v="2"/>
    <x v="0"/>
    <x v="19"/>
    <x v="2"/>
    <x v="0"/>
    <x v="0"/>
    <x v="2"/>
    <x v="0"/>
  </r>
  <r>
    <x v="0"/>
    <x v="0"/>
    <n v="2239280237"/>
    <x v="2"/>
    <n v="7500"/>
    <x v="2"/>
    <x v="0"/>
    <x v="19"/>
    <x v="2"/>
    <x v="0"/>
    <x v="0"/>
    <x v="2"/>
    <x v="0"/>
  </r>
  <r>
    <x v="0"/>
    <x v="0"/>
    <n v="2239280238"/>
    <x v="2"/>
    <n v="4500"/>
    <x v="2"/>
    <x v="0"/>
    <x v="19"/>
    <x v="2"/>
    <x v="0"/>
    <x v="0"/>
    <x v="2"/>
    <x v="0"/>
  </r>
  <r>
    <x v="0"/>
    <x v="0"/>
    <n v="2239280240"/>
    <x v="3"/>
    <n v="45000"/>
    <x v="2"/>
    <x v="0"/>
    <x v="19"/>
    <x v="3"/>
    <x v="0"/>
    <x v="0"/>
    <x v="3"/>
    <x v="0"/>
  </r>
  <r>
    <x v="0"/>
    <x v="0"/>
    <n v="2239280243"/>
    <x v="2"/>
    <n v="23650"/>
    <x v="2"/>
    <x v="0"/>
    <x v="19"/>
    <x v="2"/>
    <x v="0"/>
    <x v="0"/>
    <x v="2"/>
    <x v="0"/>
  </r>
  <r>
    <x v="0"/>
    <x v="0"/>
    <n v="2239280244"/>
    <x v="5"/>
    <n v="-7000"/>
    <x v="2"/>
    <x v="0"/>
    <x v="19"/>
    <x v="5"/>
    <x v="0"/>
    <x v="0"/>
    <x v="5"/>
    <x v="0"/>
  </r>
  <r>
    <x v="0"/>
    <x v="0"/>
    <n v="2239280244"/>
    <x v="6"/>
    <n v="10000"/>
    <x v="2"/>
    <x v="0"/>
    <x v="19"/>
    <x v="6"/>
    <x v="0"/>
    <x v="0"/>
    <x v="5"/>
    <x v="0"/>
  </r>
  <r>
    <x v="0"/>
    <x v="0"/>
    <n v="2239280245"/>
    <x v="3"/>
    <n v="17490"/>
    <x v="2"/>
    <x v="0"/>
    <x v="19"/>
    <x v="3"/>
    <x v="0"/>
    <x v="0"/>
    <x v="3"/>
    <x v="0"/>
  </r>
  <r>
    <x v="0"/>
    <x v="0"/>
    <n v="2239280246"/>
    <x v="2"/>
    <n v="12500"/>
    <x v="2"/>
    <x v="0"/>
    <x v="19"/>
    <x v="2"/>
    <x v="0"/>
    <x v="0"/>
    <x v="2"/>
    <x v="0"/>
  </r>
  <r>
    <x v="0"/>
    <x v="0"/>
    <n v="2239280247"/>
    <x v="2"/>
    <n v="21450"/>
    <x v="2"/>
    <x v="0"/>
    <x v="19"/>
    <x v="2"/>
    <x v="0"/>
    <x v="0"/>
    <x v="2"/>
    <x v="0"/>
  </r>
  <r>
    <x v="0"/>
    <x v="0"/>
    <n v="2239280248"/>
    <x v="2"/>
    <n v="16500"/>
    <x v="2"/>
    <x v="0"/>
    <x v="19"/>
    <x v="2"/>
    <x v="0"/>
    <x v="0"/>
    <x v="2"/>
    <x v="0"/>
  </r>
  <r>
    <x v="0"/>
    <x v="0"/>
    <n v="2239280249"/>
    <x v="8"/>
    <n v="15000"/>
    <x v="2"/>
    <x v="0"/>
    <x v="19"/>
    <x v="8"/>
    <x v="0"/>
    <x v="0"/>
    <x v="3"/>
    <x v="0"/>
  </r>
  <r>
    <x v="0"/>
    <x v="0"/>
    <n v="2239280250"/>
    <x v="8"/>
    <n v="12000"/>
    <x v="2"/>
    <x v="0"/>
    <x v="19"/>
    <x v="8"/>
    <x v="0"/>
    <x v="0"/>
    <x v="3"/>
    <x v="0"/>
  </r>
  <r>
    <x v="0"/>
    <x v="0"/>
    <n v="2239280251"/>
    <x v="2"/>
    <n v="12000"/>
    <x v="2"/>
    <x v="0"/>
    <x v="19"/>
    <x v="2"/>
    <x v="0"/>
    <x v="0"/>
    <x v="2"/>
    <x v="0"/>
  </r>
  <r>
    <x v="0"/>
    <x v="0"/>
    <n v="2239280252"/>
    <x v="5"/>
    <n v="-7000"/>
    <x v="2"/>
    <x v="0"/>
    <x v="19"/>
    <x v="5"/>
    <x v="0"/>
    <x v="0"/>
    <x v="5"/>
    <x v="0"/>
  </r>
  <r>
    <x v="0"/>
    <x v="0"/>
    <n v="2239280252"/>
    <x v="6"/>
    <n v="20000"/>
    <x v="2"/>
    <x v="0"/>
    <x v="19"/>
    <x v="6"/>
    <x v="0"/>
    <x v="0"/>
    <x v="5"/>
    <x v="0"/>
  </r>
  <r>
    <x v="0"/>
    <x v="0"/>
    <n v="2239280253"/>
    <x v="2"/>
    <n v="36850"/>
    <x v="2"/>
    <x v="0"/>
    <x v="19"/>
    <x v="2"/>
    <x v="0"/>
    <x v="0"/>
    <x v="2"/>
    <x v="0"/>
  </r>
  <r>
    <x v="0"/>
    <x v="0"/>
    <n v="2239280254"/>
    <x v="8"/>
    <n v="13500"/>
    <x v="2"/>
    <x v="0"/>
    <x v="19"/>
    <x v="8"/>
    <x v="0"/>
    <x v="0"/>
    <x v="3"/>
    <x v="0"/>
  </r>
  <r>
    <x v="0"/>
    <x v="0"/>
    <n v="2239280255"/>
    <x v="2"/>
    <n v="14000"/>
    <x v="2"/>
    <x v="0"/>
    <x v="19"/>
    <x v="2"/>
    <x v="0"/>
    <x v="0"/>
    <x v="2"/>
    <x v="0"/>
  </r>
  <r>
    <x v="0"/>
    <x v="0"/>
    <n v="2239280257"/>
    <x v="2"/>
    <n v="13000"/>
    <x v="2"/>
    <x v="0"/>
    <x v="19"/>
    <x v="2"/>
    <x v="0"/>
    <x v="0"/>
    <x v="2"/>
    <x v="0"/>
  </r>
  <r>
    <x v="0"/>
    <x v="0"/>
    <n v="2239280258"/>
    <x v="6"/>
    <n v="11000"/>
    <x v="2"/>
    <x v="0"/>
    <x v="19"/>
    <x v="6"/>
    <x v="0"/>
    <x v="0"/>
    <x v="5"/>
    <x v="0"/>
  </r>
  <r>
    <x v="0"/>
    <x v="0"/>
    <n v="2239280259"/>
    <x v="3"/>
    <n v="9500"/>
    <x v="2"/>
    <x v="0"/>
    <x v="19"/>
    <x v="3"/>
    <x v="0"/>
    <x v="0"/>
    <x v="3"/>
    <x v="0"/>
  </r>
  <r>
    <x v="0"/>
    <x v="0"/>
    <n v="2239280260"/>
    <x v="2"/>
    <n v="20500"/>
    <x v="2"/>
    <x v="0"/>
    <x v="19"/>
    <x v="2"/>
    <x v="0"/>
    <x v="0"/>
    <x v="2"/>
    <x v="0"/>
  </r>
  <r>
    <x v="0"/>
    <x v="0"/>
    <n v="2239280261"/>
    <x v="2"/>
    <n v="9900"/>
    <x v="2"/>
    <x v="0"/>
    <x v="19"/>
    <x v="2"/>
    <x v="0"/>
    <x v="0"/>
    <x v="2"/>
    <x v="0"/>
  </r>
  <r>
    <x v="0"/>
    <x v="0"/>
    <n v="2239280263"/>
    <x v="1"/>
    <n v="6270"/>
    <x v="2"/>
    <x v="0"/>
    <x v="19"/>
    <x v="1"/>
    <x v="0"/>
    <x v="0"/>
    <x v="1"/>
    <x v="0"/>
  </r>
  <r>
    <x v="0"/>
    <x v="0"/>
    <n v="2239280265"/>
    <x v="3"/>
    <n v="15950"/>
    <x v="2"/>
    <x v="0"/>
    <x v="19"/>
    <x v="3"/>
    <x v="0"/>
    <x v="0"/>
    <x v="3"/>
    <x v="0"/>
  </r>
  <r>
    <x v="0"/>
    <x v="0"/>
    <n v="2239280266"/>
    <x v="2"/>
    <n v="18000"/>
    <x v="2"/>
    <x v="0"/>
    <x v="19"/>
    <x v="2"/>
    <x v="0"/>
    <x v="0"/>
    <x v="2"/>
    <x v="0"/>
  </r>
  <r>
    <x v="0"/>
    <x v="0"/>
    <n v="2239280267"/>
    <x v="2"/>
    <n v="4500"/>
    <x v="2"/>
    <x v="0"/>
    <x v="19"/>
    <x v="2"/>
    <x v="0"/>
    <x v="0"/>
    <x v="2"/>
    <x v="0"/>
  </r>
  <r>
    <x v="0"/>
    <x v="0"/>
    <n v="2239280268"/>
    <x v="8"/>
    <n v="30300"/>
    <x v="2"/>
    <x v="0"/>
    <x v="19"/>
    <x v="8"/>
    <x v="0"/>
    <x v="0"/>
    <x v="3"/>
    <x v="0"/>
  </r>
  <r>
    <x v="0"/>
    <x v="0"/>
    <n v="2239280269"/>
    <x v="5"/>
    <n v="-300"/>
    <x v="2"/>
    <x v="0"/>
    <x v="19"/>
    <x v="5"/>
    <x v="0"/>
    <x v="0"/>
    <x v="5"/>
    <x v="0"/>
  </r>
  <r>
    <x v="0"/>
    <x v="0"/>
    <n v="2239280269"/>
    <x v="4"/>
    <n v="6000"/>
    <x v="2"/>
    <x v="0"/>
    <x v="19"/>
    <x v="4"/>
    <x v="0"/>
    <x v="0"/>
    <x v="4"/>
    <x v="0"/>
  </r>
  <r>
    <x v="0"/>
    <x v="0"/>
    <n v="2239280270"/>
    <x v="3"/>
    <n v="7000"/>
    <x v="2"/>
    <x v="0"/>
    <x v="19"/>
    <x v="3"/>
    <x v="0"/>
    <x v="0"/>
    <x v="3"/>
    <x v="0"/>
  </r>
  <r>
    <x v="0"/>
    <x v="0"/>
    <n v="2239280271"/>
    <x v="2"/>
    <n v="8500"/>
    <x v="2"/>
    <x v="0"/>
    <x v="19"/>
    <x v="2"/>
    <x v="0"/>
    <x v="0"/>
    <x v="2"/>
    <x v="0"/>
  </r>
  <r>
    <x v="0"/>
    <x v="0"/>
    <n v="2239280272"/>
    <x v="2"/>
    <n v="9500"/>
    <x v="2"/>
    <x v="0"/>
    <x v="19"/>
    <x v="2"/>
    <x v="0"/>
    <x v="0"/>
    <x v="2"/>
    <x v="0"/>
  </r>
  <r>
    <x v="0"/>
    <x v="0"/>
    <n v="2239280273"/>
    <x v="3"/>
    <n v="15100"/>
    <x v="2"/>
    <x v="0"/>
    <x v="19"/>
    <x v="3"/>
    <x v="0"/>
    <x v="0"/>
    <x v="3"/>
    <x v="0"/>
  </r>
  <r>
    <x v="0"/>
    <x v="0"/>
    <n v="2239280274"/>
    <x v="2"/>
    <n v="10890"/>
    <x v="2"/>
    <x v="0"/>
    <x v="19"/>
    <x v="2"/>
    <x v="0"/>
    <x v="0"/>
    <x v="2"/>
    <x v="0"/>
  </r>
  <r>
    <x v="0"/>
    <x v="0"/>
    <n v="2239280275"/>
    <x v="2"/>
    <n v="10000"/>
    <x v="2"/>
    <x v="0"/>
    <x v="19"/>
    <x v="2"/>
    <x v="0"/>
    <x v="0"/>
    <x v="2"/>
    <x v="0"/>
  </r>
  <r>
    <x v="0"/>
    <x v="0"/>
    <n v="2239280276"/>
    <x v="2"/>
    <n v="26000"/>
    <x v="2"/>
    <x v="0"/>
    <x v="19"/>
    <x v="2"/>
    <x v="0"/>
    <x v="0"/>
    <x v="2"/>
    <x v="0"/>
  </r>
  <r>
    <x v="0"/>
    <x v="0"/>
    <n v="2239280277"/>
    <x v="2"/>
    <n v="33000"/>
    <x v="2"/>
    <x v="0"/>
    <x v="19"/>
    <x v="2"/>
    <x v="0"/>
    <x v="0"/>
    <x v="2"/>
    <x v="0"/>
  </r>
  <r>
    <x v="0"/>
    <x v="0"/>
    <n v="2239280279"/>
    <x v="2"/>
    <n v="14300"/>
    <x v="2"/>
    <x v="0"/>
    <x v="19"/>
    <x v="2"/>
    <x v="0"/>
    <x v="0"/>
    <x v="2"/>
    <x v="0"/>
  </r>
  <r>
    <x v="0"/>
    <x v="0"/>
    <n v="2239280280"/>
    <x v="2"/>
    <n v="6500"/>
    <x v="2"/>
    <x v="0"/>
    <x v="19"/>
    <x v="2"/>
    <x v="0"/>
    <x v="0"/>
    <x v="2"/>
    <x v="0"/>
  </r>
  <r>
    <x v="0"/>
    <x v="0"/>
    <n v="2239280281"/>
    <x v="5"/>
    <n v="-1000"/>
    <x v="2"/>
    <x v="0"/>
    <x v="19"/>
    <x v="5"/>
    <x v="0"/>
    <x v="0"/>
    <x v="5"/>
    <x v="0"/>
  </r>
  <r>
    <x v="0"/>
    <x v="0"/>
    <n v="2239280281"/>
    <x v="6"/>
    <n v="4000"/>
    <x v="2"/>
    <x v="0"/>
    <x v="19"/>
    <x v="6"/>
    <x v="0"/>
    <x v="0"/>
    <x v="5"/>
    <x v="0"/>
  </r>
  <r>
    <x v="0"/>
    <x v="0"/>
    <n v="2239280282"/>
    <x v="2"/>
    <n v="5000"/>
    <x v="2"/>
    <x v="0"/>
    <x v="19"/>
    <x v="2"/>
    <x v="0"/>
    <x v="0"/>
    <x v="2"/>
    <x v="0"/>
  </r>
  <r>
    <x v="0"/>
    <x v="0"/>
    <n v="2239280284"/>
    <x v="5"/>
    <n v="-1000"/>
    <x v="2"/>
    <x v="0"/>
    <x v="19"/>
    <x v="5"/>
    <x v="0"/>
    <x v="0"/>
    <x v="5"/>
    <x v="0"/>
  </r>
  <r>
    <x v="0"/>
    <x v="0"/>
    <n v="2239280284"/>
    <x v="6"/>
    <n v="40000"/>
    <x v="2"/>
    <x v="0"/>
    <x v="19"/>
    <x v="6"/>
    <x v="0"/>
    <x v="0"/>
    <x v="5"/>
    <x v="0"/>
  </r>
  <r>
    <x v="0"/>
    <x v="0"/>
    <n v="2239280286"/>
    <x v="2"/>
    <n v="9500"/>
    <x v="2"/>
    <x v="0"/>
    <x v="19"/>
    <x v="2"/>
    <x v="0"/>
    <x v="0"/>
    <x v="2"/>
    <x v="0"/>
  </r>
  <r>
    <x v="0"/>
    <x v="0"/>
    <n v="2239280288"/>
    <x v="7"/>
    <n v="7500"/>
    <x v="2"/>
    <x v="0"/>
    <x v="19"/>
    <x v="7"/>
    <x v="0"/>
    <x v="0"/>
    <x v="1"/>
    <x v="0"/>
  </r>
  <r>
    <x v="0"/>
    <x v="0"/>
    <n v="2239280289"/>
    <x v="2"/>
    <n v="22500"/>
    <x v="2"/>
    <x v="0"/>
    <x v="19"/>
    <x v="2"/>
    <x v="0"/>
    <x v="0"/>
    <x v="2"/>
    <x v="0"/>
  </r>
  <r>
    <x v="0"/>
    <x v="0"/>
    <n v="2239280290"/>
    <x v="6"/>
    <n v="15000"/>
    <x v="2"/>
    <x v="0"/>
    <x v="19"/>
    <x v="6"/>
    <x v="0"/>
    <x v="0"/>
    <x v="5"/>
    <x v="0"/>
  </r>
  <r>
    <x v="0"/>
    <x v="0"/>
    <n v="2239280291"/>
    <x v="2"/>
    <n v="3500"/>
    <x v="2"/>
    <x v="0"/>
    <x v="19"/>
    <x v="2"/>
    <x v="0"/>
    <x v="0"/>
    <x v="2"/>
    <x v="0"/>
  </r>
  <r>
    <x v="0"/>
    <x v="0"/>
    <n v="2239280292"/>
    <x v="2"/>
    <n v="28000"/>
    <x v="2"/>
    <x v="0"/>
    <x v="19"/>
    <x v="2"/>
    <x v="0"/>
    <x v="0"/>
    <x v="2"/>
    <x v="0"/>
  </r>
  <r>
    <x v="0"/>
    <x v="0"/>
    <n v="2239280294"/>
    <x v="7"/>
    <n v="15000"/>
    <x v="2"/>
    <x v="0"/>
    <x v="19"/>
    <x v="7"/>
    <x v="0"/>
    <x v="0"/>
    <x v="1"/>
    <x v="0"/>
  </r>
  <r>
    <x v="0"/>
    <x v="0"/>
    <n v="2239280295"/>
    <x v="2"/>
    <n v="13200"/>
    <x v="2"/>
    <x v="0"/>
    <x v="19"/>
    <x v="2"/>
    <x v="0"/>
    <x v="0"/>
    <x v="2"/>
    <x v="0"/>
  </r>
  <r>
    <x v="0"/>
    <x v="0"/>
    <n v="2239280296"/>
    <x v="5"/>
    <n v="-400"/>
    <x v="2"/>
    <x v="0"/>
    <x v="19"/>
    <x v="5"/>
    <x v="0"/>
    <x v="0"/>
    <x v="5"/>
    <x v="0"/>
  </r>
  <r>
    <x v="0"/>
    <x v="0"/>
    <n v="2239280296"/>
    <x v="4"/>
    <n v="5000"/>
    <x v="2"/>
    <x v="0"/>
    <x v="19"/>
    <x v="4"/>
    <x v="0"/>
    <x v="0"/>
    <x v="4"/>
    <x v="0"/>
  </r>
  <r>
    <x v="0"/>
    <x v="0"/>
    <n v="2239280297"/>
    <x v="2"/>
    <n v="3500"/>
    <x v="2"/>
    <x v="0"/>
    <x v="19"/>
    <x v="2"/>
    <x v="0"/>
    <x v="0"/>
    <x v="2"/>
    <x v="0"/>
  </r>
  <r>
    <x v="0"/>
    <x v="0"/>
    <n v="2239280298"/>
    <x v="5"/>
    <n v="-500"/>
    <x v="2"/>
    <x v="0"/>
    <x v="19"/>
    <x v="5"/>
    <x v="0"/>
    <x v="0"/>
    <x v="5"/>
    <x v="0"/>
  </r>
  <r>
    <x v="0"/>
    <x v="0"/>
    <n v="2239280298"/>
    <x v="6"/>
    <n v="30000"/>
    <x v="2"/>
    <x v="0"/>
    <x v="19"/>
    <x v="6"/>
    <x v="0"/>
    <x v="0"/>
    <x v="5"/>
    <x v="0"/>
  </r>
  <r>
    <x v="0"/>
    <x v="0"/>
    <n v="2239280299"/>
    <x v="5"/>
    <n v="-13350"/>
    <x v="2"/>
    <x v="0"/>
    <x v="19"/>
    <x v="5"/>
    <x v="0"/>
    <x v="0"/>
    <x v="5"/>
    <x v="0"/>
  </r>
  <r>
    <x v="0"/>
    <x v="0"/>
    <n v="2239280299"/>
    <x v="6"/>
    <n v="20000"/>
    <x v="2"/>
    <x v="0"/>
    <x v="19"/>
    <x v="6"/>
    <x v="0"/>
    <x v="0"/>
    <x v="5"/>
    <x v="0"/>
  </r>
  <r>
    <x v="0"/>
    <x v="0"/>
    <n v="2239280300"/>
    <x v="3"/>
    <n v="33000"/>
    <x v="2"/>
    <x v="0"/>
    <x v="19"/>
    <x v="3"/>
    <x v="0"/>
    <x v="0"/>
    <x v="3"/>
    <x v="0"/>
  </r>
  <r>
    <x v="0"/>
    <x v="0"/>
    <n v="2239280301"/>
    <x v="3"/>
    <n v="29500"/>
    <x v="2"/>
    <x v="0"/>
    <x v="19"/>
    <x v="3"/>
    <x v="0"/>
    <x v="0"/>
    <x v="3"/>
    <x v="0"/>
  </r>
  <r>
    <x v="0"/>
    <x v="0"/>
    <n v="2239280302"/>
    <x v="2"/>
    <n v="78320"/>
    <x v="2"/>
    <x v="0"/>
    <x v="19"/>
    <x v="2"/>
    <x v="0"/>
    <x v="0"/>
    <x v="2"/>
    <x v="0"/>
  </r>
  <r>
    <x v="0"/>
    <x v="0"/>
    <n v="2239280303"/>
    <x v="2"/>
    <n v="19500"/>
    <x v="2"/>
    <x v="0"/>
    <x v="19"/>
    <x v="2"/>
    <x v="0"/>
    <x v="0"/>
    <x v="2"/>
    <x v="0"/>
  </r>
  <r>
    <x v="0"/>
    <x v="0"/>
    <n v="2239280304"/>
    <x v="2"/>
    <n v="9500"/>
    <x v="2"/>
    <x v="0"/>
    <x v="19"/>
    <x v="2"/>
    <x v="0"/>
    <x v="0"/>
    <x v="2"/>
    <x v="0"/>
  </r>
  <r>
    <x v="0"/>
    <x v="0"/>
    <n v="2239280305"/>
    <x v="2"/>
    <n v="13000"/>
    <x v="2"/>
    <x v="0"/>
    <x v="19"/>
    <x v="2"/>
    <x v="0"/>
    <x v="0"/>
    <x v="2"/>
    <x v="0"/>
  </r>
  <r>
    <x v="0"/>
    <x v="0"/>
    <n v="2239280306"/>
    <x v="5"/>
    <n v="-6000"/>
    <x v="2"/>
    <x v="0"/>
    <x v="19"/>
    <x v="5"/>
    <x v="0"/>
    <x v="0"/>
    <x v="5"/>
    <x v="0"/>
  </r>
  <r>
    <x v="0"/>
    <x v="0"/>
    <n v="2239280306"/>
    <x v="6"/>
    <n v="20000"/>
    <x v="2"/>
    <x v="0"/>
    <x v="19"/>
    <x v="6"/>
    <x v="0"/>
    <x v="0"/>
    <x v="5"/>
    <x v="0"/>
  </r>
  <r>
    <x v="0"/>
    <x v="0"/>
    <n v="2239280307"/>
    <x v="2"/>
    <n v="15400"/>
    <x v="2"/>
    <x v="0"/>
    <x v="19"/>
    <x v="2"/>
    <x v="0"/>
    <x v="0"/>
    <x v="2"/>
    <x v="0"/>
  </r>
  <r>
    <x v="0"/>
    <x v="0"/>
    <n v="2239280309"/>
    <x v="5"/>
    <n v="-500"/>
    <x v="2"/>
    <x v="0"/>
    <x v="19"/>
    <x v="5"/>
    <x v="0"/>
    <x v="0"/>
    <x v="5"/>
    <x v="0"/>
  </r>
  <r>
    <x v="0"/>
    <x v="0"/>
    <n v="2239280309"/>
    <x v="6"/>
    <n v="10000"/>
    <x v="2"/>
    <x v="0"/>
    <x v="19"/>
    <x v="6"/>
    <x v="0"/>
    <x v="0"/>
    <x v="5"/>
    <x v="0"/>
  </r>
  <r>
    <x v="0"/>
    <x v="0"/>
    <n v="2239280310"/>
    <x v="2"/>
    <n v="6500"/>
    <x v="2"/>
    <x v="0"/>
    <x v="19"/>
    <x v="2"/>
    <x v="0"/>
    <x v="0"/>
    <x v="2"/>
    <x v="0"/>
  </r>
  <r>
    <x v="0"/>
    <x v="0"/>
    <n v="2239280311"/>
    <x v="2"/>
    <n v="7150"/>
    <x v="2"/>
    <x v="0"/>
    <x v="19"/>
    <x v="2"/>
    <x v="0"/>
    <x v="0"/>
    <x v="2"/>
    <x v="0"/>
  </r>
  <r>
    <x v="0"/>
    <x v="0"/>
    <n v="2239280312"/>
    <x v="5"/>
    <n v="-1500"/>
    <x v="2"/>
    <x v="0"/>
    <x v="19"/>
    <x v="5"/>
    <x v="0"/>
    <x v="0"/>
    <x v="5"/>
    <x v="0"/>
  </r>
  <r>
    <x v="0"/>
    <x v="0"/>
    <n v="2239280312"/>
    <x v="6"/>
    <n v="15000"/>
    <x v="2"/>
    <x v="0"/>
    <x v="19"/>
    <x v="6"/>
    <x v="0"/>
    <x v="0"/>
    <x v="5"/>
    <x v="0"/>
  </r>
  <r>
    <x v="0"/>
    <x v="0"/>
    <n v="2239280313"/>
    <x v="5"/>
    <n v="-4650"/>
    <x v="2"/>
    <x v="0"/>
    <x v="19"/>
    <x v="5"/>
    <x v="0"/>
    <x v="0"/>
    <x v="5"/>
    <x v="0"/>
  </r>
  <r>
    <x v="0"/>
    <x v="0"/>
    <n v="2239280313"/>
    <x v="6"/>
    <n v="40000"/>
    <x v="2"/>
    <x v="0"/>
    <x v="19"/>
    <x v="6"/>
    <x v="0"/>
    <x v="0"/>
    <x v="5"/>
    <x v="0"/>
  </r>
  <r>
    <x v="0"/>
    <x v="0"/>
    <n v="2239280314"/>
    <x v="5"/>
    <n v="-5000"/>
    <x v="2"/>
    <x v="0"/>
    <x v="19"/>
    <x v="5"/>
    <x v="0"/>
    <x v="0"/>
    <x v="5"/>
    <x v="0"/>
  </r>
  <r>
    <x v="0"/>
    <x v="0"/>
    <n v="2239280314"/>
    <x v="6"/>
    <n v="20000"/>
    <x v="2"/>
    <x v="0"/>
    <x v="19"/>
    <x v="6"/>
    <x v="0"/>
    <x v="0"/>
    <x v="5"/>
    <x v="0"/>
  </r>
  <r>
    <x v="0"/>
    <x v="0"/>
    <n v="2239280316"/>
    <x v="5"/>
    <n v="-8000"/>
    <x v="2"/>
    <x v="0"/>
    <x v="19"/>
    <x v="5"/>
    <x v="0"/>
    <x v="0"/>
    <x v="5"/>
    <x v="0"/>
  </r>
  <r>
    <x v="0"/>
    <x v="0"/>
    <n v="2239280316"/>
    <x v="6"/>
    <n v="20000"/>
    <x v="2"/>
    <x v="0"/>
    <x v="19"/>
    <x v="6"/>
    <x v="0"/>
    <x v="0"/>
    <x v="5"/>
    <x v="0"/>
  </r>
  <r>
    <x v="0"/>
    <x v="0"/>
    <n v="2239280316"/>
    <x v="7"/>
    <n v="3000"/>
    <x v="2"/>
    <x v="0"/>
    <x v="19"/>
    <x v="7"/>
    <x v="0"/>
    <x v="0"/>
    <x v="1"/>
    <x v="0"/>
  </r>
  <r>
    <x v="0"/>
    <x v="0"/>
    <n v="2239280317"/>
    <x v="2"/>
    <n v="14000"/>
    <x v="2"/>
    <x v="0"/>
    <x v="19"/>
    <x v="2"/>
    <x v="0"/>
    <x v="0"/>
    <x v="2"/>
    <x v="0"/>
  </r>
  <r>
    <x v="0"/>
    <x v="0"/>
    <n v="2239280318"/>
    <x v="5"/>
    <n v="-500"/>
    <x v="2"/>
    <x v="0"/>
    <x v="19"/>
    <x v="5"/>
    <x v="0"/>
    <x v="0"/>
    <x v="5"/>
    <x v="0"/>
  </r>
  <r>
    <x v="0"/>
    <x v="0"/>
    <n v="2239280318"/>
    <x v="6"/>
    <n v="8000"/>
    <x v="2"/>
    <x v="0"/>
    <x v="19"/>
    <x v="6"/>
    <x v="0"/>
    <x v="0"/>
    <x v="5"/>
    <x v="0"/>
  </r>
  <r>
    <x v="0"/>
    <x v="0"/>
    <n v="2239280319"/>
    <x v="2"/>
    <n v="13000"/>
    <x v="2"/>
    <x v="0"/>
    <x v="19"/>
    <x v="2"/>
    <x v="0"/>
    <x v="0"/>
    <x v="2"/>
    <x v="0"/>
  </r>
  <r>
    <x v="0"/>
    <x v="0"/>
    <n v="2239280320"/>
    <x v="2"/>
    <n v="9500"/>
    <x v="2"/>
    <x v="0"/>
    <x v="19"/>
    <x v="2"/>
    <x v="0"/>
    <x v="0"/>
    <x v="2"/>
    <x v="0"/>
  </r>
  <r>
    <x v="0"/>
    <x v="0"/>
    <n v="2239280321"/>
    <x v="5"/>
    <n v="-2500"/>
    <x v="2"/>
    <x v="0"/>
    <x v="19"/>
    <x v="5"/>
    <x v="0"/>
    <x v="0"/>
    <x v="5"/>
    <x v="0"/>
  </r>
  <r>
    <x v="0"/>
    <x v="0"/>
    <n v="2239280321"/>
    <x v="6"/>
    <n v="10000"/>
    <x v="2"/>
    <x v="0"/>
    <x v="19"/>
    <x v="6"/>
    <x v="0"/>
    <x v="0"/>
    <x v="5"/>
    <x v="0"/>
  </r>
  <r>
    <x v="0"/>
    <x v="0"/>
    <n v="2239280323"/>
    <x v="2"/>
    <n v="5400"/>
    <x v="2"/>
    <x v="0"/>
    <x v="19"/>
    <x v="2"/>
    <x v="0"/>
    <x v="0"/>
    <x v="2"/>
    <x v="0"/>
  </r>
  <r>
    <x v="0"/>
    <x v="0"/>
    <n v="2239280325"/>
    <x v="3"/>
    <n v="23500"/>
    <x v="2"/>
    <x v="0"/>
    <x v="19"/>
    <x v="3"/>
    <x v="0"/>
    <x v="0"/>
    <x v="3"/>
    <x v="0"/>
  </r>
  <r>
    <x v="0"/>
    <x v="0"/>
    <n v="2239280326"/>
    <x v="5"/>
    <n v="-12000"/>
    <x v="2"/>
    <x v="0"/>
    <x v="19"/>
    <x v="5"/>
    <x v="0"/>
    <x v="0"/>
    <x v="5"/>
    <x v="0"/>
  </r>
  <r>
    <x v="0"/>
    <x v="0"/>
    <n v="2239280326"/>
    <x v="6"/>
    <n v="20000"/>
    <x v="2"/>
    <x v="0"/>
    <x v="19"/>
    <x v="6"/>
    <x v="0"/>
    <x v="0"/>
    <x v="5"/>
    <x v="0"/>
  </r>
  <r>
    <x v="0"/>
    <x v="0"/>
    <n v="2239280327"/>
    <x v="5"/>
    <n v="-7000"/>
    <x v="2"/>
    <x v="0"/>
    <x v="19"/>
    <x v="5"/>
    <x v="0"/>
    <x v="0"/>
    <x v="5"/>
    <x v="0"/>
  </r>
  <r>
    <x v="0"/>
    <x v="0"/>
    <n v="2239280327"/>
    <x v="6"/>
    <n v="10000"/>
    <x v="2"/>
    <x v="0"/>
    <x v="19"/>
    <x v="6"/>
    <x v="0"/>
    <x v="0"/>
    <x v="5"/>
    <x v="0"/>
  </r>
  <r>
    <x v="0"/>
    <x v="0"/>
    <n v="2239280328"/>
    <x v="2"/>
    <n v="10500"/>
    <x v="2"/>
    <x v="0"/>
    <x v="19"/>
    <x v="2"/>
    <x v="0"/>
    <x v="0"/>
    <x v="2"/>
    <x v="0"/>
  </r>
  <r>
    <x v="0"/>
    <x v="0"/>
    <n v="2239280330"/>
    <x v="2"/>
    <n v="19000"/>
    <x v="2"/>
    <x v="0"/>
    <x v="19"/>
    <x v="2"/>
    <x v="0"/>
    <x v="0"/>
    <x v="2"/>
    <x v="0"/>
  </r>
  <r>
    <x v="0"/>
    <x v="0"/>
    <n v="2239280331"/>
    <x v="2"/>
    <n v="7150"/>
    <x v="2"/>
    <x v="0"/>
    <x v="19"/>
    <x v="2"/>
    <x v="0"/>
    <x v="0"/>
    <x v="2"/>
    <x v="0"/>
  </r>
  <r>
    <x v="0"/>
    <x v="0"/>
    <n v="2239280332"/>
    <x v="5"/>
    <n v="-5000"/>
    <x v="2"/>
    <x v="0"/>
    <x v="19"/>
    <x v="5"/>
    <x v="0"/>
    <x v="0"/>
    <x v="5"/>
    <x v="0"/>
  </r>
  <r>
    <x v="0"/>
    <x v="0"/>
    <n v="2239280332"/>
    <x v="6"/>
    <n v="20000"/>
    <x v="2"/>
    <x v="0"/>
    <x v="19"/>
    <x v="6"/>
    <x v="0"/>
    <x v="0"/>
    <x v="5"/>
    <x v="0"/>
  </r>
  <r>
    <x v="0"/>
    <x v="0"/>
    <n v="2239280333"/>
    <x v="8"/>
    <n v="17380"/>
    <x v="2"/>
    <x v="0"/>
    <x v="19"/>
    <x v="8"/>
    <x v="0"/>
    <x v="0"/>
    <x v="3"/>
    <x v="0"/>
  </r>
  <r>
    <x v="0"/>
    <x v="0"/>
    <n v="2239280335"/>
    <x v="2"/>
    <n v="39600"/>
    <x v="2"/>
    <x v="0"/>
    <x v="19"/>
    <x v="2"/>
    <x v="0"/>
    <x v="0"/>
    <x v="2"/>
    <x v="0"/>
  </r>
  <r>
    <x v="0"/>
    <x v="0"/>
    <n v="2239280336"/>
    <x v="2"/>
    <n v="13000"/>
    <x v="2"/>
    <x v="0"/>
    <x v="19"/>
    <x v="2"/>
    <x v="0"/>
    <x v="0"/>
    <x v="2"/>
    <x v="0"/>
  </r>
  <r>
    <x v="0"/>
    <x v="0"/>
    <n v="2239280337"/>
    <x v="5"/>
    <n v="-8500"/>
    <x v="2"/>
    <x v="0"/>
    <x v="19"/>
    <x v="5"/>
    <x v="0"/>
    <x v="0"/>
    <x v="5"/>
    <x v="0"/>
  </r>
  <r>
    <x v="0"/>
    <x v="0"/>
    <n v="2239280337"/>
    <x v="6"/>
    <n v="20200"/>
    <x v="2"/>
    <x v="0"/>
    <x v="19"/>
    <x v="6"/>
    <x v="0"/>
    <x v="0"/>
    <x v="5"/>
    <x v="0"/>
  </r>
  <r>
    <x v="0"/>
    <x v="0"/>
    <n v="2239280337"/>
    <x v="7"/>
    <n v="1300"/>
    <x v="2"/>
    <x v="0"/>
    <x v="19"/>
    <x v="7"/>
    <x v="0"/>
    <x v="0"/>
    <x v="1"/>
    <x v="0"/>
  </r>
  <r>
    <x v="0"/>
    <x v="0"/>
    <n v="2239280340"/>
    <x v="2"/>
    <n v="6500"/>
    <x v="2"/>
    <x v="0"/>
    <x v="19"/>
    <x v="2"/>
    <x v="0"/>
    <x v="0"/>
    <x v="2"/>
    <x v="0"/>
  </r>
  <r>
    <x v="0"/>
    <x v="0"/>
    <n v="2239280341"/>
    <x v="2"/>
    <n v="7500"/>
    <x v="2"/>
    <x v="0"/>
    <x v="19"/>
    <x v="2"/>
    <x v="0"/>
    <x v="0"/>
    <x v="2"/>
    <x v="0"/>
  </r>
  <r>
    <x v="0"/>
    <x v="0"/>
    <n v="2239280342"/>
    <x v="5"/>
    <n v="-10500"/>
    <x v="2"/>
    <x v="0"/>
    <x v="19"/>
    <x v="5"/>
    <x v="0"/>
    <x v="0"/>
    <x v="5"/>
    <x v="0"/>
  </r>
  <r>
    <x v="0"/>
    <x v="0"/>
    <n v="2239280342"/>
    <x v="6"/>
    <n v="20000"/>
    <x v="2"/>
    <x v="0"/>
    <x v="19"/>
    <x v="6"/>
    <x v="0"/>
    <x v="0"/>
    <x v="5"/>
    <x v="0"/>
  </r>
  <r>
    <x v="0"/>
    <x v="0"/>
    <n v="2239280343"/>
    <x v="5"/>
    <n v="-15400"/>
    <x v="2"/>
    <x v="0"/>
    <x v="19"/>
    <x v="5"/>
    <x v="0"/>
    <x v="0"/>
    <x v="5"/>
    <x v="0"/>
  </r>
  <r>
    <x v="0"/>
    <x v="0"/>
    <n v="2239280343"/>
    <x v="4"/>
    <n v="20000"/>
    <x v="2"/>
    <x v="0"/>
    <x v="19"/>
    <x v="4"/>
    <x v="0"/>
    <x v="0"/>
    <x v="4"/>
    <x v="0"/>
  </r>
  <r>
    <x v="0"/>
    <x v="0"/>
    <n v="2239280345"/>
    <x v="2"/>
    <n v="14000"/>
    <x v="2"/>
    <x v="0"/>
    <x v="19"/>
    <x v="2"/>
    <x v="0"/>
    <x v="0"/>
    <x v="2"/>
    <x v="0"/>
  </r>
  <r>
    <x v="0"/>
    <x v="0"/>
    <n v="2239280346"/>
    <x v="6"/>
    <n v="6000"/>
    <x v="2"/>
    <x v="0"/>
    <x v="19"/>
    <x v="6"/>
    <x v="0"/>
    <x v="0"/>
    <x v="5"/>
    <x v="0"/>
  </r>
  <r>
    <x v="0"/>
    <x v="0"/>
    <n v="2239280347"/>
    <x v="6"/>
    <n v="36000"/>
    <x v="2"/>
    <x v="0"/>
    <x v="19"/>
    <x v="6"/>
    <x v="0"/>
    <x v="0"/>
    <x v="5"/>
    <x v="0"/>
  </r>
  <r>
    <x v="0"/>
    <x v="0"/>
    <n v="2239280348"/>
    <x v="5"/>
    <n v="-3500"/>
    <x v="2"/>
    <x v="0"/>
    <x v="19"/>
    <x v="5"/>
    <x v="0"/>
    <x v="0"/>
    <x v="5"/>
    <x v="0"/>
  </r>
  <r>
    <x v="0"/>
    <x v="0"/>
    <n v="2239280348"/>
    <x v="6"/>
    <n v="10000"/>
    <x v="2"/>
    <x v="0"/>
    <x v="19"/>
    <x v="6"/>
    <x v="0"/>
    <x v="0"/>
    <x v="5"/>
    <x v="0"/>
  </r>
  <r>
    <x v="0"/>
    <x v="0"/>
    <n v="2239280349"/>
    <x v="2"/>
    <n v="13200"/>
    <x v="2"/>
    <x v="0"/>
    <x v="19"/>
    <x v="2"/>
    <x v="0"/>
    <x v="0"/>
    <x v="2"/>
    <x v="0"/>
  </r>
  <r>
    <x v="0"/>
    <x v="0"/>
    <n v="2239280350"/>
    <x v="2"/>
    <n v="24750"/>
    <x v="2"/>
    <x v="0"/>
    <x v="19"/>
    <x v="2"/>
    <x v="0"/>
    <x v="0"/>
    <x v="2"/>
    <x v="0"/>
  </r>
  <r>
    <x v="0"/>
    <x v="0"/>
    <n v="2239280351"/>
    <x v="2"/>
    <n v="6500"/>
    <x v="2"/>
    <x v="0"/>
    <x v="19"/>
    <x v="2"/>
    <x v="0"/>
    <x v="0"/>
    <x v="2"/>
    <x v="0"/>
  </r>
  <r>
    <x v="0"/>
    <x v="0"/>
    <n v="2239280352"/>
    <x v="5"/>
    <n v="-2000"/>
    <x v="2"/>
    <x v="0"/>
    <x v="19"/>
    <x v="5"/>
    <x v="0"/>
    <x v="0"/>
    <x v="5"/>
    <x v="0"/>
  </r>
  <r>
    <x v="0"/>
    <x v="0"/>
    <n v="2239280352"/>
    <x v="6"/>
    <n v="10000"/>
    <x v="2"/>
    <x v="0"/>
    <x v="19"/>
    <x v="6"/>
    <x v="0"/>
    <x v="0"/>
    <x v="5"/>
    <x v="0"/>
  </r>
  <r>
    <x v="0"/>
    <x v="0"/>
    <n v="2239280353"/>
    <x v="2"/>
    <n v="6500"/>
    <x v="2"/>
    <x v="0"/>
    <x v="19"/>
    <x v="2"/>
    <x v="0"/>
    <x v="0"/>
    <x v="2"/>
    <x v="0"/>
  </r>
  <r>
    <x v="0"/>
    <x v="0"/>
    <n v="2239280354"/>
    <x v="8"/>
    <n v="6500"/>
    <x v="2"/>
    <x v="0"/>
    <x v="19"/>
    <x v="8"/>
    <x v="0"/>
    <x v="0"/>
    <x v="3"/>
    <x v="0"/>
  </r>
  <r>
    <x v="0"/>
    <x v="0"/>
    <n v="2239280355"/>
    <x v="2"/>
    <n v="37000"/>
    <x v="2"/>
    <x v="0"/>
    <x v="19"/>
    <x v="2"/>
    <x v="0"/>
    <x v="0"/>
    <x v="2"/>
    <x v="0"/>
  </r>
  <r>
    <x v="0"/>
    <x v="0"/>
    <n v="2239280356"/>
    <x v="2"/>
    <n v="6500"/>
    <x v="2"/>
    <x v="0"/>
    <x v="19"/>
    <x v="2"/>
    <x v="0"/>
    <x v="0"/>
    <x v="2"/>
    <x v="0"/>
  </r>
  <r>
    <x v="0"/>
    <x v="0"/>
    <n v="2239280358"/>
    <x v="2"/>
    <n v="30500"/>
    <x v="2"/>
    <x v="0"/>
    <x v="19"/>
    <x v="2"/>
    <x v="0"/>
    <x v="0"/>
    <x v="2"/>
    <x v="0"/>
  </r>
  <r>
    <x v="0"/>
    <x v="0"/>
    <n v="2239280359"/>
    <x v="5"/>
    <n v="-500"/>
    <x v="2"/>
    <x v="0"/>
    <x v="19"/>
    <x v="5"/>
    <x v="0"/>
    <x v="0"/>
    <x v="5"/>
    <x v="0"/>
  </r>
  <r>
    <x v="0"/>
    <x v="0"/>
    <n v="2239280359"/>
    <x v="6"/>
    <n v="7000"/>
    <x v="2"/>
    <x v="0"/>
    <x v="19"/>
    <x v="6"/>
    <x v="0"/>
    <x v="0"/>
    <x v="5"/>
    <x v="0"/>
  </r>
  <r>
    <x v="0"/>
    <x v="0"/>
    <n v="2239280360"/>
    <x v="2"/>
    <n v="16000"/>
    <x v="2"/>
    <x v="0"/>
    <x v="19"/>
    <x v="2"/>
    <x v="0"/>
    <x v="0"/>
    <x v="2"/>
    <x v="0"/>
  </r>
  <r>
    <x v="0"/>
    <x v="0"/>
    <n v="2239280361"/>
    <x v="2"/>
    <n v="17500"/>
    <x v="2"/>
    <x v="0"/>
    <x v="19"/>
    <x v="2"/>
    <x v="0"/>
    <x v="0"/>
    <x v="2"/>
    <x v="0"/>
  </r>
  <r>
    <x v="0"/>
    <x v="0"/>
    <n v="2239280362"/>
    <x v="1"/>
    <n v="11400"/>
    <x v="2"/>
    <x v="0"/>
    <x v="19"/>
    <x v="1"/>
    <x v="0"/>
    <x v="0"/>
    <x v="1"/>
    <x v="0"/>
  </r>
  <r>
    <x v="0"/>
    <x v="0"/>
    <n v="2239280363"/>
    <x v="3"/>
    <n v="13200"/>
    <x v="2"/>
    <x v="0"/>
    <x v="19"/>
    <x v="3"/>
    <x v="0"/>
    <x v="0"/>
    <x v="3"/>
    <x v="0"/>
  </r>
  <r>
    <x v="0"/>
    <x v="0"/>
    <n v="2239280364"/>
    <x v="2"/>
    <n v="10500"/>
    <x v="2"/>
    <x v="0"/>
    <x v="19"/>
    <x v="2"/>
    <x v="0"/>
    <x v="0"/>
    <x v="2"/>
    <x v="0"/>
  </r>
  <r>
    <x v="0"/>
    <x v="0"/>
    <n v="2239280366"/>
    <x v="2"/>
    <n v="14000"/>
    <x v="2"/>
    <x v="0"/>
    <x v="19"/>
    <x v="2"/>
    <x v="0"/>
    <x v="0"/>
    <x v="2"/>
    <x v="0"/>
  </r>
  <r>
    <x v="0"/>
    <x v="0"/>
    <n v="2239280368"/>
    <x v="2"/>
    <n v="12000"/>
    <x v="2"/>
    <x v="0"/>
    <x v="19"/>
    <x v="2"/>
    <x v="0"/>
    <x v="0"/>
    <x v="2"/>
    <x v="0"/>
  </r>
  <r>
    <x v="0"/>
    <x v="0"/>
    <n v="2239280369"/>
    <x v="2"/>
    <n v="16000"/>
    <x v="2"/>
    <x v="0"/>
    <x v="19"/>
    <x v="2"/>
    <x v="0"/>
    <x v="0"/>
    <x v="2"/>
    <x v="0"/>
  </r>
  <r>
    <x v="0"/>
    <x v="0"/>
    <n v="2239280370"/>
    <x v="2"/>
    <n v="15400"/>
    <x v="2"/>
    <x v="0"/>
    <x v="19"/>
    <x v="2"/>
    <x v="0"/>
    <x v="0"/>
    <x v="2"/>
    <x v="0"/>
  </r>
  <r>
    <x v="0"/>
    <x v="0"/>
    <n v="2239280371"/>
    <x v="2"/>
    <n v="24000"/>
    <x v="2"/>
    <x v="0"/>
    <x v="19"/>
    <x v="2"/>
    <x v="0"/>
    <x v="0"/>
    <x v="2"/>
    <x v="0"/>
  </r>
  <r>
    <x v="0"/>
    <x v="0"/>
    <n v="2239280372"/>
    <x v="2"/>
    <n v="13000"/>
    <x v="2"/>
    <x v="0"/>
    <x v="19"/>
    <x v="2"/>
    <x v="0"/>
    <x v="0"/>
    <x v="2"/>
    <x v="0"/>
  </r>
  <r>
    <x v="0"/>
    <x v="0"/>
    <n v="2239280373"/>
    <x v="2"/>
    <n v="12000"/>
    <x v="2"/>
    <x v="0"/>
    <x v="19"/>
    <x v="2"/>
    <x v="0"/>
    <x v="0"/>
    <x v="2"/>
    <x v="0"/>
  </r>
  <r>
    <x v="0"/>
    <x v="0"/>
    <n v="2239280374"/>
    <x v="2"/>
    <n v="14000"/>
    <x v="2"/>
    <x v="0"/>
    <x v="19"/>
    <x v="2"/>
    <x v="0"/>
    <x v="0"/>
    <x v="2"/>
    <x v="0"/>
  </r>
  <r>
    <x v="0"/>
    <x v="0"/>
    <n v="2239280375"/>
    <x v="2"/>
    <n v="13000"/>
    <x v="2"/>
    <x v="0"/>
    <x v="19"/>
    <x v="2"/>
    <x v="0"/>
    <x v="0"/>
    <x v="2"/>
    <x v="0"/>
  </r>
  <r>
    <x v="0"/>
    <x v="0"/>
    <n v="2239280376"/>
    <x v="2"/>
    <n v="3000"/>
    <x v="2"/>
    <x v="0"/>
    <x v="19"/>
    <x v="2"/>
    <x v="0"/>
    <x v="0"/>
    <x v="2"/>
    <x v="0"/>
  </r>
  <r>
    <x v="0"/>
    <x v="0"/>
    <n v="2239280378"/>
    <x v="2"/>
    <n v="4500"/>
    <x v="2"/>
    <x v="0"/>
    <x v="19"/>
    <x v="2"/>
    <x v="0"/>
    <x v="0"/>
    <x v="2"/>
    <x v="0"/>
  </r>
  <r>
    <x v="0"/>
    <x v="0"/>
    <n v="2239280379"/>
    <x v="2"/>
    <n v="17490"/>
    <x v="2"/>
    <x v="0"/>
    <x v="19"/>
    <x v="2"/>
    <x v="0"/>
    <x v="0"/>
    <x v="2"/>
    <x v="0"/>
  </r>
  <r>
    <x v="0"/>
    <x v="0"/>
    <n v="2239280380"/>
    <x v="2"/>
    <n v="8500"/>
    <x v="2"/>
    <x v="0"/>
    <x v="19"/>
    <x v="2"/>
    <x v="0"/>
    <x v="0"/>
    <x v="2"/>
    <x v="0"/>
  </r>
  <r>
    <x v="0"/>
    <x v="0"/>
    <n v="2239280382"/>
    <x v="2"/>
    <n v="7500"/>
    <x v="2"/>
    <x v="0"/>
    <x v="19"/>
    <x v="2"/>
    <x v="0"/>
    <x v="0"/>
    <x v="2"/>
    <x v="0"/>
  </r>
  <r>
    <x v="0"/>
    <x v="0"/>
    <n v="2239280384"/>
    <x v="2"/>
    <n v="23540"/>
    <x v="2"/>
    <x v="0"/>
    <x v="19"/>
    <x v="2"/>
    <x v="0"/>
    <x v="0"/>
    <x v="2"/>
    <x v="0"/>
  </r>
  <r>
    <x v="0"/>
    <x v="0"/>
    <n v="2239280386"/>
    <x v="2"/>
    <n v="20240"/>
    <x v="2"/>
    <x v="0"/>
    <x v="19"/>
    <x v="2"/>
    <x v="0"/>
    <x v="0"/>
    <x v="2"/>
    <x v="0"/>
  </r>
  <r>
    <x v="0"/>
    <x v="0"/>
    <n v="2239280387"/>
    <x v="5"/>
    <n v="-1000"/>
    <x v="2"/>
    <x v="0"/>
    <x v="19"/>
    <x v="5"/>
    <x v="0"/>
    <x v="0"/>
    <x v="5"/>
    <x v="0"/>
  </r>
  <r>
    <x v="0"/>
    <x v="0"/>
    <n v="2239280387"/>
    <x v="6"/>
    <n v="5000"/>
    <x v="2"/>
    <x v="0"/>
    <x v="19"/>
    <x v="6"/>
    <x v="0"/>
    <x v="0"/>
    <x v="5"/>
    <x v="0"/>
  </r>
  <r>
    <x v="0"/>
    <x v="0"/>
    <n v="2239280388"/>
    <x v="2"/>
    <n v="26000"/>
    <x v="2"/>
    <x v="0"/>
    <x v="19"/>
    <x v="2"/>
    <x v="0"/>
    <x v="0"/>
    <x v="2"/>
    <x v="0"/>
  </r>
  <r>
    <x v="0"/>
    <x v="0"/>
    <n v="2239280389"/>
    <x v="5"/>
    <n v="-2000"/>
    <x v="2"/>
    <x v="0"/>
    <x v="19"/>
    <x v="5"/>
    <x v="0"/>
    <x v="0"/>
    <x v="5"/>
    <x v="0"/>
  </r>
  <r>
    <x v="0"/>
    <x v="0"/>
    <n v="2239280389"/>
    <x v="6"/>
    <n v="5000"/>
    <x v="2"/>
    <x v="0"/>
    <x v="19"/>
    <x v="6"/>
    <x v="0"/>
    <x v="0"/>
    <x v="5"/>
    <x v="0"/>
  </r>
  <r>
    <x v="0"/>
    <x v="0"/>
    <n v="2239280390"/>
    <x v="2"/>
    <n v="26000"/>
    <x v="2"/>
    <x v="0"/>
    <x v="19"/>
    <x v="2"/>
    <x v="0"/>
    <x v="0"/>
    <x v="2"/>
    <x v="0"/>
  </r>
  <r>
    <x v="0"/>
    <x v="0"/>
    <n v="2239280392"/>
    <x v="2"/>
    <n v="6500"/>
    <x v="2"/>
    <x v="0"/>
    <x v="19"/>
    <x v="2"/>
    <x v="0"/>
    <x v="0"/>
    <x v="2"/>
    <x v="0"/>
  </r>
  <r>
    <x v="0"/>
    <x v="0"/>
    <n v="2239280393"/>
    <x v="2"/>
    <n v="22990"/>
    <x v="2"/>
    <x v="0"/>
    <x v="19"/>
    <x v="2"/>
    <x v="0"/>
    <x v="0"/>
    <x v="2"/>
    <x v="0"/>
  </r>
  <r>
    <x v="0"/>
    <x v="0"/>
    <n v="2239280394"/>
    <x v="2"/>
    <n v="13000"/>
    <x v="2"/>
    <x v="0"/>
    <x v="19"/>
    <x v="2"/>
    <x v="0"/>
    <x v="0"/>
    <x v="2"/>
    <x v="0"/>
  </r>
  <r>
    <x v="0"/>
    <x v="0"/>
    <n v="2239280395"/>
    <x v="2"/>
    <n v="7500"/>
    <x v="2"/>
    <x v="0"/>
    <x v="19"/>
    <x v="2"/>
    <x v="0"/>
    <x v="0"/>
    <x v="2"/>
    <x v="0"/>
  </r>
  <r>
    <x v="0"/>
    <x v="0"/>
    <n v="2239280396"/>
    <x v="2"/>
    <n v="9900"/>
    <x v="2"/>
    <x v="0"/>
    <x v="19"/>
    <x v="2"/>
    <x v="0"/>
    <x v="0"/>
    <x v="2"/>
    <x v="0"/>
  </r>
  <r>
    <x v="0"/>
    <x v="0"/>
    <n v="2239280397"/>
    <x v="2"/>
    <n v="6500"/>
    <x v="2"/>
    <x v="0"/>
    <x v="19"/>
    <x v="2"/>
    <x v="0"/>
    <x v="0"/>
    <x v="2"/>
    <x v="0"/>
  </r>
  <r>
    <x v="0"/>
    <x v="0"/>
    <n v="2239280398"/>
    <x v="5"/>
    <n v="-1500"/>
    <x v="2"/>
    <x v="0"/>
    <x v="19"/>
    <x v="5"/>
    <x v="0"/>
    <x v="0"/>
    <x v="5"/>
    <x v="0"/>
  </r>
  <r>
    <x v="0"/>
    <x v="0"/>
    <n v="2239280398"/>
    <x v="6"/>
    <n v="32000"/>
    <x v="2"/>
    <x v="0"/>
    <x v="19"/>
    <x v="6"/>
    <x v="0"/>
    <x v="0"/>
    <x v="5"/>
    <x v="0"/>
  </r>
  <r>
    <x v="0"/>
    <x v="0"/>
    <n v="2239280400"/>
    <x v="2"/>
    <n v="13000"/>
    <x v="2"/>
    <x v="0"/>
    <x v="19"/>
    <x v="2"/>
    <x v="0"/>
    <x v="0"/>
    <x v="2"/>
    <x v="0"/>
  </r>
  <r>
    <x v="0"/>
    <x v="0"/>
    <n v="2239280401"/>
    <x v="2"/>
    <n v="6500"/>
    <x v="2"/>
    <x v="0"/>
    <x v="19"/>
    <x v="2"/>
    <x v="0"/>
    <x v="0"/>
    <x v="2"/>
    <x v="0"/>
  </r>
  <r>
    <x v="0"/>
    <x v="0"/>
    <n v="2239280403"/>
    <x v="2"/>
    <n v="9500"/>
    <x v="2"/>
    <x v="0"/>
    <x v="19"/>
    <x v="2"/>
    <x v="0"/>
    <x v="0"/>
    <x v="2"/>
    <x v="0"/>
  </r>
  <r>
    <x v="0"/>
    <x v="0"/>
    <n v="2239280404"/>
    <x v="2"/>
    <n v="3000"/>
    <x v="2"/>
    <x v="0"/>
    <x v="19"/>
    <x v="2"/>
    <x v="0"/>
    <x v="0"/>
    <x v="2"/>
    <x v="0"/>
  </r>
  <r>
    <x v="0"/>
    <x v="0"/>
    <n v="2239280405"/>
    <x v="3"/>
    <n v="87780"/>
    <x v="2"/>
    <x v="0"/>
    <x v="19"/>
    <x v="3"/>
    <x v="0"/>
    <x v="0"/>
    <x v="3"/>
    <x v="0"/>
  </r>
  <r>
    <x v="0"/>
    <x v="0"/>
    <n v="2239280406"/>
    <x v="2"/>
    <n v="35200"/>
    <x v="2"/>
    <x v="0"/>
    <x v="19"/>
    <x v="2"/>
    <x v="0"/>
    <x v="0"/>
    <x v="2"/>
    <x v="0"/>
  </r>
  <r>
    <x v="0"/>
    <x v="0"/>
    <n v="2239280407"/>
    <x v="2"/>
    <n v="21900"/>
    <x v="2"/>
    <x v="0"/>
    <x v="19"/>
    <x v="2"/>
    <x v="0"/>
    <x v="0"/>
    <x v="2"/>
    <x v="0"/>
  </r>
  <r>
    <x v="0"/>
    <x v="0"/>
    <n v="2239280408"/>
    <x v="3"/>
    <n v="14000"/>
    <x v="2"/>
    <x v="0"/>
    <x v="19"/>
    <x v="3"/>
    <x v="0"/>
    <x v="0"/>
    <x v="3"/>
    <x v="0"/>
  </r>
  <r>
    <x v="0"/>
    <x v="0"/>
    <n v="2239280409"/>
    <x v="2"/>
    <n v="15000"/>
    <x v="2"/>
    <x v="0"/>
    <x v="19"/>
    <x v="2"/>
    <x v="0"/>
    <x v="0"/>
    <x v="2"/>
    <x v="0"/>
  </r>
  <r>
    <x v="0"/>
    <x v="0"/>
    <n v="2239280410"/>
    <x v="2"/>
    <n v="16500"/>
    <x v="2"/>
    <x v="0"/>
    <x v="19"/>
    <x v="2"/>
    <x v="0"/>
    <x v="0"/>
    <x v="2"/>
    <x v="0"/>
  </r>
  <r>
    <x v="0"/>
    <x v="0"/>
    <n v="2239280411"/>
    <x v="2"/>
    <n v="52690"/>
    <x v="2"/>
    <x v="0"/>
    <x v="19"/>
    <x v="2"/>
    <x v="0"/>
    <x v="0"/>
    <x v="2"/>
    <x v="0"/>
  </r>
  <r>
    <x v="0"/>
    <x v="0"/>
    <n v="2239280412"/>
    <x v="2"/>
    <n v="83900"/>
    <x v="2"/>
    <x v="0"/>
    <x v="19"/>
    <x v="2"/>
    <x v="0"/>
    <x v="0"/>
    <x v="2"/>
    <x v="0"/>
  </r>
  <r>
    <x v="0"/>
    <x v="0"/>
    <n v="2239280413"/>
    <x v="5"/>
    <n v="-300"/>
    <x v="2"/>
    <x v="0"/>
    <x v="19"/>
    <x v="5"/>
    <x v="0"/>
    <x v="0"/>
    <x v="5"/>
    <x v="0"/>
  </r>
  <r>
    <x v="0"/>
    <x v="0"/>
    <n v="2239280413"/>
    <x v="4"/>
    <n v="6000"/>
    <x v="2"/>
    <x v="0"/>
    <x v="19"/>
    <x v="4"/>
    <x v="0"/>
    <x v="0"/>
    <x v="4"/>
    <x v="0"/>
  </r>
  <r>
    <x v="0"/>
    <x v="0"/>
    <n v="2239280414"/>
    <x v="2"/>
    <n v="36740"/>
    <x v="2"/>
    <x v="0"/>
    <x v="19"/>
    <x v="2"/>
    <x v="0"/>
    <x v="0"/>
    <x v="2"/>
    <x v="0"/>
  </r>
  <r>
    <x v="0"/>
    <x v="0"/>
    <n v="2239280415"/>
    <x v="2"/>
    <n v="22900"/>
    <x v="2"/>
    <x v="0"/>
    <x v="19"/>
    <x v="2"/>
    <x v="0"/>
    <x v="0"/>
    <x v="2"/>
    <x v="0"/>
  </r>
  <r>
    <x v="0"/>
    <x v="0"/>
    <n v="2239280417"/>
    <x v="2"/>
    <n v="13000"/>
    <x v="2"/>
    <x v="0"/>
    <x v="19"/>
    <x v="2"/>
    <x v="0"/>
    <x v="0"/>
    <x v="2"/>
    <x v="0"/>
  </r>
  <r>
    <x v="0"/>
    <x v="0"/>
    <n v="2239280418"/>
    <x v="2"/>
    <n v="9200"/>
    <x v="2"/>
    <x v="0"/>
    <x v="19"/>
    <x v="2"/>
    <x v="0"/>
    <x v="0"/>
    <x v="2"/>
    <x v="0"/>
  </r>
  <r>
    <x v="0"/>
    <x v="0"/>
    <n v="2239280419"/>
    <x v="2"/>
    <n v="24090"/>
    <x v="2"/>
    <x v="0"/>
    <x v="19"/>
    <x v="2"/>
    <x v="0"/>
    <x v="0"/>
    <x v="2"/>
    <x v="0"/>
  </r>
  <r>
    <x v="0"/>
    <x v="0"/>
    <n v="2239280421"/>
    <x v="2"/>
    <n v="5000"/>
    <x v="2"/>
    <x v="0"/>
    <x v="19"/>
    <x v="2"/>
    <x v="0"/>
    <x v="0"/>
    <x v="2"/>
    <x v="0"/>
  </r>
  <r>
    <x v="0"/>
    <x v="0"/>
    <n v="2239280422"/>
    <x v="5"/>
    <n v="-7000"/>
    <x v="2"/>
    <x v="0"/>
    <x v="19"/>
    <x v="5"/>
    <x v="0"/>
    <x v="0"/>
    <x v="5"/>
    <x v="0"/>
  </r>
  <r>
    <x v="0"/>
    <x v="0"/>
    <n v="2239280422"/>
    <x v="6"/>
    <n v="20000"/>
    <x v="2"/>
    <x v="0"/>
    <x v="19"/>
    <x v="6"/>
    <x v="0"/>
    <x v="0"/>
    <x v="5"/>
    <x v="0"/>
  </r>
  <r>
    <x v="0"/>
    <x v="0"/>
    <n v="2239280423"/>
    <x v="2"/>
    <n v="15400"/>
    <x v="2"/>
    <x v="0"/>
    <x v="19"/>
    <x v="2"/>
    <x v="0"/>
    <x v="0"/>
    <x v="2"/>
    <x v="0"/>
  </r>
  <r>
    <x v="0"/>
    <x v="0"/>
    <n v="2239280424"/>
    <x v="2"/>
    <n v="19800"/>
    <x v="2"/>
    <x v="0"/>
    <x v="19"/>
    <x v="2"/>
    <x v="0"/>
    <x v="0"/>
    <x v="2"/>
    <x v="0"/>
  </r>
  <r>
    <x v="0"/>
    <x v="0"/>
    <n v="2239280425"/>
    <x v="5"/>
    <n v="-500"/>
    <x v="2"/>
    <x v="0"/>
    <x v="19"/>
    <x v="5"/>
    <x v="0"/>
    <x v="0"/>
    <x v="5"/>
    <x v="0"/>
  </r>
  <r>
    <x v="0"/>
    <x v="0"/>
    <n v="2239280425"/>
    <x v="6"/>
    <n v="11000"/>
    <x v="2"/>
    <x v="0"/>
    <x v="19"/>
    <x v="6"/>
    <x v="0"/>
    <x v="0"/>
    <x v="5"/>
    <x v="0"/>
  </r>
  <r>
    <x v="0"/>
    <x v="0"/>
    <n v="2239280426"/>
    <x v="2"/>
    <n v="47900"/>
    <x v="2"/>
    <x v="0"/>
    <x v="19"/>
    <x v="2"/>
    <x v="0"/>
    <x v="0"/>
    <x v="2"/>
    <x v="0"/>
  </r>
  <r>
    <x v="0"/>
    <x v="0"/>
    <n v="2239280427"/>
    <x v="2"/>
    <n v="11300"/>
    <x v="2"/>
    <x v="0"/>
    <x v="19"/>
    <x v="2"/>
    <x v="0"/>
    <x v="0"/>
    <x v="2"/>
    <x v="0"/>
  </r>
  <r>
    <x v="0"/>
    <x v="0"/>
    <n v="2239280428"/>
    <x v="2"/>
    <n v="5500"/>
    <x v="2"/>
    <x v="0"/>
    <x v="19"/>
    <x v="2"/>
    <x v="0"/>
    <x v="0"/>
    <x v="2"/>
    <x v="0"/>
  </r>
  <r>
    <x v="0"/>
    <x v="0"/>
    <n v="2239280429"/>
    <x v="2"/>
    <n v="12500"/>
    <x v="2"/>
    <x v="0"/>
    <x v="19"/>
    <x v="2"/>
    <x v="0"/>
    <x v="0"/>
    <x v="2"/>
    <x v="0"/>
  </r>
  <r>
    <x v="0"/>
    <x v="0"/>
    <n v="2239280430"/>
    <x v="2"/>
    <n v="10500"/>
    <x v="2"/>
    <x v="0"/>
    <x v="19"/>
    <x v="2"/>
    <x v="0"/>
    <x v="0"/>
    <x v="2"/>
    <x v="0"/>
  </r>
  <r>
    <x v="0"/>
    <x v="0"/>
    <n v="2239280431"/>
    <x v="3"/>
    <n v="21500"/>
    <x v="2"/>
    <x v="0"/>
    <x v="19"/>
    <x v="3"/>
    <x v="0"/>
    <x v="0"/>
    <x v="3"/>
    <x v="0"/>
  </r>
  <r>
    <x v="0"/>
    <x v="0"/>
    <n v="2239280432"/>
    <x v="2"/>
    <n v="37400"/>
    <x v="2"/>
    <x v="0"/>
    <x v="19"/>
    <x v="2"/>
    <x v="0"/>
    <x v="0"/>
    <x v="2"/>
    <x v="0"/>
  </r>
  <r>
    <x v="0"/>
    <x v="0"/>
    <n v="2239280433"/>
    <x v="2"/>
    <n v="15400"/>
    <x v="2"/>
    <x v="0"/>
    <x v="19"/>
    <x v="2"/>
    <x v="0"/>
    <x v="0"/>
    <x v="2"/>
    <x v="0"/>
  </r>
  <r>
    <x v="0"/>
    <x v="0"/>
    <n v="2239280434"/>
    <x v="3"/>
    <n v="22500"/>
    <x v="2"/>
    <x v="0"/>
    <x v="19"/>
    <x v="3"/>
    <x v="0"/>
    <x v="0"/>
    <x v="3"/>
    <x v="0"/>
  </r>
  <r>
    <x v="0"/>
    <x v="0"/>
    <n v="2239280435"/>
    <x v="2"/>
    <n v="10500"/>
    <x v="2"/>
    <x v="0"/>
    <x v="19"/>
    <x v="2"/>
    <x v="0"/>
    <x v="0"/>
    <x v="2"/>
    <x v="0"/>
  </r>
  <r>
    <x v="0"/>
    <x v="0"/>
    <n v="2239280436"/>
    <x v="5"/>
    <n v="-5000"/>
    <x v="2"/>
    <x v="0"/>
    <x v="19"/>
    <x v="5"/>
    <x v="0"/>
    <x v="0"/>
    <x v="5"/>
    <x v="0"/>
  </r>
  <r>
    <x v="0"/>
    <x v="0"/>
    <n v="2239280436"/>
    <x v="4"/>
    <n v="10300"/>
    <x v="2"/>
    <x v="0"/>
    <x v="19"/>
    <x v="4"/>
    <x v="0"/>
    <x v="0"/>
    <x v="4"/>
    <x v="0"/>
  </r>
  <r>
    <x v="0"/>
    <x v="0"/>
    <n v="2239280437"/>
    <x v="5"/>
    <n v="-500"/>
    <x v="2"/>
    <x v="0"/>
    <x v="19"/>
    <x v="5"/>
    <x v="0"/>
    <x v="0"/>
    <x v="5"/>
    <x v="0"/>
  </r>
  <r>
    <x v="0"/>
    <x v="0"/>
    <n v="2239280437"/>
    <x v="6"/>
    <n v="8000"/>
    <x v="2"/>
    <x v="0"/>
    <x v="19"/>
    <x v="6"/>
    <x v="0"/>
    <x v="0"/>
    <x v="5"/>
    <x v="0"/>
  </r>
  <r>
    <x v="0"/>
    <x v="0"/>
    <n v="2239280438"/>
    <x v="8"/>
    <n v="7500"/>
    <x v="2"/>
    <x v="0"/>
    <x v="19"/>
    <x v="8"/>
    <x v="0"/>
    <x v="0"/>
    <x v="3"/>
    <x v="0"/>
  </r>
  <r>
    <x v="0"/>
    <x v="0"/>
    <n v="2239280439"/>
    <x v="2"/>
    <n v="7150"/>
    <x v="2"/>
    <x v="0"/>
    <x v="19"/>
    <x v="2"/>
    <x v="0"/>
    <x v="0"/>
    <x v="2"/>
    <x v="0"/>
  </r>
  <r>
    <x v="0"/>
    <x v="0"/>
    <n v="2239280440"/>
    <x v="5"/>
    <n v="-2000"/>
    <x v="2"/>
    <x v="0"/>
    <x v="19"/>
    <x v="5"/>
    <x v="0"/>
    <x v="0"/>
    <x v="5"/>
    <x v="0"/>
  </r>
  <r>
    <x v="0"/>
    <x v="0"/>
    <n v="2239280440"/>
    <x v="6"/>
    <n v="40000"/>
    <x v="2"/>
    <x v="0"/>
    <x v="19"/>
    <x v="6"/>
    <x v="0"/>
    <x v="0"/>
    <x v="5"/>
    <x v="0"/>
  </r>
  <r>
    <x v="0"/>
    <x v="0"/>
    <n v="2239280441"/>
    <x v="5"/>
    <n v="-700"/>
    <x v="2"/>
    <x v="0"/>
    <x v="19"/>
    <x v="5"/>
    <x v="0"/>
    <x v="0"/>
    <x v="5"/>
    <x v="0"/>
  </r>
  <r>
    <x v="0"/>
    <x v="0"/>
    <n v="2239280441"/>
    <x v="4"/>
    <n v="6000"/>
    <x v="2"/>
    <x v="0"/>
    <x v="19"/>
    <x v="4"/>
    <x v="0"/>
    <x v="0"/>
    <x v="4"/>
    <x v="0"/>
  </r>
  <r>
    <x v="0"/>
    <x v="0"/>
    <n v="2239280442"/>
    <x v="5"/>
    <n v="-300"/>
    <x v="2"/>
    <x v="0"/>
    <x v="19"/>
    <x v="5"/>
    <x v="0"/>
    <x v="0"/>
    <x v="5"/>
    <x v="0"/>
  </r>
  <r>
    <x v="0"/>
    <x v="0"/>
    <n v="2239280442"/>
    <x v="4"/>
    <n v="6000"/>
    <x v="2"/>
    <x v="0"/>
    <x v="19"/>
    <x v="4"/>
    <x v="0"/>
    <x v="0"/>
    <x v="4"/>
    <x v="0"/>
  </r>
  <r>
    <x v="0"/>
    <x v="0"/>
    <n v="2239280444"/>
    <x v="2"/>
    <n v="55440"/>
    <x v="2"/>
    <x v="0"/>
    <x v="19"/>
    <x v="2"/>
    <x v="0"/>
    <x v="0"/>
    <x v="2"/>
    <x v="0"/>
  </r>
  <r>
    <x v="0"/>
    <x v="0"/>
    <n v="2239280445"/>
    <x v="5"/>
    <n v="-8500"/>
    <x v="2"/>
    <x v="0"/>
    <x v="19"/>
    <x v="5"/>
    <x v="0"/>
    <x v="0"/>
    <x v="5"/>
    <x v="0"/>
  </r>
  <r>
    <x v="0"/>
    <x v="0"/>
    <n v="2239280445"/>
    <x v="4"/>
    <n v="20000"/>
    <x v="2"/>
    <x v="0"/>
    <x v="19"/>
    <x v="4"/>
    <x v="0"/>
    <x v="0"/>
    <x v="4"/>
    <x v="0"/>
  </r>
  <r>
    <x v="0"/>
    <x v="0"/>
    <n v="2239280448"/>
    <x v="2"/>
    <n v="6500"/>
    <x v="2"/>
    <x v="0"/>
    <x v="19"/>
    <x v="2"/>
    <x v="0"/>
    <x v="0"/>
    <x v="2"/>
    <x v="0"/>
  </r>
  <r>
    <x v="0"/>
    <x v="0"/>
    <n v="2239280449"/>
    <x v="5"/>
    <n v="-100"/>
    <x v="2"/>
    <x v="0"/>
    <x v="19"/>
    <x v="5"/>
    <x v="0"/>
    <x v="0"/>
    <x v="5"/>
    <x v="0"/>
  </r>
  <r>
    <x v="0"/>
    <x v="0"/>
    <n v="2239280449"/>
    <x v="6"/>
    <n v="11000"/>
    <x v="2"/>
    <x v="0"/>
    <x v="19"/>
    <x v="6"/>
    <x v="0"/>
    <x v="0"/>
    <x v="5"/>
    <x v="0"/>
  </r>
  <r>
    <x v="0"/>
    <x v="0"/>
    <n v="2239280450"/>
    <x v="2"/>
    <n v="6000"/>
    <x v="2"/>
    <x v="0"/>
    <x v="19"/>
    <x v="2"/>
    <x v="0"/>
    <x v="0"/>
    <x v="2"/>
    <x v="0"/>
  </r>
  <r>
    <x v="0"/>
    <x v="0"/>
    <n v="2239280452"/>
    <x v="5"/>
    <n v="-5500"/>
    <x v="2"/>
    <x v="0"/>
    <x v="19"/>
    <x v="5"/>
    <x v="0"/>
    <x v="0"/>
    <x v="5"/>
    <x v="0"/>
  </r>
  <r>
    <x v="0"/>
    <x v="0"/>
    <n v="2239280452"/>
    <x v="6"/>
    <n v="10000"/>
    <x v="2"/>
    <x v="0"/>
    <x v="19"/>
    <x v="6"/>
    <x v="0"/>
    <x v="0"/>
    <x v="5"/>
    <x v="0"/>
  </r>
  <r>
    <x v="0"/>
    <x v="0"/>
    <n v="2239280453"/>
    <x v="5"/>
    <n v="-2000"/>
    <x v="2"/>
    <x v="0"/>
    <x v="19"/>
    <x v="5"/>
    <x v="0"/>
    <x v="0"/>
    <x v="5"/>
    <x v="0"/>
  </r>
  <r>
    <x v="0"/>
    <x v="0"/>
    <n v="2239280453"/>
    <x v="6"/>
    <n v="5000"/>
    <x v="2"/>
    <x v="0"/>
    <x v="19"/>
    <x v="6"/>
    <x v="0"/>
    <x v="0"/>
    <x v="5"/>
    <x v="0"/>
  </r>
  <r>
    <x v="0"/>
    <x v="0"/>
    <n v="2239280454"/>
    <x v="3"/>
    <n v="17900"/>
    <x v="2"/>
    <x v="0"/>
    <x v="19"/>
    <x v="3"/>
    <x v="0"/>
    <x v="0"/>
    <x v="3"/>
    <x v="0"/>
  </r>
  <r>
    <x v="0"/>
    <x v="0"/>
    <n v="2239280455"/>
    <x v="2"/>
    <n v="13000"/>
    <x v="2"/>
    <x v="0"/>
    <x v="19"/>
    <x v="2"/>
    <x v="0"/>
    <x v="0"/>
    <x v="2"/>
    <x v="0"/>
  </r>
  <r>
    <x v="0"/>
    <x v="0"/>
    <n v="2239280456"/>
    <x v="2"/>
    <n v="14300"/>
    <x v="2"/>
    <x v="0"/>
    <x v="19"/>
    <x v="2"/>
    <x v="0"/>
    <x v="0"/>
    <x v="2"/>
    <x v="0"/>
  </r>
  <r>
    <x v="0"/>
    <x v="0"/>
    <n v="2239280457"/>
    <x v="5"/>
    <n v="-6000"/>
    <x v="2"/>
    <x v="0"/>
    <x v="19"/>
    <x v="5"/>
    <x v="0"/>
    <x v="0"/>
    <x v="5"/>
    <x v="0"/>
  </r>
  <r>
    <x v="0"/>
    <x v="0"/>
    <n v="2239280457"/>
    <x v="6"/>
    <n v="10000"/>
    <x v="2"/>
    <x v="0"/>
    <x v="19"/>
    <x v="6"/>
    <x v="0"/>
    <x v="0"/>
    <x v="5"/>
    <x v="0"/>
  </r>
  <r>
    <x v="0"/>
    <x v="0"/>
    <n v="2239280458"/>
    <x v="3"/>
    <n v="3000"/>
    <x v="2"/>
    <x v="0"/>
    <x v="19"/>
    <x v="3"/>
    <x v="0"/>
    <x v="0"/>
    <x v="3"/>
    <x v="0"/>
  </r>
  <r>
    <x v="0"/>
    <x v="0"/>
    <n v="2239280459"/>
    <x v="2"/>
    <n v="6500"/>
    <x v="2"/>
    <x v="0"/>
    <x v="19"/>
    <x v="2"/>
    <x v="0"/>
    <x v="0"/>
    <x v="2"/>
    <x v="0"/>
  </r>
  <r>
    <x v="0"/>
    <x v="0"/>
    <n v="2239280460"/>
    <x v="2"/>
    <n v="3000"/>
    <x v="2"/>
    <x v="0"/>
    <x v="19"/>
    <x v="2"/>
    <x v="0"/>
    <x v="0"/>
    <x v="2"/>
    <x v="0"/>
  </r>
  <r>
    <x v="0"/>
    <x v="0"/>
    <n v="2239280462"/>
    <x v="5"/>
    <n v="-4000"/>
    <x v="2"/>
    <x v="0"/>
    <x v="19"/>
    <x v="5"/>
    <x v="0"/>
    <x v="0"/>
    <x v="5"/>
    <x v="0"/>
  </r>
  <r>
    <x v="0"/>
    <x v="0"/>
    <n v="2239280462"/>
    <x v="6"/>
    <n v="10000"/>
    <x v="2"/>
    <x v="0"/>
    <x v="19"/>
    <x v="6"/>
    <x v="0"/>
    <x v="0"/>
    <x v="5"/>
    <x v="0"/>
  </r>
  <r>
    <x v="0"/>
    <x v="0"/>
    <n v="2239280463"/>
    <x v="5"/>
    <n v="-5720"/>
    <x v="2"/>
    <x v="0"/>
    <x v="19"/>
    <x v="5"/>
    <x v="0"/>
    <x v="0"/>
    <x v="5"/>
    <x v="0"/>
  </r>
  <r>
    <x v="0"/>
    <x v="0"/>
    <n v="2239280463"/>
    <x v="6"/>
    <n v="20000"/>
    <x v="2"/>
    <x v="0"/>
    <x v="19"/>
    <x v="6"/>
    <x v="0"/>
    <x v="0"/>
    <x v="5"/>
    <x v="0"/>
  </r>
  <r>
    <x v="0"/>
    <x v="0"/>
    <n v="2239280463"/>
    <x v="7"/>
    <n v="5220"/>
    <x v="2"/>
    <x v="0"/>
    <x v="19"/>
    <x v="7"/>
    <x v="0"/>
    <x v="0"/>
    <x v="1"/>
    <x v="0"/>
  </r>
  <r>
    <x v="0"/>
    <x v="0"/>
    <n v="2239280464"/>
    <x v="2"/>
    <n v="19000"/>
    <x v="2"/>
    <x v="0"/>
    <x v="19"/>
    <x v="2"/>
    <x v="0"/>
    <x v="0"/>
    <x v="2"/>
    <x v="0"/>
  </r>
  <r>
    <x v="0"/>
    <x v="0"/>
    <n v="2239280465"/>
    <x v="2"/>
    <n v="6000"/>
    <x v="2"/>
    <x v="0"/>
    <x v="19"/>
    <x v="2"/>
    <x v="0"/>
    <x v="0"/>
    <x v="2"/>
    <x v="0"/>
  </r>
  <r>
    <x v="0"/>
    <x v="0"/>
    <n v="2239280466"/>
    <x v="2"/>
    <n v="6000"/>
    <x v="2"/>
    <x v="0"/>
    <x v="19"/>
    <x v="2"/>
    <x v="0"/>
    <x v="0"/>
    <x v="2"/>
    <x v="0"/>
  </r>
  <r>
    <x v="0"/>
    <x v="0"/>
    <n v="2239280468"/>
    <x v="2"/>
    <n v="3000"/>
    <x v="2"/>
    <x v="0"/>
    <x v="19"/>
    <x v="2"/>
    <x v="0"/>
    <x v="0"/>
    <x v="2"/>
    <x v="0"/>
  </r>
  <r>
    <x v="0"/>
    <x v="0"/>
    <n v="2239280469"/>
    <x v="5"/>
    <n v="-4000"/>
    <x v="2"/>
    <x v="0"/>
    <x v="19"/>
    <x v="5"/>
    <x v="0"/>
    <x v="0"/>
    <x v="5"/>
    <x v="0"/>
  </r>
  <r>
    <x v="0"/>
    <x v="0"/>
    <n v="2239280469"/>
    <x v="6"/>
    <n v="10000"/>
    <x v="2"/>
    <x v="0"/>
    <x v="19"/>
    <x v="6"/>
    <x v="0"/>
    <x v="0"/>
    <x v="5"/>
    <x v="0"/>
  </r>
  <r>
    <x v="0"/>
    <x v="0"/>
    <n v="2239280470"/>
    <x v="2"/>
    <n v="12000"/>
    <x v="2"/>
    <x v="0"/>
    <x v="19"/>
    <x v="2"/>
    <x v="0"/>
    <x v="0"/>
    <x v="2"/>
    <x v="0"/>
  </r>
  <r>
    <x v="0"/>
    <x v="0"/>
    <n v="2239280472"/>
    <x v="2"/>
    <n v="12200"/>
    <x v="2"/>
    <x v="0"/>
    <x v="19"/>
    <x v="2"/>
    <x v="0"/>
    <x v="0"/>
    <x v="2"/>
    <x v="0"/>
  </r>
  <r>
    <x v="0"/>
    <x v="0"/>
    <n v="2239280473"/>
    <x v="6"/>
    <n v="12000"/>
    <x v="2"/>
    <x v="0"/>
    <x v="19"/>
    <x v="6"/>
    <x v="0"/>
    <x v="0"/>
    <x v="5"/>
    <x v="0"/>
  </r>
  <r>
    <x v="0"/>
    <x v="0"/>
    <n v="2239280473"/>
    <x v="2"/>
    <n v="3000"/>
    <x v="2"/>
    <x v="0"/>
    <x v="19"/>
    <x v="2"/>
    <x v="0"/>
    <x v="0"/>
    <x v="2"/>
    <x v="0"/>
  </r>
  <r>
    <x v="0"/>
    <x v="0"/>
    <n v="2239280474"/>
    <x v="2"/>
    <n v="44900"/>
    <x v="2"/>
    <x v="0"/>
    <x v="19"/>
    <x v="2"/>
    <x v="0"/>
    <x v="0"/>
    <x v="2"/>
    <x v="0"/>
  </r>
  <r>
    <x v="0"/>
    <x v="0"/>
    <n v="2239280475"/>
    <x v="2"/>
    <n v="13000"/>
    <x v="2"/>
    <x v="0"/>
    <x v="19"/>
    <x v="2"/>
    <x v="0"/>
    <x v="0"/>
    <x v="2"/>
    <x v="0"/>
  </r>
  <r>
    <x v="0"/>
    <x v="0"/>
    <n v="2239280476"/>
    <x v="2"/>
    <n v="8400"/>
    <x v="2"/>
    <x v="0"/>
    <x v="19"/>
    <x v="2"/>
    <x v="0"/>
    <x v="0"/>
    <x v="2"/>
    <x v="0"/>
  </r>
  <r>
    <x v="0"/>
    <x v="0"/>
    <n v="2239280476"/>
    <x v="7"/>
    <n v="2600"/>
    <x v="2"/>
    <x v="0"/>
    <x v="19"/>
    <x v="7"/>
    <x v="0"/>
    <x v="0"/>
    <x v="1"/>
    <x v="0"/>
  </r>
  <r>
    <x v="0"/>
    <x v="0"/>
    <n v="2239280477"/>
    <x v="2"/>
    <n v="6500"/>
    <x v="2"/>
    <x v="0"/>
    <x v="19"/>
    <x v="2"/>
    <x v="0"/>
    <x v="0"/>
    <x v="2"/>
    <x v="0"/>
  </r>
  <r>
    <x v="0"/>
    <x v="0"/>
    <n v="2239280479"/>
    <x v="5"/>
    <n v="-3000"/>
    <x v="2"/>
    <x v="0"/>
    <x v="19"/>
    <x v="5"/>
    <x v="0"/>
    <x v="0"/>
    <x v="5"/>
    <x v="0"/>
  </r>
  <r>
    <x v="0"/>
    <x v="0"/>
    <n v="2239280479"/>
    <x v="6"/>
    <n v="15000"/>
    <x v="2"/>
    <x v="0"/>
    <x v="19"/>
    <x v="6"/>
    <x v="0"/>
    <x v="0"/>
    <x v="5"/>
    <x v="0"/>
  </r>
  <r>
    <x v="0"/>
    <x v="0"/>
    <n v="2239280479"/>
    <x v="7"/>
    <n v="3000"/>
    <x v="2"/>
    <x v="0"/>
    <x v="19"/>
    <x v="7"/>
    <x v="0"/>
    <x v="0"/>
    <x v="1"/>
    <x v="0"/>
  </r>
  <r>
    <x v="0"/>
    <x v="0"/>
    <n v="2239280480"/>
    <x v="2"/>
    <n v="13000"/>
    <x v="2"/>
    <x v="0"/>
    <x v="19"/>
    <x v="2"/>
    <x v="0"/>
    <x v="0"/>
    <x v="2"/>
    <x v="0"/>
  </r>
  <r>
    <x v="0"/>
    <x v="0"/>
    <n v="2239280481"/>
    <x v="2"/>
    <n v="13000"/>
    <x v="2"/>
    <x v="0"/>
    <x v="19"/>
    <x v="2"/>
    <x v="0"/>
    <x v="0"/>
    <x v="2"/>
    <x v="0"/>
  </r>
  <r>
    <x v="0"/>
    <x v="0"/>
    <n v="2239280482"/>
    <x v="5"/>
    <n v="-4300"/>
    <x v="2"/>
    <x v="0"/>
    <x v="19"/>
    <x v="5"/>
    <x v="0"/>
    <x v="0"/>
    <x v="5"/>
    <x v="0"/>
  </r>
  <r>
    <x v="0"/>
    <x v="0"/>
    <n v="2239280482"/>
    <x v="4"/>
    <n v="10000"/>
    <x v="2"/>
    <x v="0"/>
    <x v="19"/>
    <x v="4"/>
    <x v="0"/>
    <x v="0"/>
    <x v="4"/>
    <x v="0"/>
  </r>
  <r>
    <x v="0"/>
    <x v="0"/>
    <n v="2239280483"/>
    <x v="8"/>
    <n v="10000"/>
    <x v="2"/>
    <x v="0"/>
    <x v="19"/>
    <x v="8"/>
    <x v="0"/>
    <x v="0"/>
    <x v="3"/>
    <x v="0"/>
  </r>
  <r>
    <x v="0"/>
    <x v="0"/>
    <n v="2239280485"/>
    <x v="5"/>
    <n v="-1000"/>
    <x v="2"/>
    <x v="0"/>
    <x v="19"/>
    <x v="5"/>
    <x v="0"/>
    <x v="0"/>
    <x v="5"/>
    <x v="0"/>
  </r>
  <r>
    <x v="0"/>
    <x v="0"/>
    <n v="2239280485"/>
    <x v="6"/>
    <n v="10000"/>
    <x v="2"/>
    <x v="0"/>
    <x v="19"/>
    <x v="6"/>
    <x v="0"/>
    <x v="0"/>
    <x v="5"/>
    <x v="0"/>
  </r>
  <r>
    <x v="0"/>
    <x v="0"/>
    <n v="2239280486"/>
    <x v="5"/>
    <n v="-300"/>
    <x v="2"/>
    <x v="0"/>
    <x v="19"/>
    <x v="5"/>
    <x v="0"/>
    <x v="0"/>
    <x v="5"/>
    <x v="0"/>
  </r>
  <r>
    <x v="0"/>
    <x v="0"/>
    <n v="2239280486"/>
    <x v="4"/>
    <n v="6000"/>
    <x v="2"/>
    <x v="0"/>
    <x v="19"/>
    <x v="4"/>
    <x v="0"/>
    <x v="0"/>
    <x v="4"/>
    <x v="0"/>
  </r>
  <r>
    <x v="0"/>
    <x v="0"/>
    <n v="2239280489"/>
    <x v="5"/>
    <n v="-3800"/>
    <x v="2"/>
    <x v="0"/>
    <x v="19"/>
    <x v="5"/>
    <x v="0"/>
    <x v="0"/>
    <x v="5"/>
    <x v="0"/>
  </r>
  <r>
    <x v="0"/>
    <x v="0"/>
    <n v="2239280489"/>
    <x v="6"/>
    <n v="10000"/>
    <x v="2"/>
    <x v="0"/>
    <x v="19"/>
    <x v="6"/>
    <x v="0"/>
    <x v="0"/>
    <x v="5"/>
    <x v="0"/>
  </r>
  <r>
    <x v="0"/>
    <x v="0"/>
    <n v="2239280492"/>
    <x v="2"/>
    <n v="14300"/>
    <x v="2"/>
    <x v="0"/>
    <x v="19"/>
    <x v="2"/>
    <x v="0"/>
    <x v="0"/>
    <x v="2"/>
    <x v="0"/>
  </r>
  <r>
    <x v="0"/>
    <x v="0"/>
    <n v="2239280494"/>
    <x v="2"/>
    <n v="7500"/>
    <x v="2"/>
    <x v="0"/>
    <x v="19"/>
    <x v="2"/>
    <x v="0"/>
    <x v="0"/>
    <x v="2"/>
    <x v="0"/>
  </r>
  <r>
    <x v="0"/>
    <x v="0"/>
    <n v="2239280496"/>
    <x v="2"/>
    <n v="7500"/>
    <x v="2"/>
    <x v="0"/>
    <x v="19"/>
    <x v="2"/>
    <x v="0"/>
    <x v="0"/>
    <x v="2"/>
    <x v="0"/>
  </r>
  <r>
    <x v="0"/>
    <x v="0"/>
    <n v="2239280497"/>
    <x v="2"/>
    <n v="23500"/>
    <x v="2"/>
    <x v="0"/>
    <x v="19"/>
    <x v="2"/>
    <x v="0"/>
    <x v="0"/>
    <x v="2"/>
    <x v="0"/>
  </r>
  <r>
    <x v="0"/>
    <x v="0"/>
    <n v="2239280498"/>
    <x v="2"/>
    <n v="16500"/>
    <x v="2"/>
    <x v="0"/>
    <x v="19"/>
    <x v="2"/>
    <x v="0"/>
    <x v="0"/>
    <x v="2"/>
    <x v="0"/>
  </r>
  <r>
    <x v="0"/>
    <x v="0"/>
    <n v="2239280500"/>
    <x v="8"/>
    <n v="13200"/>
    <x v="2"/>
    <x v="0"/>
    <x v="19"/>
    <x v="8"/>
    <x v="0"/>
    <x v="0"/>
    <x v="3"/>
    <x v="0"/>
  </r>
  <r>
    <x v="0"/>
    <x v="0"/>
    <n v="2239280501"/>
    <x v="5"/>
    <n v="-5600"/>
    <x v="2"/>
    <x v="0"/>
    <x v="19"/>
    <x v="5"/>
    <x v="0"/>
    <x v="0"/>
    <x v="5"/>
    <x v="0"/>
  </r>
  <r>
    <x v="0"/>
    <x v="0"/>
    <n v="2239280501"/>
    <x v="4"/>
    <n v="10000"/>
    <x v="2"/>
    <x v="0"/>
    <x v="19"/>
    <x v="4"/>
    <x v="0"/>
    <x v="0"/>
    <x v="4"/>
    <x v="0"/>
  </r>
  <r>
    <x v="0"/>
    <x v="0"/>
    <n v="2239280502"/>
    <x v="2"/>
    <n v="5400"/>
    <x v="2"/>
    <x v="0"/>
    <x v="19"/>
    <x v="2"/>
    <x v="0"/>
    <x v="0"/>
    <x v="2"/>
    <x v="0"/>
  </r>
  <r>
    <x v="0"/>
    <x v="0"/>
    <n v="2239280503"/>
    <x v="2"/>
    <n v="24000"/>
    <x v="2"/>
    <x v="0"/>
    <x v="19"/>
    <x v="2"/>
    <x v="0"/>
    <x v="0"/>
    <x v="2"/>
    <x v="0"/>
  </r>
  <r>
    <x v="0"/>
    <x v="0"/>
    <n v="2239280504"/>
    <x v="2"/>
    <n v="27500"/>
    <x v="2"/>
    <x v="0"/>
    <x v="19"/>
    <x v="2"/>
    <x v="0"/>
    <x v="0"/>
    <x v="2"/>
    <x v="0"/>
  </r>
  <r>
    <x v="0"/>
    <x v="0"/>
    <n v="2239280505"/>
    <x v="2"/>
    <n v="6000"/>
    <x v="2"/>
    <x v="0"/>
    <x v="19"/>
    <x v="2"/>
    <x v="0"/>
    <x v="0"/>
    <x v="2"/>
    <x v="0"/>
  </r>
  <r>
    <x v="0"/>
    <x v="0"/>
    <n v="2239280507"/>
    <x v="5"/>
    <n v="-5600"/>
    <x v="2"/>
    <x v="0"/>
    <x v="19"/>
    <x v="5"/>
    <x v="0"/>
    <x v="0"/>
    <x v="5"/>
    <x v="0"/>
  </r>
  <r>
    <x v="0"/>
    <x v="0"/>
    <n v="2239280507"/>
    <x v="4"/>
    <n v="10000"/>
    <x v="2"/>
    <x v="0"/>
    <x v="19"/>
    <x v="4"/>
    <x v="0"/>
    <x v="0"/>
    <x v="4"/>
    <x v="0"/>
  </r>
  <r>
    <x v="0"/>
    <x v="0"/>
    <n v="2239280508"/>
    <x v="3"/>
    <n v="17500"/>
    <x v="2"/>
    <x v="0"/>
    <x v="19"/>
    <x v="3"/>
    <x v="0"/>
    <x v="0"/>
    <x v="3"/>
    <x v="0"/>
  </r>
  <r>
    <x v="0"/>
    <x v="0"/>
    <n v="2239280509"/>
    <x v="2"/>
    <n v="6000"/>
    <x v="2"/>
    <x v="0"/>
    <x v="19"/>
    <x v="2"/>
    <x v="0"/>
    <x v="0"/>
    <x v="2"/>
    <x v="0"/>
  </r>
  <r>
    <x v="0"/>
    <x v="0"/>
    <n v="2239280510"/>
    <x v="3"/>
    <n v="7600"/>
    <x v="2"/>
    <x v="0"/>
    <x v="19"/>
    <x v="3"/>
    <x v="0"/>
    <x v="0"/>
    <x v="3"/>
    <x v="0"/>
  </r>
  <r>
    <x v="0"/>
    <x v="0"/>
    <n v="2239280511"/>
    <x v="2"/>
    <n v="16500"/>
    <x v="2"/>
    <x v="0"/>
    <x v="19"/>
    <x v="2"/>
    <x v="0"/>
    <x v="0"/>
    <x v="2"/>
    <x v="0"/>
  </r>
  <r>
    <x v="0"/>
    <x v="0"/>
    <n v="2239280512"/>
    <x v="3"/>
    <n v="13300"/>
    <x v="2"/>
    <x v="0"/>
    <x v="19"/>
    <x v="3"/>
    <x v="0"/>
    <x v="0"/>
    <x v="3"/>
    <x v="0"/>
  </r>
  <r>
    <x v="0"/>
    <x v="0"/>
    <n v="2239280513"/>
    <x v="2"/>
    <n v="3000"/>
    <x v="2"/>
    <x v="0"/>
    <x v="19"/>
    <x v="2"/>
    <x v="0"/>
    <x v="0"/>
    <x v="2"/>
    <x v="0"/>
  </r>
  <r>
    <x v="0"/>
    <x v="0"/>
    <n v="2239280514"/>
    <x v="2"/>
    <n v="19000"/>
    <x v="2"/>
    <x v="0"/>
    <x v="19"/>
    <x v="2"/>
    <x v="0"/>
    <x v="0"/>
    <x v="2"/>
    <x v="0"/>
  </r>
  <r>
    <x v="0"/>
    <x v="0"/>
    <n v="2239280515"/>
    <x v="3"/>
    <n v="33000"/>
    <x v="2"/>
    <x v="0"/>
    <x v="19"/>
    <x v="3"/>
    <x v="0"/>
    <x v="0"/>
    <x v="3"/>
    <x v="0"/>
  </r>
  <r>
    <x v="0"/>
    <x v="0"/>
    <n v="2239280516"/>
    <x v="2"/>
    <n v="23650"/>
    <x v="2"/>
    <x v="0"/>
    <x v="19"/>
    <x v="2"/>
    <x v="0"/>
    <x v="0"/>
    <x v="2"/>
    <x v="0"/>
  </r>
  <r>
    <x v="0"/>
    <x v="0"/>
    <n v="2239280517"/>
    <x v="2"/>
    <n v="8400"/>
    <x v="2"/>
    <x v="0"/>
    <x v="19"/>
    <x v="2"/>
    <x v="0"/>
    <x v="0"/>
    <x v="2"/>
    <x v="0"/>
  </r>
  <r>
    <x v="0"/>
    <x v="0"/>
    <n v="2239280518"/>
    <x v="5"/>
    <n v="-5000"/>
    <x v="2"/>
    <x v="0"/>
    <x v="19"/>
    <x v="5"/>
    <x v="0"/>
    <x v="0"/>
    <x v="5"/>
    <x v="0"/>
  </r>
  <r>
    <x v="0"/>
    <x v="0"/>
    <n v="2239280518"/>
    <x v="6"/>
    <n v="10200"/>
    <x v="2"/>
    <x v="0"/>
    <x v="19"/>
    <x v="6"/>
    <x v="0"/>
    <x v="0"/>
    <x v="5"/>
    <x v="0"/>
  </r>
  <r>
    <x v="0"/>
    <x v="0"/>
    <n v="2239280518"/>
    <x v="7"/>
    <n v="1300"/>
    <x v="2"/>
    <x v="0"/>
    <x v="19"/>
    <x v="7"/>
    <x v="0"/>
    <x v="0"/>
    <x v="1"/>
    <x v="0"/>
  </r>
  <r>
    <x v="0"/>
    <x v="0"/>
    <n v="2239280520"/>
    <x v="5"/>
    <n v="-800"/>
    <x v="2"/>
    <x v="0"/>
    <x v="19"/>
    <x v="5"/>
    <x v="0"/>
    <x v="0"/>
    <x v="5"/>
    <x v="0"/>
  </r>
  <r>
    <x v="0"/>
    <x v="0"/>
    <n v="2239280520"/>
    <x v="4"/>
    <n v="10000"/>
    <x v="2"/>
    <x v="0"/>
    <x v="19"/>
    <x v="4"/>
    <x v="0"/>
    <x v="0"/>
    <x v="4"/>
    <x v="0"/>
  </r>
  <r>
    <x v="0"/>
    <x v="0"/>
    <n v="2239280521"/>
    <x v="5"/>
    <n v="-6700"/>
    <x v="2"/>
    <x v="0"/>
    <x v="19"/>
    <x v="5"/>
    <x v="0"/>
    <x v="0"/>
    <x v="5"/>
    <x v="0"/>
  </r>
  <r>
    <x v="0"/>
    <x v="0"/>
    <n v="2239280521"/>
    <x v="6"/>
    <n v="20000"/>
    <x v="2"/>
    <x v="0"/>
    <x v="19"/>
    <x v="6"/>
    <x v="0"/>
    <x v="0"/>
    <x v="5"/>
    <x v="0"/>
  </r>
  <r>
    <x v="0"/>
    <x v="0"/>
    <n v="2239280522"/>
    <x v="2"/>
    <n v="11000"/>
    <x v="2"/>
    <x v="0"/>
    <x v="19"/>
    <x v="2"/>
    <x v="0"/>
    <x v="0"/>
    <x v="2"/>
    <x v="0"/>
  </r>
  <r>
    <x v="0"/>
    <x v="0"/>
    <n v="2239280523"/>
    <x v="3"/>
    <n v="22500"/>
    <x v="2"/>
    <x v="0"/>
    <x v="19"/>
    <x v="3"/>
    <x v="0"/>
    <x v="0"/>
    <x v="3"/>
    <x v="0"/>
  </r>
  <r>
    <x v="0"/>
    <x v="0"/>
    <n v="2239280524"/>
    <x v="2"/>
    <n v="6500"/>
    <x v="2"/>
    <x v="0"/>
    <x v="19"/>
    <x v="2"/>
    <x v="0"/>
    <x v="0"/>
    <x v="2"/>
    <x v="0"/>
  </r>
  <r>
    <x v="0"/>
    <x v="0"/>
    <n v="2239280526"/>
    <x v="2"/>
    <n v="6500"/>
    <x v="2"/>
    <x v="0"/>
    <x v="19"/>
    <x v="2"/>
    <x v="0"/>
    <x v="0"/>
    <x v="2"/>
    <x v="0"/>
  </r>
  <r>
    <x v="0"/>
    <x v="0"/>
    <n v="2239280527"/>
    <x v="6"/>
    <n v="6000"/>
    <x v="2"/>
    <x v="0"/>
    <x v="19"/>
    <x v="6"/>
    <x v="0"/>
    <x v="0"/>
    <x v="5"/>
    <x v="0"/>
  </r>
  <r>
    <x v="0"/>
    <x v="0"/>
    <n v="2239280528"/>
    <x v="2"/>
    <n v="16500"/>
    <x v="2"/>
    <x v="0"/>
    <x v="19"/>
    <x v="2"/>
    <x v="0"/>
    <x v="0"/>
    <x v="2"/>
    <x v="0"/>
  </r>
  <r>
    <x v="0"/>
    <x v="0"/>
    <n v="2239280529"/>
    <x v="2"/>
    <n v="15000"/>
    <x v="2"/>
    <x v="0"/>
    <x v="19"/>
    <x v="2"/>
    <x v="0"/>
    <x v="0"/>
    <x v="2"/>
    <x v="0"/>
  </r>
  <r>
    <x v="0"/>
    <x v="0"/>
    <n v="2239280530"/>
    <x v="2"/>
    <n v="3000"/>
    <x v="2"/>
    <x v="0"/>
    <x v="19"/>
    <x v="2"/>
    <x v="0"/>
    <x v="0"/>
    <x v="2"/>
    <x v="0"/>
  </r>
  <r>
    <x v="0"/>
    <x v="0"/>
    <n v="2239280531"/>
    <x v="2"/>
    <n v="4500"/>
    <x v="2"/>
    <x v="0"/>
    <x v="19"/>
    <x v="2"/>
    <x v="0"/>
    <x v="0"/>
    <x v="2"/>
    <x v="0"/>
  </r>
  <r>
    <x v="0"/>
    <x v="0"/>
    <n v="2239280532"/>
    <x v="3"/>
    <n v="13000"/>
    <x v="2"/>
    <x v="0"/>
    <x v="19"/>
    <x v="3"/>
    <x v="0"/>
    <x v="0"/>
    <x v="3"/>
    <x v="0"/>
  </r>
  <r>
    <x v="0"/>
    <x v="0"/>
    <n v="2239280533"/>
    <x v="5"/>
    <n v="-3550"/>
    <x v="2"/>
    <x v="0"/>
    <x v="19"/>
    <x v="5"/>
    <x v="0"/>
    <x v="0"/>
    <x v="5"/>
    <x v="0"/>
  </r>
  <r>
    <x v="0"/>
    <x v="0"/>
    <n v="2239280533"/>
    <x v="6"/>
    <n v="20000"/>
    <x v="2"/>
    <x v="0"/>
    <x v="19"/>
    <x v="6"/>
    <x v="0"/>
    <x v="0"/>
    <x v="5"/>
    <x v="0"/>
  </r>
  <r>
    <x v="0"/>
    <x v="0"/>
    <n v="2239280534"/>
    <x v="2"/>
    <n v="10000"/>
    <x v="2"/>
    <x v="0"/>
    <x v="19"/>
    <x v="2"/>
    <x v="0"/>
    <x v="0"/>
    <x v="2"/>
    <x v="0"/>
  </r>
  <r>
    <x v="0"/>
    <x v="0"/>
    <n v="2239280535"/>
    <x v="2"/>
    <n v="10450"/>
    <x v="2"/>
    <x v="0"/>
    <x v="19"/>
    <x v="2"/>
    <x v="0"/>
    <x v="0"/>
    <x v="2"/>
    <x v="0"/>
  </r>
  <r>
    <x v="0"/>
    <x v="0"/>
    <n v="2239280536"/>
    <x v="6"/>
    <n v="3000"/>
    <x v="2"/>
    <x v="0"/>
    <x v="19"/>
    <x v="6"/>
    <x v="0"/>
    <x v="0"/>
    <x v="5"/>
    <x v="0"/>
  </r>
  <r>
    <x v="0"/>
    <x v="0"/>
    <n v="2239280537"/>
    <x v="5"/>
    <n v="-600"/>
    <x v="2"/>
    <x v="0"/>
    <x v="19"/>
    <x v="5"/>
    <x v="0"/>
    <x v="0"/>
    <x v="5"/>
    <x v="0"/>
  </r>
  <r>
    <x v="0"/>
    <x v="0"/>
    <n v="2239280537"/>
    <x v="4"/>
    <n v="5000"/>
    <x v="2"/>
    <x v="0"/>
    <x v="19"/>
    <x v="4"/>
    <x v="0"/>
    <x v="0"/>
    <x v="4"/>
    <x v="0"/>
  </r>
  <r>
    <x v="0"/>
    <x v="0"/>
    <n v="2239280538"/>
    <x v="5"/>
    <n v="-1000"/>
    <x v="2"/>
    <x v="0"/>
    <x v="19"/>
    <x v="5"/>
    <x v="0"/>
    <x v="0"/>
    <x v="5"/>
    <x v="0"/>
  </r>
  <r>
    <x v="0"/>
    <x v="0"/>
    <n v="2239280538"/>
    <x v="6"/>
    <n v="7000"/>
    <x v="2"/>
    <x v="0"/>
    <x v="19"/>
    <x v="6"/>
    <x v="0"/>
    <x v="0"/>
    <x v="5"/>
    <x v="0"/>
  </r>
  <r>
    <x v="0"/>
    <x v="0"/>
    <n v="2239280539"/>
    <x v="2"/>
    <n v="13090"/>
    <x v="2"/>
    <x v="0"/>
    <x v="19"/>
    <x v="2"/>
    <x v="0"/>
    <x v="0"/>
    <x v="2"/>
    <x v="0"/>
  </r>
  <r>
    <x v="0"/>
    <x v="0"/>
    <n v="2239280541"/>
    <x v="6"/>
    <n v="45000"/>
    <x v="2"/>
    <x v="0"/>
    <x v="19"/>
    <x v="6"/>
    <x v="0"/>
    <x v="0"/>
    <x v="5"/>
    <x v="0"/>
  </r>
  <r>
    <x v="0"/>
    <x v="0"/>
    <n v="2239280542"/>
    <x v="2"/>
    <n v="4500"/>
    <x v="2"/>
    <x v="0"/>
    <x v="19"/>
    <x v="2"/>
    <x v="0"/>
    <x v="0"/>
    <x v="2"/>
    <x v="0"/>
  </r>
  <r>
    <x v="0"/>
    <x v="0"/>
    <n v="2239280543"/>
    <x v="2"/>
    <n v="5720"/>
    <x v="2"/>
    <x v="0"/>
    <x v="19"/>
    <x v="2"/>
    <x v="0"/>
    <x v="0"/>
    <x v="2"/>
    <x v="0"/>
  </r>
  <r>
    <x v="0"/>
    <x v="0"/>
    <n v="2239280543"/>
    <x v="7"/>
    <n v="1300"/>
    <x v="2"/>
    <x v="0"/>
    <x v="19"/>
    <x v="7"/>
    <x v="0"/>
    <x v="0"/>
    <x v="1"/>
    <x v="0"/>
  </r>
  <r>
    <x v="0"/>
    <x v="0"/>
    <n v="2239280547"/>
    <x v="3"/>
    <n v="19800"/>
    <x v="2"/>
    <x v="0"/>
    <x v="19"/>
    <x v="3"/>
    <x v="0"/>
    <x v="0"/>
    <x v="3"/>
    <x v="0"/>
  </r>
  <r>
    <x v="0"/>
    <x v="0"/>
    <n v="2239280548"/>
    <x v="8"/>
    <n v="7500"/>
    <x v="2"/>
    <x v="0"/>
    <x v="19"/>
    <x v="8"/>
    <x v="0"/>
    <x v="0"/>
    <x v="3"/>
    <x v="0"/>
  </r>
  <r>
    <x v="0"/>
    <x v="0"/>
    <n v="2239280549"/>
    <x v="2"/>
    <n v="13000"/>
    <x v="2"/>
    <x v="0"/>
    <x v="19"/>
    <x v="2"/>
    <x v="0"/>
    <x v="0"/>
    <x v="2"/>
    <x v="0"/>
  </r>
  <r>
    <x v="0"/>
    <x v="0"/>
    <n v="2239280551"/>
    <x v="2"/>
    <n v="10450"/>
    <x v="2"/>
    <x v="0"/>
    <x v="19"/>
    <x v="2"/>
    <x v="0"/>
    <x v="0"/>
    <x v="2"/>
    <x v="0"/>
  </r>
  <r>
    <x v="0"/>
    <x v="0"/>
    <n v="2239280552"/>
    <x v="2"/>
    <n v="11000"/>
    <x v="2"/>
    <x v="0"/>
    <x v="19"/>
    <x v="2"/>
    <x v="0"/>
    <x v="0"/>
    <x v="2"/>
    <x v="0"/>
  </r>
  <r>
    <x v="0"/>
    <x v="0"/>
    <n v="2239280554"/>
    <x v="2"/>
    <n v="5775"/>
    <x v="2"/>
    <x v="0"/>
    <x v="19"/>
    <x v="2"/>
    <x v="0"/>
    <x v="0"/>
    <x v="2"/>
    <x v="0"/>
  </r>
  <r>
    <x v="0"/>
    <x v="0"/>
    <n v="2239280555"/>
    <x v="5"/>
    <n v="-4700"/>
    <x v="2"/>
    <x v="0"/>
    <x v="19"/>
    <x v="5"/>
    <x v="0"/>
    <x v="0"/>
    <x v="5"/>
    <x v="0"/>
  </r>
  <r>
    <x v="0"/>
    <x v="0"/>
    <n v="2239280555"/>
    <x v="4"/>
    <n v="10000"/>
    <x v="2"/>
    <x v="0"/>
    <x v="19"/>
    <x v="4"/>
    <x v="0"/>
    <x v="0"/>
    <x v="4"/>
    <x v="0"/>
  </r>
  <r>
    <x v="0"/>
    <x v="0"/>
    <n v="2239280556"/>
    <x v="2"/>
    <n v="8500"/>
    <x v="2"/>
    <x v="0"/>
    <x v="19"/>
    <x v="2"/>
    <x v="0"/>
    <x v="0"/>
    <x v="2"/>
    <x v="0"/>
  </r>
  <r>
    <x v="0"/>
    <x v="0"/>
    <n v="2239280557"/>
    <x v="2"/>
    <n v="12200"/>
    <x v="2"/>
    <x v="0"/>
    <x v="19"/>
    <x v="2"/>
    <x v="0"/>
    <x v="0"/>
    <x v="2"/>
    <x v="0"/>
  </r>
  <r>
    <x v="0"/>
    <x v="0"/>
    <n v="2239280558"/>
    <x v="6"/>
    <n v="3500"/>
    <x v="2"/>
    <x v="0"/>
    <x v="19"/>
    <x v="6"/>
    <x v="0"/>
    <x v="0"/>
    <x v="5"/>
    <x v="0"/>
  </r>
  <r>
    <x v="0"/>
    <x v="0"/>
    <n v="2239280559"/>
    <x v="2"/>
    <n v="10890"/>
    <x v="2"/>
    <x v="0"/>
    <x v="19"/>
    <x v="2"/>
    <x v="0"/>
    <x v="0"/>
    <x v="2"/>
    <x v="0"/>
  </r>
  <r>
    <x v="0"/>
    <x v="0"/>
    <n v="2239280561"/>
    <x v="5"/>
    <n v="-2000"/>
    <x v="2"/>
    <x v="0"/>
    <x v="19"/>
    <x v="5"/>
    <x v="0"/>
    <x v="0"/>
    <x v="5"/>
    <x v="0"/>
  </r>
  <r>
    <x v="0"/>
    <x v="0"/>
    <n v="2239280561"/>
    <x v="6"/>
    <n v="10000"/>
    <x v="2"/>
    <x v="0"/>
    <x v="19"/>
    <x v="6"/>
    <x v="0"/>
    <x v="0"/>
    <x v="5"/>
    <x v="0"/>
  </r>
  <r>
    <x v="0"/>
    <x v="0"/>
    <n v="2239280562"/>
    <x v="2"/>
    <n v="8250"/>
    <x v="2"/>
    <x v="0"/>
    <x v="19"/>
    <x v="2"/>
    <x v="0"/>
    <x v="0"/>
    <x v="2"/>
    <x v="0"/>
  </r>
  <r>
    <x v="0"/>
    <x v="0"/>
    <n v="2239280563"/>
    <x v="2"/>
    <n v="17490"/>
    <x v="2"/>
    <x v="0"/>
    <x v="19"/>
    <x v="2"/>
    <x v="0"/>
    <x v="0"/>
    <x v="2"/>
    <x v="0"/>
  </r>
  <r>
    <x v="0"/>
    <x v="0"/>
    <n v="2239280564"/>
    <x v="3"/>
    <n v="15000"/>
    <x v="2"/>
    <x v="0"/>
    <x v="19"/>
    <x v="3"/>
    <x v="0"/>
    <x v="0"/>
    <x v="3"/>
    <x v="0"/>
  </r>
  <r>
    <x v="0"/>
    <x v="0"/>
    <n v="2239280565"/>
    <x v="6"/>
    <n v="6500"/>
    <x v="2"/>
    <x v="0"/>
    <x v="19"/>
    <x v="6"/>
    <x v="0"/>
    <x v="0"/>
    <x v="5"/>
    <x v="0"/>
  </r>
  <r>
    <x v="0"/>
    <x v="0"/>
    <n v="2239280567"/>
    <x v="2"/>
    <n v="36000"/>
    <x v="2"/>
    <x v="0"/>
    <x v="19"/>
    <x v="2"/>
    <x v="0"/>
    <x v="0"/>
    <x v="2"/>
    <x v="0"/>
  </r>
  <r>
    <x v="0"/>
    <x v="0"/>
    <n v="2239280568"/>
    <x v="2"/>
    <n v="10890"/>
    <x v="2"/>
    <x v="0"/>
    <x v="19"/>
    <x v="2"/>
    <x v="0"/>
    <x v="0"/>
    <x v="2"/>
    <x v="0"/>
  </r>
  <r>
    <x v="0"/>
    <x v="0"/>
    <n v="2239280569"/>
    <x v="5"/>
    <n v="-100"/>
    <x v="2"/>
    <x v="0"/>
    <x v="19"/>
    <x v="5"/>
    <x v="0"/>
    <x v="0"/>
    <x v="5"/>
    <x v="0"/>
  </r>
  <r>
    <x v="0"/>
    <x v="0"/>
    <n v="2239280569"/>
    <x v="6"/>
    <n v="21000"/>
    <x v="2"/>
    <x v="0"/>
    <x v="19"/>
    <x v="6"/>
    <x v="0"/>
    <x v="0"/>
    <x v="5"/>
    <x v="0"/>
  </r>
  <r>
    <x v="0"/>
    <x v="0"/>
    <n v="2239280570"/>
    <x v="5"/>
    <n v="-9600"/>
    <x v="2"/>
    <x v="0"/>
    <x v="19"/>
    <x v="5"/>
    <x v="0"/>
    <x v="0"/>
    <x v="5"/>
    <x v="0"/>
  </r>
  <r>
    <x v="0"/>
    <x v="0"/>
    <n v="2239280570"/>
    <x v="6"/>
    <n v="40000"/>
    <x v="2"/>
    <x v="0"/>
    <x v="19"/>
    <x v="6"/>
    <x v="0"/>
    <x v="0"/>
    <x v="5"/>
    <x v="0"/>
  </r>
  <r>
    <x v="0"/>
    <x v="0"/>
    <n v="2239280571"/>
    <x v="3"/>
    <n v="29590"/>
    <x v="2"/>
    <x v="0"/>
    <x v="19"/>
    <x v="3"/>
    <x v="0"/>
    <x v="0"/>
    <x v="3"/>
    <x v="0"/>
  </r>
  <r>
    <x v="0"/>
    <x v="0"/>
    <n v="2239280572"/>
    <x v="6"/>
    <n v="6000"/>
    <x v="2"/>
    <x v="0"/>
    <x v="19"/>
    <x v="6"/>
    <x v="0"/>
    <x v="0"/>
    <x v="5"/>
    <x v="0"/>
  </r>
  <r>
    <x v="0"/>
    <x v="0"/>
    <n v="2239280573"/>
    <x v="5"/>
    <n v="-11000"/>
    <x v="2"/>
    <x v="0"/>
    <x v="19"/>
    <x v="5"/>
    <x v="0"/>
    <x v="0"/>
    <x v="5"/>
    <x v="0"/>
  </r>
  <r>
    <x v="0"/>
    <x v="0"/>
    <n v="2239280573"/>
    <x v="6"/>
    <n v="25000"/>
    <x v="2"/>
    <x v="0"/>
    <x v="19"/>
    <x v="6"/>
    <x v="0"/>
    <x v="0"/>
    <x v="5"/>
    <x v="0"/>
  </r>
  <r>
    <x v="0"/>
    <x v="0"/>
    <n v="2239280574"/>
    <x v="2"/>
    <n v="16000"/>
    <x v="2"/>
    <x v="0"/>
    <x v="19"/>
    <x v="2"/>
    <x v="0"/>
    <x v="0"/>
    <x v="2"/>
    <x v="0"/>
  </r>
  <r>
    <x v="0"/>
    <x v="0"/>
    <n v="2239280575"/>
    <x v="2"/>
    <n v="3000"/>
    <x v="2"/>
    <x v="0"/>
    <x v="19"/>
    <x v="2"/>
    <x v="0"/>
    <x v="0"/>
    <x v="2"/>
    <x v="0"/>
  </r>
  <r>
    <x v="0"/>
    <x v="0"/>
    <n v="2239280576"/>
    <x v="4"/>
    <n v="1000"/>
    <x v="2"/>
    <x v="0"/>
    <x v="19"/>
    <x v="4"/>
    <x v="0"/>
    <x v="0"/>
    <x v="4"/>
    <x v="0"/>
  </r>
  <r>
    <x v="0"/>
    <x v="0"/>
    <n v="2239280577"/>
    <x v="3"/>
    <n v="51000"/>
    <x v="2"/>
    <x v="0"/>
    <x v="19"/>
    <x v="3"/>
    <x v="0"/>
    <x v="0"/>
    <x v="3"/>
    <x v="0"/>
  </r>
  <r>
    <x v="0"/>
    <x v="0"/>
    <n v="2239280578"/>
    <x v="5"/>
    <n v="-700"/>
    <x v="2"/>
    <x v="0"/>
    <x v="19"/>
    <x v="5"/>
    <x v="0"/>
    <x v="0"/>
    <x v="5"/>
    <x v="0"/>
  </r>
  <r>
    <x v="0"/>
    <x v="0"/>
    <n v="2239280578"/>
    <x v="4"/>
    <n v="6000"/>
    <x v="2"/>
    <x v="0"/>
    <x v="19"/>
    <x v="4"/>
    <x v="0"/>
    <x v="0"/>
    <x v="4"/>
    <x v="0"/>
  </r>
  <r>
    <x v="0"/>
    <x v="0"/>
    <n v="2239280579"/>
    <x v="5"/>
    <n v="-5600"/>
    <x v="2"/>
    <x v="0"/>
    <x v="19"/>
    <x v="5"/>
    <x v="0"/>
    <x v="0"/>
    <x v="5"/>
    <x v="0"/>
  </r>
  <r>
    <x v="0"/>
    <x v="0"/>
    <n v="2239280579"/>
    <x v="4"/>
    <n v="10000"/>
    <x v="2"/>
    <x v="0"/>
    <x v="19"/>
    <x v="4"/>
    <x v="0"/>
    <x v="0"/>
    <x v="4"/>
    <x v="0"/>
  </r>
  <r>
    <x v="0"/>
    <x v="0"/>
    <n v="2239280580"/>
    <x v="2"/>
    <n v="8500"/>
    <x v="2"/>
    <x v="0"/>
    <x v="19"/>
    <x v="2"/>
    <x v="0"/>
    <x v="0"/>
    <x v="2"/>
    <x v="0"/>
  </r>
  <r>
    <x v="0"/>
    <x v="0"/>
    <n v="2239280581"/>
    <x v="2"/>
    <n v="20900"/>
    <x v="2"/>
    <x v="0"/>
    <x v="19"/>
    <x v="2"/>
    <x v="0"/>
    <x v="0"/>
    <x v="2"/>
    <x v="0"/>
  </r>
  <r>
    <x v="0"/>
    <x v="0"/>
    <n v="2239280582"/>
    <x v="2"/>
    <n v="15000"/>
    <x v="2"/>
    <x v="0"/>
    <x v="19"/>
    <x v="2"/>
    <x v="0"/>
    <x v="0"/>
    <x v="2"/>
    <x v="0"/>
  </r>
  <r>
    <x v="0"/>
    <x v="0"/>
    <n v="2239280584"/>
    <x v="5"/>
    <n v="-500"/>
    <x v="2"/>
    <x v="0"/>
    <x v="19"/>
    <x v="5"/>
    <x v="0"/>
    <x v="0"/>
    <x v="5"/>
    <x v="0"/>
  </r>
  <r>
    <x v="0"/>
    <x v="0"/>
    <n v="2239280584"/>
    <x v="6"/>
    <n v="7000"/>
    <x v="2"/>
    <x v="0"/>
    <x v="19"/>
    <x v="6"/>
    <x v="0"/>
    <x v="0"/>
    <x v="5"/>
    <x v="0"/>
  </r>
  <r>
    <x v="0"/>
    <x v="0"/>
    <n v="2239280585"/>
    <x v="5"/>
    <n v="-5600"/>
    <x v="2"/>
    <x v="0"/>
    <x v="19"/>
    <x v="5"/>
    <x v="0"/>
    <x v="0"/>
    <x v="5"/>
    <x v="0"/>
  </r>
  <r>
    <x v="0"/>
    <x v="0"/>
    <n v="2239280585"/>
    <x v="4"/>
    <n v="10000"/>
    <x v="2"/>
    <x v="0"/>
    <x v="19"/>
    <x v="4"/>
    <x v="0"/>
    <x v="0"/>
    <x v="4"/>
    <x v="0"/>
  </r>
  <r>
    <x v="0"/>
    <x v="0"/>
    <n v="2239280586"/>
    <x v="6"/>
    <n v="7500"/>
    <x v="2"/>
    <x v="0"/>
    <x v="19"/>
    <x v="6"/>
    <x v="0"/>
    <x v="0"/>
    <x v="5"/>
    <x v="0"/>
  </r>
  <r>
    <x v="0"/>
    <x v="0"/>
    <n v="2239280587"/>
    <x v="8"/>
    <n v="13200"/>
    <x v="2"/>
    <x v="0"/>
    <x v="19"/>
    <x v="8"/>
    <x v="0"/>
    <x v="0"/>
    <x v="3"/>
    <x v="0"/>
  </r>
  <r>
    <x v="0"/>
    <x v="0"/>
    <n v="2239280589"/>
    <x v="2"/>
    <n v="16500"/>
    <x v="2"/>
    <x v="0"/>
    <x v="19"/>
    <x v="2"/>
    <x v="0"/>
    <x v="0"/>
    <x v="2"/>
    <x v="0"/>
  </r>
  <r>
    <x v="0"/>
    <x v="0"/>
    <n v="2239280591"/>
    <x v="5"/>
    <n v="-5500"/>
    <x v="2"/>
    <x v="0"/>
    <x v="19"/>
    <x v="5"/>
    <x v="0"/>
    <x v="0"/>
    <x v="5"/>
    <x v="0"/>
  </r>
  <r>
    <x v="0"/>
    <x v="0"/>
    <n v="2239280591"/>
    <x v="6"/>
    <n v="10000"/>
    <x v="2"/>
    <x v="0"/>
    <x v="19"/>
    <x v="6"/>
    <x v="0"/>
    <x v="0"/>
    <x v="5"/>
    <x v="0"/>
  </r>
  <r>
    <x v="0"/>
    <x v="0"/>
    <n v="2239280593"/>
    <x v="6"/>
    <n v="12000"/>
    <x v="2"/>
    <x v="0"/>
    <x v="19"/>
    <x v="6"/>
    <x v="0"/>
    <x v="0"/>
    <x v="5"/>
    <x v="0"/>
  </r>
  <r>
    <x v="0"/>
    <x v="0"/>
    <n v="2239280594"/>
    <x v="2"/>
    <n v="17000"/>
    <x v="2"/>
    <x v="0"/>
    <x v="19"/>
    <x v="2"/>
    <x v="0"/>
    <x v="0"/>
    <x v="2"/>
    <x v="0"/>
  </r>
  <r>
    <x v="0"/>
    <x v="0"/>
    <n v="2239280595"/>
    <x v="5"/>
    <n v="-7000"/>
    <x v="2"/>
    <x v="0"/>
    <x v="19"/>
    <x v="5"/>
    <x v="0"/>
    <x v="0"/>
    <x v="5"/>
    <x v="0"/>
  </r>
  <r>
    <x v="0"/>
    <x v="0"/>
    <n v="2239280595"/>
    <x v="6"/>
    <n v="20000"/>
    <x v="2"/>
    <x v="0"/>
    <x v="19"/>
    <x v="6"/>
    <x v="0"/>
    <x v="0"/>
    <x v="5"/>
    <x v="0"/>
  </r>
  <r>
    <x v="0"/>
    <x v="0"/>
    <n v="2239280596"/>
    <x v="5"/>
    <n v="-531252835"/>
    <x v="2"/>
    <x v="0"/>
    <x v="19"/>
    <x v="5"/>
    <x v="0"/>
    <x v="0"/>
    <x v="5"/>
    <x v="0"/>
  </r>
  <r>
    <x v="0"/>
    <x v="0"/>
    <n v="2239280596"/>
    <x v="6"/>
    <n v="531285835"/>
    <x v="2"/>
    <x v="0"/>
    <x v="19"/>
    <x v="6"/>
    <x v="0"/>
    <x v="0"/>
    <x v="5"/>
    <x v="0"/>
  </r>
  <r>
    <x v="0"/>
    <x v="0"/>
    <n v="2239280597"/>
    <x v="2"/>
    <n v="11000"/>
    <x v="2"/>
    <x v="0"/>
    <x v="19"/>
    <x v="2"/>
    <x v="0"/>
    <x v="0"/>
    <x v="2"/>
    <x v="0"/>
  </r>
  <r>
    <x v="0"/>
    <x v="0"/>
    <n v="2239280598"/>
    <x v="2"/>
    <n v="8000"/>
    <x v="2"/>
    <x v="0"/>
    <x v="19"/>
    <x v="2"/>
    <x v="0"/>
    <x v="0"/>
    <x v="2"/>
    <x v="0"/>
  </r>
  <r>
    <x v="0"/>
    <x v="0"/>
    <n v="2239280599"/>
    <x v="2"/>
    <n v="6500"/>
    <x v="2"/>
    <x v="0"/>
    <x v="19"/>
    <x v="2"/>
    <x v="0"/>
    <x v="0"/>
    <x v="2"/>
    <x v="0"/>
  </r>
  <r>
    <x v="0"/>
    <x v="0"/>
    <n v="2239280601"/>
    <x v="2"/>
    <n v="4500"/>
    <x v="2"/>
    <x v="0"/>
    <x v="19"/>
    <x v="2"/>
    <x v="0"/>
    <x v="0"/>
    <x v="2"/>
    <x v="0"/>
  </r>
  <r>
    <x v="0"/>
    <x v="0"/>
    <n v="2239280602"/>
    <x v="2"/>
    <n v="6500"/>
    <x v="2"/>
    <x v="0"/>
    <x v="19"/>
    <x v="2"/>
    <x v="0"/>
    <x v="0"/>
    <x v="2"/>
    <x v="0"/>
  </r>
  <r>
    <x v="0"/>
    <x v="0"/>
    <n v="2239280603"/>
    <x v="2"/>
    <n v="6000"/>
    <x v="2"/>
    <x v="0"/>
    <x v="19"/>
    <x v="2"/>
    <x v="0"/>
    <x v="0"/>
    <x v="2"/>
    <x v="0"/>
  </r>
  <r>
    <x v="0"/>
    <x v="0"/>
    <n v="2239280605"/>
    <x v="2"/>
    <n v="7000"/>
    <x v="2"/>
    <x v="0"/>
    <x v="19"/>
    <x v="2"/>
    <x v="0"/>
    <x v="0"/>
    <x v="2"/>
    <x v="0"/>
  </r>
  <r>
    <x v="0"/>
    <x v="0"/>
    <n v="2239280607"/>
    <x v="2"/>
    <n v="7000"/>
    <x v="2"/>
    <x v="0"/>
    <x v="19"/>
    <x v="2"/>
    <x v="0"/>
    <x v="0"/>
    <x v="2"/>
    <x v="0"/>
  </r>
  <r>
    <x v="0"/>
    <x v="0"/>
    <n v="2239280608"/>
    <x v="2"/>
    <n v="7500"/>
    <x v="2"/>
    <x v="0"/>
    <x v="19"/>
    <x v="2"/>
    <x v="0"/>
    <x v="0"/>
    <x v="2"/>
    <x v="0"/>
  </r>
  <r>
    <x v="0"/>
    <x v="0"/>
    <n v="2239280609"/>
    <x v="3"/>
    <n v="19950"/>
    <x v="2"/>
    <x v="0"/>
    <x v="19"/>
    <x v="3"/>
    <x v="0"/>
    <x v="0"/>
    <x v="3"/>
    <x v="0"/>
  </r>
  <r>
    <x v="0"/>
    <x v="0"/>
    <n v="2239280610"/>
    <x v="2"/>
    <n v="13000"/>
    <x v="2"/>
    <x v="0"/>
    <x v="19"/>
    <x v="2"/>
    <x v="0"/>
    <x v="0"/>
    <x v="2"/>
    <x v="0"/>
  </r>
  <r>
    <x v="0"/>
    <x v="0"/>
    <n v="2239280611"/>
    <x v="2"/>
    <n v="10450"/>
    <x v="2"/>
    <x v="0"/>
    <x v="19"/>
    <x v="2"/>
    <x v="0"/>
    <x v="0"/>
    <x v="2"/>
    <x v="0"/>
  </r>
  <r>
    <x v="0"/>
    <x v="0"/>
    <n v="2239280612"/>
    <x v="6"/>
    <n v="7000"/>
    <x v="2"/>
    <x v="0"/>
    <x v="19"/>
    <x v="6"/>
    <x v="0"/>
    <x v="0"/>
    <x v="5"/>
    <x v="0"/>
  </r>
  <r>
    <x v="0"/>
    <x v="0"/>
    <n v="2239280612"/>
    <x v="2"/>
    <n v="6000"/>
    <x v="2"/>
    <x v="0"/>
    <x v="19"/>
    <x v="2"/>
    <x v="0"/>
    <x v="0"/>
    <x v="2"/>
    <x v="0"/>
  </r>
  <r>
    <x v="0"/>
    <x v="0"/>
    <n v="2239280613"/>
    <x v="2"/>
    <n v="6500"/>
    <x v="2"/>
    <x v="0"/>
    <x v="19"/>
    <x v="2"/>
    <x v="0"/>
    <x v="0"/>
    <x v="2"/>
    <x v="0"/>
  </r>
  <r>
    <x v="0"/>
    <x v="0"/>
    <n v="2239280614"/>
    <x v="5"/>
    <n v="-2000"/>
    <x v="2"/>
    <x v="0"/>
    <x v="19"/>
    <x v="5"/>
    <x v="0"/>
    <x v="0"/>
    <x v="5"/>
    <x v="0"/>
  </r>
  <r>
    <x v="0"/>
    <x v="0"/>
    <n v="2239280614"/>
    <x v="6"/>
    <n v="5000"/>
    <x v="2"/>
    <x v="0"/>
    <x v="19"/>
    <x v="6"/>
    <x v="0"/>
    <x v="0"/>
    <x v="5"/>
    <x v="0"/>
  </r>
  <r>
    <x v="0"/>
    <x v="0"/>
    <n v="2239280615"/>
    <x v="5"/>
    <n v="-5000"/>
    <x v="2"/>
    <x v="0"/>
    <x v="19"/>
    <x v="5"/>
    <x v="0"/>
    <x v="0"/>
    <x v="5"/>
    <x v="0"/>
  </r>
  <r>
    <x v="0"/>
    <x v="0"/>
    <n v="2239280615"/>
    <x v="6"/>
    <n v="10200"/>
    <x v="2"/>
    <x v="0"/>
    <x v="19"/>
    <x v="6"/>
    <x v="0"/>
    <x v="0"/>
    <x v="5"/>
    <x v="0"/>
  </r>
  <r>
    <x v="0"/>
    <x v="0"/>
    <n v="2239280616"/>
    <x v="5"/>
    <n v="-2000"/>
    <x v="2"/>
    <x v="0"/>
    <x v="19"/>
    <x v="5"/>
    <x v="0"/>
    <x v="0"/>
    <x v="5"/>
    <x v="0"/>
  </r>
  <r>
    <x v="0"/>
    <x v="0"/>
    <n v="2239280616"/>
    <x v="6"/>
    <n v="10000"/>
    <x v="2"/>
    <x v="0"/>
    <x v="19"/>
    <x v="6"/>
    <x v="0"/>
    <x v="0"/>
    <x v="5"/>
    <x v="0"/>
  </r>
  <r>
    <x v="0"/>
    <x v="0"/>
    <n v="2239280619"/>
    <x v="5"/>
    <n v="-4000"/>
    <x v="2"/>
    <x v="0"/>
    <x v="19"/>
    <x v="5"/>
    <x v="0"/>
    <x v="0"/>
    <x v="5"/>
    <x v="0"/>
  </r>
  <r>
    <x v="0"/>
    <x v="0"/>
    <n v="2239280619"/>
    <x v="6"/>
    <n v="10000"/>
    <x v="2"/>
    <x v="0"/>
    <x v="19"/>
    <x v="6"/>
    <x v="0"/>
    <x v="0"/>
    <x v="5"/>
    <x v="0"/>
  </r>
  <r>
    <x v="0"/>
    <x v="0"/>
    <n v="2239280620"/>
    <x v="2"/>
    <n v="6500"/>
    <x v="2"/>
    <x v="0"/>
    <x v="19"/>
    <x v="2"/>
    <x v="0"/>
    <x v="0"/>
    <x v="2"/>
    <x v="0"/>
  </r>
  <r>
    <x v="0"/>
    <x v="0"/>
    <n v="2239280621"/>
    <x v="2"/>
    <n v="8250"/>
    <x v="2"/>
    <x v="0"/>
    <x v="19"/>
    <x v="2"/>
    <x v="0"/>
    <x v="0"/>
    <x v="2"/>
    <x v="0"/>
  </r>
  <r>
    <x v="0"/>
    <x v="0"/>
    <n v="2239280622"/>
    <x v="5"/>
    <n v="-5000"/>
    <x v="2"/>
    <x v="0"/>
    <x v="19"/>
    <x v="5"/>
    <x v="0"/>
    <x v="0"/>
    <x v="5"/>
    <x v="0"/>
  </r>
  <r>
    <x v="0"/>
    <x v="0"/>
    <n v="2239280622"/>
    <x v="4"/>
    <n v="10300"/>
    <x v="2"/>
    <x v="0"/>
    <x v="19"/>
    <x v="4"/>
    <x v="0"/>
    <x v="0"/>
    <x v="4"/>
    <x v="0"/>
  </r>
  <r>
    <x v="0"/>
    <x v="0"/>
    <n v="2239280623"/>
    <x v="2"/>
    <n v="7500"/>
    <x v="2"/>
    <x v="0"/>
    <x v="19"/>
    <x v="2"/>
    <x v="0"/>
    <x v="0"/>
    <x v="2"/>
    <x v="0"/>
  </r>
  <r>
    <x v="0"/>
    <x v="0"/>
    <n v="2239280624"/>
    <x v="5"/>
    <n v="-9500"/>
    <x v="2"/>
    <x v="0"/>
    <x v="19"/>
    <x v="5"/>
    <x v="0"/>
    <x v="0"/>
    <x v="5"/>
    <x v="0"/>
  </r>
  <r>
    <x v="0"/>
    <x v="0"/>
    <n v="2239280624"/>
    <x v="6"/>
    <n v="20000"/>
    <x v="2"/>
    <x v="0"/>
    <x v="19"/>
    <x v="6"/>
    <x v="0"/>
    <x v="0"/>
    <x v="5"/>
    <x v="0"/>
  </r>
  <r>
    <x v="0"/>
    <x v="0"/>
    <n v="2239280625"/>
    <x v="5"/>
    <n v="-500"/>
    <x v="2"/>
    <x v="0"/>
    <x v="19"/>
    <x v="5"/>
    <x v="0"/>
    <x v="0"/>
    <x v="5"/>
    <x v="0"/>
  </r>
  <r>
    <x v="0"/>
    <x v="0"/>
    <n v="2239280625"/>
    <x v="6"/>
    <n v="7000"/>
    <x v="2"/>
    <x v="0"/>
    <x v="19"/>
    <x v="6"/>
    <x v="0"/>
    <x v="0"/>
    <x v="5"/>
    <x v="0"/>
  </r>
  <r>
    <x v="0"/>
    <x v="0"/>
    <n v="2239280627"/>
    <x v="2"/>
    <n v="6500"/>
    <x v="2"/>
    <x v="0"/>
    <x v="19"/>
    <x v="2"/>
    <x v="0"/>
    <x v="0"/>
    <x v="2"/>
    <x v="0"/>
  </r>
  <r>
    <x v="0"/>
    <x v="0"/>
    <n v="2239280629"/>
    <x v="5"/>
    <n v="-4000"/>
    <x v="2"/>
    <x v="0"/>
    <x v="19"/>
    <x v="5"/>
    <x v="0"/>
    <x v="0"/>
    <x v="5"/>
    <x v="0"/>
  </r>
  <r>
    <x v="0"/>
    <x v="0"/>
    <n v="2239280629"/>
    <x v="6"/>
    <n v="10000"/>
    <x v="2"/>
    <x v="0"/>
    <x v="19"/>
    <x v="6"/>
    <x v="0"/>
    <x v="0"/>
    <x v="5"/>
    <x v="0"/>
  </r>
  <r>
    <x v="0"/>
    <x v="0"/>
    <n v="2239280630"/>
    <x v="6"/>
    <n v="12000"/>
    <x v="2"/>
    <x v="0"/>
    <x v="19"/>
    <x v="6"/>
    <x v="0"/>
    <x v="0"/>
    <x v="5"/>
    <x v="0"/>
  </r>
  <r>
    <x v="0"/>
    <x v="0"/>
    <n v="2239280631"/>
    <x v="2"/>
    <n v="40348"/>
    <x v="2"/>
    <x v="0"/>
    <x v="19"/>
    <x v="2"/>
    <x v="0"/>
    <x v="0"/>
    <x v="2"/>
    <x v="0"/>
  </r>
  <r>
    <x v="0"/>
    <x v="0"/>
    <n v="2239280632"/>
    <x v="1"/>
    <n v="2040"/>
    <x v="2"/>
    <x v="0"/>
    <x v="19"/>
    <x v="1"/>
    <x v="0"/>
    <x v="0"/>
    <x v="1"/>
    <x v="0"/>
  </r>
  <r>
    <x v="0"/>
    <x v="0"/>
    <n v="2239280633"/>
    <x v="5"/>
    <n v="-7000"/>
    <x v="2"/>
    <x v="0"/>
    <x v="19"/>
    <x v="5"/>
    <x v="0"/>
    <x v="0"/>
    <x v="5"/>
    <x v="0"/>
  </r>
  <r>
    <x v="0"/>
    <x v="0"/>
    <n v="2239280633"/>
    <x v="6"/>
    <n v="10000"/>
    <x v="2"/>
    <x v="0"/>
    <x v="19"/>
    <x v="6"/>
    <x v="0"/>
    <x v="0"/>
    <x v="5"/>
    <x v="0"/>
  </r>
  <r>
    <x v="0"/>
    <x v="0"/>
    <n v="2239280634"/>
    <x v="5"/>
    <n v="-5600"/>
    <x v="2"/>
    <x v="0"/>
    <x v="19"/>
    <x v="5"/>
    <x v="0"/>
    <x v="0"/>
    <x v="5"/>
    <x v="0"/>
  </r>
  <r>
    <x v="0"/>
    <x v="0"/>
    <n v="2239280634"/>
    <x v="4"/>
    <n v="10000"/>
    <x v="2"/>
    <x v="0"/>
    <x v="19"/>
    <x v="4"/>
    <x v="0"/>
    <x v="0"/>
    <x v="4"/>
    <x v="0"/>
  </r>
  <r>
    <x v="0"/>
    <x v="0"/>
    <n v="2239280635"/>
    <x v="2"/>
    <n v="10450"/>
    <x v="2"/>
    <x v="0"/>
    <x v="19"/>
    <x v="2"/>
    <x v="0"/>
    <x v="0"/>
    <x v="2"/>
    <x v="0"/>
  </r>
  <r>
    <x v="0"/>
    <x v="0"/>
    <n v="2239280636"/>
    <x v="2"/>
    <n v="4800"/>
    <x v="2"/>
    <x v="0"/>
    <x v="19"/>
    <x v="2"/>
    <x v="0"/>
    <x v="0"/>
    <x v="2"/>
    <x v="0"/>
  </r>
  <r>
    <x v="0"/>
    <x v="0"/>
    <n v="2239280637"/>
    <x v="6"/>
    <n v="13000"/>
    <x v="2"/>
    <x v="0"/>
    <x v="19"/>
    <x v="6"/>
    <x v="0"/>
    <x v="0"/>
    <x v="5"/>
    <x v="0"/>
  </r>
  <r>
    <x v="0"/>
    <x v="0"/>
    <n v="2239280639"/>
    <x v="3"/>
    <n v="16500"/>
    <x v="2"/>
    <x v="0"/>
    <x v="19"/>
    <x v="3"/>
    <x v="0"/>
    <x v="0"/>
    <x v="3"/>
    <x v="0"/>
  </r>
  <r>
    <x v="0"/>
    <x v="0"/>
    <n v="2239280641"/>
    <x v="5"/>
    <n v="-15600"/>
    <x v="2"/>
    <x v="0"/>
    <x v="19"/>
    <x v="5"/>
    <x v="0"/>
    <x v="0"/>
    <x v="5"/>
    <x v="0"/>
  </r>
  <r>
    <x v="0"/>
    <x v="0"/>
    <n v="2239280641"/>
    <x v="4"/>
    <n v="20000"/>
    <x v="2"/>
    <x v="0"/>
    <x v="19"/>
    <x v="4"/>
    <x v="0"/>
    <x v="0"/>
    <x v="4"/>
    <x v="0"/>
  </r>
  <r>
    <x v="0"/>
    <x v="0"/>
    <n v="2239280642"/>
    <x v="5"/>
    <n v="-3000"/>
    <x v="2"/>
    <x v="0"/>
    <x v="19"/>
    <x v="5"/>
    <x v="0"/>
    <x v="0"/>
    <x v="5"/>
    <x v="0"/>
  </r>
  <r>
    <x v="0"/>
    <x v="0"/>
    <n v="2239280642"/>
    <x v="6"/>
    <n v="10000"/>
    <x v="2"/>
    <x v="0"/>
    <x v="19"/>
    <x v="6"/>
    <x v="0"/>
    <x v="0"/>
    <x v="5"/>
    <x v="0"/>
  </r>
  <r>
    <x v="0"/>
    <x v="0"/>
    <n v="2239280643"/>
    <x v="2"/>
    <n v="24750"/>
    <x v="2"/>
    <x v="0"/>
    <x v="19"/>
    <x v="2"/>
    <x v="0"/>
    <x v="0"/>
    <x v="2"/>
    <x v="0"/>
  </r>
  <r>
    <x v="0"/>
    <x v="0"/>
    <n v="2239280644"/>
    <x v="3"/>
    <n v="101410"/>
    <x v="2"/>
    <x v="0"/>
    <x v="19"/>
    <x v="3"/>
    <x v="0"/>
    <x v="0"/>
    <x v="3"/>
    <x v="0"/>
  </r>
  <r>
    <x v="0"/>
    <x v="0"/>
    <n v="2239280645"/>
    <x v="2"/>
    <n v="6500"/>
    <x v="2"/>
    <x v="0"/>
    <x v="19"/>
    <x v="2"/>
    <x v="0"/>
    <x v="0"/>
    <x v="2"/>
    <x v="0"/>
  </r>
  <r>
    <x v="0"/>
    <x v="0"/>
    <n v="2239280646"/>
    <x v="5"/>
    <n v="-900"/>
    <x v="2"/>
    <x v="0"/>
    <x v="19"/>
    <x v="5"/>
    <x v="0"/>
    <x v="0"/>
    <x v="5"/>
    <x v="0"/>
  </r>
  <r>
    <x v="0"/>
    <x v="0"/>
    <n v="2239280646"/>
    <x v="6"/>
    <n v="24000"/>
    <x v="2"/>
    <x v="0"/>
    <x v="19"/>
    <x v="6"/>
    <x v="0"/>
    <x v="0"/>
    <x v="5"/>
    <x v="0"/>
  </r>
  <r>
    <x v="0"/>
    <x v="0"/>
    <n v="2239280649"/>
    <x v="2"/>
    <n v="29590"/>
    <x v="2"/>
    <x v="0"/>
    <x v="19"/>
    <x v="2"/>
    <x v="0"/>
    <x v="0"/>
    <x v="2"/>
    <x v="0"/>
  </r>
  <r>
    <x v="0"/>
    <x v="0"/>
    <n v="2239280650"/>
    <x v="2"/>
    <n v="14300"/>
    <x v="2"/>
    <x v="0"/>
    <x v="19"/>
    <x v="2"/>
    <x v="0"/>
    <x v="0"/>
    <x v="2"/>
    <x v="0"/>
  </r>
  <r>
    <x v="0"/>
    <x v="0"/>
    <n v="2239280651"/>
    <x v="2"/>
    <n v="10450"/>
    <x v="2"/>
    <x v="0"/>
    <x v="19"/>
    <x v="2"/>
    <x v="0"/>
    <x v="0"/>
    <x v="2"/>
    <x v="0"/>
  </r>
  <r>
    <x v="0"/>
    <x v="0"/>
    <n v="2239280652"/>
    <x v="2"/>
    <n v="8250"/>
    <x v="2"/>
    <x v="0"/>
    <x v="19"/>
    <x v="2"/>
    <x v="0"/>
    <x v="0"/>
    <x v="2"/>
    <x v="0"/>
  </r>
  <r>
    <x v="0"/>
    <x v="0"/>
    <n v="2239280653"/>
    <x v="5"/>
    <n v="-4390"/>
    <x v="2"/>
    <x v="0"/>
    <x v="19"/>
    <x v="5"/>
    <x v="0"/>
    <x v="0"/>
    <x v="5"/>
    <x v="0"/>
  </r>
  <r>
    <x v="0"/>
    <x v="0"/>
    <n v="2239280653"/>
    <x v="6"/>
    <n v="70000"/>
    <x v="2"/>
    <x v="0"/>
    <x v="19"/>
    <x v="6"/>
    <x v="0"/>
    <x v="0"/>
    <x v="5"/>
    <x v="0"/>
  </r>
  <r>
    <x v="0"/>
    <x v="0"/>
    <n v="2239280654"/>
    <x v="2"/>
    <n v="8250"/>
    <x v="2"/>
    <x v="0"/>
    <x v="19"/>
    <x v="2"/>
    <x v="0"/>
    <x v="0"/>
    <x v="2"/>
    <x v="0"/>
  </r>
  <r>
    <x v="0"/>
    <x v="0"/>
    <n v="2239280656"/>
    <x v="5"/>
    <n v="-3000"/>
    <x v="2"/>
    <x v="0"/>
    <x v="19"/>
    <x v="5"/>
    <x v="0"/>
    <x v="0"/>
    <x v="5"/>
    <x v="0"/>
  </r>
  <r>
    <x v="0"/>
    <x v="0"/>
    <n v="2239280656"/>
    <x v="6"/>
    <n v="5660"/>
    <x v="2"/>
    <x v="0"/>
    <x v="19"/>
    <x v="6"/>
    <x v="0"/>
    <x v="0"/>
    <x v="5"/>
    <x v="0"/>
  </r>
  <r>
    <x v="0"/>
    <x v="0"/>
    <n v="2239280657"/>
    <x v="6"/>
    <n v="3000"/>
    <x v="2"/>
    <x v="0"/>
    <x v="19"/>
    <x v="6"/>
    <x v="0"/>
    <x v="0"/>
    <x v="5"/>
    <x v="0"/>
  </r>
  <r>
    <x v="0"/>
    <x v="0"/>
    <n v="2239280658"/>
    <x v="2"/>
    <n v="54300"/>
    <x v="2"/>
    <x v="0"/>
    <x v="19"/>
    <x v="2"/>
    <x v="0"/>
    <x v="0"/>
    <x v="2"/>
    <x v="0"/>
  </r>
  <r>
    <x v="0"/>
    <x v="0"/>
    <n v="2239280659"/>
    <x v="3"/>
    <n v="19195"/>
    <x v="2"/>
    <x v="0"/>
    <x v="19"/>
    <x v="3"/>
    <x v="0"/>
    <x v="0"/>
    <x v="3"/>
    <x v="0"/>
  </r>
  <r>
    <x v="0"/>
    <x v="0"/>
    <n v="2239280660"/>
    <x v="2"/>
    <n v="4500"/>
    <x v="2"/>
    <x v="0"/>
    <x v="19"/>
    <x v="2"/>
    <x v="0"/>
    <x v="0"/>
    <x v="2"/>
    <x v="0"/>
  </r>
  <r>
    <x v="0"/>
    <x v="0"/>
    <n v="2239280662"/>
    <x v="2"/>
    <n v="4000"/>
    <x v="2"/>
    <x v="0"/>
    <x v="19"/>
    <x v="2"/>
    <x v="0"/>
    <x v="0"/>
    <x v="2"/>
    <x v="0"/>
  </r>
  <r>
    <x v="0"/>
    <x v="0"/>
    <n v="2239280663"/>
    <x v="5"/>
    <n v="-250"/>
    <x v="2"/>
    <x v="0"/>
    <x v="19"/>
    <x v="5"/>
    <x v="0"/>
    <x v="0"/>
    <x v="5"/>
    <x v="0"/>
  </r>
  <r>
    <x v="0"/>
    <x v="0"/>
    <n v="2239280663"/>
    <x v="6"/>
    <n v="1000"/>
    <x v="2"/>
    <x v="0"/>
    <x v="19"/>
    <x v="6"/>
    <x v="0"/>
    <x v="0"/>
    <x v="5"/>
    <x v="0"/>
  </r>
  <r>
    <x v="0"/>
    <x v="0"/>
    <n v="2239280663"/>
    <x v="3"/>
    <n v="8250"/>
    <x v="2"/>
    <x v="0"/>
    <x v="19"/>
    <x v="3"/>
    <x v="0"/>
    <x v="0"/>
    <x v="3"/>
    <x v="0"/>
  </r>
  <r>
    <x v="0"/>
    <x v="0"/>
    <n v="2239280664"/>
    <x v="5"/>
    <n v="-5300"/>
    <x v="2"/>
    <x v="0"/>
    <x v="19"/>
    <x v="5"/>
    <x v="0"/>
    <x v="0"/>
    <x v="5"/>
    <x v="0"/>
  </r>
  <r>
    <x v="0"/>
    <x v="0"/>
    <n v="2239280664"/>
    <x v="6"/>
    <n v="20000"/>
    <x v="2"/>
    <x v="0"/>
    <x v="19"/>
    <x v="6"/>
    <x v="0"/>
    <x v="0"/>
    <x v="5"/>
    <x v="0"/>
  </r>
  <r>
    <x v="0"/>
    <x v="0"/>
    <n v="2239286916"/>
    <x v="1"/>
    <n v="2850"/>
    <x v="2"/>
    <x v="0"/>
    <x v="53"/>
    <x v="1"/>
    <x v="0"/>
    <x v="0"/>
    <x v="1"/>
    <x v="0"/>
  </r>
  <r>
    <x v="0"/>
    <x v="0"/>
    <n v="2239286917"/>
    <x v="1"/>
    <n v="11250"/>
    <x v="2"/>
    <x v="0"/>
    <x v="53"/>
    <x v="1"/>
    <x v="0"/>
    <x v="0"/>
    <x v="1"/>
    <x v="0"/>
  </r>
  <r>
    <x v="0"/>
    <x v="0"/>
    <n v="2239286918"/>
    <x v="1"/>
    <n v="6360"/>
    <x v="2"/>
    <x v="0"/>
    <x v="53"/>
    <x v="1"/>
    <x v="0"/>
    <x v="0"/>
    <x v="1"/>
    <x v="0"/>
  </r>
  <r>
    <x v="0"/>
    <x v="0"/>
    <n v="2239286919"/>
    <x v="1"/>
    <n v="600"/>
    <x v="2"/>
    <x v="0"/>
    <x v="53"/>
    <x v="1"/>
    <x v="0"/>
    <x v="0"/>
    <x v="1"/>
    <x v="0"/>
  </r>
  <r>
    <x v="0"/>
    <x v="0"/>
    <n v="2239286920"/>
    <x v="1"/>
    <n v="900"/>
    <x v="2"/>
    <x v="0"/>
    <x v="53"/>
    <x v="1"/>
    <x v="0"/>
    <x v="0"/>
    <x v="1"/>
    <x v="0"/>
  </r>
  <r>
    <x v="0"/>
    <x v="0"/>
    <n v="2239286921"/>
    <x v="1"/>
    <n v="22270"/>
    <x v="2"/>
    <x v="0"/>
    <x v="53"/>
    <x v="1"/>
    <x v="0"/>
    <x v="0"/>
    <x v="1"/>
    <x v="0"/>
  </r>
  <r>
    <x v="0"/>
    <x v="0"/>
    <n v="2239286922"/>
    <x v="1"/>
    <n v="600"/>
    <x v="2"/>
    <x v="0"/>
    <x v="53"/>
    <x v="1"/>
    <x v="0"/>
    <x v="0"/>
    <x v="1"/>
    <x v="0"/>
  </r>
  <r>
    <x v="0"/>
    <x v="0"/>
    <n v="2239286923"/>
    <x v="1"/>
    <n v="6500"/>
    <x v="2"/>
    <x v="0"/>
    <x v="53"/>
    <x v="1"/>
    <x v="0"/>
    <x v="0"/>
    <x v="1"/>
    <x v="0"/>
  </r>
  <r>
    <x v="0"/>
    <x v="0"/>
    <n v="2239286924"/>
    <x v="1"/>
    <n v="900"/>
    <x v="2"/>
    <x v="0"/>
    <x v="53"/>
    <x v="1"/>
    <x v="0"/>
    <x v="0"/>
    <x v="1"/>
    <x v="0"/>
  </r>
  <r>
    <x v="0"/>
    <x v="0"/>
    <n v="2239286925"/>
    <x v="1"/>
    <n v="5370"/>
    <x v="2"/>
    <x v="0"/>
    <x v="53"/>
    <x v="1"/>
    <x v="0"/>
    <x v="0"/>
    <x v="1"/>
    <x v="0"/>
  </r>
  <r>
    <x v="0"/>
    <x v="0"/>
    <n v="2239286927"/>
    <x v="1"/>
    <n v="6540"/>
    <x v="2"/>
    <x v="0"/>
    <x v="53"/>
    <x v="1"/>
    <x v="0"/>
    <x v="0"/>
    <x v="1"/>
    <x v="0"/>
  </r>
  <r>
    <x v="0"/>
    <x v="0"/>
    <n v="2239286928"/>
    <x v="0"/>
    <n v="8700"/>
    <x v="2"/>
    <x v="0"/>
    <x v="53"/>
    <x v="0"/>
    <x v="0"/>
    <x v="0"/>
    <x v="0"/>
    <x v="0"/>
  </r>
  <r>
    <x v="0"/>
    <x v="0"/>
    <n v="2239286929"/>
    <x v="0"/>
    <n v="10800"/>
    <x v="2"/>
    <x v="0"/>
    <x v="53"/>
    <x v="0"/>
    <x v="0"/>
    <x v="0"/>
    <x v="0"/>
    <x v="0"/>
  </r>
  <r>
    <x v="0"/>
    <x v="0"/>
    <n v="2239286930"/>
    <x v="1"/>
    <n v="3150"/>
    <x v="2"/>
    <x v="0"/>
    <x v="53"/>
    <x v="1"/>
    <x v="0"/>
    <x v="0"/>
    <x v="1"/>
    <x v="0"/>
  </r>
  <r>
    <x v="0"/>
    <x v="0"/>
    <n v="2239286931"/>
    <x v="1"/>
    <n v="7340"/>
    <x v="2"/>
    <x v="0"/>
    <x v="53"/>
    <x v="1"/>
    <x v="0"/>
    <x v="0"/>
    <x v="1"/>
    <x v="0"/>
  </r>
  <r>
    <x v="0"/>
    <x v="0"/>
    <n v="2239286932"/>
    <x v="1"/>
    <n v="5370"/>
    <x v="2"/>
    <x v="0"/>
    <x v="53"/>
    <x v="1"/>
    <x v="0"/>
    <x v="0"/>
    <x v="1"/>
    <x v="0"/>
  </r>
  <r>
    <x v="0"/>
    <x v="0"/>
    <n v="2239286933"/>
    <x v="0"/>
    <n v="212970"/>
    <x v="2"/>
    <x v="0"/>
    <x v="53"/>
    <x v="0"/>
    <x v="0"/>
    <x v="0"/>
    <x v="0"/>
    <x v="0"/>
  </r>
  <r>
    <x v="0"/>
    <x v="0"/>
    <n v="2239286934"/>
    <x v="1"/>
    <n v="1140"/>
    <x v="2"/>
    <x v="0"/>
    <x v="53"/>
    <x v="1"/>
    <x v="0"/>
    <x v="0"/>
    <x v="1"/>
    <x v="0"/>
  </r>
  <r>
    <x v="0"/>
    <x v="0"/>
    <n v="2239286935"/>
    <x v="1"/>
    <n v="6870"/>
    <x v="2"/>
    <x v="0"/>
    <x v="53"/>
    <x v="1"/>
    <x v="0"/>
    <x v="0"/>
    <x v="1"/>
    <x v="0"/>
  </r>
  <r>
    <x v="0"/>
    <x v="0"/>
    <n v="2239286936"/>
    <x v="1"/>
    <n v="18300"/>
    <x v="2"/>
    <x v="0"/>
    <x v="53"/>
    <x v="1"/>
    <x v="0"/>
    <x v="0"/>
    <x v="1"/>
    <x v="0"/>
  </r>
  <r>
    <x v="0"/>
    <x v="0"/>
    <n v="2239286937"/>
    <x v="1"/>
    <n v="25750"/>
    <x v="2"/>
    <x v="0"/>
    <x v="53"/>
    <x v="1"/>
    <x v="0"/>
    <x v="0"/>
    <x v="1"/>
    <x v="0"/>
  </r>
  <r>
    <x v="0"/>
    <x v="0"/>
    <n v="2239286938"/>
    <x v="1"/>
    <n v="7650"/>
    <x v="2"/>
    <x v="0"/>
    <x v="53"/>
    <x v="1"/>
    <x v="0"/>
    <x v="0"/>
    <x v="1"/>
    <x v="0"/>
  </r>
  <r>
    <x v="0"/>
    <x v="0"/>
    <n v="2239286939"/>
    <x v="1"/>
    <n v="11800"/>
    <x v="2"/>
    <x v="0"/>
    <x v="53"/>
    <x v="1"/>
    <x v="0"/>
    <x v="0"/>
    <x v="1"/>
    <x v="0"/>
  </r>
  <r>
    <x v="0"/>
    <x v="0"/>
    <n v="2239286940"/>
    <x v="0"/>
    <n v="11000"/>
    <x v="2"/>
    <x v="0"/>
    <x v="53"/>
    <x v="0"/>
    <x v="0"/>
    <x v="0"/>
    <x v="0"/>
    <x v="0"/>
  </r>
  <r>
    <x v="0"/>
    <x v="0"/>
    <n v="2239286941"/>
    <x v="0"/>
    <n v="7200"/>
    <x v="2"/>
    <x v="0"/>
    <x v="53"/>
    <x v="0"/>
    <x v="0"/>
    <x v="0"/>
    <x v="0"/>
    <x v="0"/>
  </r>
  <r>
    <x v="0"/>
    <x v="0"/>
    <n v="2239286942"/>
    <x v="0"/>
    <n v="7800"/>
    <x v="2"/>
    <x v="0"/>
    <x v="53"/>
    <x v="0"/>
    <x v="0"/>
    <x v="0"/>
    <x v="0"/>
    <x v="0"/>
  </r>
  <r>
    <x v="0"/>
    <x v="0"/>
    <n v="2239286943"/>
    <x v="0"/>
    <n v="11250"/>
    <x v="2"/>
    <x v="0"/>
    <x v="53"/>
    <x v="0"/>
    <x v="0"/>
    <x v="0"/>
    <x v="0"/>
    <x v="0"/>
  </r>
  <r>
    <x v="0"/>
    <x v="0"/>
    <n v="2239286944"/>
    <x v="0"/>
    <n v="2250"/>
    <x v="2"/>
    <x v="0"/>
    <x v="53"/>
    <x v="0"/>
    <x v="0"/>
    <x v="0"/>
    <x v="0"/>
    <x v="0"/>
  </r>
  <r>
    <x v="0"/>
    <x v="0"/>
    <n v="2239286945"/>
    <x v="0"/>
    <n v="1500"/>
    <x v="2"/>
    <x v="0"/>
    <x v="53"/>
    <x v="0"/>
    <x v="0"/>
    <x v="0"/>
    <x v="0"/>
    <x v="0"/>
  </r>
  <r>
    <x v="0"/>
    <x v="0"/>
    <n v="2239286946"/>
    <x v="0"/>
    <n v="3000"/>
    <x v="2"/>
    <x v="0"/>
    <x v="53"/>
    <x v="0"/>
    <x v="0"/>
    <x v="0"/>
    <x v="0"/>
    <x v="0"/>
  </r>
  <r>
    <x v="0"/>
    <x v="0"/>
    <n v="2239286947"/>
    <x v="0"/>
    <n v="2250"/>
    <x v="2"/>
    <x v="0"/>
    <x v="53"/>
    <x v="0"/>
    <x v="0"/>
    <x v="0"/>
    <x v="0"/>
    <x v="0"/>
  </r>
  <r>
    <x v="0"/>
    <x v="0"/>
    <n v="2239286948"/>
    <x v="1"/>
    <n v="1140"/>
    <x v="2"/>
    <x v="0"/>
    <x v="53"/>
    <x v="1"/>
    <x v="0"/>
    <x v="0"/>
    <x v="1"/>
    <x v="0"/>
  </r>
  <r>
    <x v="0"/>
    <x v="0"/>
    <n v="2239286949"/>
    <x v="0"/>
    <n v="5370"/>
    <x v="2"/>
    <x v="0"/>
    <x v="53"/>
    <x v="0"/>
    <x v="0"/>
    <x v="0"/>
    <x v="0"/>
    <x v="0"/>
  </r>
  <r>
    <x v="0"/>
    <x v="0"/>
    <n v="2239286950"/>
    <x v="1"/>
    <n v="8550"/>
    <x v="2"/>
    <x v="0"/>
    <x v="53"/>
    <x v="1"/>
    <x v="0"/>
    <x v="0"/>
    <x v="1"/>
    <x v="0"/>
  </r>
  <r>
    <x v="0"/>
    <x v="0"/>
    <n v="2239286951"/>
    <x v="0"/>
    <n v="7200"/>
    <x v="2"/>
    <x v="0"/>
    <x v="53"/>
    <x v="0"/>
    <x v="0"/>
    <x v="0"/>
    <x v="0"/>
    <x v="0"/>
  </r>
  <r>
    <x v="0"/>
    <x v="0"/>
    <n v="2239286952"/>
    <x v="1"/>
    <n v="21550"/>
    <x v="2"/>
    <x v="0"/>
    <x v="53"/>
    <x v="1"/>
    <x v="0"/>
    <x v="0"/>
    <x v="1"/>
    <x v="0"/>
  </r>
  <r>
    <x v="0"/>
    <x v="0"/>
    <n v="2239286953"/>
    <x v="0"/>
    <n v="1140"/>
    <x v="2"/>
    <x v="0"/>
    <x v="53"/>
    <x v="0"/>
    <x v="0"/>
    <x v="0"/>
    <x v="0"/>
    <x v="0"/>
  </r>
  <r>
    <x v="0"/>
    <x v="0"/>
    <n v="2239286954"/>
    <x v="0"/>
    <n v="18000"/>
    <x v="2"/>
    <x v="0"/>
    <x v="53"/>
    <x v="0"/>
    <x v="0"/>
    <x v="0"/>
    <x v="0"/>
    <x v="0"/>
  </r>
  <r>
    <x v="0"/>
    <x v="0"/>
    <n v="2239286955"/>
    <x v="1"/>
    <n v="1140"/>
    <x v="2"/>
    <x v="0"/>
    <x v="53"/>
    <x v="1"/>
    <x v="0"/>
    <x v="0"/>
    <x v="1"/>
    <x v="0"/>
  </r>
  <r>
    <x v="0"/>
    <x v="0"/>
    <n v="2239286956"/>
    <x v="1"/>
    <n v="22800"/>
    <x v="2"/>
    <x v="0"/>
    <x v="53"/>
    <x v="1"/>
    <x v="0"/>
    <x v="0"/>
    <x v="1"/>
    <x v="0"/>
  </r>
  <r>
    <x v="0"/>
    <x v="0"/>
    <n v="2239286957"/>
    <x v="1"/>
    <n v="6270"/>
    <x v="2"/>
    <x v="0"/>
    <x v="53"/>
    <x v="1"/>
    <x v="0"/>
    <x v="0"/>
    <x v="1"/>
    <x v="0"/>
  </r>
  <r>
    <x v="0"/>
    <x v="0"/>
    <n v="2239286958"/>
    <x v="1"/>
    <n v="1590"/>
    <x v="2"/>
    <x v="0"/>
    <x v="53"/>
    <x v="1"/>
    <x v="0"/>
    <x v="0"/>
    <x v="1"/>
    <x v="0"/>
  </r>
  <r>
    <x v="0"/>
    <x v="0"/>
    <n v="2239286959"/>
    <x v="1"/>
    <n v="9270"/>
    <x v="2"/>
    <x v="0"/>
    <x v="53"/>
    <x v="1"/>
    <x v="0"/>
    <x v="0"/>
    <x v="1"/>
    <x v="0"/>
  </r>
  <r>
    <x v="0"/>
    <x v="0"/>
    <n v="2239286960"/>
    <x v="1"/>
    <n v="3090"/>
    <x v="2"/>
    <x v="0"/>
    <x v="53"/>
    <x v="1"/>
    <x v="0"/>
    <x v="0"/>
    <x v="1"/>
    <x v="0"/>
  </r>
  <r>
    <x v="0"/>
    <x v="0"/>
    <n v="2239286961"/>
    <x v="1"/>
    <n v="1050"/>
    <x v="2"/>
    <x v="0"/>
    <x v="53"/>
    <x v="1"/>
    <x v="0"/>
    <x v="0"/>
    <x v="1"/>
    <x v="0"/>
  </r>
  <r>
    <x v="0"/>
    <x v="0"/>
    <n v="2239286962"/>
    <x v="7"/>
    <n v="7500"/>
    <x v="2"/>
    <x v="0"/>
    <x v="53"/>
    <x v="7"/>
    <x v="0"/>
    <x v="0"/>
    <x v="1"/>
    <x v="0"/>
  </r>
  <r>
    <x v="0"/>
    <x v="0"/>
    <n v="2239286963"/>
    <x v="1"/>
    <n v="6750"/>
    <x v="2"/>
    <x v="0"/>
    <x v="53"/>
    <x v="1"/>
    <x v="0"/>
    <x v="0"/>
    <x v="1"/>
    <x v="0"/>
  </r>
  <r>
    <x v="0"/>
    <x v="0"/>
    <n v="2239286964"/>
    <x v="1"/>
    <n v="38470"/>
    <x v="2"/>
    <x v="0"/>
    <x v="53"/>
    <x v="1"/>
    <x v="0"/>
    <x v="0"/>
    <x v="1"/>
    <x v="0"/>
  </r>
  <r>
    <x v="0"/>
    <x v="0"/>
    <n v="2239286965"/>
    <x v="0"/>
    <n v="86390"/>
    <x v="2"/>
    <x v="0"/>
    <x v="53"/>
    <x v="0"/>
    <x v="0"/>
    <x v="0"/>
    <x v="0"/>
    <x v="0"/>
  </r>
  <r>
    <x v="0"/>
    <x v="0"/>
    <n v="2239286966"/>
    <x v="1"/>
    <n v="14050"/>
    <x v="2"/>
    <x v="0"/>
    <x v="53"/>
    <x v="1"/>
    <x v="0"/>
    <x v="0"/>
    <x v="1"/>
    <x v="0"/>
  </r>
  <r>
    <x v="0"/>
    <x v="0"/>
    <n v="2239286967"/>
    <x v="1"/>
    <n v="32160"/>
    <x v="2"/>
    <x v="0"/>
    <x v="53"/>
    <x v="1"/>
    <x v="0"/>
    <x v="0"/>
    <x v="1"/>
    <x v="0"/>
  </r>
  <r>
    <x v="0"/>
    <x v="0"/>
    <n v="2239286968"/>
    <x v="1"/>
    <n v="3690"/>
    <x v="2"/>
    <x v="0"/>
    <x v="53"/>
    <x v="1"/>
    <x v="0"/>
    <x v="0"/>
    <x v="1"/>
    <x v="0"/>
  </r>
  <r>
    <x v="0"/>
    <x v="0"/>
    <n v="2239286969"/>
    <x v="1"/>
    <n v="8525"/>
    <x v="2"/>
    <x v="0"/>
    <x v="53"/>
    <x v="1"/>
    <x v="0"/>
    <x v="0"/>
    <x v="1"/>
    <x v="0"/>
  </r>
  <r>
    <x v="0"/>
    <x v="0"/>
    <n v="2239286970"/>
    <x v="1"/>
    <n v="1500"/>
    <x v="2"/>
    <x v="0"/>
    <x v="53"/>
    <x v="1"/>
    <x v="0"/>
    <x v="0"/>
    <x v="1"/>
    <x v="0"/>
  </r>
  <r>
    <x v="0"/>
    <x v="0"/>
    <n v="2239286971"/>
    <x v="1"/>
    <n v="900"/>
    <x v="2"/>
    <x v="0"/>
    <x v="53"/>
    <x v="1"/>
    <x v="0"/>
    <x v="0"/>
    <x v="1"/>
    <x v="0"/>
  </r>
  <r>
    <x v="0"/>
    <x v="0"/>
    <n v="2239286972"/>
    <x v="0"/>
    <n v="10800"/>
    <x v="2"/>
    <x v="0"/>
    <x v="53"/>
    <x v="0"/>
    <x v="0"/>
    <x v="0"/>
    <x v="0"/>
    <x v="0"/>
  </r>
  <r>
    <x v="0"/>
    <x v="0"/>
    <n v="2239286973"/>
    <x v="0"/>
    <n v="180000"/>
    <x v="2"/>
    <x v="0"/>
    <x v="53"/>
    <x v="0"/>
    <x v="0"/>
    <x v="0"/>
    <x v="0"/>
    <x v="0"/>
  </r>
  <r>
    <x v="0"/>
    <x v="0"/>
    <n v="2239286974"/>
    <x v="1"/>
    <n v="39620"/>
    <x v="2"/>
    <x v="0"/>
    <x v="53"/>
    <x v="1"/>
    <x v="0"/>
    <x v="0"/>
    <x v="1"/>
    <x v="0"/>
  </r>
  <r>
    <x v="0"/>
    <x v="0"/>
    <n v="2239286975"/>
    <x v="1"/>
    <n v="26350"/>
    <x v="2"/>
    <x v="0"/>
    <x v="53"/>
    <x v="1"/>
    <x v="0"/>
    <x v="0"/>
    <x v="1"/>
    <x v="0"/>
  </r>
  <r>
    <x v="0"/>
    <x v="0"/>
    <n v="2239286976"/>
    <x v="7"/>
    <n v="6500"/>
    <x v="2"/>
    <x v="0"/>
    <x v="53"/>
    <x v="7"/>
    <x v="0"/>
    <x v="0"/>
    <x v="1"/>
    <x v="0"/>
  </r>
  <r>
    <x v="0"/>
    <x v="0"/>
    <n v="2239286977"/>
    <x v="1"/>
    <n v="62820"/>
    <x v="2"/>
    <x v="0"/>
    <x v="53"/>
    <x v="1"/>
    <x v="0"/>
    <x v="0"/>
    <x v="1"/>
    <x v="0"/>
  </r>
  <r>
    <x v="0"/>
    <x v="0"/>
    <n v="2239286978"/>
    <x v="1"/>
    <n v="41730"/>
    <x v="2"/>
    <x v="0"/>
    <x v="53"/>
    <x v="1"/>
    <x v="0"/>
    <x v="0"/>
    <x v="1"/>
    <x v="0"/>
  </r>
  <r>
    <x v="0"/>
    <x v="0"/>
    <n v="2239286979"/>
    <x v="0"/>
    <n v="2400"/>
    <x v="2"/>
    <x v="0"/>
    <x v="53"/>
    <x v="0"/>
    <x v="0"/>
    <x v="0"/>
    <x v="0"/>
    <x v="0"/>
  </r>
  <r>
    <x v="0"/>
    <x v="0"/>
    <n v="2239286980"/>
    <x v="0"/>
    <n v="43540"/>
    <x v="2"/>
    <x v="0"/>
    <x v="53"/>
    <x v="0"/>
    <x v="0"/>
    <x v="0"/>
    <x v="0"/>
    <x v="0"/>
  </r>
  <r>
    <x v="0"/>
    <x v="0"/>
    <n v="2239286981"/>
    <x v="1"/>
    <n v="31240"/>
    <x v="2"/>
    <x v="0"/>
    <x v="53"/>
    <x v="1"/>
    <x v="0"/>
    <x v="0"/>
    <x v="1"/>
    <x v="0"/>
  </r>
  <r>
    <x v="0"/>
    <x v="0"/>
    <n v="2239286982"/>
    <x v="1"/>
    <n v="23400"/>
    <x v="2"/>
    <x v="0"/>
    <x v="53"/>
    <x v="1"/>
    <x v="0"/>
    <x v="0"/>
    <x v="1"/>
    <x v="0"/>
  </r>
  <r>
    <x v="0"/>
    <x v="0"/>
    <n v="2239286983"/>
    <x v="0"/>
    <n v="4800"/>
    <x v="2"/>
    <x v="0"/>
    <x v="53"/>
    <x v="0"/>
    <x v="0"/>
    <x v="0"/>
    <x v="0"/>
    <x v="0"/>
  </r>
  <r>
    <x v="0"/>
    <x v="0"/>
    <n v="2239286984"/>
    <x v="1"/>
    <n v="6570"/>
    <x v="2"/>
    <x v="0"/>
    <x v="53"/>
    <x v="1"/>
    <x v="0"/>
    <x v="0"/>
    <x v="1"/>
    <x v="0"/>
  </r>
  <r>
    <x v="0"/>
    <x v="0"/>
    <n v="2239286985"/>
    <x v="0"/>
    <n v="1800"/>
    <x v="2"/>
    <x v="0"/>
    <x v="53"/>
    <x v="0"/>
    <x v="0"/>
    <x v="0"/>
    <x v="0"/>
    <x v="0"/>
  </r>
  <r>
    <x v="0"/>
    <x v="0"/>
    <n v="2239286986"/>
    <x v="1"/>
    <n v="33060"/>
    <x v="2"/>
    <x v="0"/>
    <x v="53"/>
    <x v="1"/>
    <x v="0"/>
    <x v="0"/>
    <x v="1"/>
    <x v="0"/>
  </r>
  <r>
    <x v="0"/>
    <x v="0"/>
    <n v="2239286987"/>
    <x v="7"/>
    <n v="4500"/>
    <x v="2"/>
    <x v="0"/>
    <x v="53"/>
    <x v="7"/>
    <x v="0"/>
    <x v="0"/>
    <x v="1"/>
    <x v="0"/>
  </r>
  <r>
    <x v="0"/>
    <x v="0"/>
    <n v="2239286988"/>
    <x v="1"/>
    <n v="17970"/>
    <x v="2"/>
    <x v="0"/>
    <x v="53"/>
    <x v="1"/>
    <x v="0"/>
    <x v="0"/>
    <x v="1"/>
    <x v="0"/>
  </r>
  <r>
    <x v="0"/>
    <x v="0"/>
    <n v="2239286989"/>
    <x v="1"/>
    <n v="50100"/>
    <x v="2"/>
    <x v="0"/>
    <x v="53"/>
    <x v="1"/>
    <x v="0"/>
    <x v="0"/>
    <x v="1"/>
    <x v="0"/>
  </r>
  <r>
    <x v="0"/>
    <x v="0"/>
    <n v="2239286990"/>
    <x v="1"/>
    <n v="64030"/>
    <x v="2"/>
    <x v="0"/>
    <x v="53"/>
    <x v="1"/>
    <x v="0"/>
    <x v="0"/>
    <x v="1"/>
    <x v="0"/>
  </r>
  <r>
    <x v="0"/>
    <x v="0"/>
    <n v="2239286991"/>
    <x v="0"/>
    <n v="24450"/>
    <x v="2"/>
    <x v="0"/>
    <x v="53"/>
    <x v="0"/>
    <x v="0"/>
    <x v="0"/>
    <x v="0"/>
    <x v="0"/>
  </r>
  <r>
    <x v="0"/>
    <x v="0"/>
    <n v="2239286992"/>
    <x v="1"/>
    <n v="13000"/>
    <x v="2"/>
    <x v="0"/>
    <x v="53"/>
    <x v="1"/>
    <x v="0"/>
    <x v="0"/>
    <x v="1"/>
    <x v="0"/>
  </r>
  <r>
    <x v="0"/>
    <x v="0"/>
    <n v="2239286993"/>
    <x v="0"/>
    <n v="24200"/>
    <x v="2"/>
    <x v="0"/>
    <x v="53"/>
    <x v="0"/>
    <x v="0"/>
    <x v="0"/>
    <x v="0"/>
    <x v="0"/>
  </r>
  <r>
    <x v="0"/>
    <x v="0"/>
    <n v="2239286994"/>
    <x v="0"/>
    <n v="6300"/>
    <x v="2"/>
    <x v="0"/>
    <x v="53"/>
    <x v="0"/>
    <x v="0"/>
    <x v="0"/>
    <x v="0"/>
    <x v="0"/>
  </r>
  <r>
    <x v="0"/>
    <x v="0"/>
    <n v="2239286995"/>
    <x v="1"/>
    <n v="5400"/>
    <x v="2"/>
    <x v="0"/>
    <x v="53"/>
    <x v="1"/>
    <x v="0"/>
    <x v="0"/>
    <x v="1"/>
    <x v="0"/>
  </r>
  <r>
    <x v="0"/>
    <x v="0"/>
    <n v="2239286996"/>
    <x v="0"/>
    <n v="13050"/>
    <x v="2"/>
    <x v="0"/>
    <x v="53"/>
    <x v="0"/>
    <x v="0"/>
    <x v="0"/>
    <x v="0"/>
    <x v="0"/>
  </r>
  <r>
    <x v="0"/>
    <x v="0"/>
    <n v="2239286997"/>
    <x v="1"/>
    <n v="2850"/>
    <x v="2"/>
    <x v="0"/>
    <x v="53"/>
    <x v="1"/>
    <x v="0"/>
    <x v="0"/>
    <x v="1"/>
    <x v="0"/>
  </r>
  <r>
    <x v="0"/>
    <x v="0"/>
    <n v="2239286998"/>
    <x v="1"/>
    <n v="11970"/>
    <x v="2"/>
    <x v="0"/>
    <x v="53"/>
    <x v="1"/>
    <x v="0"/>
    <x v="0"/>
    <x v="1"/>
    <x v="0"/>
  </r>
  <r>
    <x v="0"/>
    <x v="0"/>
    <n v="2239286999"/>
    <x v="2"/>
    <n v="1500"/>
    <x v="2"/>
    <x v="0"/>
    <x v="53"/>
    <x v="2"/>
    <x v="0"/>
    <x v="0"/>
    <x v="2"/>
    <x v="0"/>
  </r>
  <r>
    <x v="0"/>
    <x v="0"/>
    <n v="2239287000"/>
    <x v="0"/>
    <n v="2250"/>
    <x v="2"/>
    <x v="0"/>
    <x v="53"/>
    <x v="0"/>
    <x v="0"/>
    <x v="0"/>
    <x v="0"/>
    <x v="0"/>
  </r>
  <r>
    <x v="0"/>
    <x v="0"/>
    <n v="2239287001"/>
    <x v="1"/>
    <n v="9000"/>
    <x v="2"/>
    <x v="0"/>
    <x v="53"/>
    <x v="1"/>
    <x v="0"/>
    <x v="0"/>
    <x v="1"/>
    <x v="0"/>
  </r>
  <r>
    <x v="0"/>
    <x v="0"/>
    <n v="2239287002"/>
    <x v="1"/>
    <n v="8520"/>
    <x v="2"/>
    <x v="0"/>
    <x v="53"/>
    <x v="1"/>
    <x v="0"/>
    <x v="0"/>
    <x v="1"/>
    <x v="0"/>
  </r>
  <r>
    <x v="0"/>
    <x v="0"/>
    <n v="2239287004"/>
    <x v="1"/>
    <n v="1800"/>
    <x v="2"/>
    <x v="0"/>
    <x v="53"/>
    <x v="1"/>
    <x v="0"/>
    <x v="0"/>
    <x v="1"/>
    <x v="0"/>
  </r>
  <r>
    <x v="0"/>
    <x v="0"/>
    <n v="2239287005"/>
    <x v="1"/>
    <n v="22440"/>
    <x v="2"/>
    <x v="0"/>
    <x v="53"/>
    <x v="1"/>
    <x v="0"/>
    <x v="0"/>
    <x v="1"/>
    <x v="0"/>
  </r>
  <r>
    <x v="0"/>
    <x v="0"/>
    <n v="2239287006"/>
    <x v="0"/>
    <n v="1200"/>
    <x v="2"/>
    <x v="0"/>
    <x v="53"/>
    <x v="0"/>
    <x v="0"/>
    <x v="0"/>
    <x v="0"/>
    <x v="0"/>
  </r>
  <r>
    <x v="0"/>
    <x v="0"/>
    <n v="2239287007"/>
    <x v="1"/>
    <n v="5370"/>
    <x v="2"/>
    <x v="0"/>
    <x v="53"/>
    <x v="1"/>
    <x v="0"/>
    <x v="0"/>
    <x v="1"/>
    <x v="0"/>
  </r>
  <r>
    <x v="0"/>
    <x v="0"/>
    <n v="2239287008"/>
    <x v="1"/>
    <n v="7950"/>
    <x v="2"/>
    <x v="0"/>
    <x v="53"/>
    <x v="1"/>
    <x v="0"/>
    <x v="0"/>
    <x v="1"/>
    <x v="0"/>
  </r>
  <r>
    <x v="0"/>
    <x v="0"/>
    <n v="2239287009"/>
    <x v="0"/>
    <n v="3600"/>
    <x v="2"/>
    <x v="0"/>
    <x v="53"/>
    <x v="0"/>
    <x v="0"/>
    <x v="0"/>
    <x v="0"/>
    <x v="0"/>
  </r>
  <r>
    <x v="0"/>
    <x v="0"/>
    <n v="2239287010"/>
    <x v="1"/>
    <n v="34650"/>
    <x v="2"/>
    <x v="0"/>
    <x v="53"/>
    <x v="1"/>
    <x v="0"/>
    <x v="0"/>
    <x v="1"/>
    <x v="0"/>
  </r>
  <r>
    <x v="0"/>
    <x v="0"/>
    <n v="2239287011"/>
    <x v="1"/>
    <n v="2280"/>
    <x v="2"/>
    <x v="0"/>
    <x v="53"/>
    <x v="1"/>
    <x v="0"/>
    <x v="0"/>
    <x v="1"/>
    <x v="0"/>
  </r>
  <r>
    <x v="0"/>
    <x v="0"/>
    <n v="2239287012"/>
    <x v="0"/>
    <n v="13500"/>
    <x v="2"/>
    <x v="0"/>
    <x v="53"/>
    <x v="0"/>
    <x v="0"/>
    <x v="0"/>
    <x v="0"/>
    <x v="0"/>
  </r>
  <r>
    <x v="0"/>
    <x v="0"/>
    <n v="2239287013"/>
    <x v="1"/>
    <n v="11250"/>
    <x v="2"/>
    <x v="0"/>
    <x v="53"/>
    <x v="1"/>
    <x v="0"/>
    <x v="0"/>
    <x v="1"/>
    <x v="0"/>
  </r>
  <r>
    <x v="0"/>
    <x v="0"/>
    <n v="2239287015"/>
    <x v="1"/>
    <n v="900"/>
    <x v="2"/>
    <x v="0"/>
    <x v="53"/>
    <x v="1"/>
    <x v="0"/>
    <x v="0"/>
    <x v="1"/>
    <x v="0"/>
  </r>
  <r>
    <x v="0"/>
    <x v="0"/>
    <n v="2239287016"/>
    <x v="1"/>
    <n v="1200"/>
    <x v="2"/>
    <x v="0"/>
    <x v="53"/>
    <x v="1"/>
    <x v="0"/>
    <x v="0"/>
    <x v="1"/>
    <x v="0"/>
  </r>
  <r>
    <x v="0"/>
    <x v="0"/>
    <n v="2239287017"/>
    <x v="6"/>
    <n v="1000"/>
    <x v="2"/>
    <x v="0"/>
    <x v="53"/>
    <x v="6"/>
    <x v="0"/>
    <x v="0"/>
    <x v="5"/>
    <x v="0"/>
  </r>
  <r>
    <x v="0"/>
    <x v="0"/>
    <n v="2239287018"/>
    <x v="7"/>
    <n v="10500"/>
    <x v="2"/>
    <x v="0"/>
    <x v="53"/>
    <x v="7"/>
    <x v="0"/>
    <x v="0"/>
    <x v="1"/>
    <x v="0"/>
  </r>
  <r>
    <x v="0"/>
    <x v="0"/>
    <n v="2239287020"/>
    <x v="7"/>
    <n v="7500"/>
    <x v="2"/>
    <x v="0"/>
    <x v="53"/>
    <x v="7"/>
    <x v="0"/>
    <x v="0"/>
    <x v="1"/>
    <x v="0"/>
  </r>
  <r>
    <x v="0"/>
    <x v="0"/>
    <n v="2239287021"/>
    <x v="2"/>
    <n v="27522"/>
    <x v="2"/>
    <x v="0"/>
    <x v="53"/>
    <x v="2"/>
    <x v="0"/>
    <x v="0"/>
    <x v="2"/>
    <x v="0"/>
  </r>
  <r>
    <x v="0"/>
    <x v="0"/>
    <n v="2239287021"/>
    <x v="7"/>
    <n v="2780"/>
    <x v="2"/>
    <x v="0"/>
    <x v="53"/>
    <x v="7"/>
    <x v="0"/>
    <x v="0"/>
    <x v="1"/>
    <x v="0"/>
  </r>
  <r>
    <x v="0"/>
    <x v="0"/>
    <n v="2239287022"/>
    <x v="2"/>
    <n v="4500"/>
    <x v="2"/>
    <x v="0"/>
    <x v="53"/>
    <x v="2"/>
    <x v="0"/>
    <x v="0"/>
    <x v="2"/>
    <x v="0"/>
  </r>
  <r>
    <x v="0"/>
    <x v="0"/>
    <n v="2239287023"/>
    <x v="7"/>
    <n v="6000"/>
    <x v="2"/>
    <x v="0"/>
    <x v="53"/>
    <x v="7"/>
    <x v="0"/>
    <x v="0"/>
    <x v="1"/>
    <x v="0"/>
  </r>
  <r>
    <x v="0"/>
    <x v="0"/>
    <n v="2239287024"/>
    <x v="0"/>
    <n v="84000"/>
    <x v="2"/>
    <x v="0"/>
    <x v="53"/>
    <x v="0"/>
    <x v="0"/>
    <x v="0"/>
    <x v="0"/>
    <x v="0"/>
  </r>
  <r>
    <x v="0"/>
    <x v="0"/>
    <n v="2239287025"/>
    <x v="2"/>
    <n v="3000"/>
    <x v="2"/>
    <x v="0"/>
    <x v="53"/>
    <x v="2"/>
    <x v="0"/>
    <x v="0"/>
    <x v="2"/>
    <x v="0"/>
  </r>
  <r>
    <x v="0"/>
    <x v="0"/>
    <n v="2239287026"/>
    <x v="0"/>
    <n v="1350"/>
    <x v="2"/>
    <x v="0"/>
    <x v="53"/>
    <x v="0"/>
    <x v="0"/>
    <x v="0"/>
    <x v="0"/>
    <x v="0"/>
  </r>
  <r>
    <x v="0"/>
    <x v="0"/>
    <n v="2239287028"/>
    <x v="0"/>
    <n v="1800"/>
    <x v="2"/>
    <x v="0"/>
    <x v="53"/>
    <x v="0"/>
    <x v="0"/>
    <x v="0"/>
    <x v="0"/>
    <x v="0"/>
  </r>
  <r>
    <x v="0"/>
    <x v="0"/>
    <n v="2239287029"/>
    <x v="4"/>
    <n v="5300"/>
    <x v="2"/>
    <x v="0"/>
    <x v="53"/>
    <x v="4"/>
    <x v="0"/>
    <x v="0"/>
    <x v="4"/>
    <x v="0"/>
  </r>
  <r>
    <x v="0"/>
    <x v="0"/>
    <n v="2239287030"/>
    <x v="4"/>
    <n v="4600"/>
    <x v="2"/>
    <x v="0"/>
    <x v="53"/>
    <x v="4"/>
    <x v="0"/>
    <x v="0"/>
    <x v="4"/>
    <x v="0"/>
  </r>
  <r>
    <x v="0"/>
    <x v="0"/>
    <n v="2239287031"/>
    <x v="4"/>
    <n v="4400"/>
    <x v="2"/>
    <x v="0"/>
    <x v="53"/>
    <x v="4"/>
    <x v="0"/>
    <x v="0"/>
    <x v="4"/>
    <x v="0"/>
  </r>
  <r>
    <x v="0"/>
    <x v="0"/>
    <n v="2239287032"/>
    <x v="4"/>
    <n v="4400"/>
    <x v="2"/>
    <x v="0"/>
    <x v="53"/>
    <x v="4"/>
    <x v="0"/>
    <x v="0"/>
    <x v="4"/>
    <x v="0"/>
  </r>
  <r>
    <x v="0"/>
    <x v="0"/>
    <n v="2239287033"/>
    <x v="6"/>
    <n v="3500"/>
    <x v="2"/>
    <x v="0"/>
    <x v="53"/>
    <x v="6"/>
    <x v="0"/>
    <x v="0"/>
    <x v="5"/>
    <x v="0"/>
  </r>
  <r>
    <x v="0"/>
    <x v="0"/>
    <n v="2239287034"/>
    <x v="1"/>
    <n v="5670"/>
    <x v="2"/>
    <x v="0"/>
    <x v="53"/>
    <x v="1"/>
    <x v="0"/>
    <x v="0"/>
    <x v="1"/>
    <x v="0"/>
  </r>
  <r>
    <x v="0"/>
    <x v="0"/>
    <n v="2239287035"/>
    <x v="1"/>
    <n v="900"/>
    <x v="2"/>
    <x v="0"/>
    <x v="53"/>
    <x v="1"/>
    <x v="0"/>
    <x v="0"/>
    <x v="1"/>
    <x v="0"/>
  </r>
  <r>
    <x v="0"/>
    <x v="0"/>
    <n v="2239287036"/>
    <x v="2"/>
    <n v="8360"/>
    <x v="2"/>
    <x v="0"/>
    <x v="53"/>
    <x v="2"/>
    <x v="0"/>
    <x v="0"/>
    <x v="2"/>
    <x v="0"/>
  </r>
  <r>
    <x v="0"/>
    <x v="0"/>
    <n v="2239287037"/>
    <x v="5"/>
    <n v="-6500"/>
    <x v="2"/>
    <x v="0"/>
    <x v="53"/>
    <x v="5"/>
    <x v="0"/>
    <x v="0"/>
    <x v="5"/>
    <x v="0"/>
  </r>
  <r>
    <x v="0"/>
    <x v="0"/>
    <n v="2239287037"/>
    <x v="6"/>
    <n v="10000"/>
    <x v="2"/>
    <x v="0"/>
    <x v="53"/>
    <x v="6"/>
    <x v="0"/>
    <x v="0"/>
    <x v="5"/>
    <x v="0"/>
  </r>
  <r>
    <x v="0"/>
    <x v="0"/>
    <n v="2239287038"/>
    <x v="1"/>
    <n v="1140"/>
    <x v="2"/>
    <x v="0"/>
    <x v="53"/>
    <x v="1"/>
    <x v="0"/>
    <x v="0"/>
    <x v="1"/>
    <x v="0"/>
  </r>
  <r>
    <x v="0"/>
    <x v="0"/>
    <n v="2239287039"/>
    <x v="2"/>
    <n v="2200"/>
    <x v="2"/>
    <x v="0"/>
    <x v="53"/>
    <x v="2"/>
    <x v="0"/>
    <x v="0"/>
    <x v="2"/>
    <x v="0"/>
  </r>
  <r>
    <x v="0"/>
    <x v="0"/>
    <n v="2239287040"/>
    <x v="5"/>
    <n v="-400"/>
    <x v="2"/>
    <x v="0"/>
    <x v="53"/>
    <x v="5"/>
    <x v="0"/>
    <x v="0"/>
    <x v="5"/>
    <x v="0"/>
  </r>
  <r>
    <x v="0"/>
    <x v="0"/>
    <n v="2239287040"/>
    <x v="4"/>
    <n v="5000"/>
    <x v="2"/>
    <x v="0"/>
    <x v="53"/>
    <x v="4"/>
    <x v="0"/>
    <x v="0"/>
    <x v="4"/>
    <x v="0"/>
  </r>
  <r>
    <x v="0"/>
    <x v="0"/>
    <n v="2239287041"/>
    <x v="6"/>
    <n v="5000"/>
    <x v="2"/>
    <x v="0"/>
    <x v="53"/>
    <x v="6"/>
    <x v="0"/>
    <x v="0"/>
    <x v="5"/>
    <x v="0"/>
  </r>
  <r>
    <x v="0"/>
    <x v="0"/>
    <n v="2239287042"/>
    <x v="5"/>
    <n v="-6200"/>
    <x v="2"/>
    <x v="0"/>
    <x v="53"/>
    <x v="5"/>
    <x v="0"/>
    <x v="0"/>
    <x v="5"/>
    <x v="0"/>
  </r>
  <r>
    <x v="0"/>
    <x v="0"/>
    <n v="2239287042"/>
    <x v="6"/>
    <n v="10000"/>
    <x v="2"/>
    <x v="0"/>
    <x v="53"/>
    <x v="6"/>
    <x v="0"/>
    <x v="0"/>
    <x v="5"/>
    <x v="0"/>
  </r>
  <r>
    <x v="0"/>
    <x v="0"/>
    <n v="2239287043"/>
    <x v="6"/>
    <n v="1000"/>
    <x v="2"/>
    <x v="0"/>
    <x v="53"/>
    <x v="6"/>
    <x v="0"/>
    <x v="0"/>
    <x v="5"/>
    <x v="0"/>
  </r>
  <r>
    <x v="0"/>
    <x v="0"/>
    <n v="2239287044"/>
    <x v="2"/>
    <n v="6600"/>
    <x v="2"/>
    <x v="0"/>
    <x v="53"/>
    <x v="2"/>
    <x v="0"/>
    <x v="0"/>
    <x v="2"/>
    <x v="0"/>
  </r>
  <r>
    <x v="0"/>
    <x v="0"/>
    <n v="2239287045"/>
    <x v="5"/>
    <n v="-10680"/>
    <x v="2"/>
    <x v="0"/>
    <x v="53"/>
    <x v="5"/>
    <x v="0"/>
    <x v="0"/>
    <x v="5"/>
    <x v="0"/>
  </r>
  <r>
    <x v="0"/>
    <x v="0"/>
    <n v="2239287045"/>
    <x v="6"/>
    <n v="25000"/>
    <x v="2"/>
    <x v="0"/>
    <x v="53"/>
    <x v="6"/>
    <x v="0"/>
    <x v="0"/>
    <x v="5"/>
    <x v="0"/>
  </r>
  <r>
    <x v="0"/>
    <x v="0"/>
    <n v="2239287046"/>
    <x v="0"/>
    <n v="2250"/>
    <x v="2"/>
    <x v="0"/>
    <x v="53"/>
    <x v="0"/>
    <x v="0"/>
    <x v="0"/>
    <x v="0"/>
    <x v="0"/>
  </r>
  <r>
    <x v="0"/>
    <x v="0"/>
    <n v="2239287049"/>
    <x v="7"/>
    <n v="6500"/>
    <x v="2"/>
    <x v="0"/>
    <x v="53"/>
    <x v="7"/>
    <x v="0"/>
    <x v="0"/>
    <x v="1"/>
    <x v="0"/>
  </r>
  <r>
    <x v="0"/>
    <x v="0"/>
    <n v="2239287050"/>
    <x v="2"/>
    <n v="9350"/>
    <x v="2"/>
    <x v="0"/>
    <x v="53"/>
    <x v="2"/>
    <x v="0"/>
    <x v="0"/>
    <x v="2"/>
    <x v="0"/>
  </r>
  <r>
    <x v="0"/>
    <x v="0"/>
    <n v="2239287051"/>
    <x v="7"/>
    <n v="3500"/>
    <x v="2"/>
    <x v="0"/>
    <x v="53"/>
    <x v="7"/>
    <x v="0"/>
    <x v="0"/>
    <x v="1"/>
    <x v="0"/>
  </r>
  <r>
    <x v="0"/>
    <x v="0"/>
    <n v="2239287052"/>
    <x v="5"/>
    <n v="-4400"/>
    <x v="2"/>
    <x v="0"/>
    <x v="53"/>
    <x v="5"/>
    <x v="0"/>
    <x v="0"/>
    <x v="5"/>
    <x v="0"/>
  </r>
  <r>
    <x v="0"/>
    <x v="0"/>
    <n v="2239287052"/>
    <x v="4"/>
    <n v="10000"/>
    <x v="2"/>
    <x v="0"/>
    <x v="53"/>
    <x v="4"/>
    <x v="0"/>
    <x v="0"/>
    <x v="4"/>
    <x v="0"/>
  </r>
  <r>
    <x v="0"/>
    <x v="0"/>
    <n v="2239287053"/>
    <x v="4"/>
    <n v="4400"/>
    <x v="2"/>
    <x v="0"/>
    <x v="53"/>
    <x v="4"/>
    <x v="0"/>
    <x v="0"/>
    <x v="4"/>
    <x v="0"/>
  </r>
  <r>
    <x v="0"/>
    <x v="0"/>
    <n v="2239287055"/>
    <x v="5"/>
    <n v="-70"/>
    <x v="2"/>
    <x v="0"/>
    <x v="53"/>
    <x v="5"/>
    <x v="0"/>
    <x v="0"/>
    <x v="5"/>
    <x v="0"/>
  </r>
  <r>
    <x v="0"/>
    <x v="0"/>
    <n v="2239287055"/>
    <x v="6"/>
    <n v="11200"/>
    <x v="2"/>
    <x v="0"/>
    <x v="53"/>
    <x v="6"/>
    <x v="0"/>
    <x v="0"/>
    <x v="5"/>
    <x v="0"/>
  </r>
  <r>
    <x v="0"/>
    <x v="0"/>
    <n v="2239287056"/>
    <x v="2"/>
    <n v="34980"/>
    <x v="2"/>
    <x v="0"/>
    <x v="53"/>
    <x v="2"/>
    <x v="0"/>
    <x v="0"/>
    <x v="2"/>
    <x v="0"/>
  </r>
  <r>
    <x v="0"/>
    <x v="0"/>
    <n v="2239287057"/>
    <x v="7"/>
    <n v="3000"/>
    <x v="2"/>
    <x v="0"/>
    <x v="53"/>
    <x v="7"/>
    <x v="0"/>
    <x v="0"/>
    <x v="1"/>
    <x v="0"/>
  </r>
  <r>
    <x v="0"/>
    <x v="0"/>
    <n v="2239287058"/>
    <x v="2"/>
    <n v="35090"/>
    <x v="2"/>
    <x v="0"/>
    <x v="53"/>
    <x v="2"/>
    <x v="0"/>
    <x v="0"/>
    <x v="2"/>
    <x v="0"/>
  </r>
  <r>
    <x v="0"/>
    <x v="0"/>
    <n v="2239287059"/>
    <x v="5"/>
    <n v="-100"/>
    <x v="2"/>
    <x v="0"/>
    <x v="53"/>
    <x v="5"/>
    <x v="0"/>
    <x v="0"/>
    <x v="5"/>
    <x v="0"/>
  </r>
  <r>
    <x v="0"/>
    <x v="0"/>
    <n v="2239287059"/>
    <x v="6"/>
    <n v="24000"/>
    <x v="2"/>
    <x v="0"/>
    <x v="53"/>
    <x v="6"/>
    <x v="0"/>
    <x v="0"/>
    <x v="5"/>
    <x v="0"/>
  </r>
  <r>
    <x v="0"/>
    <x v="0"/>
    <n v="2239287060"/>
    <x v="7"/>
    <n v="2000"/>
    <x v="2"/>
    <x v="0"/>
    <x v="53"/>
    <x v="7"/>
    <x v="0"/>
    <x v="0"/>
    <x v="1"/>
    <x v="0"/>
  </r>
  <r>
    <x v="0"/>
    <x v="0"/>
    <n v="2239287061"/>
    <x v="7"/>
    <n v="2000"/>
    <x v="2"/>
    <x v="0"/>
    <x v="53"/>
    <x v="7"/>
    <x v="0"/>
    <x v="0"/>
    <x v="1"/>
    <x v="0"/>
  </r>
  <r>
    <x v="0"/>
    <x v="0"/>
    <n v="2239287062"/>
    <x v="7"/>
    <n v="10500"/>
    <x v="2"/>
    <x v="0"/>
    <x v="53"/>
    <x v="7"/>
    <x v="0"/>
    <x v="0"/>
    <x v="1"/>
    <x v="0"/>
  </r>
  <r>
    <x v="0"/>
    <x v="0"/>
    <n v="2239287063"/>
    <x v="5"/>
    <n v="-4040"/>
    <x v="2"/>
    <x v="0"/>
    <x v="53"/>
    <x v="5"/>
    <x v="0"/>
    <x v="0"/>
    <x v="5"/>
    <x v="0"/>
  </r>
  <r>
    <x v="0"/>
    <x v="0"/>
    <n v="2239287063"/>
    <x v="6"/>
    <n v="10200"/>
    <x v="2"/>
    <x v="0"/>
    <x v="53"/>
    <x v="6"/>
    <x v="0"/>
    <x v="0"/>
    <x v="5"/>
    <x v="0"/>
  </r>
  <r>
    <x v="0"/>
    <x v="0"/>
    <n v="2239287064"/>
    <x v="2"/>
    <n v="9405"/>
    <x v="2"/>
    <x v="0"/>
    <x v="53"/>
    <x v="2"/>
    <x v="0"/>
    <x v="0"/>
    <x v="2"/>
    <x v="0"/>
  </r>
  <r>
    <x v="0"/>
    <x v="0"/>
    <n v="2239287064"/>
    <x v="7"/>
    <n v="950"/>
    <x v="2"/>
    <x v="0"/>
    <x v="53"/>
    <x v="7"/>
    <x v="0"/>
    <x v="0"/>
    <x v="1"/>
    <x v="0"/>
  </r>
  <r>
    <x v="0"/>
    <x v="0"/>
    <n v="2239287065"/>
    <x v="7"/>
    <n v="3500"/>
    <x v="2"/>
    <x v="0"/>
    <x v="53"/>
    <x v="7"/>
    <x v="0"/>
    <x v="0"/>
    <x v="1"/>
    <x v="0"/>
  </r>
  <r>
    <x v="0"/>
    <x v="0"/>
    <n v="2239287066"/>
    <x v="2"/>
    <n v="25000"/>
    <x v="2"/>
    <x v="0"/>
    <x v="53"/>
    <x v="2"/>
    <x v="0"/>
    <x v="0"/>
    <x v="2"/>
    <x v="0"/>
  </r>
  <r>
    <x v="0"/>
    <x v="0"/>
    <n v="2239287067"/>
    <x v="7"/>
    <n v="7500"/>
    <x v="2"/>
    <x v="0"/>
    <x v="53"/>
    <x v="7"/>
    <x v="0"/>
    <x v="0"/>
    <x v="1"/>
    <x v="0"/>
  </r>
  <r>
    <x v="0"/>
    <x v="0"/>
    <n v="2239287068"/>
    <x v="7"/>
    <n v="7500"/>
    <x v="2"/>
    <x v="0"/>
    <x v="53"/>
    <x v="7"/>
    <x v="0"/>
    <x v="0"/>
    <x v="1"/>
    <x v="0"/>
  </r>
  <r>
    <x v="0"/>
    <x v="0"/>
    <n v="2239287069"/>
    <x v="7"/>
    <n v="6500"/>
    <x v="2"/>
    <x v="0"/>
    <x v="53"/>
    <x v="7"/>
    <x v="0"/>
    <x v="0"/>
    <x v="1"/>
    <x v="0"/>
  </r>
  <r>
    <x v="0"/>
    <x v="0"/>
    <n v="2239287070"/>
    <x v="5"/>
    <n v="-1000"/>
    <x v="2"/>
    <x v="0"/>
    <x v="53"/>
    <x v="5"/>
    <x v="0"/>
    <x v="0"/>
    <x v="5"/>
    <x v="0"/>
  </r>
  <r>
    <x v="0"/>
    <x v="0"/>
    <n v="2239287070"/>
    <x v="4"/>
    <n v="5400"/>
    <x v="2"/>
    <x v="0"/>
    <x v="53"/>
    <x v="4"/>
    <x v="0"/>
    <x v="0"/>
    <x v="4"/>
    <x v="0"/>
  </r>
  <r>
    <x v="0"/>
    <x v="0"/>
    <n v="2239287074"/>
    <x v="5"/>
    <n v="-85448719"/>
    <x v="2"/>
    <x v="0"/>
    <x v="53"/>
    <x v="5"/>
    <x v="0"/>
    <x v="0"/>
    <x v="5"/>
    <x v="0"/>
  </r>
  <r>
    <x v="0"/>
    <x v="0"/>
    <n v="2239287074"/>
    <x v="7"/>
    <n v="85456219"/>
    <x v="2"/>
    <x v="0"/>
    <x v="53"/>
    <x v="7"/>
    <x v="0"/>
    <x v="0"/>
    <x v="1"/>
    <x v="0"/>
  </r>
  <r>
    <x v="0"/>
    <x v="0"/>
    <n v="2239287075"/>
    <x v="2"/>
    <n v="10450"/>
    <x v="2"/>
    <x v="0"/>
    <x v="53"/>
    <x v="2"/>
    <x v="0"/>
    <x v="0"/>
    <x v="2"/>
    <x v="0"/>
  </r>
  <r>
    <x v="0"/>
    <x v="0"/>
    <n v="2239287076"/>
    <x v="2"/>
    <n v="8250"/>
    <x v="2"/>
    <x v="0"/>
    <x v="53"/>
    <x v="2"/>
    <x v="0"/>
    <x v="0"/>
    <x v="2"/>
    <x v="0"/>
  </r>
  <r>
    <x v="0"/>
    <x v="0"/>
    <n v="2239287077"/>
    <x v="7"/>
    <n v="3500"/>
    <x v="2"/>
    <x v="0"/>
    <x v="53"/>
    <x v="7"/>
    <x v="0"/>
    <x v="0"/>
    <x v="1"/>
    <x v="0"/>
  </r>
  <r>
    <x v="0"/>
    <x v="0"/>
    <n v="2239287078"/>
    <x v="2"/>
    <n v="42570"/>
    <x v="2"/>
    <x v="0"/>
    <x v="53"/>
    <x v="2"/>
    <x v="0"/>
    <x v="0"/>
    <x v="2"/>
    <x v="0"/>
  </r>
  <r>
    <x v="0"/>
    <x v="0"/>
    <n v="2239287079"/>
    <x v="2"/>
    <n v="3000"/>
    <x v="2"/>
    <x v="0"/>
    <x v="53"/>
    <x v="2"/>
    <x v="0"/>
    <x v="0"/>
    <x v="2"/>
    <x v="0"/>
  </r>
  <r>
    <x v="0"/>
    <x v="0"/>
    <n v="2239287080"/>
    <x v="6"/>
    <n v="10500"/>
    <x v="2"/>
    <x v="0"/>
    <x v="53"/>
    <x v="6"/>
    <x v="0"/>
    <x v="0"/>
    <x v="5"/>
    <x v="0"/>
  </r>
  <r>
    <x v="0"/>
    <x v="0"/>
    <n v="2239287081"/>
    <x v="2"/>
    <n v="58740"/>
    <x v="2"/>
    <x v="0"/>
    <x v="53"/>
    <x v="2"/>
    <x v="0"/>
    <x v="0"/>
    <x v="2"/>
    <x v="0"/>
  </r>
  <r>
    <x v="0"/>
    <x v="0"/>
    <n v="2239287082"/>
    <x v="0"/>
    <n v="6000"/>
    <x v="2"/>
    <x v="0"/>
    <x v="53"/>
    <x v="0"/>
    <x v="0"/>
    <x v="0"/>
    <x v="0"/>
    <x v="0"/>
  </r>
  <r>
    <x v="0"/>
    <x v="0"/>
    <n v="2239287083"/>
    <x v="2"/>
    <n v="14300"/>
    <x v="2"/>
    <x v="0"/>
    <x v="53"/>
    <x v="2"/>
    <x v="0"/>
    <x v="0"/>
    <x v="2"/>
    <x v="0"/>
  </r>
  <r>
    <x v="0"/>
    <x v="0"/>
    <n v="2239287084"/>
    <x v="1"/>
    <n v="2250"/>
    <x v="2"/>
    <x v="0"/>
    <x v="53"/>
    <x v="1"/>
    <x v="0"/>
    <x v="0"/>
    <x v="1"/>
    <x v="0"/>
  </r>
  <r>
    <x v="0"/>
    <x v="0"/>
    <n v="2239287085"/>
    <x v="7"/>
    <n v="13000"/>
    <x v="2"/>
    <x v="0"/>
    <x v="53"/>
    <x v="7"/>
    <x v="0"/>
    <x v="0"/>
    <x v="1"/>
    <x v="0"/>
  </r>
  <r>
    <x v="0"/>
    <x v="0"/>
    <n v="2239287086"/>
    <x v="7"/>
    <n v="15000"/>
    <x v="2"/>
    <x v="0"/>
    <x v="53"/>
    <x v="7"/>
    <x v="0"/>
    <x v="0"/>
    <x v="1"/>
    <x v="0"/>
  </r>
  <r>
    <x v="0"/>
    <x v="0"/>
    <n v="2239287087"/>
    <x v="5"/>
    <n v="-5600"/>
    <x v="2"/>
    <x v="0"/>
    <x v="53"/>
    <x v="5"/>
    <x v="0"/>
    <x v="0"/>
    <x v="5"/>
    <x v="0"/>
  </r>
  <r>
    <x v="0"/>
    <x v="0"/>
    <n v="2239287087"/>
    <x v="4"/>
    <n v="10000"/>
    <x v="2"/>
    <x v="0"/>
    <x v="53"/>
    <x v="4"/>
    <x v="0"/>
    <x v="0"/>
    <x v="4"/>
    <x v="0"/>
  </r>
  <r>
    <x v="0"/>
    <x v="0"/>
    <n v="2239287088"/>
    <x v="2"/>
    <n v="21890"/>
    <x v="2"/>
    <x v="0"/>
    <x v="53"/>
    <x v="2"/>
    <x v="0"/>
    <x v="0"/>
    <x v="2"/>
    <x v="0"/>
  </r>
  <r>
    <x v="0"/>
    <x v="0"/>
    <n v="2239287089"/>
    <x v="2"/>
    <n v="8250"/>
    <x v="2"/>
    <x v="0"/>
    <x v="53"/>
    <x v="2"/>
    <x v="0"/>
    <x v="0"/>
    <x v="2"/>
    <x v="0"/>
  </r>
  <r>
    <x v="0"/>
    <x v="0"/>
    <n v="2239287090"/>
    <x v="1"/>
    <n v="23000"/>
    <x v="2"/>
    <x v="0"/>
    <x v="53"/>
    <x v="1"/>
    <x v="0"/>
    <x v="0"/>
    <x v="1"/>
    <x v="0"/>
  </r>
  <r>
    <x v="0"/>
    <x v="0"/>
    <n v="2239287091"/>
    <x v="2"/>
    <n v="6160"/>
    <x v="2"/>
    <x v="0"/>
    <x v="53"/>
    <x v="2"/>
    <x v="0"/>
    <x v="0"/>
    <x v="2"/>
    <x v="0"/>
  </r>
  <r>
    <x v="0"/>
    <x v="0"/>
    <n v="2239287092"/>
    <x v="2"/>
    <n v="54780"/>
    <x v="2"/>
    <x v="0"/>
    <x v="53"/>
    <x v="2"/>
    <x v="0"/>
    <x v="0"/>
    <x v="2"/>
    <x v="0"/>
  </r>
  <r>
    <x v="0"/>
    <x v="0"/>
    <n v="2239287093"/>
    <x v="2"/>
    <n v="22400"/>
    <x v="2"/>
    <x v="0"/>
    <x v="53"/>
    <x v="2"/>
    <x v="0"/>
    <x v="0"/>
    <x v="2"/>
    <x v="0"/>
  </r>
  <r>
    <x v="0"/>
    <x v="0"/>
    <n v="2239287094"/>
    <x v="0"/>
    <n v="1050"/>
    <x v="2"/>
    <x v="0"/>
    <x v="53"/>
    <x v="0"/>
    <x v="0"/>
    <x v="0"/>
    <x v="0"/>
    <x v="0"/>
  </r>
  <r>
    <x v="0"/>
    <x v="0"/>
    <n v="2239287095"/>
    <x v="2"/>
    <n v="3850"/>
    <x v="2"/>
    <x v="0"/>
    <x v="53"/>
    <x v="2"/>
    <x v="0"/>
    <x v="0"/>
    <x v="2"/>
    <x v="0"/>
  </r>
  <r>
    <x v="0"/>
    <x v="0"/>
    <n v="2239287096"/>
    <x v="0"/>
    <n v="600"/>
    <x v="2"/>
    <x v="0"/>
    <x v="53"/>
    <x v="0"/>
    <x v="0"/>
    <x v="0"/>
    <x v="0"/>
    <x v="0"/>
  </r>
  <r>
    <x v="0"/>
    <x v="0"/>
    <n v="2239287097"/>
    <x v="5"/>
    <n v="-8000"/>
    <x v="2"/>
    <x v="0"/>
    <x v="53"/>
    <x v="5"/>
    <x v="0"/>
    <x v="0"/>
    <x v="5"/>
    <x v="0"/>
  </r>
  <r>
    <x v="0"/>
    <x v="0"/>
    <n v="2239287097"/>
    <x v="6"/>
    <n v="10000"/>
    <x v="2"/>
    <x v="0"/>
    <x v="53"/>
    <x v="6"/>
    <x v="0"/>
    <x v="0"/>
    <x v="5"/>
    <x v="0"/>
  </r>
  <r>
    <x v="0"/>
    <x v="0"/>
    <n v="2239287098"/>
    <x v="5"/>
    <n v="-13000"/>
    <x v="2"/>
    <x v="0"/>
    <x v="53"/>
    <x v="5"/>
    <x v="0"/>
    <x v="0"/>
    <x v="5"/>
    <x v="0"/>
  </r>
  <r>
    <x v="0"/>
    <x v="0"/>
    <n v="2239287098"/>
    <x v="6"/>
    <n v="20000"/>
    <x v="2"/>
    <x v="0"/>
    <x v="53"/>
    <x v="6"/>
    <x v="0"/>
    <x v="0"/>
    <x v="5"/>
    <x v="0"/>
  </r>
  <r>
    <x v="0"/>
    <x v="0"/>
    <n v="2239287099"/>
    <x v="8"/>
    <n v="52900"/>
    <x v="2"/>
    <x v="0"/>
    <x v="53"/>
    <x v="8"/>
    <x v="0"/>
    <x v="0"/>
    <x v="3"/>
    <x v="0"/>
  </r>
  <r>
    <x v="0"/>
    <x v="0"/>
    <n v="2239287100"/>
    <x v="2"/>
    <n v="15202"/>
    <x v="2"/>
    <x v="0"/>
    <x v="53"/>
    <x v="2"/>
    <x v="0"/>
    <x v="0"/>
    <x v="2"/>
    <x v="0"/>
  </r>
  <r>
    <x v="0"/>
    <x v="0"/>
    <n v="2239287101"/>
    <x v="2"/>
    <n v="15000"/>
    <x v="2"/>
    <x v="0"/>
    <x v="53"/>
    <x v="2"/>
    <x v="0"/>
    <x v="0"/>
    <x v="2"/>
    <x v="0"/>
  </r>
  <r>
    <x v="0"/>
    <x v="0"/>
    <n v="2239287102"/>
    <x v="2"/>
    <n v="8690"/>
    <x v="2"/>
    <x v="0"/>
    <x v="53"/>
    <x v="2"/>
    <x v="0"/>
    <x v="0"/>
    <x v="2"/>
    <x v="0"/>
  </r>
  <r>
    <x v="0"/>
    <x v="0"/>
    <n v="2239287103"/>
    <x v="1"/>
    <n v="900"/>
    <x v="2"/>
    <x v="0"/>
    <x v="53"/>
    <x v="1"/>
    <x v="0"/>
    <x v="0"/>
    <x v="1"/>
    <x v="0"/>
  </r>
  <r>
    <x v="0"/>
    <x v="0"/>
    <n v="2239287104"/>
    <x v="5"/>
    <n v="-4000"/>
    <x v="2"/>
    <x v="0"/>
    <x v="53"/>
    <x v="5"/>
    <x v="0"/>
    <x v="0"/>
    <x v="5"/>
    <x v="0"/>
  </r>
  <r>
    <x v="0"/>
    <x v="0"/>
    <n v="2239287104"/>
    <x v="6"/>
    <n v="5000"/>
    <x v="2"/>
    <x v="0"/>
    <x v="53"/>
    <x v="6"/>
    <x v="0"/>
    <x v="0"/>
    <x v="5"/>
    <x v="0"/>
  </r>
  <r>
    <x v="0"/>
    <x v="0"/>
    <n v="2239287105"/>
    <x v="6"/>
    <n v="6000"/>
    <x v="2"/>
    <x v="0"/>
    <x v="53"/>
    <x v="6"/>
    <x v="0"/>
    <x v="0"/>
    <x v="5"/>
    <x v="0"/>
  </r>
  <r>
    <x v="0"/>
    <x v="0"/>
    <n v="2239287106"/>
    <x v="2"/>
    <n v="1000"/>
    <x v="2"/>
    <x v="0"/>
    <x v="53"/>
    <x v="2"/>
    <x v="0"/>
    <x v="0"/>
    <x v="2"/>
    <x v="0"/>
  </r>
  <r>
    <x v="0"/>
    <x v="0"/>
    <n v="2239287107"/>
    <x v="7"/>
    <n v="3500"/>
    <x v="2"/>
    <x v="0"/>
    <x v="53"/>
    <x v="7"/>
    <x v="0"/>
    <x v="0"/>
    <x v="1"/>
    <x v="0"/>
  </r>
  <r>
    <x v="0"/>
    <x v="0"/>
    <n v="2239287108"/>
    <x v="7"/>
    <n v="3500"/>
    <x v="2"/>
    <x v="0"/>
    <x v="53"/>
    <x v="7"/>
    <x v="0"/>
    <x v="0"/>
    <x v="1"/>
    <x v="0"/>
  </r>
  <r>
    <x v="0"/>
    <x v="0"/>
    <n v="2239287109"/>
    <x v="5"/>
    <n v="-200"/>
    <x v="2"/>
    <x v="0"/>
    <x v="53"/>
    <x v="5"/>
    <x v="0"/>
    <x v="0"/>
    <x v="5"/>
    <x v="0"/>
  </r>
  <r>
    <x v="0"/>
    <x v="0"/>
    <n v="2239287109"/>
    <x v="4"/>
    <n v="20000"/>
    <x v="2"/>
    <x v="0"/>
    <x v="53"/>
    <x v="4"/>
    <x v="0"/>
    <x v="0"/>
    <x v="4"/>
    <x v="0"/>
  </r>
  <r>
    <x v="0"/>
    <x v="0"/>
    <n v="2239287110"/>
    <x v="0"/>
    <n v="10350"/>
    <x v="2"/>
    <x v="0"/>
    <x v="53"/>
    <x v="0"/>
    <x v="0"/>
    <x v="0"/>
    <x v="0"/>
    <x v="0"/>
  </r>
  <r>
    <x v="0"/>
    <x v="0"/>
    <n v="2239287111"/>
    <x v="2"/>
    <n v="6600"/>
    <x v="2"/>
    <x v="0"/>
    <x v="53"/>
    <x v="2"/>
    <x v="0"/>
    <x v="0"/>
    <x v="2"/>
    <x v="0"/>
  </r>
  <r>
    <x v="0"/>
    <x v="0"/>
    <n v="2239287112"/>
    <x v="2"/>
    <n v="36300"/>
    <x v="2"/>
    <x v="0"/>
    <x v="53"/>
    <x v="2"/>
    <x v="0"/>
    <x v="0"/>
    <x v="2"/>
    <x v="0"/>
  </r>
  <r>
    <x v="0"/>
    <x v="0"/>
    <n v="2239287113"/>
    <x v="0"/>
    <n v="5400"/>
    <x v="2"/>
    <x v="0"/>
    <x v="53"/>
    <x v="0"/>
    <x v="0"/>
    <x v="0"/>
    <x v="0"/>
    <x v="0"/>
  </r>
  <r>
    <x v="0"/>
    <x v="0"/>
    <n v="2239287114"/>
    <x v="5"/>
    <n v="-3500"/>
    <x v="2"/>
    <x v="0"/>
    <x v="53"/>
    <x v="5"/>
    <x v="0"/>
    <x v="0"/>
    <x v="5"/>
    <x v="0"/>
  </r>
  <r>
    <x v="0"/>
    <x v="0"/>
    <n v="2239287114"/>
    <x v="6"/>
    <n v="10000"/>
    <x v="2"/>
    <x v="0"/>
    <x v="53"/>
    <x v="6"/>
    <x v="0"/>
    <x v="0"/>
    <x v="5"/>
    <x v="0"/>
  </r>
  <r>
    <x v="0"/>
    <x v="0"/>
    <n v="2239287115"/>
    <x v="7"/>
    <n v="3000"/>
    <x v="2"/>
    <x v="0"/>
    <x v="53"/>
    <x v="7"/>
    <x v="0"/>
    <x v="0"/>
    <x v="1"/>
    <x v="0"/>
  </r>
  <r>
    <x v="0"/>
    <x v="0"/>
    <n v="2239287116"/>
    <x v="7"/>
    <n v="3500"/>
    <x v="2"/>
    <x v="0"/>
    <x v="53"/>
    <x v="7"/>
    <x v="0"/>
    <x v="0"/>
    <x v="1"/>
    <x v="0"/>
  </r>
  <r>
    <x v="0"/>
    <x v="0"/>
    <n v="2239287117"/>
    <x v="2"/>
    <n v="15400"/>
    <x v="2"/>
    <x v="0"/>
    <x v="53"/>
    <x v="2"/>
    <x v="0"/>
    <x v="0"/>
    <x v="2"/>
    <x v="0"/>
  </r>
  <r>
    <x v="0"/>
    <x v="0"/>
    <n v="2239287118"/>
    <x v="0"/>
    <n v="16050"/>
    <x v="2"/>
    <x v="0"/>
    <x v="53"/>
    <x v="0"/>
    <x v="0"/>
    <x v="0"/>
    <x v="0"/>
    <x v="0"/>
  </r>
  <r>
    <x v="0"/>
    <x v="0"/>
    <n v="2239287119"/>
    <x v="8"/>
    <n v="84700"/>
    <x v="2"/>
    <x v="0"/>
    <x v="53"/>
    <x v="8"/>
    <x v="0"/>
    <x v="0"/>
    <x v="3"/>
    <x v="0"/>
  </r>
  <r>
    <x v="0"/>
    <x v="0"/>
    <n v="2239287120"/>
    <x v="5"/>
    <n v="-10000"/>
    <x v="2"/>
    <x v="0"/>
    <x v="53"/>
    <x v="5"/>
    <x v="0"/>
    <x v="0"/>
    <x v="5"/>
    <x v="0"/>
  </r>
  <r>
    <x v="0"/>
    <x v="0"/>
    <n v="2239287120"/>
    <x v="6"/>
    <n v="25800"/>
    <x v="2"/>
    <x v="0"/>
    <x v="53"/>
    <x v="6"/>
    <x v="0"/>
    <x v="0"/>
    <x v="5"/>
    <x v="0"/>
  </r>
  <r>
    <x v="0"/>
    <x v="0"/>
    <n v="2239287121"/>
    <x v="7"/>
    <n v="7500"/>
    <x v="2"/>
    <x v="0"/>
    <x v="53"/>
    <x v="7"/>
    <x v="0"/>
    <x v="0"/>
    <x v="1"/>
    <x v="0"/>
  </r>
  <r>
    <x v="0"/>
    <x v="0"/>
    <n v="2239287122"/>
    <x v="2"/>
    <n v="4500"/>
    <x v="2"/>
    <x v="0"/>
    <x v="53"/>
    <x v="2"/>
    <x v="0"/>
    <x v="0"/>
    <x v="2"/>
    <x v="0"/>
  </r>
  <r>
    <x v="0"/>
    <x v="0"/>
    <n v="2239287123"/>
    <x v="5"/>
    <n v="-15000"/>
    <x v="2"/>
    <x v="0"/>
    <x v="53"/>
    <x v="5"/>
    <x v="0"/>
    <x v="0"/>
    <x v="5"/>
    <x v="0"/>
  </r>
  <r>
    <x v="0"/>
    <x v="0"/>
    <n v="2239287123"/>
    <x v="6"/>
    <n v="21000"/>
    <x v="2"/>
    <x v="0"/>
    <x v="53"/>
    <x v="6"/>
    <x v="0"/>
    <x v="0"/>
    <x v="5"/>
    <x v="0"/>
  </r>
  <r>
    <x v="0"/>
    <x v="0"/>
    <n v="2239287124"/>
    <x v="2"/>
    <n v="9000"/>
    <x v="2"/>
    <x v="0"/>
    <x v="53"/>
    <x v="2"/>
    <x v="0"/>
    <x v="0"/>
    <x v="2"/>
    <x v="0"/>
  </r>
  <r>
    <x v="0"/>
    <x v="0"/>
    <n v="2239287125"/>
    <x v="5"/>
    <n v="-400"/>
    <x v="2"/>
    <x v="0"/>
    <x v="53"/>
    <x v="5"/>
    <x v="0"/>
    <x v="0"/>
    <x v="5"/>
    <x v="0"/>
  </r>
  <r>
    <x v="0"/>
    <x v="0"/>
    <n v="2239287125"/>
    <x v="6"/>
    <n v="10000"/>
    <x v="2"/>
    <x v="0"/>
    <x v="53"/>
    <x v="6"/>
    <x v="0"/>
    <x v="0"/>
    <x v="5"/>
    <x v="0"/>
  </r>
  <r>
    <x v="0"/>
    <x v="0"/>
    <n v="2239287126"/>
    <x v="2"/>
    <n v="3300"/>
    <x v="2"/>
    <x v="0"/>
    <x v="53"/>
    <x v="2"/>
    <x v="0"/>
    <x v="0"/>
    <x v="2"/>
    <x v="0"/>
  </r>
  <r>
    <x v="0"/>
    <x v="0"/>
    <n v="2239287127"/>
    <x v="3"/>
    <n v="14000"/>
    <x v="2"/>
    <x v="0"/>
    <x v="53"/>
    <x v="3"/>
    <x v="0"/>
    <x v="0"/>
    <x v="3"/>
    <x v="0"/>
  </r>
  <r>
    <x v="0"/>
    <x v="0"/>
    <n v="2239287128"/>
    <x v="7"/>
    <n v="6500"/>
    <x v="2"/>
    <x v="0"/>
    <x v="53"/>
    <x v="7"/>
    <x v="0"/>
    <x v="0"/>
    <x v="1"/>
    <x v="0"/>
  </r>
  <r>
    <x v="0"/>
    <x v="0"/>
    <n v="2239287129"/>
    <x v="7"/>
    <n v="7000"/>
    <x v="2"/>
    <x v="0"/>
    <x v="53"/>
    <x v="7"/>
    <x v="0"/>
    <x v="0"/>
    <x v="1"/>
    <x v="0"/>
  </r>
  <r>
    <x v="0"/>
    <x v="0"/>
    <n v="2239287130"/>
    <x v="2"/>
    <n v="9548"/>
    <x v="2"/>
    <x v="0"/>
    <x v="53"/>
    <x v="2"/>
    <x v="0"/>
    <x v="0"/>
    <x v="2"/>
    <x v="0"/>
  </r>
  <r>
    <x v="0"/>
    <x v="0"/>
    <n v="2239287131"/>
    <x v="5"/>
    <n v="-6000"/>
    <x v="2"/>
    <x v="0"/>
    <x v="53"/>
    <x v="5"/>
    <x v="0"/>
    <x v="0"/>
    <x v="5"/>
    <x v="0"/>
  </r>
  <r>
    <x v="0"/>
    <x v="0"/>
    <n v="2239287131"/>
    <x v="6"/>
    <n v="10000"/>
    <x v="2"/>
    <x v="0"/>
    <x v="53"/>
    <x v="6"/>
    <x v="0"/>
    <x v="0"/>
    <x v="5"/>
    <x v="0"/>
  </r>
  <r>
    <x v="0"/>
    <x v="0"/>
    <n v="2239287132"/>
    <x v="5"/>
    <n v="-4800"/>
    <x v="2"/>
    <x v="0"/>
    <x v="53"/>
    <x v="5"/>
    <x v="0"/>
    <x v="0"/>
    <x v="5"/>
    <x v="0"/>
  </r>
  <r>
    <x v="0"/>
    <x v="0"/>
    <n v="2239287132"/>
    <x v="6"/>
    <n v="10000"/>
    <x v="2"/>
    <x v="0"/>
    <x v="53"/>
    <x v="6"/>
    <x v="0"/>
    <x v="0"/>
    <x v="5"/>
    <x v="0"/>
  </r>
  <r>
    <x v="0"/>
    <x v="0"/>
    <n v="2239287133"/>
    <x v="2"/>
    <n v="8250"/>
    <x v="2"/>
    <x v="0"/>
    <x v="53"/>
    <x v="2"/>
    <x v="0"/>
    <x v="0"/>
    <x v="2"/>
    <x v="0"/>
  </r>
  <r>
    <x v="0"/>
    <x v="0"/>
    <n v="2239287134"/>
    <x v="5"/>
    <n v="-2500"/>
    <x v="2"/>
    <x v="0"/>
    <x v="53"/>
    <x v="5"/>
    <x v="0"/>
    <x v="0"/>
    <x v="5"/>
    <x v="0"/>
  </r>
  <r>
    <x v="0"/>
    <x v="0"/>
    <n v="2239287134"/>
    <x v="6"/>
    <n v="10000"/>
    <x v="2"/>
    <x v="0"/>
    <x v="53"/>
    <x v="6"/>
    <x v="0"/>
    <x v="0"/>
    <x v="5"/>
    <x v="0"/>
  </r>
  <r>
    <x v="0"/>
    <x v="0"/>
    <n v="2239287135"/>
    <x v="3"/>
    <n v="48180"/>
    <x v="2"/>
    <x v="0"/>
    <x v="53"/>
    <x v="3"/>
    <x v="0"/>
    <x v="0"/>
    <x v="3"/>
    <x v="0"/>
  </r>
  <r>
    <x v="0"/>
    <x v="0"/>
    <n v="2239287136"/>
    <x v="2"/>
    <n v="7700"/>
    <x v="2"/>
    <x v="0"/>
    <x v="53"/>
    <x v="2"/>
    <x v="0"/>
    <x v="0"/>
    <x v="2"/>
    <x v="0"/>
  </r>
  <r>
    <x v="0"/>
    <x v="0"/>
    <n v="2239287137"/>
    <x v="2"/>
    <n v="4950"/>
    <x v="2"/>
    <x v="0"/>
    <x v="53"/>
    <x v="2"/>
    <x v="0"/>
    <x v="0"/>
    <x v="2"/>
    <x v="0"/>
  </r>
  <r>
    <x v="0"/>
    <x v="0"/>
    <n v="2239287139"/>
    <x v="5"/>
    <n v="-100"/>
    <x v="2"/>
    <x v="0"/>
    <x v="53"/>
    <x v="5"/>
    <x v="0"/>
    <x v="0"/>
    <x v="5"/>
    <x v="0"/>
  </r>
  <r>
    <x v="0"/>
    <x v="0"/>
    <n v="2239287139"/>
    <x v="6"/>
    <n v="32000"/>
    <x v="2"/>
    <x v="0"/>
    <x v="53"/>
    <x v="6"/>
    <x v="0"/>
    <x v="0"/>
    <x v="5"/>
    <x v="0"/>
  </r>
  <r>
    <x v="0"/>
    <x v="0"/>
    <n v="2239287141"/>
    <x v="5"/>
    <n v="-500"/>
    <x v="2"/>
    <x v="0"/>
    <x v="53"/>
    <x v="5"/>
    <x v="0"/>
    <x v="0"/>
    <x v="5"/>
    <x v="0"/>
  </r>
  <r>
    <x v="0"/>
    <x v="0"/>
    <n v="2239287141"/>
    <x v="6"/>
    <n v="14000"/>
    <x v="2"/>
    <x v="0"/>
    <x v="53"/>
    <x v="6"/>
    <x v="0"/>
    <x v="0"/>
    <x v="5"/>
    <x v="0"/>
  </r>
  <r>
    <x v="0"/>
    <x v="0"/>
    <n v="2239287142"/>
    <x v="2"/>
    <n v="47190"/>
    <x v="2"/>
    <x v="0"/>
    <x v="53"/>
    <x v="2"/>
    <x v="0"/>
    <x v="0"/>
    <x v="2"/>
    <x v="0"/>
  </r>
  <r>
    <x v="0"/>
    <x v="0"/>
    <n v="2239287145"/>
    <x v="2"/>
    <n v="25740"/>
    <x v="2"/>
    <x v="0"/>
    <x v="53"/>
    <x v="2"/>
    <x v="0"/>
    <x v="0"/>
    <x v="2"/>
    <x v="0"/>
  </r>
  <r>
    <x v="0"/>
    <x v="0"/>
    <n v="2239287146"/>
    <x v="5"/>
    <n v="-4000"/>
    <x v="2"/>
    <x v="0"/>
    <x v="53"/>
    <x v="5"/>
    <x v="0"/>
    <x v="0"/>
    <x v="5"/>
    <x v="0"/>
  </r>
  <r>
    <x v="0"/>
    <x v="0"/>
    <n v="2239287146"/>
    <x v="6"/>
    <n v="20000"/>
    <x v="2"/>
    <x v="0"/>
    <x v="53"/>
    <x v="6"/>
    <x v="0"/>
    <x v="0"/>
    <x v="5"/>
    <x v="0"/>
  </r>
  <r>
    <x v="0"/>
    <x v="0"/>
    <n v="2239287147"/>
    <x v="3"/>
    <n v="10450"/>
    <x v="2"/>
    <x v="0"/>
    <x v="53"/>
    <x v="3"/>
    <x v="0"/>
    <x v="0"/>
    <x v="3"/>
    <x v="0"/>
  </r>
  <r>
    <x v="0"/>
    <x v="0"/>
    <n v="2239287148"/>
    <x v="3"/>
    <n v="15400"/>
    <x v="2"/>
    <x v="0"/>
    <x v="53"/>
    <x v="3"/>
    <x v="0"/>
    <x v="0"/>
    <x v="3"/>
    <x v="0"/>
  </r>
  <r>
    <x v="0"/>
    <x v="0"/>
    <n v="2239287149"/>
    <x v="2"/>
    <n v="11550"/>
    <x v="2"/>
    <x v="0"/>
    <x v="53"/>
    <x v="2"/>
    <x v="0"/>
    <x v="0"/>
    <x v="2"/>
    <x v="0"/>
  </r>
  <r>
    <x v="0"/>
    <x v="0"/>
    <n v="2239287150"/>
    <x v="5"/>
    <n v="-4000"/>
    <x v="2"/>
    <x v="0"/>
    <x v="53"/>
    <x v="5"/>
    <x v="0"/>
    <x v="0"/>
    <x v="5"/>
    <x v="0"/>
  </r>
  <r>
    <x v="0"/>
    <x v="0"/>
    <n v="2239287150"/>
    <x v="6"/>
    <n v="10000"/>
    <x v="2"/>
    <x v="0"/>
    <x v="53"/>
    <x v="6"/>
    <x v="0"/>
    <x v="0"/>
    <x v="5"/>
    <x v="0"/>
  </r>
  <r>
    <x v="0"/>
    <x v="0"/>
    <n v="2239287151"/>
    <x v="2"/>
    <n v="27940"/>
    <x v="2"/>
    <x v="0"/>
    <x v="53"/>
    <x v="2"/>
    <x v="0"/>
    <x v="0"/>
    <x v="2"/>
    <x v="0"/>
  </r>
  <r>
    <x v="0"/>
    <x v="0"/>
    <n v="2239287152"/>
    <x v="5"/>
    <n v="-6000"/>
    <x v="2"/>
    <x v="0"/>
    <x v="53"/>
    <x v="5"/>
    <x v="0"/>
    <x v="0"/>
    <x v="5"/>
    <x v="0"/>
  </r>
  <r>
    <x v="0"/>
    <x v="0"/>
    <n v="2239287152"/>
    <x v="6"/>
    <n v="10000"/>
    <x v="2"/>
    <x v="0"/>
    <x v="53"/>
    <x v="6"/>
    <x v="0"/>
    <x v="0"/>
    <x v="5"/>
    <x v="0"/>
  </r>
  <r>
    <x v="0"/>
    <x v="0"/>
    <n v="2239287153"/>
    <x v="2"/>
    <n v="6600"/>
    <x v="2"/>
    <x v="0"/>
    <x v="53"/>
    <x v="2"/>
    <x v="0"/>
    <x v="0"/>
    <x v="2"/>
    <x v="0"/>
  </r>
  <r>
    <x v="0"/>
    <x v="0"/>
    <n v="2239287154"/>
    <x v="2"/>
    <n v="6600"/>
    <x v="2"/>
    <x v="0"/>
    <x v="53"/>
    <x v="2"/>
    <x v="0"/>
    <x v="0"/>
    <x v="2"/>
    <x v="0"/>
  </r>
  <r>
    <x v="0"/>
    <x v="0"/>
    <n v="2239287156"/>
    <x v="2"/>
    <n v="25520"/>
    <x v="2"/>
    <x v="0"/>
    <x v="53"/>
    <x v="2"/>
    <x v="0"/>
    <x v="0"/>
    <x v="2"/>
    <x v="0"/>
  </r>
  <r>
    <x v="0"/>
    <x v="0"/>
    <n v="2239287157"/>
    <x v="5"/>
    <n v="-1000"/>
    <x v="2"/>
    <x v="0"/>
    <x v="53"/>
    <x v="5"/>
    <x v="0"/>
    <x v="0"/>
    <x v="5"/>
    <x v="0"/>
  </r>
  <r>
    <x v="0"/>
    <x v="0"/>
    <n v="2239287157"/>
    <x v="6"/>
    <n v="5000"/>
    <x v="2"/>
    <x v="0"/>
    <x v="53"/>
    <x v="6"/>
    <x v="0"/>
    <x v="0"/>
    <x v="5"/>
    <x v="0"/>
  </r>
  <r>
    <x v="0"/>
    <x v="0"/>
    <n v="2239287158"/>
    <x v="5"/>
    <n v="-7000"/>
    <x v="2"/>
    <x v="0"/>
    <x v="53"/>
    <x v="5"/>
    <x v="0"/>
    <x v="0"/>
    <x v="5"/>
    <x v="0"/>
  </r>
  <r>
    <x v="0"/>
    <x v="0"/>
    <n v="2239287158"/>
    <x v="6"/>
    <n v="10000"/>
    <x v="2"/>
    <x v="0"/>
    <x v="53"/>
    <x v="6"/>
    <x v="0"/>
    <x v="0"/>
    <x v="5"/>
    <x v="0"/>
  </r>
  <r>
    <x v="0"/>
    <x v="0"/>
    <n v="2239287159"/>
    <x v="2"/>
    <n v="50490"/>
    <x v="2"/>
    <x v="0"/>
    <x v="53"/>
    <x v="2"/>
    <x v="0"/>
    <x v="0"/>
    <x v="2"/>
    <x v="0"/>
  </r>
  <r>
    <x v="0"/>
    <x v="0"/>
    <n v="2239287160"/>
    <x v="0"/>
    <n v="2250"/>
    <x v="2"/>
    <x v="0"/>
    <x v="53"/>
    <x v="0"/>
    <x v="0"/>
    <x v="0"/>
    <x v="0"/>
    <x v="0"/>
  </r>
  <r>
    <x v="0"/>
    <x v="0"/>
    <n v="2239287162"/>
    <x v="2"/>
    <n v="9900"/>
    <x v="2"/>
    <x v="0"/>
    <x v="53"/>
    <x v="2"/>
    <x v="0"/>
    <x v="0"/>
    <x v="2"/>
    <x v="0"/>
  </r>
  <r>
    <x v="0"/>
    <x v="0"/>
    <n v="2239287163"/>
    <x v="7"/>
    <n v="6500"/>
    <x v="2"/>
    <x v="0"/>
    <x v="53"/>
    <x v="7"/>
    <x v="0"/>
    <x v="0"/>
    <x v="1"/>
    <x v="0"/>
  </r>
  <r>
    <x v="0"/>
    <x v="0"/>
    <n v="2239287164"/>
    <x v="7"/>
    <n v="7500"/>
    <x v="2"/>
    <x v="0"/>
    <x v="53"/>
    <x v="7"/>
    <x v="0"/>
    <x v="0"/>
    <x v="1"/>
    <x v="0"/>
  </r>
  <r>
    <x v="0"/>
    <x v="0"/>
    <n v="2239287165"/>
    <x v="2"/>
    <n v="63580"/>
    <x v="2"/>
    <x v="0"/>
    <x v="53"/>
    <x v="2"/>
    <x v="0"/>
    <x v="0"/>
    <x v="2"/>
    <x v="0"/>
  </r>
  <r>
    <x v="0"/>
    <x v="0"/>
    <n v="2239287166"/>
    <x v="2"/>
    <n v="16060"/>
    <x v="2"/>
    <x v="0"/>
    <x v="53"/>
    <x v="2"/>
    <x v="0"/>
    <x v="0"/>
    <x v="2"/>
    <x v="0"/>
  </r>
  <r>
    <x v="0"/>
    <x v="0"/>
    <n v="2239287167"/>
    <x v="2"/>
    <n v="51480"/>
    <x v="2"/>
    <x v="0"/>
    <x v="53"/>
    <x v="2"/>
    <x v="0"/>
    <x v="0"/>
    <x v="2"/>
    <x v="0"/>
  </r>
  <r>
    <x v="0"/>
    <x v="0"/>
    <n v="2239287168"/>
    <x v="2"/>
    <n v="6000"/>
    <x v="2"/>
    <x v="0"/>
    <x v="53"/>
    <x v="2"/>
    <x v="0"/>
    <x v="0"/>
    <x v="2"/>
    <x v="0"/>
  </r>
  <r>
    <x v="0"/>
    <x v="0"/>
    <n v="2239287169"/>
    <x v="2"/>
    <n v="10450"/>
    <x v="2"/>
    <x v="0"/>
    <x v="53"/>
    <x v="2"/>
    <x v="0"/>
    <x v="0"/>
    <x v="2"/>
    <x v="0"/>
  </r>
  <r>
    <x v="0"/>
    <x v="0"/>
    <n v="2239287170"/>
    <x v="2"/>
    <n v="11550"/>
    <x v="2"/>
    <x v="0"/>
    <x v="53"/>
    <x v="2"/>
    <x v="0"/>
    <x v="0"/>
    <x v="2"/>
    <x v="0"/>
  </r>
  <r>
    <x v="0"/>
    <x v="0"/>
    <n v="2239287171"/>
    <x v="2"/>
    <n v="11550"/>
    <x v="2"/>
    <x v="0"/>
    <x v="53"/>
    <x v="2"/>
    <x v="0"/>
    <x v="0"/>
    <x v="2"/>
    <x v="0"/>
  </r>
  <r>
    <x v="0"/>
    <x v="0"/>
    <n v="2239287172"/>
    <x v="7"/>
    <n v="3000"/>
    <x v="2"/>
    <x v="0"/>
    <x v="53"/>
    <x v="7"/>
    <x v="0"/>
    <x v="0"/>
    <x v="1"/>
    <x v="0"/>
  </r>
  <r>
    <x v="0"/>
    <x v="0"/>
    <n v="2239287173"/>
    <x v="7"/>
    <n v="3000"/>
    <x v="2"/>
    <x v="0"/>
    <x v="53"/>
    <x v="7"/>
    <x v="0"/>
    <x v="0"/>
    <x v="1"/>
    <x v="0"/>
  </r>
  <r>
    <x v="0"/>
    <x v="0"/>
    <n v="2239287174"/>
    <x v="3"/>
    <n v="20900"/>
    <x v="2"/>
    <x v="0"/>
    <x v="53"/>
    <x v="3"/>
    <x v="0"/>
    <x v="0"/>
    <x v="3"/>
    <x v="0"/>
  </r>
  <r>
    <x v="0"/>
    <x v="0"/>
    <n v="2239287175"/>
    <x v="5"/>
    <n v="-4400"/>
    <x v="2"/>
    <x v="0"/>
    <x v="53"/>
    <x v="5"/>
    <x v="0"/>
    <x v="0"/>
    <x v="5"/>
    <x v="0"/>
  </r>
  <r>
    <x v="0"/>
    <x v="0"/>
    <n v="2239287175"/>
    <x v="4"/>
    <n v="10000"/>
    <x v="2"/>
    <x v="0"/>
    <x v="53"/>
    <x v="4"/>
    <x v="0"/>
    <x v="0"/>
    <x v="4"/>
    <x v="0"/>
  </r>
  <r>
    <x v="0"/>
    <x v="0"/>
    <n v="2239287177"/>
    <x v="1"/>
    <n v="3150"/>
    <x v="2"/>
    <x v="0"/>
    <x v="53"/>
    <x v="1"/>
    <x v="0"/>
    <x v="0"/>
    <x v="1"/>
    <x v="0"/>
  </r>
  <r>
    <x v="0"/>
    <x v="0"/>
    <n v="2239287178"/>
    <x v="2"/>
    <n v="16500"/>
    <x v="2"/>
    <x v="0"/>
    <x v="53"/>
    <x v="2"/>
    <x v="0"/>
    <x v="0"/>
    <x v="2"/>
    <x v="0"/>
  </r>
  <r>
    <x v="0"/>
    <x v="0"/>
    <n v="2239287179"/>
    <x v="2"/>
    <n v="3000"/>
    <x v="2"/>
    <x v="0"/>
    <x v="53"/>
    <x v="2"/>
    <x v="0"/>
    <x v="0"/>
    <x v="2"/>
    <x v="0"/>
  </r>
  <r>
    <x v="0"/>
    <x v="0"/>
    <n v="2239287180"/>
    <x v="5"/>
    <n v="-1000"/>
    <x v="2"/>
    <x v="0"/>
    <x v="53"/>
    <x v="5"/>
    <x v="0"/>
    <x v="0"/>
    <x v="5"/>
    <x v="0"/>
  </r>
  <r>
    <x v="0"/>
    <x v="0"/>
    <n v="2239287180"/>
    <x v="6"/>
    <n v="5000"/>
    <x v="2"/>
    <x v="0"/>
    <x v="53"/>
    <x v="6"/>
    <x v="0"/>
    <x v="0"/>
    <x v="5"/>
    <x v="0"/>
  </r>
  <r>
    <x v="0"/>
    <x v="0"/>
    <n v="2239287181"/>
    <x v="5"/>
    <n v="-2500"/>
    <x v="2"/>
    <x v="0"/>
    <x v="53"/>
    <x v="5"/>
    <x v="0"/>
    <x v="0"/>
    <x v="5"/>
    <x v="0"/>
  </r>
  <r>
    <x v="0"/>
    <x v="0"/>
    <n v="2239287181"/>
    <x v="6"/>
    <n v="10000"/>
    <x v="2"/>
    <x v="0"/>
    <x v="53"/>
    <x v="6"/>
    <x v="0"/>
    <x v="0"/>
    <x v="5"/>
    <x v="0"/>
  </r>
  <r>
    <x v="0"/>
    <x v="0"/>
    <n v="2239287182"/>
    <x v="1"/>
    <n v="3150"/>
    <x v="2"/>
    <x v="0"/>
    <x v="53"/>
    <x v="1"/>
    <x v="0"/>
    <x v="0"/>
    <x v="1"/>
    <x v="0"/>
  </r>
  <r>
    <x v="0"/>
    <x v="0"/>
    <n v="2239287183"/>
    <x v="5"/>
    <n v="-15270"/>
    <x v="2"/>
    <x v="0"/>
    <x v="53"/>
    <x v="5"/>
    <x v="0"/>
    <x v="0"/>
    <x v="5"/>
    <x v="0"/>
  </r>
  <r>
    <x v="0"/>
    <x v="0"/>
    <n v="2239287183"/>
    <x v="6"/>
    <n v="25000"/>
    <x v="2"/>
    <x v="0"/>
    <x v="53"/>
    <x v="6"/>
    <x v="0"/>
    <x v="0"/>
    <x v="5"/>
    <x v="0"/>
  </r>
  <r>
    <x v="0"/>
    <x v="0"/>
    <n v="2239287183"/>
    <x v="7"/>
    <n v="3270"/>
    <x v="2"/>
    <x v="0"/>
    <x v="53"/>
    <x v="7"/>
    <x v="0"/>
    <x v="0"/>
    <x v="1"/>
    <x v="0"/>
  </r>
  <r>
    <x v="0"/>
    <x v="0"/>
    <n v="2239287186"/>
    <x v="5"/>
    <n v="-5000"/>
    <x v="2"/>
    <x v="0"/>
    <x v="53"/>
    <x v="5"/>
    <x v="0"/>
    <x v="0"/>
    <x v="5"/>
    <x v="0"/>
  </r>
  <r>
    <x v="0"/>
    <x v="0"/>
    <n v="2239287186"/>
    <x v="4"/>
    <n v="10000"/>
    <x v="2"/>
    <x v="0"/>
    <x v="53"/>
    <x v="4"/>
    <x v="0"/>
    <x v="0"/>
    <x v="4"/>
    <x v="0"/>
  </r>
  <r>
    <x v="0"/>
    <x v="0"/>
    <n v="2239287187"/>
    <x v="5"/>
    <n v="-4400"/>
    <x v="2"/>
    <x v="0"/>
    <x v="53"/>
    <x v="5"/>
    <x v="0"/>
    <x v="0"/>
    <x v="5"/>
    <x v="0"/>
  </r>
  <r>
    <x v="0"/>
    <x v="0"/>
    <n v="2239287187"/>
    <x v="6"/>
    <n v="50000"/>
    <x v="2"/>
    <x v="0"/>
    <x v="53"/>
    <x v="6"/>
    <x v="0"/>
    <x v="0"/>
    <x v="5"/>
    <x v="0"/>
  </r>
  <r>
    <x v="0"/>
    <x v="0"/>
    <n v="2239287188"/>
    <x v="5"/>
    <n v="-2000"/>
    <x v="2"/>
    <x v="0"/>
    <x v="53"/>
    <x v="5"/>
    <x v="0"/>
    <x v="0"/>
    <x v="5"/>
    <x v="0"/>
  </r>
  <r>
    <x v="0"/>
    <x v="0"/>
    <n v="2239287188"/>
    <x v="6"/>
    <n v="5500"/>
    <x v="2"/>
    <x v="0"/>
    <x v="53"/>
    <x v="6"/>
    <x v="0"/>
    <x v="0"/>
    <x v="5"/>
    <x v="0"/>
  </r>
  <r>
    <x v="0"/>
    <x v="0"/>
    <n v="2239287189"/>
    <x v="2"/>
    <n v="6000"/>
    <x v="2"/>
    <x v="0"/>
    <x v="53"/>
    <x v="2"/>
    <x v="0"/>
    <x v="0"/>
    <x v="2"/>
    <x v="0"/>
  </r>
  <r>
    <x v="0"/>
    <x v="0"/>
    <n v="2239287190"/>
    <x v="5"/>
    <n v="-11000"/>
    <x v="2"/>
    <x v="0"/>
    <x v="53"/>
    <x v="5"/>
    <x v="0"/>
    <x v="0"/>
    <x v="5"/>
    <x v="0"/>
  </r>
  <r>
    <x v="0"/>
    <x v="0"/>
    <n v="2239287190"/>
    <x v="6"/>
    <n v="20000"/>
    <x v="2"/>
    <x v="0"/>
    <x v="53"/>
    <x v="6"/>
    <x v="0"/>
    <x v="0"/>
    <x v="5"/>
    <x v="0"/>
  </r>
  <r>
    <x v="0"/>
    <x v="0"/>
    <n v="2239287191"/>
    <x v="5"/>
    <n v="-5000"/>
    <x v="2"/>
    <x v="0"/>
    <x v="53"/>
    <x v="5"/>
    <x v="0"/>
    <x v="0"/>
    <x v="5"/>
    <x v="0"/>
  </r>
  <r>
    <x v="0"/>
    <x v="0"/>
    <n v="2239287191"/>
    <x v="6"/>
    <n v="10000"/>
    <x v="2"/>
    <x v="0"/>
    <x v="53"/>
    <x v="6"/>
    <x v="0"/>
    <x v="0"/>
    <x v="5"/>
    <x v="0"/>
  </r>
  <r>
    <x v="0"/>
    <x v="0"/>
    <n v="2239287192"/>
    <x v="5"/>
    <n v="-12500"/>
    <x v="2"/>
    <x v="0"/>
    <x v="53"/>
    <x v="5"/>
    <x v="0"/>
    <x v="0"/>
    <x v="5"/>
    <x v="0"/>
  </r>
  <r>
    <x v="0"/>
    <x v="0"/>
    <n v="2239287192"/>
    <x v="6"/>
    <n v="20000"/>
    <x v="2"/>
    <x v="0"/>
    <x v="53"/>
    <x v="6"/>
    <x v="0"/>
    <x v="0"/>
    <x v="5"/>
    <x v="0"/>
  </r>
  <r>
    <x v="0"/>
    <x v="0"/>
    <n v="2239287193"/>
    <x v="2"/>
    <n v="28710"/>
    <x v="2"/>
    <x v="0"/>
    <x v="53"/>
    <x v="2"/>
    <x v="0"/>
    <x v="0"/>
    <x v="2"/>
    <x v="0"/>
  </r>
  <r>
    <x v="0"/>
    <x v="0"/>
    <n v="2239287193"/>
    <x v="7"/>
    <n v="2900"/>
    <x v="2"/>
    <x v="0"/>
    <x v="53"/>
    <x v="7"/>
    <x v="0"/>
    <x v="0"/>
    <x v="1"/>
    <x v="0"/>
  </r>
  <r>
    <x v="0"/>
    <x v="0"/>
    <n v="2239287194"/>
    <x v="5"/>
    <n v="-100"/>
    <x v="2"/>
    <x v="0"/>
    <x v="53"/>
    <x v="5"/>
    <x v="0"/>
    <x v="0"/>
    <x v="5"/>
    <x v="0"/>
  </r>
  <r>
    <x v="0"/>
    <x v="0"/>
    <n v="2239287194"/>
    <x v="4"/>
    <n v="4500"/>
    <x v="2"/>
    <x v="0"/>
    <x v="53"/>
    <x v="4"/>
    <x v="0"/>
    <x v="0"/>
    <x v="4"/>
    <x v="0"/>
  </r>
  <r>
    <x v="0"/>
    <x v="0"/>
    <n v="2239287195"/>
    <x v="3"/>
    <n v="6500"/>
    <x v="2"/>
    <x v="0"/>
    <x v="53"/>
    <x v="3"/>
    <x v="0"/>
    <x v="0"/>
    <x v="3"/>
    <x v="0"/>
  </r>
  <r>
    <x v="0"/>
    <x v="0"/>
    <n v="2239287196"/>
    <x v="7"/>
    <n v="7500"/>
    <x v="2"/>
    <x v="0"/>
    <x v="53"/>
    <x v="7"/>
    <x v="0"/>
    <x v="0"/>
    <x v="1"/>
    <x v="0"/>
  </r>
  <r>
    <x v="0"/>
    <x v="0"/>
    <n v="2239287197"/>
    <x v="2"/>
    <n v="3300"/>
    <x v="2"/>
    <x v="0"/>
    <x v="53"/>
    <x v="2"/>
    <x v="0"/>
    <x v="0"/>
    <x v="2"/>
    <x v="0"/>
  </r>
  <r>
    <x v="0"/>
    <x v="0"/>
    <n v="2239287198"/>
    <x v="5"/>
    <n v="-3500"/>
    <x v="2"/>
    <x v="0"/>
    <x v="53"/>
    <x v="5"/>
    <x v="0"/>
    <x v="0"/>
    <x v="5"/>
    <x v="0"/>
  </r>
  <r>
    <x v="0"/>
    <x v="0"/>
    <n v="2239287198"/>
    <x v="6"/>
    <n v="10000"/>
    <x v="2"/>
    <x v="0"/>
    <x v="53"/>
    <x v="6"/>
    <x v="0"/>
    <x v="0"/>
    <x v="5"/>
    <x v="0"/>
  </r>
  <r>
    <x v="0"/>
    <x v="0"/>
    <n v="2239287199"/>
    <x v="2"/>
    <n v="6600"/>
    <x v="2"/>
    <x v="0"/>
    <x v="53"/>
    <x v="2"/>
    <x v="0"/>
    <x v="0"/>
    <x v="2"/>
    <x v="0"/>
  </r>
  <r>
    <x v="0"/>
    <x v="0"/>
    <n v="2239287200"/>
    <x v="4"/>
    <n v="4400"/>
    <x v="2"/>
    <x v="0"/>
    <x v="53"/>
    <x v="4"/>
    <x v="0"/>
    <x v="0"/>
    <x v="4"/>
    <x v="0"/>
  </r>
  <r>
    <x v="0"/>
    <x v="0"/>
    <n v="2239287201"/>
    <x v="2"/>
    <n v="3000"/>
    <x v="2"/>
    <x v="0"/>
    <x v="53"/>
    <x v="2"/>
    <x v="0"/>
    <x v="0"/>
    <x v="2"/>
    <x v="0"/>
  </r>
  <r>
    <x v="0"/>
    <x v="0"/>
    <n v="2239287202"/>
    <x v="5"/>
    <n v="-4700"/>
    <x v="2"/>
    <x v="0"/>
    <x v="53"/>
    <x v="5"/>
    <x v="0"/>
    <x v="0"/>
    <x v="5"/>
    <x v="0"/>
  </r>
  <r>
    <x v="0"/>
    <x v="0"/>
    <n v="2239287202"/>
    <x v="4"/>
    <n v="10000"/>
    <x v="2"/>
    <x v="0"/>
    <x v="53"/>
    <x v="4"/>
    <x v="0"/>
    <x v="0"/>
    <x v="4"/>
    <x v="0"/>
  </r>
  <r>
    <x v="0"/>
    <x v="0"/>
    <n v="2239287204"/>
    <x v="5"/>
    <n v="-14300"/>
    <x v="2"/>
    <x v="0"/>
    <x v="53"/>
    <x v="5"/>
    <x v="0"/>
    <x v="0"/>
    <x v="5"/>
    <x v="0"/>
  </r>
  <r>
    <x v="0"/>
    <x v="0"/>
    <n v="2239287204"/>
    <x v="4"/>
    <n v="20000"/>
    <x v="2"/>
    <x v="0"/>
    <x v="53"/>
    <x v="4"/>
    <x v="0"/>
    <x v="0"/>
    <x v="4"/>
    <x v="0"/>
  </r>
  <r>
    <x v="0"/>
    <x v="0"/>
    <n v="2239287205"/>
    <x v="7"/>
    <n v="7500"/>
    <x v="2"/>
    <x v="0"/>
    <x v="53"/>
    <x v="7"/>
    <x v="0"/>
    <x v="0"/>
    <x v="1"/>
    <x v="0"/>
  </r>
  <r>
    <x v="0"/>
    <x v="0"/>
    <n v="2239287206"/>
    <x v="5"/>
    <n v="-3070"/>
    <x v="2"/>
    <x v="0"/>
    <x v="53"/>
    <x v="5"/>
    <x v="0"/>
    <x v="0"/>
    <x v="5"/>
    <x v="0"/>
  </r>
  <r>
    <x v="0"/>
    <x v="0"/>
    <n v="2239287206"/>
    <x v="6"/>
    <n v="10000"/>
    <x v="2"/>
    <x v="0"/>
    <x v="53"/>
    <x v="6"/>
    <x v="0"/>
    <x v="0"/>
    <x v="5"/>
    <x v="0"/>
  </r>
  <r>
    <x v="0"/>
    <x v="0"/>
    <n v="2239287206"/>
    <x v="7"/>
    <n v="2970"/>
    <x v="2"/>
    <x v="0"/>
    <x v="53"/>
    <x v="7"/>
    <x v="0"/>
    <x v="0"/>
    <x v="1"/>
    <x v="0"/>
  </r>
  <r>
    <x v="0"/>
    <x v="0"/>
    <n v="2239287207"/>
    <x v="7"/>
    <n v="7500"/>
    <x v="2"/>
    <x v="0"/>
    <x v="53"/>
    <x v="7"/>
    <x v="0"/>
    <x v="0"/>
    <x v="1"/>
    <x v="0"/>
  </r>
  <r>
    <x v="0"/>
    <x v="0"/>
    <n v="2239287208"/>
    <x v="7"/>
    <n v="7500"/>
    <x v="2"/>
    <x v="0"/>
    <x v="53"/>
    <x v="7"/>
    <x v="0"/>
    <x v="0"/>
    <x v="1"/>
    <x v="0"/>
  </r>
  <r>
    <x v="0"/>
    <x v="0"/>
    <n v="2239287209"/>
    <x v="2"/>
    <n v="9350"/>
    <x v="2"/>
    <x v="0"/>
    <x v="53"/>
    <x v="2"/>
    <x v="0"/>
    <x v="0"/>
    <x v="2"/>
    <x v="0"/>
  </r>
  <r>
    <x v="0"/>
    <x v="0"/>
    <n v="2239287210"/>
    <x v="2"/>
    <n v="15400"/>
    <x v="2"/>
    <x v="0"/>
    <x v="53"/>
    <x v="2"/>
    <x v="0"/>
    <x v="0"/>
    <x v="2"/>
    <x v="0"/>
  </r>
  <r>
    <x v="0"/>
    <x v="0"/>
    <n v="2239287211"/>
    <x v="5"/>
    <n v="-5000"/>
    <x v="2"/>
    <x v="0"/>
    <x v="53"/>
    <x v="5"/>
    <x v="0"/>
    <x v="0"/>
    <x v="5"/>
    <x v="0"/>
  </r>
  <r>
    <x v="0"/>
    <x v="0"/>
    <n v="2239287211"/>
    <x v="4"/>
    <n v="10600"/>
    <x v="2"/>
    <x v="0"/>
    <x v="53"/>
    <x v="4"/>
    <x v="0"/>
    <x v="0"/>
    <x v="4"/>
    <x v="0"/>
  </r>
  <r>
    <x v="0"/>
    <x v="0"/>
    <n v="2239287212"/>
    <x v="8"/>
    <n v="10450"/>
    <x v="2"/>
    <x v="0"/>
    <x v="53"/>
    <x v="8"/>
    <x v="0"/>
    <x v="0"/>
    <x v="3"/>
    <x v="0"/>
  </r>
  <r>
    <x v="0"/>
    <x v="0"/>
    <n v="2239287213"/>
    <x v="6"/>
    <n v="7500"/>
    <x v="2"/>
    <x v="0"/>
    <x v="53"/>
    <x v="6"/>
    <x v="0"/>
    <x v="0"/>
    <x v="5"/>
    <x v="0"/>
  </r>
  <r>
    <x v="0"/>
    <x v="0"/>
    <n v="2239287214"/>
    <x v="3"/>
    <n v="80740"/>
    <x v="2"/>
    <x v="0"/>
    <x v="53"/>
    <x v="3"/>
    <x v="0"/>
    <x v="0"/>
    <x v="3"/>
    <x v="0"/>
  </r>
  <r>
    <x v="0"/>
    <x v="0"/>
    <n v="2239287215"/>
    <x v="2"/>
    <n v="6000"/>
    <x v="2"/>
    <x v="0"/>
    <x v="53"/>
    <x v="2"/>
    <x v="0"/>
    <x v="0"/>
    <x v="2"/>
    <x v="0"/>
  </r>
  <r>
    <x v="0"/>
    <x v="0"/>
    <n v="2239287216"/>
    <x v="2"/>
    <n v="3300"/>
    <x v="2"/>
    <x v="0"/>
    <x v="53"/>
    <x v="2"/>
    <x v="0"/>
    <x v="0"/>
    <x v="2"/>
    <x v="0"/>
  </r>
  <r>
    <x v="0"/>
    <x v="0"/>
    <n v="2239287217"/>
    <x v="5"/>
    <n v="-7600"/>
    <x v="2"/>
    <x v="0"/>
    <x v="53"/>
    <x v="5"/>
    <x v="0"/>
    <x v="0"/>
    <x v="5"/>
    <x v="0"/>
  </r>
  <r>
    <x v="0"/>
    <x v="0"/>
    <n v="2239287217"/>
    <x v="6"/>
    <n v="55000"/>
    <x v="2"/>
    <x v="0"/>
    <x v="53"/>
    <x v="6"/>
    <x v="0"/>
    <x v="0"/>
    <x v="5"/>
    <x v="0"/>
  </r>
  <r>
    <x v="0"/>
    <x v="0"/>
    <n v="2239287218"/>
    <x v="2"/>
    <n v="52250"/>
    <x v="2"/>
    <x v="0"/>
    <x v="53"/>
    <x v="2"/>
    <x v="0"/>
    <x v="0"/>
    <x v="2"/>
    <x v="0"/>
  </r>
  <r>
    <x v="0"/>
    <x v="0"/>
    <n v="2239287219"/>
    <x v="2"/>
    <n v="21450"/>
    <x v="2"/>
    <x v="0"/>
    <x v="53"/>
    <x v="2"/>
    <x v="0"/>
    <x v="0"/>
    <x v="2"/>
    <x v="0"/>
  </r>
  <r>
    <x v="0"/>
    <x v="0"/>
    <n v="2239287220"/>
    <x v="2"/>
    <n v="3000"/>
    <x v="2"/>
    <x v="0"/>
    <x v="53"/>
    <x v="2"/>
    <x v="0"/>
    <x v="0"/>
    <x v="2"/>
    <x v="0"/>
  </r>
  <r>
    <x v="0"/>
    <x v="0"/>
    <n v="2239287221"/>
    <x v="6"/>
    <n v="5000"/>
    <x v="2"/>
    <x v="0"/>
    <x v="53"/>
    <x v="6"/>
    <x v="0"/>
    <x v="0"/>
    <x v="5"/>
    <x v="0"/>
  </r>
  <r>
    <x v="0"/>
    <x v="0"/>
    <n v="2239287223"/>
    <x v="2"/>
    <n v="39930"/>
    <x v="2"/>
    <x v="0"/>
    <x v="53"/>
    <x v="2"/>
    <x v="0"/>
    <x v="0"/>
    <x v="2"/>
    <x v="0"/>
  </r>
  <r>
    <x v="0"/>
    <x v="0"/>
    <n v="2239287226"/>
    <x v="0"/>
    <n v="900"/>
    <x v="2"/>
    <x v="0"/>
    <x v="53"/>
    <x v="0"/>
    <x v="0"/>
    <x v="0"/>
    <x v="0"/>
    <x v="0"/>
  </r>
  <r>
    <x v="0"/>
    <x v="0"/>
    <n v="2239287227"/>
    <x v="5"/>
    <n v="-2500"/>
    <x v="2"/>
    <x v="0"/>
    <x v="53"/>
    <x v="5"/>
    <x v="0"/>
    <x v="0"/>
    <x v="5"/>
    <x v="0"/>
  </r>
  <r>
    <x v="0"/>
    <x v="0"/>
    <n v="2239287227"/>
    <x v="6"/>
    <n v="10000"/>
    <x v="2"/>
    <x v="0"/>
    <x v="53"/>
    <x v="6"/>
    <x v="0"/>
    <x v="0"/>
    <x v="5"/>
    <x v="0"/>
  </r>
  <r>
    <x v="0"/>
    <x v="0"/>
    <n v="2239287228"/>
    <x v="2"/>
    <n v="32230"/>
    <x v="2"/>
    <x v="0"/>
    <x v="53"/>
    <x v="2"/>
    <x v="0"/>
    <x v="0"/>
    <x v="2"/>
    <x v="0"/>
  </r>
  <r>
    <x v="0"/>
    <x v="0"/>
    <n v="2239287230"/>
    <x v="8"/>
    <n v="10450"/>
    <x v="2"/>
    <x v="0"/>
    <x v="53"/>
    <x v="8"/>
    <x v="0"/>
    <x v="0"/>
    <x v="3"/>
    <x v="0"/>
  </r>
  <r>
    <x v="0"/>
    <x v="0"/>
    <n v="2239287231"/>
    <x v="2"/>
    <n v="15000"/>
    <x v="2"/>
    <x v="0"/>
    <x v="53"/>
    <x v="2"/>
    <x v="0"/>
    <x v="0"/>
    <x v="2"/>
    <x v="0"/>
  </r>
  <r>
    <x v="0"/>
    <x v="0"/>
    <n v="2239287232"/>
    <x v="2"/>
    <n v="7500"/>
    <x v="2"/>
    <x v="0"/>
    <x v="53"/>
    <x v="2"/>
    <x v="0"/>
    <x v="0"/>
    <x v="2"/>
    <x v="0"/>
  </r>
  <r>
    <x v="0"/>
    <x v="0"/>
    <n v="2239287233"/>
    <x v="0"/>
    <n v="8070"/>
    <x v="2"/>
    <x v="0"/>
    <x v="53"/>
    <x v="0"/>
    <x v="0"/>
    <x v="0"/>
    <x v="0"/>
    <x v="0"/>
  </r>
  <r>
    <x v="0"/>
    <x v="0"/>
    <n v="2239287235"/>
    <x v="2"/>
    <n v="9760"/>
    <x v="2"/>
    <x v="0"/>
    <x v="53"/>
    <x v="2"/>
    <x v="0"/>
    <x v="0"/>
    <x v="2"/>
    <x v="0"/>
  </r>
  <r>
    <x v="0"/>
    <x v="0"/>
    <n v="2239287236"/>
    <x v="2"/>
    <n v="13640"/>
    <x v="2"/>
    <x v="0"/>
    <x v="53"/>
    <x v="2"/>
    <x v="0"/>
    <x v="0"/>
    <x v="2"/>
    <x v="0"/>
  </r>
  <r>
    <x v="0"/>
    <x v="0"/>
    <n v="2239287237"/>
    <x v="5"/>
    <n v="-7000"/>
    <x v="2"/>
    <x v="0"/>
    <x v="53"/>
    <x v="5"/>
    <x v="0"/>
    <x v="0"/>
    <x v="5"/>
    <x v="0"/>
  </r>
  <r>
    <x v="0"/>
    <x v="0"/>
    <n v="2239287237"/>
    <x v="6"/>
    <n v="20000"/>
    <x v="2"/>
    <x v="0"/>
    <x v="53"/>
    <x v="6"/>
    <x v="0"/>
    <x v="0"/>
    <x v="5"/>
    <x v="0"/>
  </r>
  <r>
    <x v="0"/>
    <x v="0"/>
    <n v="2239287238"/>
    <x v="5"/>
    <n v="-6000"/>
    <x v="2"/>
    <x v="0"/>
    <x v="53"/>
    <x v="5"/>
    <x v="0"/>
    <x v="0"/>
    <x v="5"/>
    <x v="0"/>
  </r>
  <r>
    <x v="0"/>
    <x v="0"/>
    <n v="2239287238"/>
    <x v="6"/>
    <n v="20000"/>
    <x v="2"/>
    <x v="0"/>
    <x v="53"/>
    <x v="6"/>
    <x v="0"/>
    <x v="0"/>
    <x v="5"/>
    <x v="0"/>
  </r>
  <r>
    <x v="0"/>
    <x v="0"/>
    <n v="2239287239"/>
    <x v="7"/>
    <n v="3000"/>
    <x v="2"/>
    <x v="0"/>
    <x v="53"/>
    <x v="7"/>
    <x v="0"/>
    <x v="0"/>
    <x v="1"/>
    <x v="0"/>
  </r>
  <r>
    <x v="0"/>
    <x v="0"/>
    <n v="2239287240"/>
    <x v="7"/>
    <n v="3000"/>
    <x v="2"/>
    <x v="0"/>
    <x v="53"/>
    <x v="7"/>
    <x v="0"/>
    <x v="0"/>
    <x v="1"/>
    <x v="0"/>
  </r>
  <r>
    <x v="0"/>
    <x v="0"/>
    <n v="2239287241"/>
    <x v="8"/>
    <n v="10450"/>
    <x v="2"/>
    <x v="0"/>
    <x v="53"/>
    <x v="8"/>
    <x v="0"/>
    <x v="0"/>
    <x v="3"/>
    <x v="0"/>
  </r>
  <r>
    <x v="0"/>
    <x v="0"/>
    <n v="2239287242"/>
    <x v="0"/>
    <n v="2400"/>
    <x v="2"/>
    <x v="0"/>
    <x v="53"/>
    <x v="0"/>
    <x v="0"/>
    <x v="0"/>
    <x v="0"/>
    <x v="0"/>
  </r>
  <r>
    <x v="0"/>
    <x v="0"/>
    <n v="2239287243"/>
    <x v="7"/>
    <n v="7500"/>
    <x v="2"/>
    <x v="0"/>
    <x v="53"/>
    <x v="7"/>
    <x v="0"/>
    <x v="0"/>
    <x v="1"/>
    <x v="0"/>
  </r>
  <r>
    <x v="0"/>
    <x v="0"/>
    <n v="2239287244"/>
    <x v="0"/>
    <n v="600"/>
    <x v="2"/>
    <x v="0"/>
    <x v="53"/>
    <x v="0"/>
    <x v="0"/>
    <x v="0"/>
    <x v="0"/>
    <x v="0"/>
  </r>
  <r>
    <x v="0"/>
    <x v="0"/>
    <n v="2239287245"/>
    <x v="2"/>
    <n v="7500"/>
    <x v="2"/>
    <x v="0"/>
    <x v="53"/>
    <x v="2"/>
    <x v="0"/>
    <x v="0"/>
    <x v="2"/>
    <x v="0"/>
  </r>
  <r>
    <x v="0"/>
    <x v="0"/>
    <n v="2239287246"/>
    <x v="6"/>
    <n v="12000"/>
    <x v="2"/>
    <x v="0"/>
    <x v="53"/>
    <x v="6"/>
    <x v="0"/>
    <x v="0"/>
    <x v="5"/>
    <x v="0"/>
  </r>
  <r>
    <x v="0"/>
    <x v="0"/>
    <n v="2239287247"/>
    <x v="2"/>
    <n v="14000"/>
    <x v="2"/>
    <x v="0"/>
    <x v="53"/>
    <x v="2"/>
    <x v="0"/>
    <x v="0"/>
    <x v="2"/>
    <x v="0"/>
  </r>
  <r>
    <x v="0"/>
    <x v="0"/>
    <n v="2239287248"/>
    <x v="1"/>
    <n v="1350"/>
    <x v="2"/>
    <x v="0"/>
    <x v="53"/>
    <x v="1"/>
    <x v="0"/>
    <x v="0"/>
    <x v="1"/>
    <x v="0"/>
  </r>
  <r>
    <x v="0"/>
    <x v="0"/>
    <n v="2239287249"/>
    <x v="2"/>
    <n v="22880"/>
    <x v="2"/>
    <x v="0"/>
    <x v="53"/>
    <x v="2"/>
    <x v="0"/>
    <x v="0"/>
    <x v="2"/>
    <x v="0"/>
  </r>
  <r>
    <x v="0"/>
    <x v="0"/>
    <n v="2239287251"/>
    <x v="5"/>
    <n v="-5000"/>
    <x v="2"/>
    <x v="0"/>
    <x v="53"/>
    <x v="5"/>
    <x v="0"/>
    <x v="0"/>
    <x v="5"/>
    <x v="0"/>
  </r>
  <r>
    <x v="0"/>
    <x v="0"/>
    <n v="2239287251"/>
    <x v="4"/>
    <n v="10000"/>
    <x v="2"/>
    <x v="0"/>
    <x v="53"/>
    <x v="4"/>
    <x v="0"/>
    <x v="0"/>
    <x v="4"/>
    <x v="0"/>
  </r>
  <r>
    <x v="0"/>
    <x v="0"/>
    <n v="2239287252"/>
    <x v="8"/>
    <n v="7700"/>
    <x v="2"/>
    <x v="0"/>
    <x v="53"/>
    <x v="8"/>
    <x v="0"/>
    <x v="0"/>
    <x v="3"/>
    <x v="0"/>
  </r>
  <r>
    <x v="0"/>
    <x v="0"/>
    <n v="2239287253"/>
    <x v="0"/>
    <n v="900"/>
    <x v="2"/>
    <x v="0"/>
    <x v="53"/>
    <x v="0"/>
    <x v="0"/>
    <x v="0"/>
    <x v="0"/>
    <x v="0"/>
  </r>
  <r>
    <x v="0"/>
    <x v="0"/>
    <n v="2239287254"/>
    <x v="2"/>
    <n v="7700"/>
    <x v="2"/>
    <x v="0"/>
    <x v="53"/>
    <x v="2"/>
    <x v="0"/>
    <x v="0"/>
    <x v="2"/>
    <x v="0"/>
  </r>
  <r>
    <x v="0"/>
    <x v="0"/>
    <n v="2239287255"/>
    <x v="2"/>
    <n v="8800"/>
    <x v="2"/>
    <x v="0"/>
    <x v="53"/>
    <x v="2"/>
    <x v="0"/>
    <x v="0"/>
    <x v="2"/>
    <x v="0"/>
  </r>
  <r>
    <x v="0"/>
    <x v="0"/>
    <n v="2239287256"/>
    <x v="5"/>
    <n v="-6000"/>
    <x v="2"/>
    <x v="0"/>
    <x v="53"/>
    <x v="5"/>
    <x v="0"/>
    <x v="0"/>
    <x v="5"/>
    <x v="0"/>
  </r>
  <r>
    <x v="0"/>
    <x v="0"/>
    <n v="2239287256"/>
    <x v="6"/>
    <n v="25000"/>
    <x v="2"/>
    <x v="0"/>
    <x v="53"/>
    <x v="6"/>
    <x v="0"/>
    <x v="0"/>
    <x v="5"/>
    <x v="0"/>
  </r>
  <r>
    <x v="0"/>
    <x v="0"/>
    <n v="2239287257"/>
    <x v="5"/>
    <n v="-4500"/>
    <x v="2"/>
    <x v="0"/>
    <x v="53"/>
    <x v="5"/>
    <x v="0"/>
    <x v="0"/>
    <x v="5"/>
    <x v="0"/>
  </r>
  <r>
    <x v="0"/>
    <x v="0"/>
    <n v="2239287257"/>
    <x v="6"/>
    <n v="20000"/>
    <x v="2"/>
    <x v="0"/>
    <x v="53"/>
    <x v="6"/>
    <x v="0"/>
    <x v="0"/>
    <x v="5"/>
    <x v="0"/>
  </r>
  <r>
    <x v="0"/>
    <x v="0"/>
    <n v="2239287258"/>
    <x v="2"/>
    <n v="8360"/>
    <x v="2"/>
    <x v="0"/>
    <x v="53"/>
    <x v="2"/>
    <x v="0"/>
    <x v="0"/>
    <x v="2"/>
    <x v="0"/>
  </r>
  <r>
    <x v="0"/>
    <x v="0"/>
    <n v="2239287259"/>
    <x v="5"/>
    <n v="-800"/>
    <x v="2"/>
    <x v="0"/>
    <x v="53"/>
    <x v="5"/>
    <x v="0"/>
    <x v="0"/>
    <x v="5"/>
    <x v="0"/>
  </r>
  <r>
    <x v="0"/>
    <x v="0"/>
    <n v="2239287259"/>
    <x v="6"/>
    <n v="19000"/>
    <x v="2"/>
    <x v="0"/>
    <x v="53"/>
    <x v="6"/>
    <x v="0"/>
    <x v="0"/>
    <x v="5"/>
    <x v="0"/>
  </r>
  <r>
    <x v="0"/>
    <x v="0"/>
    <n v="2239287261"/>
    <x v="5"/>
    <n v="-7200"/>
    <x v="2"/>
    <x v="0"/>
    <x v="53"/>
    <x v="5"/>
    <x v="0"/>
    <x v="0"/>
    <x v="5"/>
    <x v="0"/>
  </r>
  <r>
    <x v="0"/>
    <x v="0"/>
    <n v="2239287261"/>
    <x v="6"/>
    <n v="80000"/>
    <x v="2"/>
    <x v="0"/>
    <x v="53"/>
    <x v="6"/>
    <x v="0"/>
    <x v="0"/>
    <x v="5"/>
    <x v="0"/>
  </r>
  <r>
    <x v="0"/>
    <x v="0"/>
    <n v="2239287263"/>
    <x v="5"/>
    <n v="-600"/>
    <x v="2"/>
    <x v="0"/>
    <x v="53"/>
    <x v="5"/>
    <x v="0"/>
    <x v="0"/>
    <x v="5"/>
    <x v="0"/>
  </r>
  <r>
    <x v="0"/>
    <x v="0"/>
    <n v="2239287263"/>
    <x v="6"/>
    <n v="20000"/>
    <x v="2"/>
    <x v="0"/>
    <x v="53"/>
    <x v="6"/>
    <x v="0"/>
    <x v="0"/>
    <x v="5"/>
    <x v="0"/>
  </r>
  <r>
    <x v="0"/>
    <x v="0"/>
    <n v="2239287265"/>
    <x v="2"/>
    <n v="15950"/>
    <x v="2"/>
    <x v="0"/>
    <x v="53"/>
    <x v="2"/>
    <x v="0"/>
    <x v="0"/>
    <x v="2"/>
    <x v="0"/>
  </r>
  <r>
    <x v="0"/>
    <x v="0"/>
    <n v="2239287266"/>
    <x v="6"/>
    <n v="14000"/>
    <x v="2"/>
    <x v="0"/>
    <x v="53"/>
    <x v="6"/>
    <x v="0"/>
    <x v="0"/>
    <x v="5"/>
    <x v="0"/>
  </r>
  <r>
    <x v="0"/>
    <x v="0"/>
    <n v="2239287268"/>
    <x v="0"/>
    <n v="900"/>
    <x v="2"/>
    <x v="0"/>
    <x v="53"/>
    <x v="0"/>
    <x v="0"/>
    <x v="0"/>
    <x v="0"/>
    <x v="0"/>
  </r>
  <r>
    <x v="0"/>
    <x v="0"/>
    <n v="2239287269"/>
    <x v="2"/>
    <n v="15000"/>
    <x v="2"/>
    <x v="0"/>
    <x v="53"/>
    <x v="2"/>
    <x v="0"/>
    <x v="0"/>
    <x v="2"/>
    <x v="0"/>
  </r>
  <r>
    <x v="0"/>
    <x v="0"/>
    <n v="2239287270"/>
    <x v="5"/>
    <n v="-2500"/>
    <x v="2"/>
    <x v="0"/>
    <x v="53"/>
    <x v="5"/>
    <x v="0"/>
    <x v="0"/>
    <x v="5"/>
    <x v="0"/>
  </r>
  <r>
    <x v="0"/>
    <x v="0"/>
    <n v="2239287270"/>
    <x v="6"/>
    <n v="15000"/>
    <x v="2"/>
    <x v="0"/>
    <x v="53"/>
    <x v="6"/>
    <x v="0"/>
    <x v="0"/>
    <x v="5"/>
    <x v="0"/>
  </r>
  <r>
    <x v="0"/>
    <x v="0"/>
    <n v="2239287271"/>
    <x v="2"/>
    <n v="11000"/>
    <x v="2"/>
    <x v="0"/>
    <x v="53"/>
    <x v="2"/>
    <x v="0"/>
    <x v="0"/>
    <x v="2"/>
    <x v="0"/>
  </r>
  <r>
    <x v="0"/>
    <x v="0"/>
    <n v="2239287272"/>
    <x v="2"/>
    <n v="6000"/>
    <x v="2"/>
    <x v="0"/>
    <x v="53"/>
    <x v="2"/>
    <x v="0"/>
    <x v="0"/>
    <x v="2"/>
    <x v="0"/>
  </r>
  <r>
    <x v="0"/>
    <x v="0"/>
    <n v="2239287273"/>
    <x v="7"/>
    <n v="7500"/>
    <x v="2"/>
    <x v="0"/>
    <x v="53"/>
    <x v="7"/>
    <x v="0"/>
    <x v="0"/>
    <x v="1"/>
    <x v="0"/>
  </r>
  <r>
    <x v="0"/>
    <x v="0"/>
    <n v="2239287274"/>
    <x v="5"/>
    <n v="-3000"/>
    <x v="2"/>
    <x v="0"/>
    <x v="53"/>
    <x v="5"/>
    <x v="0"/>
    <x v="0"/>
    <x v="5"/>
    <x v="0"/>
  </r>
  <r>
    <x v="0"/>
    <x v="0"/>
    <n v="2239287274"/>
    <x v="6"/>
    <n v="10000"/>
    <x v="2"/>
    <x v="0"/>
    <x v="53"/>
    <x v="6"/>
    <x v="0"/>
    <x v="0"/>
    <x v="5"/>
    <x v="0"/>
  </r>
  <r>
    <x v="0"/>
    <x v="0"/>
    <n v="2239287275"/>
    <x v="8"/>
    <n v="18700"/>
    <x v="2"/>
    <x v="0"/>
    <x v="53"/>
    <x v="8"/>
    <x v="0"/>
    <x v="0"/>
    <x v="3"/>
    <x v="0"/>
  </r>
  <r>
    <x v="0"/>
    <x v="0"/>
    <n v="2239287277"/>
    <x v="5"/>
    <n v="-800"/>
    <x v="2"/>
    <x v="0"/>
    <x v="53"/>
    <x v="5"/>
    <x v="0"/>
    <x v="0"/>
    <x v="5"/>
    <x v="0"/>
  </r>
  <r>
    <x v="0"/>
    <x v="0"/>
    <n v="2239287277"/>
    <x v="6"/>
    <n v="10000"/>
    <x v="2"/>
    <x v="0"/>
    <x v="53"/>
    <x v="6"/>
    <x v="0"/>
    <x v="0"/>
    <x v="5"/>
    <x v="0"/>
  </r>
  <r>
    <x v="0"/>
    <x v="0"/>
    <n v="2239287278"/>
    <x v="5"/>
    <n v="-500"/>
    <x v="2"/>
    <x v="0"/>
    <x v="53"/>
    <x v="5"/>
    <x v="0"/>
    <x v="0"/>
    <x v="5"/>
    <x v="0"/>
  </r>
  <r>
    <x v="0"/>
    <x v="0"/>
    <n v="2239287278"/>
    <x v="6"/>
    <n v="10000"/>
    <x v="2"/>
    <x v="0"/>
    <x v="53"/>
    <x v="6"/>
    <x v="0"/>
    <x v="0"/>
    <x v="5"/>
    <x v="0"/>
  </r>
  <r>
    <x v="0"/>
    <x v="0"/>
    <n v="2239287279"/>
    <x v="5"/>
    <n v="-4300"/>
    <x v="2"/>
    <x v="0"/>
    <x v="53"/>
    <x v="5"/>
    <x v="0"/>
    <x v="0"/>
    <x v="5"/>
    <x v="0"/>
  </r>
  <r>
    <x v="0"/>
    <x v="0"/>
    <n v="2239287279"/>
    <x v="4"/>
    <n v="10000"/>
    <x v="2"/>
    <x v="0"/>
    <x v="53"/>
    <x v="4"/>
    <x v="0"/>
    <x v="0"/>
    <x v="4"/>
    <x v="0"/>
  </r>
  <r>
    <x v="0"/>
    <x v="0"/>
    <n v="2239287281"/>
    <x v="2"/>
    <n v="6200"/>
    <x v="2"/>
    <x v="0"/>
    <x v="53"/>
    <x v="2"/>
    <x v="0"/>
    <x v="0"/>
    <x v="2"/>
    <x v="0"/>
  </r>
  <r>
    <x v="0"/>
    <x v="0"/>
    <n v="2239287281"/>
    <x v="7"/>
    <n v="1300"/>
    <x v="2"/>
    <x v="0"/>
    <x v="53"/>
    <x v="7"/>
    <x v="0"/>
    <x v="0"/>
    <x v="1"/>
    <x v="0"/>
  </r>
  <r>
    <x v="0"/>
    <x v="0"/>
    <n v="2239287282"/>
    <x v="7"/>
    <n v="3500"/>
    <x v="2"/>
    <x v="0"/>
    <x v="53"/>
    <x v="7"/>
    <x v="0"/>
    <x v="0"/>
    <x v="1"/>
    <x v="0"/>
  </r>
  <r>
    <x v="0"/>
    <x v="0"/>
    <n v="2239287283"/>
    <x v="5"/>
    <n v="-3200"/>
    <x v="2"/>
    <x v="0"/>
    <x v="53"/>
    <x v="5"/>
    <x v="0"/>
    <x v="0"/>
    <x v="5"/>
    <x v="0"/>
  </r>
  <r>
    <x v="0"/>
    <x v="0"/>
    <n v="2239287283"/>
    <x v="6"/>
    <n v="10000"/>
    <x v="2"/>
    <x v="0"/>
    <x v="53"/>
    <x v="6"/>
    <x v="0"/>
    <x v="0"/>
    <x v="5"/>
    <x v="0"/>
  </r>
  <r>
    <x v="0"/>
    <x v="0"/>
    <n v="2239287284"/>
    <x v="5"/>
    <n v="-5000"/>
    <x v="2"/>
    <x v="0"/>
    <x v="53"/>
    <x v="5"/>
    <x v="0"/>
    <x v="0"/>
    <x v="5"/>
    <x v="0"/>
  </r>
  <r>
    <x v="0"/>
    <x v="0"/>
    <n v="2239287284"/>
    <x v="4"/>
    <n v="10000"/>
    <x v="2"/>
    <x v="0"/>
    <x v="53"/>
    <x v="4"/>
    <x v="0"/>
    <x v="0"/>
    <x v="4"/>
    <x v="0"/>
  </r>
  <r>
    <x v="0"/>
    <x v="0"/>
    <n v="2239287285"/>
    <x v="5"/>
    <n v="-500"/>
    <x v="2"/>
    <x v="0"/>
    <x v="53"/>
    <x v="5"/>
    <x v="0"/>
    <x v="0"/>
    <x v="5"/>
    <x v="0"/>
  </r>
  <r>
    <x v="0"/>
    <x v="0"/>
    <n v="2239287285"/>
    <x v="6"/>
    <n v="10000"/>
    <x v="2"/>
    <x v="0"/>
    <x v="53"/>
    <x v="6"/>
    <x v="0"/>
    <x v="0"/>
    <x v="5"/>
    <x v="0"/>
  </r>
  <r>
    <x v="0"/>
    <x v="0"/>
    <n v="2239287286"/>
    <x v="5"/>
    <n v="-3000"/>
    <x v="2"/>
    <x v="0"/>
    <x v="53"/>
    <x v="5"/>
    <x v="0"/>
    <x v="0"/>
    <x v="5"/>
    <x v="0"/>
  </r>
  <r>
    <x v="0"/>
    <x v="0"/>
    <n v="2239287286"/>
    <x v="6"/>
    <n v="10000"/>
    <x v="2"/>
    <x v="0"/>
    <x v="53"/>
    <x v="6"/>
    <x v="0"/>
    <x v="0"/>
    <x v="5"/>
    <x v="0"/>
  </r>
  <r>
    <x v="0"/>
    <x v="0"/>
    <n v="2239287287"/>
    <x v="7"/>
    <n v="7500"/>
    <x v="2"/>
    <x v="0"/>
    <x v="53"/>
    <x v="7"/>
    <x v="0"/>
    <x v="0"/>
    <x v="1"/>
    <x v="0"/>
  </r>
  <r>
    <x v="0"/>
    <x v="0"/>
    <n v="2239287288"/>
    <x v="5"/>
    <n v="-500"/>
    <x v="2"/>
    <x v="0"/>
    <x v="53"/>
    <x v="5"/>
    <x v="0"/>
    <x v="0"/>
    <x v="5"/>
    <x v="0"/>
  </r>
  <r>
    <x v="0"/>
    <x v="0"/>
    <n v="2239287288"/>
    <x v="6"/>
    <n v="10000"/>
    <x v="2"/>
    <x v="0"/>
    <x v="53"/>
    <x v="6"/>
    <x v="0"/>
    <x v="0"/>
    <x v="5"/>
    <x v="0"/>
  </r>
  <r>
    <x v="0"/>
    <x v="0"/>
    <n v="2239287290"/>
    <x v="0"/>
    <n v="6000"/>
    <x v="2"/>
    <x v="0"/>
    <x v="53"/>
    <x v="0"/>
    <x v="0"/>
    <x v="0"/>
    <x v="0"/>
    <x v="0"/>
  </r>
  <r>
    <x v="0"/>
    <x v="0"/>
    <n v="2239289676"/>
    <x v="1"/>
    <n v="21270"/>
    <x v="2"/>
    <x v="0"/>
    <x v="54"/>
    <x v="1"/>
    <x v="0"/>
    <x v="0"/>
    <x v="1"/>
    <x v="0"/>
  </r>
  <r>
    <x v="0"/>
    <x v="0"/>
    <n v="2239289678"/>
    <x v="1"/>
    <n v="18960"/>
    <x v="2"/>
    <x v="0"/>
    <x v="54"/>
    <x v="1"/>
    <x v="0"/>
    <x v="0"/>
    <x v="1"/>
    <x v="0"/>
  </r>
  <r>
    <x v="0"/>
    <x v="0"/>
    <n v="2239289679"/>
    <x v="1"/>
    <n v="46190"/>
    <x v="2"/>
    <x v="0"/>
    <x v="54"/>
    <x v="1"/>
    <x v="0"/>
    <x v="0"/>
    <x v="1"/>
    <x v="0"/>
  </r>
  <r>
    <x v="0"/>
    <x v="0"/>
    <n v="2239289680"/>
    <x v="1"/>
    <n v="8750"/>
    <x v="2"/>
    <x v="0"/>
    <x v="54"/>
    <x v="1"/>
    <x v="0"/>
    <x v="0"/>
    <x v="1"/>
    <x v="0"/>
  </r>
  <r>
    <x v="0"/>
    <x v="0"/>
    <n v="2239289681"/>
    <x v="1"/>
    <n v="63020"/>
    <x v="2"/>
    <x v="0"/>
    <x v="54"/>
    <x v="1"/>
    <x v="0"/>
    <x v="0"/>
    <x v="1"/>
    <x v="0"/>
  </r>
  <r>
    <x v="0"/>
    <x v="0"/>
    <n v="2239289682"/>
    <x v="1"/>
    <n v="13340"/>
    <x v="2"/>
    <x v="0"/>
    <x v="54"/>
    <x v="1"/>
    <x v="0"/>
    <x v="0"/>
    <x v="1"/>
    <x v="0"/>
  </r>
  <r>
    <x v="0"/>
    <x v="0"/>
    <n v="2239289683"/>
    <x v="1"/>
    <n v="900"/>
    <x v="2"/>
    <x v="0"/>
    <x v="54"/>
    <x v="1"/>
    <x v="0"/>
    <x v="0"/>
    <x v="1"/>
    <x v="0"/>
  </r>
  <r>
    <x v="0"/>
    <x v="0"/>
    <n v="2239289688"/>
    <x v="1"/>
    <n v="17500"/>
    <x v="2"/>
    <x v="0"/>
    <x v="54"/>
    <x v="1"/>
    <x v="0"/>
    <x v="0"/>
    <x v="1"/>
    <x v="0"/>
  </r>
  <r>
    <x v="0"/>
    <x v="0"/>
    <n v="2239289690"/>
    <x v="1"/>
    <n v="13300"/>
    <x v="2"/>
    <x v="0"/>
    <x v="54"/>
    <x v="1"/>
    <x v="0"/>
    <x v="0"/>
    <x v="1"/>
    <x v="0"/>
  </r>
  <r>
    <x v="0"/>
    <x v="0"/>
    <n v="2239289691"/>
    <x v="1"/>
    <n v="3540"/>
    <x v="2"/>
    <x v="0"/>
    <x v="54"/>
    <x v="1"/>
    <x v="0"/>
    <x v="0"/>
    <x v="1"/>
    <x v="0"/>
  </r>
  <r>
    <x v="0"/>
    <x v="0"/>
    <n v="2239289692"/>
    <x v="2"/>
    <n v="14000"/>
    <x v="2"/>
    <x v="0"/>
    <x v="54"/>
    <x v="2"/>
    <x v="0"/>
    <x v="0"/>
    <x v="2"/>
    <x v="0"/>
  </r>
  <r>
    <x v="0"/>
    <x v="0"/>
    <n v="2239289693"/>
    <x v="5"/>
    <n v="-14400"/>
    <x v="2"/>
    <x v="0"/>
    <x v="54"/>
    <x v="5"/>
    <x v="0"/>
    <x v="0"/>
    <x v="5"/>
    <x v="0"/>
  </r>
  <r>
    <x v="0"/>
    <x v="0"/>
    <n v="2239289693"/>
    <x v="4"/>
    <n v="20000"/>
    <x v="2"/>
    <x v="0"/>
    <x v="54"/>
    <x v="4"/>
    <x v="0"/>
    <x v="0"/>
    <x v="4"/>
    <x v="0"/>
  </r>
  <r>
    <x v="0"/>
    <x v="0"/>
    <n v="2239289694"/>
    <x v="6"/>
    <n v="2000"/>
    <x v="2"/>
    <x v="0"/>
    <x v="54"/>
    <x v="6"/>
    <x v="0"/>
    <x v="0"/>
    <x v="5"/>
    <x v="0"/>
  </r>
  <r>
    <x v="0"/>
    <x v="0"/>
    <n v="2239289696"/>
    <x v="2"/>
    <n v="11000"/>
    <x v="2"/>
    <x v="0"/>
    <x v="54"/>
    <x v="2"/>
    <x v="0"/>
    <x v="0"/>
    <x v="2"/>
    <x v="0"/>
  </r>
  <r>
    <x v="0"/>
    <x v="0"/>
    <n v="2239289697"/>
    <x v="5"/>
    <n v="-1000"/>
    <x v="2"/>
    <x v="0"/>
    <x v="54"/>
    <x v="5"/>
    <x v="0"/>
    <x v="0"/>
    <x v="5"/>
    <x v="0"/>
  </r>
  <r>
    <x v="0"/>
    <x v="0"/>
    <n v="2239289697"/>
    <x v="6"/>
    <n v="10000"/>
    <x v="2"/>
    <x v="0"/>
    <x v="54"/>
    <x v="6"/>
    <x v="0"/>
    <x v="0"/>
    <x v="5"/>
    <x v="0"/>
  </r>
  <r>
    <x v="0"/>
    <x v="0"/>
    <n v="2239289698"/>
    <x v="6"/>
    <n v="2000"/>
    <x v="2"/>
    <x v="0"/>
    <x v="54"/>
    <x v="6"/>
    <x v="0"/>
    <x v="0"/>
    <x v="5"/>
    <x v="0"/>
  </r>
  <r>
    <x v="0"/>
    <x v="0"/>
    <n v="2239289700"/>
    <x v="6"/>
    <n v="2000"/>
    <x v="2"/>
    <x v="0"/>
    <x v="54"/>
    <x v="6"/>
    <x v="0"/>
    <x v="0"/>
    <x v="5"/>
    <x v="0"/>
  </r>
  <r>
    <x v="0"/>
    <x v="0"/>
    <n v="2239289702"/>
    <x v="2"/>
    <n v="12793"/>
    <x v="2"/>
    <x v="0"/>
    <x v="54"/>
    <x v="2"/>
    <x v="0"/>
    <x v="0"/>
    <x v="2"/>
    <x v="0"/>
  </r>
  <r>
    <x v="0"/>
    <x v="0"/>
    <n v="2239289702"/>
    <x v="7"/>
    <n v="3270"/>
    <x v="2"/>
    <x v="0"/>
    <x v="54"/>
    <x v="7"/>
    <x v="0"/>
    <x v="0"/>
    <x v="1"/>
    <x v="0"/>
  </r>
  <r>
    <x v="0"/>
    <x v="0"/>
    <n v="2239289703"/>
    <x v="3"/>
    <n v="20790"/>
    <x v="2"/>
    <x v="0"/>
    <x v="54"/>
    <x v="3"/>
    <x v="0"/>
    <x v="0"/>
    <x v="3"/>
    <x v="0"/>
  </r>
  <r>
    <x v="0"/>
    <x v="0"/>
    <n v="2239289704"/>
    <x v="3"/>
    <n v="2200"/>
    <x v="2"/>
    <x v="0"/>
    <x v="54"/>
    <x v="3"/>
    <x v="0"/>
    <x v="0"/>
    <x v="3"/>
    <x v="0"/>
  </r>
  <r>
    <x v="0"/>
    <x v="0"/>
    <n v="2239289705"/>
    <x v="2"/>
    <n v="4500"/>
    <x v="2"/>
    <x v="0"/>
    <x v="54"/>
    <x v="2"/>
    <x v="0"/>
    <x v="0"/>
    <x v="2"/>
    <x v="0"/>
  </r>
  <r>
    <x v="0"/>
    <x v="0"/>
    <n v="2239289706"/>
    <x v="6"/>
    <n v="6000"/>
    <x v="2"/>
    <x v="0"/>
    <x v="54"/>
    <x v="6"/>
    <x v="0"/>
    <x v="0"/>
    <x v="5"/>
    <x v="0"/>
  </r>
  <r>
    <x v="0"/>
    <x v="0"/>
    <n v="2239289707"/>
    <x v="5"/>
    <n v="-1000"/>
    <x v="2"/>
    <x v="0"/>
    <x v="54"/>
    <x v="5"/>
    <x v="0"/>
    <x v="0"/>
    <x v="5"/>
    <x v="0"/>
  </r>
  <r>
    <x v="0"/>
    <x v="0"/>
    <n v="2239289707"/>
    <x v="6"/>
    <n v="5000"/>
    <x v="2"/>
    <x v="0"/>
    <x v="54"/>
    <x v="6"/>
    <x v="0"/>
    <x v="0"/>
    <x v="5"/>
    <x v="0"/>
  </r>
  <r>
    <x v="0"/>
    <x v="0"/>
    <n v="2239289708"/>
    <x v="5"/>
    <n v="-1000"/>
    <x v="2"/>
    <x v="0"/>
    <x v="54"/>
    <x v="5"/>
    <x v="0"/>
    <x v="0"/>
    <x v="5"/>
    <x v="0"/>
  </r>
  <r>
    <x v="0"/>
    <x v="0"/>
    <n v="2239289708"/>
    <x v="6"/>
    <n v="5000"/>
    <x v="2"/>
    <x v="0"/>
    <x v="54"/>
    <x v="6"/>
    <x v="0"/>
    <x v="0"/>
    <x v="5"/>
    <x v="0"/>
  </r>
  <r>
    <x v="0"/>
    <x v="0"/>
    <n v="2239289709"/>
    <x v="2"/>
    <n v="10000"/>
    <x v="2"/>
    <x v="0"/>
    <x v="54"/>
    <x v="2"/>
    <x v="0"/>
    <x v="0"/>
    <x v="2"/>
    <x v="0"/>
  </r>
  <r>
    <x v="0"/>
    <x v="0"/>
    <n v="2239289711"/>
    <x v="6"/>
    <n v="6000"/>
    <x v="2"/>
    <x v="0"/>
    <x v="54"/>
    <x v="6"/>
    <x v="0"/>
    <x v="0"/>
    <x v="5"/>
    <x v="0"/>
  </r>
  <r>
    <x v="0"/>
    <x v="0"/>
    <n v="2239289712"/>
    <x v="6"/>
    <n v="5530"/>
    <x v="2"/>
    <x v="0"/>
    <x v="54"/>
    <x v="6"/>
    <x v="0"/>
    <x v="0"/>
    <x v="5"/>
    <x v="0"/>
  </r>
  <r>
    <x v="0"/>
    <x v="0"/>
    <n v="2239289712"/>
    <x v="7"/>
    <n v="2370"/>
    <x v="2"/>
    <x v="0"/>
    <x v="54"/>
    <x v="7"/>
    <x v="0"/>
    <x v="0"/>
    <x v="1"/>
    <x v="0"/>
  </r>
  <r>
    <x v="0"/>
    <x v="0"/>
    <n v="2239289715"/>
    <x v="5"/>
    <n v="-8000"/>
    <x v="2"/>
    <x v="0"/>
    <x v="54"/>
    <x v="5"/>
    <x v="0"/>
    <x v="0"/>
    <x v="5"/>
    <x v="0"/>
  </r>
  <r>
    <x v="0"/>
    <x v="0"/>
    <n v="2239289715"/>
    <x v="6"/>
    <n v="10000"/>
    <x v="2"/>
    <x v="0"/>
    <x v="54"/>
    <x v="6"/>
    <x v="0"/>
    <x v="0"/>
    <x v="5"/>
    <x v="0"/>
  </r>
  <r>
    <x v="0"/>
    <x v="0"/>
    <n v="2239289716"/>
    <x v="6"/>
    <n v="5000"/>
    <x v="2"/>
    <x v="0"/>
    <x v="54"/>
    <x v="6"/>
    <x v="0"/>
    <x v="0"/>
    <x v="5"/>
    <x v="0"/>
  </r>
  <r>
    <x v="0"/>
    <x v="0"/>
    <n v="2239289717"/>
    <x v="6"/>
    <n v="4000"/>
    <x v="2"/>
    <x v="0"/>
    <x v="54"/>
    <x v="6"/>
    <x v="0"/>
    <x v="0"/>
    <x v="5"/>
    <x v="0"/>
  </r>
  <r>
    <x v="0"/>
    <x v="0"/>
    <n v="2239289718"/>
    <x v="8"/>
    <n v="8250"/>
    <x v="2"/>
    <x v="0"/>
    <x v="54"/>
    <x v="8"/>
    <x v="0"/>
    <x v="0"/>
    <x v="3"/>
    <x v="0"/>
  </r>
  <r>
    <x v="0"/>
    <x v="0"/>
    <n v="2239289719"/>
    <x v="2"/>
    <n v="4000"/>
    <x v="2"/>
    <x v="0"/>
    <x v="54"/>
    <x v="2"/>
    <x v="0"/>
    <x v="0"/>
    <x v="2"/>
    <x v="0"/>
  </r>
  <r>
    <x v="0"/>
    <x v="0"/>
    <n v="2239289720"/>
    <x v="5"/>
    <n v="-600"/>
    <x v="2"/>
    <x v="0"/>
    <x v="54"/>
    <x v="5"/>
    <x v="0"/>
    <x v="0"/>
    <x v="5"/>
    <x v="0"/>
  </r>
  <r>
    <x v="0"/>
    <x v="0"/>
    <n v="2239289720"/>
    <x v="4"/>
    <n v="5000"/>
    <x v="2"/>
    <x v="0"/>
    <x v="54"/>
    <x v="4"/>
    <x v="0"/>
    <x v="0"/>
    <x v="4"/>
    <x v="0"/>
  </r>
  <r>
    <x v="0"/>
    <x v="0"/>
    <n v="2239289721"/>
    <x v="5"/>
    <n v="-6000"/>
    <x v="2"/>
    <x v="0"/>
    <x v="54"/>
    <x v="5"/>
    <x v="0"/>
    <x v="0"/>
    <x v="5"/>
    <x v="0"/>
  </r>
  <r>
    <x v="0"/>
    <x v="0"/>
    <n v="2239289721"/>
    <x v="6"/>
    <n v="10000"/>
    <x v="2"/>
    <x v="0"/>
    <x v="54"/>
    <x v="6"/>
    <x v="0"/>
    <x v="0"/>
    <x v="5"/>
    <x v="0"/>
  </r>
  <r>
    <x v="0"/>
    <x v="0"/>
    <n v="2239289723"/>
    <x v="6"/>
    <n v="2000"/>
    <x v="2"/>
    <x v="0"/>
    <x v="54"/>
    <x v="6"/>
    <x v="0"/>
    <x v="0"/>
    <x v="5"/>
    <x v="0"/>
  </r>
  <r>
    <x v="0"/>
    <x v="0"/>
    <n v="2239289724"/>
    <x v="2"/>
    <n v="15900"/>
    <x v="2"/>
    <x v="0"/>
    <x v="54"/>
    <x v="2"/>
    <x v="0"/>
    <x v="0"/>
    <x v="2"/>
    <x v="0"/>
  </r>
  <r>
    <x v="0"/>
    <x v="0"/>
    <n v="2239289726"/>
    <x v="5"/>
    <n v="-1160"/>
    <x v="2"/>
    <x v="0"/>
    <x v="54"/>
    <x v="5"/>
    <x v="0"/>
    <x v="0"/>
    <x v="5"/>
    <x v="0"/>
  </r>
  <r>
    <x v="0"/>
    <x v="0"/>
    <n v="2239289726"/>
    <x v="6"/>
    <n v="20000"/>
    <x v="2"/>
    <x v="0"/>
    <x v="54"/>
    <x v="6"/>
    <x v="0"/>
    <x v="0"/>
    <x v="5"/>
    <x v="0"/>
  </r>
  <r>
    <x v="0"/>
    <x v="0"/>
    <n v="2239289727"/>
    <x v="2"/>
    <n v="31240"/>
    <x v="2"/>
    <x v="0"/>
    <x v="54"/>
    <x v="2"/>
    <x v="0"/>
    <x v="0"/>
    <x v="2"/>
    <x v="0"/>
  </r>
  <r>
    <x v="0"/>
    <x v="0"/>
    <n v="2239289728"/>
    <x v="2"/>
    <n v="4400"/>
    <x v="2"/>
    <x v="0"/>
    <x v="54"/>
    <x v="2"/>
    <x v="0"/>
    <x v="0"/>
    <x v="2"/>
    <x v="0"/>
  </r>
  <r>
    <x v="0"/>
    <x v="0"/>
    <n v="2239289729"/>
    <x v="5"/>
    <n v="-1000"/>
    <x v="2"/>
    <x v="0"/>
    <x v="54"/>
    <x v="5"/>
    <x v="0"/>
    <x v="0"/>
    <x v="5"/>
    <x v="0"/>
  </r>
  <r>
    <x v="0"/>
    <x v="0"/>
    <n v="2239289729"/>
    <x v="6"/>
    <n v="6500"/>
    <x v="2"/>
    <x v="0"/>
    <x v="54"/>
    <x v="6"/>
    <x v="0"/>
    <x v="0"/>
    <x v="5"/>
    <x v="0"/>
  </r>
  <r>
    <x v="0"/>
    <x v="0"/>
    <n v="2239289730"/>
    <x v="6"/>
    <n v="2000"/>
    <x v="2"/>
    <x v="0"/>
    <x v="54"/>
    <x v="6"/>
    <x v="0"/>
    <x v="0"/>
    <x v="5"/>
    <x v="0"/>
  </r>
  <r>
    <x v="0"/>
    <x v="0"/>
    <n v="2239289731"/>
    <x v="5"/>
    <n v="-850"/>
    <x v="2"/>
    <x v="0"/>
    <x v="54"/>
    <x v="5"/>
    <x v="0"/>
    <x v="0"/>
    <x v="5"/>
    <x v="0"/>
  </r>
  <r>
    <x v="0"/>
    <x v="0"/>
    <n v="2239289731"/>
    <x v="6"/>
    <n v="4000"/>
    <x v="2"/>
    <x v="0"/>
    <x v="54"/>
    <x v="6"/>
    <x v="0"/>
    <x v="0"/>
    <x v="5"/>
    <x v="0"/>
  </r>
  <r>
    <x v="0"/>
    <x v="0"/>
    <n v="2239289734"/>
    <x v="5"/>
    <n v="-6000"/>
    <x v="2"/>
    <x v="0"/>
    <x v="54"/>
    <x v="5"/>
    <x v="0"/>
    <x v="0"/>
    <x v="5"/>
    <x v="0"/>
  </r>
  <r>
    <x v="0"/>
    <x v="0"/>
    <n v="2239289734"/>
    <x v="4"/>
    <n v="10400"/>
    <x v="2"/>
    <x v="0"/>
    <x v="54"/>
    <x v="4"/>
    <x v="0"/>
    <x v="0"/>
    <x v="4"/>
    <x v="0"/>
  </r>
  <r>
    <x v="0"/>
    <x v="0"/>
    <n v="2239289735"/>
    <x v="2"/>
    <n v="8723"/>
    <x v="2"/>
    <x v="0"/>
    <x v="54"/>
    <x v="2"/>
    <x v="0"/>
    <x v="0"/>
    <x v="2"/>
    <x v="0"/>
  </r>
  <r>
    <x v="0"/>
    <x v="0"/>
    <n v="2239289735"/>
    <x v="7"/>
    <n v="4170"/>
    <x v="2"/>
    <x v="0"/>
    <x v="54"/>
    <x v="7"/>
    <x v="0"/>
    <x v="0"/>
    <x v="1"/>
    <x v="0"/>
  </r>
  <r>
    <x v="0"/>
    <x v="0"/>
    <n v="2239289736"/>
    <x v="5"/>
    <n v="-3270"/>
    <x v="2"/>
    <x v="0"/>
    <x v="54"/>
    <x v="5"/>
    <x v="0"/>
    <x v="0"/>
    <x v="5"/>
    <x v="0"/>
  </r>
  <r>
    <x v="0"/>
    <x v="0"/>
    <n v="2239289736"/>
    <x v="6"/>
    <n v="20000"/>
    <x v="2"/>
    <x v="0"/>
    <x v="54"/>
    <x v="6"/>
    <x v="0"/>
    <x v="0"/>
    <x v="5"/>
    <x v="0"/>
  </r>
  <r>
    <x v="0"/>
    <x v="0"/>
    <n v="2239289736"/>
    <x v="7"/>
    <n v="7170"/>
    <x v="2"/>
    <x v="0"/>
    <x v="54"/>
    <x v="7"/>
    <x v="0"/>
    <x v="0"/>
    <x v="1"/>
    <x v="0"/>
  </r>
  <r>
    <x v="0"/>
    <x v="0"/>
    <n v="2239289738"/>
    <x v="5"/>
    <n v="-400"/>
    <x v="2"/>
    <x v="0"/>
    <x v="54"/>
    <x v="5"/>
    <x v="0"/>
    <x v="0"/>
    <x v="5"/>
    <x v="0"/>
  </r>
  <r>
    <x v="0"/>
    <x v="0"/>
    <n v="2239289738"/>
    <x v="4"/>
    <n v="5000"/>
    <x v="2"/>
    <x v="0"/>
    <x v="54"/>
    <x v="4"/>
    <x v="0"/>
    <x v="0"/>
    <x v="4"/>
    <x v="0"/>
  </r>
  <r>
    <x v="0"/>
    <x v="0"/>
    <n v="2239289739"/>
    <x v="5"/>
    <n v="-4400"/>
    <x v="2"/>
    <x v="0"/>
    <x v="54"/>
    <x v="5"/>
    <x v="0"/>
    <x v="0"/>
    <x v="5"/>
    <x v="0"/>
  </r>
  <r>
    <x v="0"/>
    <x v="0"/>
    <n v="2239289739"/>
    <x v="4"/>
    <n v="10000"/>
    <x v="2"/>
    <x v="0"/>
    <x v="54"/>
    <x v="4"/>
    <x v="0"/>
    <x v="0"/>
    <x v="4"/>
    <x v="0"/>
  </r>
  <r>
    <x v="0"/>
    <x v="0"/>
    <n v="2239289740"/>
    <x v="2"/>
    <n v="32340"/>
    <x v="2"/>
    <x v="0"/>
    <x v="54"/>
    <x v="2"/>
    <x v="0"/>
    <x v="0"/>
    <x v="2"/>
    <x v="0"/>
  </r>
  <r>
    <x v="0"/>
    <x v="0"/>
    <n v="2239289741"/>
    <x v="2"/>
    <n v="13200"/>
    <x v="2"/>
    <x v="0"/>
    <x v="54"/>
    <x v="2"/>
    <x v="0"/>
    <x v="0"/>
    <x v="2"/>
    <x v="0"/>
  </r>
  <r>
    <x v="0"/>
    <x v="0"/>
    <n v="2239289743"/>
    <x v="3"/>
    <n v="5500"/>
    <x v="2"/>
    <x v="0"/>
    <x v="54"/>
    <x v="3"/>
    <x v="0"/>
    <x v="0"/>
    <x v="3"/>
    <x v="0"/>
  </r>
  <r>
    <x v="0"/>
    <x v="0"/>
    <n v="2239289744"/>
    <x v="2"/>
    <n v="51480"/>
    <x v="2"/>
    <x v="0"/>
    <x v="54"/>
    <x v="2"/>
    <x v="0"/>
    <x v="0"/>
    <x v="2"/>
    <x v="0"/>
  </r>
  <r>
    <x v="0"/>
    <x v="0"/>
    <n v="2239289745"/>
    <x v="5"/>
    <n v="-1000"/>
    <x v="2"/>
    <x v="0"/>
    <x v="54"/>
    <x v="5"/>
    <x v="0"/>
    <x v="0"/>
    <x v="5"/>
    <x v="0"/>
  </r>
  <r>
    <x v="0"/>
    <x v="0"/>
    <n v="2239289745"/>
    <x v="4"/>
    <n v="5600"/>
    <x v="2"/>
    <x v="0"/>
    <x v="54"/>
    <x v="4"/>
    <x v="0"/>
    <x v="0"/>
    <x v="4"/>
    <x v="0"/>
  </r>
  <r>
    <x v="0"/>
    <x v="0"/>
    <n v="2239289746"/>
    <x v="5"/>
    <n v="-4400"/>
    <x v="2"/>
    <x v="0"/>
    <x v="54"/>
    <x v="5"/>
    <x v="0"/>
    <x v="0"/>
    <x v="5"/>
    <x v="0"/>
  </r>
  <r>
    <x v="0"/>
    <x v="0"/>
    <n v="2239289746"/>
    <x v="4"/>
    <n v="10000"/>
    <x v="2"/>
    <x v="0"/>
    <x v="54"/>
    <x v="4"/>
    <x v="0"/>
    <x v="0"/>
    <x v="4"/>
    <x v="0"/>
  </r>
  <r>
    <x v="0"/>
    <x v="0"/>
    <n v="2239289747"/>
    <x v="5"/>
    <n v="-7240"/>
    <x v="2"/>
    <x v="0"/>
    <x v="54"/>
    <x v="5"/>
    <x v="0"/>
    <x v="0"/>
    <x v="5"/>
    <x v="0"/>
  </r>
  <r>
    <x v="0"/>
    <x v="0"/>
    <n v="2239289747"/>
    <x v="6"/>
    <n v="40000"/>
    <x v="2"/>
    <x v="0"/>
    <x v="54"/>
    <x v="6"/>
    <x v="0"/>
    <x v="0"/>
    <x v="5"/>
    <x v="0"/>
  </r>
  <r>
    <x v="0"/>
    <x v="0"/>
    <n v="2239289748"/>
    <x v="3"/>
    <n v="6000"/>
    <x v="2"/>
    <x v="0"/>
    <x v="54"/>
    <x v="3"/>
    <x v="0"/>
    <x v="0"/>
    <x v="3"/>
    <x v="0"/>
  </r>
  <r>
    <x v="0"/>
    <x v="0"/>
    <n v="2239289750"/>
    <x v="2"/>
    <n v="47630"/>
    <x v="2"/>
    <x v="0"/>
    <x v="54"/>
    <x v="2"/>
    <x v="0"/>
    <x v="0"/>
    <x v="2"/>
    <x v="0"/>
  </r>
  <r>
    <x v="0"/>
    <x v="0"/>
    <n v="2239289751"/>
    <x v="2"/>
    <n v="27478"/>
    <x v="2"/>
    <x v="0"/>
    <x v="54"/>
    <x v="2"/>
    <x v="0"/>
    <x v="0"/>
    <x v="2"/>
    <x v="0"/>
  </r>
  <r>
    <x v="0"/>
    <x v="0"/>
    <n v="2239289752"/>
    <x v="5"/>
    <n v="-15300"/>
    <x v="2"/>
    <x v="0"/>
    <x v="54"/>
    <x v="5"/>
    <x v="0"/>
    <x v="0"/>
    <x v="5"/>
    <x v="0"/>
  </r>
  <r>
    <x v="0"/>
    <x v="0"/>
    <n v="2239289752"/>
    <x v="6"/>
    <n v="40000"/>
    <x v="2"/>
    <x v="0"/>
    <x v="54"/>
    <x v="6"/>
    <x v="0"/>
    <x v="0"/>
    <x v="5"/>
    <x v="0"/>
  </r>
  <r>
    <x v="0"/>
    <x v="0"/>
    <n v="2239289753"/>
    <x v="5"/>
    <n v="-4470"/>
    <x v="2"/>
    <x v="0"/>
    <x v="54"/>
    <x v="5"/>
    <x v="0"/>
    <x v="0"/>
    <x v="5"/>
    <x v="0"/>
  </r>
  <r>
    <x v="0"/>
    <x v="0"/>
    <n v="2239289753"/>
    <x v="6"/>
    <n v="10000"/>
    <x v="2"/>
    <x v="0"/>
    <x v="54"/>
    <x v="6"/>
    <x v="0"/>
    <x v="0"/>
    <x v="5"/>
    <x v="0"/>
  </r>
  <r>
    <x v="0"/>
    <x v="0"/>
    <n v="2239289753"/>
    <x v="7"/>
    <n v="2370"/>
    <x v="2"/>
    <x v="0"/>
    <x v="54"/>
    <x v="7"/>
    <x v="0"/>
    <x v="0"/>
    <x v="1"/>
    <x v="0"/>
  </r>
  <r>
    <x v="0"/>
    <x v="0"/>
    <n v="2239289754"/>
    <x v="5"/>
    <n v="-2100"/>
    <x v="2"/>
    <x v="0"/>
    <x v="54"/>
    <x v="5"/>
    <x v="0"/>
    <x v="0"/>
    <x v="5"/>
    <x v="0"/>
  </r>
  <r>
    <x v="0"/>
    <x v="0"/>
    <n v="2239289754"/>
    <x v="6"/>
    <n v="30000"/>
    <x v="2"/>
    <x v="0"/>
    <x v="54"/>
    <x v="6"/>
    <x v="0"/>
    <x v="0"/>
    <x v="5"/>
    <x v="0"/>
  </r>
  <r>
    <x v="0"/>
    <x v="0"/>
    <n v="2239289756"/>
    <x v="5"/>
    <n v="-5880"/>
    <x v="2"/>
    <x v="0"/>
    <x v="54"/>
    <x v="5"/>
    <x v="0"/>
    <x v="0"/>
    <x v="5"/>
    <x v="0"/>
  </r>
  <r>
    <x v="0"/>
    <x v="0"/>
    <n v="2239289756"/>
    <x v="6"/>
    <n v="25000"/>
    <x v="2"/>
    <x v="0"/>
    <x v="54"/>
    <x v="6"/>
    <x v="0"/>
    <x v="0"/>
    <x v="5"/>
    <x v="0"/>
  </r>
  <r>
    <x v="0"/>
    <x v="0"/>
    <n v="2239289758"/>
    <x v="5"/>
    <n v="-400"/>
    <x v="2"/>
    <x v="0"/>
    <x v="54"/>
    <x v="5"/>
    <x v="0"/>
    <x v="0"/>
    <x v="5"/>
    <x v="0"/>
  </r>
  <r>
    <x v="0"/>
    <x v="0"/>
    <n v="2239289758"/>
    <x v="4"/>
    <n v="6000"/>
    <x v="2"/>
    <x v="0"/>
    <x v="54"/>
    <x v="4"/>
    <x v="0"/>
    <x v="0"/>
    <x v="4"/>
    <x v="0"/>
  </r>
  <r>
    <x v="0"/>
    <x v="0"/>
    <n v="2239289759"/>
    <x v="2"/>
    <n v="8690"/>
    <x v="2"/>
    <x v="0"/>
    <x v="54"/>
    <x v="2"/>
    <x v="0"/>
    <x v="0"/>
    <x v="2"/>
    <x v="0"/>
  </r>
  <r>
    <x v="0"/>
    <x v="0"/>
    <n v="2239289761"/>
    <x v="2"/>
    <n v="6000"/>
    <x v="2"/>
    <x v="0"/>
    <x v="54"/>
    <x v="2"/>
    <x v="0"/>
    <x v="0"/>
    <x v="2"/>
    <x v="0"/>
  </r>
  <r>
    <x v="0"/>
    <x v="0"/>
    <n v="2239289763"/>
    <x v="5"/>
    <n v="-6000"/>
    <x v="2"/>
    <x v="0"/>
    <x v="54"/>
    <x v="5"/>
    <x v="0"/>
    <x v="0"/>
    <x v="5"/>
    <x v="0"/>
  </r>
  <r>
    <x v="0"/>
    <x v="0"/>
    <n v="2239289763"/>
    <x v="4"/>
    <n v="10600"/>
    <x v="2"/>
    <x v="0"/>
    <x v="54"/>
    <x v="4"/>
    <x v="0"/>
    <x v="0"/>
    <x v="4"/>
    <x v="0"/>
  </r>
  <r>
    <x v="0"/>
    <x v="0"/>
    <n v="2239289764"/>
    <x v="2"/>
    <n v="8250"/>
    <x v="2"/>
    <x v="0"/>
    <x v="54"/>
    <x v="2"/>
    <x v="0"/>
    <x v="0"/>
    <x v="2"/>
    <x v="0"/>
  </r>
  <r>
    <x v="0"/>
    <x v="0"/>
    <n v="2239289765"/>
    <x v="4"/>
    <n v="5300"/>
    <x v="2"/>
    <x v="0"/>
    <x v="54"/>
    <x v="4"/>
    <x v="0"/>
    <x v="0"/>
    <x v="4"/>
    <x v="0"/>
  </r>
  <r>
    <x v="0"/>
    <x v="0"/>
    <n v="2239289767"/>
    <x v="7"/>
    <n v="7500"/>
    <x v="2"/>
    <x v="0"/>
    <x v="54"/>
    <x v="7"/>
    <x v="0"/>
    <x v="0"/>
    <x v="1"/>
    <x v="0"/>
  </r>
  <r>
    <x v="0"/>
    <x v="0"/>
    <n v="2239289768"/>
    <x v="1"/>
    <n v="5340"/>
    <x v="2"/>
    <x v="0"/>
    <x v="54"/>
    <x v="1"/>
    <x v="0"/>
    <x v="0"/>
    <x v="1"/>
    <x v="0"/>
  </r>
  <r>
    <x v="0"/>
    <x v="0"/>
    <n v="2239289769"/>
    <x v="2"/>
    <n v="58190"/>
    <x v="2"/>
    <x v="0"/>
    <x v="54"/>
    <x v="2"/>
    <x v="0"/>
    <x v="0"/>
    <x v="2"/>
    <x v="0"/>
  </r>
  <r>
    <x v="0"/>
    <x v="0"/>
    <n v="2239289771"/>
    <x v="5"/>
    <n v="-14700"/>
    <x v="2"/>
    <x v="0"/>
    <x v="54"/>
    <x v="5"/>
    <x v="0"/>
    <x v="0"/>
    <x v="5"/>
    <x v="0"/>
  </r>
  <r>
    <x v="0"/>
    <x v="0"/>
    <n v="2239289771"/>
    <x v="4"/>
    <n v="20000"/>
    <x v="2"/>
    <x v="0"/>
    <x v="54"/>
    <x v="4"/>
    <x v="0"/>
    <x v="0"/>
    <x v="4"/>
    <x v="0"/>
  </r>
  <r>
    <x v="0"/>
    <x v="0"/>
    <n v="2239289772"/>
    <x v="5"/>
    <n v="-4100"/>
    <x v="2"/>
    <x v="0"/>
    <x v="54"/>
    <x v="5"/>
    <x v="0"/>
    <x v="0"/>
    <x v="5"/>
    <x v="0"/>
  </r>
  <r>
    <x v="0"/>
    <x v="0"/>
    <n v="2239289772"/>
    <x v="6"/>
    <n v="30000"/>
    <x v="2"/>
    <x v="0"/>
    <x v="54"/>
    <x v="6"/>
    <x v="0"/>
    <x v="0"/>
    <x v="5"/>
    <x v="0"/>
  </r>
  <r>
    <x v="0"/>
    <x v="0"/>
    <n v="2239289774"/>
    <x v="5"/>
    <n v="-7120"/>
    <x v="2"/>
    <x v="0"/>
    <x v="54"/>
    <x v="5"/>
    <x v="0"/>
    <x v="0"/>
    <x v="5"/>
    <x v="0"/>
  </r>
  <r>
    <x v="0"/>
    <x v="0"/>
    <n v="2239289774"/>
    <x v="6"/>
    <n v="20000"/>
    <x v="2"/>
    <x v="0"/>
    <x v="54"/>
    <x v="6"/>
    <x v="0"/>
    <x v="0"/>
    <x v="5"/>
    <x v="0"/>
  </r>
  <r>
    <x v="0"/>
    <x v="0"/>
    <n v="2239289774"/>
    <x v="7"/>
    <n v="5520"/>
    <x v="2"/>
    <x v="0"/>
    <x v="54"/>
    <x v="7"/>
    <x v="0"/>
    <x v="0"/>
    <x v="1"/>
    <x v="0"/>
  </r>
  <r>
    <x v="0"/>
    <x v="0"/>
    <n v="2239289775"/>
    <x v="5"/>
    <n v="-500"/>
    <x v="2"/>
    <x v="0"/>
    <x v="54"/>
    <x v="5"/>
    <x v="0"/>
    <x v="0"/>
    <x v="5"/>
    <x v="0"/>
  </r>
  <r>
    <x v="0"/>
    <x v="0"/>
    <n v="2239289775"/>
    <x v="6"/>
    <n v="10000"/>
    <x v="2"/>
    <x v="0"/>
    <x v="54"/>
    <x v="6"/>
    <x v="0"/>
    <x v="0"/>
    <x v="5"/>
    <x v="0"/>
  </r>
  <r>
    <x v="0"/>
    <x v="0"/>
    <n v="2239289776"/>
    <x v="7"/>
    <n v="3000"/>
    <x v="2"/>
    <x v="0"/>
    <x v="54"/>
    <x v="7"/>
    <x v="0"/>
    <x v="0"/>
    <x v="1"/>
    <x v="0"/>
  </r>
  <r>
    <x v="0"/>
    <x v="0"/>
    <n v="2239289777"/>
    <x v="7"/>
    <n v="3000"/>
    <x v="2"/>
    <x v="0"/>
    <x v="54"/>
    <x v="7"/>
    <x v="0"/>
    <x v="0"/>
    <x v="1"/>
    <x v="0"/>
  </r>
  <r>
    <x v="0"/>
    <x v="0"/>
    <n v="2239289778"/>
    <x v="7"/>
    <n v="3000"/>
    <x v="2"/>
    <x v="0"/>
    <x v="54"/>
    <x v="7"/>
    <x v="0"/>
    <x v="0"/>
    <x v="1"/>
    <x v="0"/>
  </r>
  <r>
    <x v="0"/>
    <x v="0"/>
    <n v="2239289779"/>
    <x v="7"/>
    <n v="3000"/>
    <x v="2"/>
    <x v="0"/>
    <x v="54"/>
    <x v="7"/>
    <x v="0"/>
    <x v="0"/>
    <x v="1"/>
    <x v="0"/>
  </r>
  <r>
    <x v="0"/>
    <x v="0"/>
    <n v="2239289780"/>
    <x v="7"/>
    <n v="3000"/>
    <x v="2"/>
    <x v="0"/>
    <x v="54"/>
    <x v="7"/>
    <x v="0"/>
    <x v="0"/>
    <x v="1"/>
    <x v="0"/>
  </r>
  <r>
    <x v="0"/>
    <x v="0"/>
    <n v="2239289781"/>
    <x v="5"/>
    <n v="-6000"/>
    <x v="2"/>
    <x v="0"/>
    <x v="54"/>
    <x v="5"/>
    <x v="0"/>
    <x v="0"/>
    <x v="5"/>
    <x v="0"/>
  </r>
  <r>
    <x v="0"/>
    <x v="0"/>
    <n v="2239289781"/>
    <x v="6"/>
    <n v="40000"/>
    <x v="2"/>
    <x v="0"/>
    <x v="54"/>
    <x v="6"/>
    <x v="0"/>
    <x v="0"/>
    <x v="5"/>
    <x v="0"/>
  </r>
  <r>
    <x v="0"/>
    <x v="0"/>
    <n v="2239289782"/>
    <x v="5"/>
    <n v="-14700"/>
    <x v="2"/>
    <x v="0"/>
    <x v="54"/>
    <x v="5"/>
    <x v="0"/>
    <x v="0"/>
    <x v="5"/>
    <x v="0"/>
  </r>
  <r>
    <x v="0"/>
    <x v="0"/>
    <n v="2239289782"/>
    <x v="4"/>
    <n v="20000"/>
    <x v="2"/>
    <x v="0"/>
    <x v="54"/>
    <x v="4"/>
    <x v="0"/>
    <x v="0"/>
    <x v="4"/>
    <x v="0"/>
  </r>
  <r>
    <x v="0"/>
    <x v="0"/>
    <n v="2239289783"/>
    <x v="7"/>
    <n v="3000"/>
    <x v="2"/>
    <x v="0"/>
    <x v="54"/>
    <x v="7"/>
    <x v="0"/>
    <x v="0"/>
    <x v="1"/>
    <x v="0"/>
  </r>
  <r>
    <x v="0"/>
    <x v="0"/>
    <n v="2239289784"/>
    <x v="5"/>
    <n v="-7000"/>
    <x v="2"/>
    <x v="0"/>
    <x v="54"/>
    <x v="5"/>
    <x v="0"/>
    <x v="0"/>
    <x v="5"/>
    <x v="0"/>
  </r>
  <r>
    <x v="0"/>
    <x v="0"/>
    <n v="2239289784"/>
    <x v="6"/>
    <n v="10000"/>
    <x v="2"/>
    <x v="0"/>
    <x v="54"/>
    <x v="6"/>
    <x v="0"/>
    <x v="0"/>
    <x v="5"/>
    <x v="0"/>
  </r>
  <r>
    <x v="0"/>
    <x v="0"/>
    <n v="2239289785"/>
    <x v="7"/>
    <n v="3000"/>
    <x v="2"/>
    <x v="0"/>
    <x v="54"/>
    <x v="7"/>
    <x v="0"/>
    <x v="0"/>
    <x v="1"/>
    <x v="0"/>
  </r>
  <r>
    <x v="0"/>
    <x v="0"/>
    <n v="2239289786"/>
    <x v="7"/>
    <n v="3000"/>
    <x v="2"/>
    <x v="0"/>
    <x v="54"/>
    <x v="7"/>
    <x v="0"/>
    <x v="0"/>
    <x v="1"/>
    <x v="0"/>
  </r>
  <r>
    <x v="0"/>
    <x v="0"/>
    <n v="2239289788"/>
    <x v="5"/>
    <n v="-400"/>
    <x v="2"/>
    <x v="0"/>
    <x v="54"/>
    <x v="5"/>
    <x v="0"/>
    <x v="0"/>
    <x v="5"/>
    <x v="0"/>
  </r>
  <r>
    <x v="0"/>
    <x v="0"/>
    <n v="2239289788"/>
    <x v="4"/>
    <n v="10000"/>
    <x v="2"/>
    <x v="0"/>
    <x v="54"/>
    <x v="4"/>
    <x v="0"/>
    <x v="0"/>
    <x v="4"/>
    <x v="0"/>
  </r>
  <r>
    <x v="0"/>
    <x v="0"/>
    <n v="2239289789"/>
    <x v="1"/>
    <n v="1350"/>
    <x v="2"/>
    <x v="0"/>
    <x v="54"/>
    <x v="1"/>
    <x v="0"/>
    <x v="0"/>
    <x v="1"/>
    <x v="0"/>
  </r>
  <r>
    <x v="0"/>
    <x v="0"/>
    <n v="2239289790"/>
    <x v="5"/>
    <n v="-2280"/>
    <x v="2"/>
    <x v="0"/>
    <x v="54"/>
    <x v="5"/>
    <x v="0"/>
    <x v="0"/>
    <x v="5"/>
    <x v="0"/>
  </r>
  <r>
    <x v="0"/>
    <x v="0"/>
    <n v="2239289790"/>
    <x v="6"/>
    <n v="25100"/>
    <x v="2"/>
    <x v="0"/>
    <x v="54"/>
    <x v="6"/>
    <x v="0"/>
    <x v="0"/>
    <x v="5"/>
    <x v="0"/>
  </r>
  <r>
    <x v="0"/>
    <x v="0"/>
    <n v="2239289790"/>
    <x v="7"/>
    <n v="9780"/>
    <x v="2"/>
    <x v="0"/>
    <x v="54"/>
    <x v="7"/>
    <x v="0"/>
    <x v="0"/>
    <x v="1"/>
    <x v="0"/>
  </r>
  <r>
    <x v="0"/>
    <x v="0"/>
    <n v="2239289793"/>
    <x v="7"/>
    <n v="7500"/>
    <x v="2"/>
    <x v="0"/>
    <x v="54"/>
    <x v="7"/>
    <x v="0"/>
    <x v="0"/>
    <x v="1"/>
    <x v="0"/>
  </r>
  <r>
    <x v="0"/>
    <x v="0"/>
    <n v="2239289794"/>
    <x v="5"/>
    <n v="-3500"/>
    <x v="2"/>
    <x v="0"/>
    <x v="54"/>
    <x v="5"/>
    <x v="0"/>
    <x v="0"/>
    <x v="5"/>
    <x v="0"/>
  </r>
  <r>
    <x v="0"/>
    <x v="0"/>
    <n v="2239289794"/>
    <x v="6"/>
    <n v="25000"/>
    <x v="2"/>
    <x v="0"/>
    <x v="54"/>
    <x v="6"/>
    <x v="0"/>
    <x v="0"/>
    <x v="5"/>
    <x v="0"/>
  </r>
  <r>
    <x v="0"/>
    <x v="0"/>
    <n v="2239289795"/>
    <x v="7"/>
    <n v="3000"/>
    <x v="2"/>
    <x v="0"/>
    <x v="54"/>
    <x v="7"/>
    <x v="0"/>
    <x v="0"/>
    <x v="1"/>
    <x v="0"/>
  </r>
  <r>
    <x v="0"/>
    <x v="0"/>
    <n v="2239289796"/>
    <x v="5"/>
    <n v="-400"/>
    <x v="2"/>
    <x v="0"/>
    <x v="54"/>
    <x v="5"/>
    <x v="0"/>
    <x v="0"/>
    <x v="5"/>
    <x v="0"/>
  </r>
  <r>
    <x v="0"/>
    <x v="0"/>
    <n v="2239289796"/>
    <x v="4"/>
    <n v="5000"/>
    <x v="2"/>
    <x v="0"/>
    <x v="54"/>
    <x v="4"/>
    <x v="0"/>
    <x v="0"/>
    <x v="4"/>
    <x v="0"/>
  </r>
  <r>
    <x v="0"/>
    <x v="0"/>
    <n v="2239291729"/>
    <x v="1"/>
    <n v="4800"/>
    <x v="2"/>
    <x v="0"/>
    <x v="55"/>
    <x v="1"/>
    <x v="0"/>
    <x v="0"/>
    <x v="1"/>
    <x v="0"/>
  </r>
  <r>
    <x v="0"/>
    <x v="0"/>
    <n v="2239291730"/>
    <x v="1"/>
    <n v="41320"/>
    <x v="2"/>
    <x v="0"/>
    <x v="55"/>
    <x v="1"/>
    <x v="0"/>
    <x v="0"/>
    <x v="1"/>
    <x v="0"/>
  </r>
  <r>
    <x v="0"/>
    <x v="0"/>
    <n v="2239291731"/>
    <x v="1"/>
    <n v="21800"/>
    <x v="2"/>
    <x v="0"/>
    <x v="55"/>
    <x v="1"/>
    <x v="0"/>
    <x v="0"/>
    <x v="1"/>
    <x v="0"/>
  </r>
  <r>
    <x v="0"/>
    <x v="0"/>
    <n v="2239291732"/>
    <x v="1"/>
    <n v="15870"/>
    <x v="2"/>
    <x v="0"/>
    <x v="55"/>
    <x v="1"/>
    <x v="0"/>
    <x v="0"/>
    <x v="1"/>
    <x v="0"/>
  </r>
  <r>
    <x v="0"/>
    <x v="0"/>
    <n v="2239291733"/>
    <x v="1"/>
    <n v="2550"/>
    <x v="2"/>
    <x v="0"/>
    <x v="55"/>
    <x v="1"/>
    <x v="0"/>
    <x v="0"/>
    <x v="1"/>
    <x v="0"/>
  </r>
  <r>
    <x v="0"/>
    <x v="0"/>
    <n v="2239291736"/>
    <x v="1"/>
    <n v="61770"/>
    <x v="2"/>
    <x v="0"/>
    <x v="55"/>
    <x v="1"/>
    <x v="0"/>
    <x v="0"/>
    <x v="1"/>
    <x v="0"/>
  </r>
  <r>
    <x v="0"/>
    <x v="0"/>
    <n v="2239291737"/>
    <x v="1"/>
    <n v="10620"/>
    <x v="2"/>
    <x v="0"/>
    <x v="55"/>
    <x v="1"/>
    <x v="0"/>
    <x v="0"/>
    <x v="1"/>
    <x v="0"/>
  </r>
  <r>
    <x v="0"/>
    <x v="0"/>
    <n v="2239291738"/>
    <x v="1"/>
    <n v="12750"/>
    <x v="2"/>
    <x v="0"/>
    <x v="55"/>
    <x v="1"/>
    <x v="0"/>
    <x v="0"/>
    <x v="1"/>
    <x v="0"/>
  </r>
  <r>
    <x v="0"/>
    <x v="0"/>
    <n v="2239291739"/>
    <x v="1"/>
    <n v="27250"/>
    <x v="2"/>
    <x v="0"/>
    <x v="55"/>
    <x v="1"/>
    <x v="0"/>
    <x v="0"/>
    <x v="1"/>
    <x v="0"/>
  </r>
  <r>
    <x v="0"/>
    <x v="0"/>
    <n v="2239291740"/>
    <x v="1"/>
    <n v="3150"/>
    <x v="2"/>
    <x v="0"/>
    <x v="55"/>
    <x v="1"/>
    <x v="0"/>
    <x v="0"/>
    <x v="1"/>
    <x v="0"/>
  </r>
  <r>
    <x v="0"/>
    <x v="0"/>
    <n v="2239291741"/>
    <x v="1"/>
    <n v="1350"/>
    <x v="2"/>
    <x v="0"/>
    <x v="55"/>
    <x v="1"/>
    <x v="0"/>
    <x v="0"/>
    <x v="1"/>
    <x v="0"/>
  </r>
  <r>
    <x v="0"/>
    <x v="0"/>
    <n v="2239291742"/>
    <x v="1"/>
    <n v="5700"/>
    <x v="2"/>
    <x v="0"/>
    <x v="55"/>
    <x v="1"/>
    <x v="0"/>
    <x v="0"/>
    <x v="1"/>
    <x v="0"/>
  </r>
  <r>
    <x v="0"/>
    <x v="0"/>
    <n v="2239291743"/>
    <x v="1"/>
    <n v="2100"/>
    <x v="2"/>
    <x v="0"/>
    <x v="55"/>
    <x v="1"/>
    <x v="0"/>
    <x v="0"/>
    <x v="1"/>
    <x v="0"/>
  </r>
  <r>
    <x v="0"/>
    <x v="0"/>
    <n v="2239291744"/>
    <x v="1"/>
    <n v="12800"/>
    <x v="2"/>
    <x v="0"/>
    <x v="55"/>
    <x v="1"/>
    <x v="0"/>
    <x v="0"/>
    <x v="1"/>
    <x v="0"/>
  </r>
  <r>
    <x v="0"/>
    <x v="0"/>
    <n v="2239291745"/>
    <x v="1"/>
    <n v="2400"/>
    <x v="2"/>
    <x v="0"/>
    <x v="55"/>
    <x v="1"/>
    <x v="0"/>
    <x v="0"/>
    <x v="1"/>
    <x v="0"/>
  </r>
  <r>
    <x v="0"/>
    <x v="0"/>
    <n v="2239291746"/>
    <x v="1"/>
    <n v="29220"/>
    <x v="2"/>
    <x v="0"/>
    <x v="55"/>
    <x v="1"/>
    <x v="0"/>
    <x v="0"/>
    <x v="1"/>
    <x v="0"/>
  </r>
  <r>
    <x v="0"/>
    <x v="0"/>
    <n v="2239291747"/>
    <x v="2"/>
    <n v="14168"/>
    <x v="2"/>
    <x v="0"/>
    <x v="55"/>
    <x v="2"/>
    <x v="0"/>
    <x v="0"/>
    <x v="2"/>
    <x v="0"/>
  </r>
  <r>
    <x v="0"/>
    <x v="0"/>
    <n v="2239291748"/>
    <x v="2"/>
    <n v="20790"/>
    <x v="2"/>
    <x v="0"/>
    <x v="55"/>
    <x v="2"/>
    <x v="0"/>
    <x v="0"/>
    <x v="2"/>
    <x v="0"/>
  </r>
  <r>
    <x v="0"/>
    <x v="0"/>
    <n v="2239291750"/>
    <x v="6"/>
    <n v="3000"/>
    <x v="2"/>
    <x v="0"/>
    <x v="55"/>
    <x v="6"/>
    <x v="0"/>
    <x v="0"/>
    <x v="5"/>
    <x v="0"/>
  </r>
  <r>
    <x v="0"/>
    <x v="0"/>
    <n v="2239291751"/>
    <x v="2"/>
    <n v="7480"/>
    <x v="2"/>
    <x v="0"/>
    <x v="55"/>
    <x v="2"/>
    <x v="0"/>
    <x v="0"/>
    <x v="2"/>
    <x v="0"/>
  </r>
  <r>
    <x v="0"/>
    <x v="0"/>
    <n v="2239291752"/>
    <x v="6"/>
    <n v="2500"/>
    <x v="2"/>
    <x v="0"/>
    <x v="55"/>
    <x v="6"/>
    <x v="0"/>
    <x v="0"/>
    <x v="5"/>
    <x v="0"/>
  </r>
  <r>
    <x v="0"/>
    <x v="0"/>
    <n v="2239291753"/>
    <x v="6"/>
    <n v="3500"/>
    <x v="2"/>
    <x v="0"/>
    <x v="55"/>
    <x v="6"/>
    <x v="0"/>
    <x v="0"/>
    <x v="5"/>
    <x v="0"/>
  </r>
  <r>
    <x v="0"/>
    <x v="0"/>
    <n v="2239291754"/>
    <x v="2"/>
    <n v="3850"/>
    <x v="2"/>
    <x v="0"/>
    <x v="55"/>
    <x v="2"/>
    <x v="0"/>
    <x v="0"/>
    <x v="2"/>
    <x v="0"/>
  </r>
  <r>
    <x v="0"/>
    <x v="0"/>
    <n v="2239291755"/>
    <x v="3"/>
    <n v="11495"/>
    <x v="2"/>
    <x v="0"/>
    <x v="55"/>
    <x v="3"/>
    <x v="0"/>
    <x v="0"/>
    <x v="3"/>
    <x v="0"/>
  </r>
  <r>
    <x v="0"/>
    <x v="0"/>
    <n v="2239291757"/>
    <x v="5"/>
    <n v="-200"/>
    <x v="2"/>
    <x v="0"/>
    <x v="55"/>
    <x v="5"/>
    <x v="0"/>
    <x v="0"/>
    <x v="5"/>
    <x v="0"/>
  </r>
  <r>
    <x v="0"/>
    <x v="0"/>
    <n v="2239291757"/>
    <x v="6"/>
    <n v="5000"/>
    <x v="2"/>
    <x v="0"/>
    <x v="55"/>
    <x v="6"/>
    <x v="0"/>
    <x v="0"/>
    <x v="5"/>
    <x v="0"/>
  </r>
  <r>
    <x v="0"/>
    <x v="0"/>
    <n v="2239291758"/>
    <x v="2"/>
    <n v="19745"/>
    <x v="2"/>
    <x v="0"/>
    <x v="55"/>
    <x v="2"/>
    <x v="0"/>
    <x v="0"/>
    <x v="2"/>
    <x v="0"/>
  </r>
  <r>
    <x v="0"/>
    <x v="0"/>
    <n v="2239291759"/>
    <x v="4"/>
    <n v="16900"/>
    <x v="2"/>
    <x v="0"/>
    <x v="55"/>
    <x v="4"/>
    <x v="0"/>
    <x v="0"/>
    <x v="4"/>
    <x v="0"/>
  </r>
  <r>
    <x v="0"/>
    <x v="0"/>
    <n v="2239291761"/>
    <x v="4"/>
    <n v="5700"/>
    <x v="2"/>
    <x v="0"/>
    <x v="55"/>
    <x v="4"/>
    <x v="0"/>
    <x v="0"/>
    <x v="4"/>
    <x v="0"/>
  </r>
  <r>
    <x v="0"/>
    <x v="0"/>
    <n v="2239291762"/>
    <x v="5"/>
    <n v="-2600"/>
    <x v="2"/>
    <x v="0"/>
    <x v="55"/>
    <x v="5"/>
    <x v="0"/>
    <x v="0"/>
    <x v="5"/>
    <x v="0"/>
  </r>
  <r>
    <x v="0"/>
    <x v="0"/>
    <n v="2239291762"/>
    <x v="6"/>
    <n v="5000"/>
    <x v="2"/>
    <x v="0"/>
    <x v="55"/>
    <x v="6"/>
    <x v="0"/>
    <x v="0"/>
    <x v="5"/>
    <x v="0"/>
  </r>
  <r>
    <x v="0"/>
    <x v="0"/>
    <n v="2239291762"/>
    <x v="7"/>
    <n v="2400"/>
    <x v="2"/>
    <x v="0"/>
    <x v="55"/>
    <x v="7"/>
    <x v="0"/>
    <x v="0"/>
    <x v="1"/>
    <x v="0"/>
  </r>
  <r>
    <x v="0"/>
    <x v="0"/>
    <n v="2239291763"/>
    <x v="3"/>
    <n v="13420"/>
    <x v="2"/>
    <x v="0"/>
    <x v="55"/>
    <x v="3"/>
    <x v="0"/>
    <x v="0"/>
    <x v="3"/>
    <x v="0"/>
  </r>
  <r>
    <x v="0"/>
    <x v="0"/>
    <n v="2239291764"/>
    <x v="5"/>
    <n v="-8100"/>
    <x v="2"/>
    <x v="0"/>
    <x v="55"/>
    <x v="5"/>
    <x v="0"/>
    <x v="0"/>
    <x v="5"/>
    <x v="0"/>
  </r>
  <r>
    <x v="0"/>
    <x v="0"/>
    <n v="2239291764"/>
    <x v="6"/>
    <n v="10000"/>
    <x v="2"/>
    <x v="0"/>
    <x v="55"/>
    <x v="6"/>
    <x v="0"/>
    <x v="0"/>
    <x v="5"/>
    <x v="0"/>
  </r>
  <r>
    <x v="0"/>
    <x v="0"/>
    <n v="2239291764"/>
    <x v="7"/>
    <n v="1900"/>
    <x v="2"/>
    <x v="0"/>
    <x v="55"/>
    <x v="7"/>
    <x v="0"/>
    <x v="0"/>
    <x v="1"/>
    <x v="0"/>
  </r>
  <r>
    <x v="0"/>
    <x v="0"/>
    <n v="2239291765"/>
    <x v="2"/>
    <n v="25190"/>
    <x v="2"/>
    <x v="0"/>
    <x v="55"/>
    <x v="2"/>
    <x v="0"/>
    <x v="0"/>
    <x v="2"/>
    <x v="0"/>
  </r>
  <r>
    <x v="0"/>
    <x v="0"/>
    <n v="2239291766"/>
    <x v="5"/>
    <n v="-400"/>
    <x v="2"/>
    <x v="0"/>
    <x v="55"/>
    <x v="5"/>
    <x v="0"/>
    <x v="0"/>
    <x v="5"/>
    <x v="0"/>
  </r>
  <r>
    <x v="0"/>
    <x v="0"/>
    <n v="2239291766"/>
    <x v="4"/>
    <n v="5000"/>
    <x v="2"/>
    <x v="0"/>
    <x v="55"/>
    <x v="4"/>
    <x v="0"/>
    <x v="0"/>
    <x v="4"/>
    <x v="0"/>
  </r>
  <r>
    <x v="0"/>
    <x v="0"/>
    <n v="2239291767"/>
    <x v="4"/>
    <n v="5300"/>
    <x v="2"/>
    <x v="0"/>
    <x v="55"/>
    <x v="4"/>
    <x v="0"/>
    <x v="0"/>
    <x v="4"/>
    <x v="0"/>
  </r>
  <r>
    <x v="0"/>
    <x v="0"/>
    <n v="2239291768"/>
    <x v="5"/>
    <n v="-7000"/>
    <x v="2"/>
    <x v="0"/>
    <x v="55"/>
    <x v="5"/>
    <x v="0"/>
    <x v="0"/>
    <x v="5"/>
    <x v="0"/>
  </r>
  <r>
    <x v="0"/>
    <x v="0"/>
    <n v="2239291768"/>
    <x v="6"/>
    <n v="10000"/>
    <x v="2"/>
    <x v="0"/>
    <x v="55"/>
    <x v="6"/>
    <x v="0"/>
    <x v="0"/>
    <x v="5"/>
    <x v="0"/>
  </r>
  <r>
    <x v="0"/>
    <x v="0"/>
    <n v="2239291769"/>
    <x v="5"/>
    <n v="-5400"/>
    <x v="2"/>
    <x v="0"/>
    <x v="55"/>
    <x v="5"/>
    <x v="0"/>
    <x v="0"/>
    <x v="5"/>
    <x v="0"/>
  </r>
  <r>
    <x v="0"/>
    <x v="0"/>
    <n v="2239291769"/>
    <x v="4"/>
    <n v="10000"/>
    <x v="2"/>
    <x v="0"/>
    <x v="55"/>
    <x v="4"/>
    <x v="0"/>
    <x v="0"/>
    <x v="4"/>
    <x v="0"/>
  </r>
  <r>
    <x v="0"/>
    <x v="0"/>
    <n v="2239291770"/>
    <x v="1"/>
    <n v="27700"/>
    <x v="2"/>
    <x v="0"/>
    <x v="55"/>
    <x v="1"/>
    <x v="0"/>
    <x v="0"/>
    <x v="1"/>
    <x v="0"/>
  </r>
  <r>
    <x v="0"/>
    <x v="0"/>
    <n v="2239291771"/>
    <x v="2"/>
    <n v="5852"/>
    <x v="2"/>
    <x v="0"/>
    <x v="55"/>
    <x v="2"/>
    <x v="0"/>
    <x v="0"/>
    <x v="2"/>
    <x v="0"/>
  </r>
  <r>
    <x v="0"/>
    <x v="0"/>
    <n v="2239291772"/>
    <x v="2"/>
    <n v="41085"/>
    <x v="2"/>
    <x v="0"/>
    <x v="55"/>
    <x v="2"/>
    <x v="0"/>
    <x v="0"/>
    <x v="2"/>
    <x v="0"/>
  </r>
  <r>
    <x v="0"/>
    <x v="0"/>
    <n v="2239291772"/>
    <x v="7"/>
    <n v="17000"/>
    <x v="2"/>
    <x v="0"/>
    <x v="55"/>
    <x v="7"/>
    <x v="0"/>
    <x v="0"/>
    <x v="1"/>
    <x v="0"/>
  </r>
  <r>
    <x v="0"/>
    <x v="0"/>
    <n v="2239291773"/>
    <x v="5"/>
    <n v="-6250"/>
    <x v="2"/>
    <x v="0"/>
    <x v="55"/>
    <x v="5"/>
    <x v="0"/>
    <x v="0"/>
    <x v="5"/>
    <x v="0"/>
  </r>
  <r>
    <x v="0"/>
    <x v="0"/>
    <n v="2239291773"/>
    <x v="6"/>
    <n v="10000"/>
    <x v="2"/>
    <x v="0"/>
    <x v="55"/>
    <x v="6"/>
    <x v="0"/>
    <x v="0"/>
    <x v="5"/>
    <x v="0"/>
  </r>
  <r>
    <x v="0"/>
    <x v="0"/>
    <n v="2239291775"/>
    <x v="2"/>
    <n v="14000"/>
    <x v="2"/>
    <x v="0"/>
    <x v="55"/>
    <x v="2"/>
    <x v="0"/>
    <x v="0"/>
    <x v="2"/>
    <x v="0"/>
  </r>
  <r>
    <x v="0"/>
    <x v="0"/>
    <n v="2239291776"/>
    <x v="5"/>
    <n v="-200"/>
    <x v="2"/>
    <x v="0"/>
    <x v="55"/>
    <x v="5"/>
    <x v="0"/>
    <x v="0"/>
    <x v="5"/>
    <x v="0"/>
  </r>
  <r>
    <x v="0"/>
    <x v="0"/>
    <n v="2239291776"/>
    <x v="6"/>
    <n v="4000"/>
    <x v="2"/>
    <x v="0"/>
    <x v="55"/>
    <x v="6"/>
    <x v="0"/>
    <x v="0"/>
    <x v="5"/>
    <x v="0"/>
  </r>
  <r>
    <x v="0"/>
    <x v="0"/>
    <n v="2239291777"/>
    <x v="2"/>
    <n v="54505"/>
    <x v="2"/>
    <x v="0"/>
    <x v="55"/>
    <x v="2"/>
    <x v="0"/>
    <x v="0"/>
    <x v="2"/>
    <x v="0"/>
  </r>
  <r>
    <x v="0"/>
    <x v="0"/>
    <n v="2239291779"/>
    <x v="2"/>
    <n v="30700"/>
    <x v="2"/>
    <x v="0"/>
    <x v="55"/>
    <x v="2"/>
    <x v="0"/>
    <x v="0"/>
    <x v="2"/>
    <x v="0"/>
  </r>
  <r>
    <x v="0"/>
    <x v="0"/>
    <n v="2239291780"/>
    <x v="2"/>
    <n v="10000"/>
    <x v="2"/>
    <x v="0"/>
    <x v="55"/>
    <x v="2"/>
    <x v="0"/>
    <x v="0"/>
    <x v="2"/>
    <x v="0"/>
  </r>
  <r>
    <x v="0"/>
    <x v="0"/>
    <n v="2239291781"/>
    <x v="3"/>
    <n v="11000"/>
    <x v="2"/>
    <x v="0"/>
    <x v="55"/>
    <x v="3"/>
    <x v="0"/>
    <x v="0"/>
    <x v="3"/>
    <x v="0"/>
  </r>
  <r>
    <x v="0"/>
    <x v="0"/>
    <n v="2239291782"/>
    <x v="2"/>
    <n v="54890"/>
    <x v="2"/>
    <x v="0"/>
    <x v="55"/>
    <x v="2"/>
    <x v="0"/>
    <x v="0"/>
    <x v="2"/>
    <x v="0"/>
  </r>
  <r>
    <x v="0"/>
    <x v="0"/>
    <n v="2239291783"/>
    <x v="5"/>
    <n v="-500"/>
    <x v="2"/>
    <x v="0"/>
    <x v="55"/>
    <x v="5"/>
    <x v="0"/>
    <x v="0"/>
    <x v="5"/>
    <x v="0"/>
  </r>
  <r>
    <x v="0"/>
    <x v="0"/>
    <n v="2239291783"/>
    <x v="6"/>
    <n v="5000"/>
    <x v="2"/>
    <x v="0"/>
    <x v="55"/>
    <x v="6"/>
    <x v="0"/>
    <x v="0"/>
    <x v="5"/>
    <x v="0"/>
  </r>
  <r>
    <x v="0"/>
    <x v="0"/>
    <n v="2239291784"/>
    <x v="2"/>
    <n v="4000"/>
    <x v="2"/>
    <x v="0"/>
    <x v="55"/>
    <x v="2"/>
    <x v="0"/>
    <x v="0"/>
    <x v="2"/>
    <x v="0"/>
  </r>
  <r>
    <x v="0"/>
    <x v="0"/>
    <n v="2239291785"/>
    <x v="2"/>
    <n v="15510"/>
    <x v="2"/>
    <x v="0"/>
    <x v="55"/>
    <x v="2"/>
    <x v="0"/>
    <x v="0"/>
    <x v="2"/>
    <x v="0"/>
  </r>
  <r>
    <x v="0"/>
    <x v="0"/>
    <n v="2239291786"/>
    <x v="2"/>
    <n v="8580"/>
    <x v="2"/>
    <x v="0"/>
    <x v="55"/>
    <x v="2"/>
    <x v="0"/>
    <x v="0"/>
    <x v="2"/>
    <x v="0"/>
  </r>
  <r>
    <x v="0"/>
    <x v="0"/>
    <n v="2239291787"/>
    <x v="3"/>
    <n v="6000"/>
    <x v="2"/>
    <x v="0"/>
    <x v="55"/>
    <x v="3"/>
    <x v="0"/>
    <x v="0"/>
    <x v="3"/>
    <x v="0"/>
  </r>
  <r>
    <x v="0"/>
    <x v="0"/>
    <n v="2239291788"/>
    <x v="2"/>
    <n v="3300"/>
    <x v="2"/>
    <x v="0"/>
    <x v="55"/>
    <x v="2"/>
    <x v="0"/>
    <x v="0"/>
    <x v="2"/>
    <x v="0"/>
  </r>
  <r>
    <x v="0"/>
    <x v="0"/>
    <n v="2239291789"/>
    <x v="5"/>
    <n v="-15400"/>
    <x v="2"/>
    <x v="0"/>
    <x v="55"/>
    <x v="5"/>
    <x v="0"/>
    <x v="0"/>
    <x v="5"/>
    <x v="0"/>
  </r>
  <r>
    <x v="0"/>
    <x v="0"/>
    <n v="2239291789"/>
    <x v="4"/>
    <n v="20000"/>
    <x v="2"/>
    <x v="0"/>
    <x v="55"/>
    <x v="4"/>
    <x v="0"/>
    <x v="0"/>
    <x v="4"/>
    <x v="0"/>
  </r>
  <r>
    <x v="0"/>
    <x v="0"/>
    <n v="2239291791"/>
    <x v="5"/>
    <n v="-4400"/>
    <x v="2"/>
    <x v="0"/>
    <x v="55"/>
    <x v="5"/>
    <x v="0"/>
    <x v="0"/>
    <x v="5"/>
    <x v="0"/>
  </r>
  <r>
    <x v="0"/>
    <x v="0"/>
    <n v="2239291791"/>
    <x v="4"/>
    <n v="10000"/>
    <x v="2"/>
    <x v="0"/>
    <x v="55"/>
    <x v="4"/>
    <x v="0"/>
    <x v="0"/>
    <x v="4"/>
    <x v="0"/>
  </r>
  <r>
    <x v="0"/>
    <x v="0"/>
    <n v="2239291792"/>
    <x v="5"/>
    <n v="-14300"/>
    <x v="2"/>
    <x v="0"/>
    <x v="55"/>
    <x v="5"/>
    <x v="0"/>
    <x v="0"/>
    <x v="5"/>
    <x v="0"/>
  </r>
  <r>
    <x v="0"/>
    <x v="0"/>
    <n v="2239291792"/>
    <x v="4"/>
    <n v="20000"/>
    <x v="2"/>
    <x v="0"/>
    <x v="55"/>
    <x v="4"/>
    <x v="0"/>
    <x v="0"/>
    <x v="4"/>
    <x v="0"/>
  </r>
  <r>
    <x v="0"/>
    <x v="0"/>
    <n v="2239291793"/>
    <x v="5"/>
    <n v="-2000"/>
    <x v="2"/>
    <x v="0"/>
    <x v="55"/>
    <x v="5"/>
    <x v="0"/>
    <x v="0"/>
    <x v="5"/>
    <x v="0"/>
  </r>
  <r>
    <x v="0"/>
    <x v="0"/>
    <n v="2239291793"/>
    <x v="6"/>
    <n v="5000"/>
    <x v="2"/>
    <x v="0"/>
    <x v="55"/>
    <x v="6"/>
    <x v="0"/>
    <x v="0"/>
    <x v="5"/>
    <x v="0"/>
  </r>
  <r>
    <x v="0"/>
    <x v="0"/>
    <n v="2239291794"/>
    <x v="6"/>
    <n v="15000"/>
    <x v="2"/>
    <x v="0"/>
    <x v="55"/>
    <x v="6"/>
    <x v="0"/>
    <x v="0"/>
    <x v="5"/>
    <x v="0"/>
  </r>
  <r>
    <x v="0"/>
    <x v="0"/>
    <n v="2239293935"/>
    <x v="1"/>
    <n v="4740"/>
    <x v="2"/>
    <x v="0"/>
    <x v="56"/>
    <x v="1"/>
    <x v="0"/>
    <x v="0"/>
    <x v="1"/>
    <x v="0"/>
  </r>
  <r>
    <x v="0"/>
    <x v="0"/>
    <n v="2239293936"/>
    <x v="1"/>
    <n v="10600"/>
    <x v="2"/>
    <x v="0"/>
    <x v="56"/>
    <x v="1"/>
    <x v="0"/>
    <x v="0"/>
    <x v="1"/>
    <x v="0"/>
  </r>
  <r>
    <x v="0"/>
    <x v="0"/>
    <n v="2239293937"/>
    <x v="5"/>
    <n v="-4050"/>
    <x v="2"/>
    <x v="0"/>
    <x v="56"/>
    <x v="5"/>
    <x v="0"/>
    <x v="0"/>
    <x v="5"/>
    <x v="0"/>
  </r>
  <r>
    <x v="0"/>
    <x v="0"/>
    <n v="2239293937"/>
    <x v="6"/>
    <n v="50000"/>
    <x v="2"/>
    <x v="0"/>
    <x v="56"/>
    <x v="6"/>
    <x v="0"/>
    <x v="0"/>
    <x v="5"/>
    <x v="0"/>
  </r>
  <r>
    <x v="0"/>
    <x v="0"/>
    <n v="2239293938"/>
    <x v="1"/>
    <n v="14235"/>
    <x v="2"/>
    <x v="0"/>
    <x v="56"/>
    <x v="1"/>
    <x v="0"/>
    <x v="0"/>
    <x v="1"/>
    <x v="0"/>
  </r>
  <r>
    <x v="0"/>
    <x v="0"/>
    <n v="2239293939"/>
    <x v="3"/>
    <n v="19272"/>
    <x v="2"/>
    <x v="0"/>
    <x v="56"/>
    <x v="3"/>
    <x v="0"/>
    <x v="0"/>
    <x v="3"/>
    <x v="0"/>
  </r>
  <r>
    <x v="0"/>
    <x v="0"/>
    <n v="2239293941"/>
    <x v="1"/>
    <n v="63350"/>
    <x v="2"/>
    <x v="0"/>
    <x v="56"/>
    <x v="1"/>
    <x v="0"/>
    <x v="0"/>
    <x v="1"/>
    <x v="0"/>
  </r>
  <r>
    <x v="0"/>
    <x v="0"/>
    <n v="2239293942"/>
    <x v="1"/>
    <n v="2400"/>
    <x v="2"/>
    <x v="0"/>
    <x v="56"/>
    <x v="1"/>
    <x v="0"/>
    <x v="0"/>
    <x v="1"/>
    <x v="0"/>
  </r>
  <r>
    <x v="0"/>
    <x v="0"/>
    <n v="2239293948"/>
    <x v="1"/>
    <n v="5250"/>
    <x v="2"/>
    <x v="0"/>
    <x v="56"/>
    <x v="1"/>
    <x v="0"/>
    <x v="0"/>
    <x v="1"/>
    <x v="0"/>
  </r>
  <r>
    <x v="0"/>
    <x v="0"/>
    <n v="2239293949"/>
    <x v="1"/>
    <n v="900"/>
    <x v="2"/>
    <x v="0"/>
    <x v="56"/>
    <x v="1"/>
    <x v="0"/>
    <x v="0"/>
    <x v="1"/>
    <x v="0"/>
  </r>
  <r>
    <x v="0"/>
    <x v="0"/>
    <n v="2239293950"/>
    <x v="1"/>
    <n v="2400"/>
    <x v="2"/>
    <x v="0"/>
    <x v="56"/>
    <x v="1"/>
    <x v="0"/>
    <x v="0"/>
    <x v="1"/>
    <x v="0"/>
  </r>
  <r>
    <x v="0"/>
    <x v="0"/>
    <n v="2239293951"/>
    <x v="1"/>
    <n v="1140"/>
    <x v="2"/>
    <x v="0"/>
    <x v="56"/>
    <x v="1"/>
    <x v="0"/>
    <x v="0"/>
    <x v="1"/>
    <x v="0"/>
  </r>
  <r>
    <x v="0"/>
    <x v="0"/>
    <n v="2239293952"/>
    <x v="1"/>
    <n v="2250"/>
    <x v="2"/>
    <x v="0"/>
    <x v="56"/>
    <x v="1"/>
    <x v="0"/>
    <x v="0"/>
    <x v="1"/>
    <x v="0"/>
  </r>
  <r>
    <x v="0"/>
    <x v="0"/>
    <n v="2239293953"/>
    <x v="1"/>
    <n v="52950"/>
    <x v="2"/>
    <x v="0"/>
    <x v="56"/>
    <x v="1"/>
    <x v="0"/>
    <x v="0"/>
    <x v="1"/>
    <x v="0"/>
  </r>
  <r>
    <x v="0"/>
    <x v="0"/>
    <n v="2239293954"/>
    <x v="1"/>
    <n v="34950"/>
    <x v="2"/>
    <x v="0"/>
    <x v="56"/>
    <x v="1"/>
    <x v="0"/>
    <x v="0"/>
    <x v="1"/>
    <x v="0"/>
  </r>
  <r>
    <x v="0"/>
    <x v="0"/>
    <n v="2239293955"/>
    <x v="1"/>
    <n v="56370"/>
    <x v="2"/>
    <x v="0"/>
    <x v="56"/>
    <x v="1"/>
    <x v="0"/>
    <x v="0"/>
    <x v="1"/>
    <x v="0"/>
  </r>
  <r>
    <x v="0"/>
    <x v="0"/>
    <n v="2239293956"/>
    <x v="1"/>
    <n v="3300"/>
    <x v="2"/>
    <x v="0"/>
    <x v="56"/>
    <x v="1"/>
    <x v="0"/>
    <x v="0"/>
    <x v="1"/>
    <x v="0"/>
  </r>
  <r>
    <x v="0"/>
    <x v="0"/>
    <n v="2239293957"/>
    <x v="1"/>
    <n v="2850"/>
    <x v="2"/>
    <x v="0"/>
    <x v="56"/>
    <x v="1"/>
    <x v="0"/>
    <x v="0"/>
    <x v="1"/>
    <x v="0"/>
  </r>
  <r>
    <x v="0"/>
    <x v="0"/>
    <n v="2239293958"/>
    <x v="1"/>
    <n v="25900"/>
    <x v="2"/>
    <x v="0"/>
    <x v="56"/>
    <x v="1"/>
    <x v="0"/>
    <x v="0"/>
    <x v="1"/>
    <x v="0"/>
  </r>
  <r>
    <x v="0"/>
    <x v="0"/>
    <n v="2239293959"/>
    <x v="1"/>
    <n v="17700"/>
    <x v="2"/>
    <x v="0"/>
    <x v="56"/>
    <x v="1"/>
    <x v="0"/>
    <x v="0"/>
    <x v="1"/>
    <x v="0"/>
  </r>
  <r>
    <x v="0"/>
    <x v="0"/>
    <n v="2239293960"/>
    <x v="1"/>
    <n v="5850"/>
    <x v="2"/>
    <x v="0"/>
    <x v="56"/>
    <x v="1"/>
    <x v="0"/>
    <x v="0"/>
    <x v="1"/>
    <x v="0"/>
  </r>
  <r>
    <x v="0"/>
    <x v="0"/>
    <n v="2239293961"/>
    <x v="1"/>
    <n v="4740"/>
    <x v="2"/>
    <x v="0"/>
    <x v="56"/>
    <x v="1"/>
    <x v="0"/>
    <x v="0"/>
    <x v="1"/>
    <x v="0"/>
  </r>
  <r>
    <x v="0"/>
    <x v="0"/>
    <n v="2239293962"/>
    <x v="1"/>
    <n v="57510"/>
    <x v="2"/>
    <x v="0"/>
    <x v="56"/>
    <x v="1"/>
    <x v="0"/>
    <x v="0"/>
    <x v="1"/>
    <x v="0"/>
  </r>
  <r>
    <x v="0"/>
    <x v="0"/>
    <n v="2239293963"/>
    <x v="1"/>
    <n v="2250"/>
    <x v="2"/>
    <x v="0"/>
    <x v="56"/>
    <x v="1"/>
    <x v="0"/>
    <x v="0"/>
    <x v="1"/>
    <x v="0"/>
  </r>
  <r>
    <x v="0"/>
    <x v="0"/>
    <n v="2239293964"/>
    <x v="1"/>
    <n v="14410"/>
    <x v="2"/>
    <x v="0"/>
    <x v="56"/>
    <x v="1"/>
    <x v="0"/>
    <x v="0"/>
    <x v="1"/>
    <x v="0"/>
  </r>
  <r>
    <x v="0"/>
    <x v="0"/>
    <n v="2239293966"/>
    <x v="1"/>
    <n v="9270"/>
    <x v="2"/>
    <x v="0"/>
    <x v="56"/>
    <x v="1"/>
    <x v="0"/>
    <x v="0"/>
    <x v="1"/>
    <x v="0"/>
  </r>
  <r>
    <x v="0"/>
    <x v="0"/>
    <n v="2239293967"/>
    <x v="1"/>
    <n v="15000"/>
    <x v="2"/>
    <x v="0"/>
    <x v="56"/>
    <x v="1"/>
    <x v="0"/>
    <x v="0"/>
    <x v="1"/>
    <x v="0"/>
  </r>
  <r>
    <x v="0"/>
    <x v="0"/>
    <n v="2239293968"/>
    <x v="1"/>
    <n v="14400"/>
    <x v="2"/>
    <x v="0"/>
    <x v="56"/>
    <x v="1"/>
    <x v="0"/>
    <x v="0"/>
    <x v="1"/>
    <x v="0"/>
  </r>
  <r>
    <x v="0"/>
    <x v="0"/>
    <n v="2239293969"/>
    <x v="1"/>
    <n v="1350"/>
    <x v="2"/>
    <x v="0"/>
    <x v="56"/>
    <x v="1"/>
    <x v="0"/>
    <x v="0"/>
    <x v="1"/>
    <x v="0"/>
  </r>
  <r>
    <x v="0"/>
    <x v="0"/>
    <n v="2239293970"/>
    <x v="1"/>
    <n v="12180"/>
    <x v="2"/>
    <x v="0"/>
    <x v="56"/>
    <x v="1"/>
    <x v="0"/>
    <x v="0"/>
    <x v="1"/>
    <x v="0"/>
  </r>
  <r>
    <x v="0"/>
    <x v="0"/>
    <n v="2239293971"/>
    <x v="7"/>
    <n v="84000"/>
    <x v="2"/>
    <x v="0"/>
    <x v="56"/>
    <x v="7"/>
    <x v="0"/>
    <x v="0"/>
    <x v="1"/>
    <x v="0"/>
  </r>
  <r>
    <x v="0"/>
    <x v="0"/>
    <n v="2239293972"/>
    <x v="1"/>
    <n v="16500"/>
    <x v="2"/>
    <x v="0"/>
    <x v="56"/>
    <x v="1"/>
    <x v="0"/>
    <x v="0"/>
    <x v="1"/>
    <x v="0"/>
  </r>
  <r>
    <x v="0"/>
    <x v="0"/>
    <n v="2239293973"/>
    <x v="1"/>
    <n v="14400"/>
    <x v="2"/>
    <x v="0"/>
    <x v="56"/>
    <x v="1"/>
    <x v="0"/>
    <x v="0"/>
    <x v="1"/>
    <x v="0"/>
  </r>
  <r>
    <x v="0"/>
    <x v="0"/>
    <n v="2239293975"/>
    <x v="1"/>
    <n v="25500"/>
    <x v="2"/>
    <x v="0"/>
    <x v="56"/>
    <x v="1"/>
    <x v="0"/>
    <x v="0"/>
    <x v="1"/>
    <x v="0"/>
  </r>
  <r>
    <x v="0"/>
    <x v="0"/>
    <n v="2239293976"/>
    <x v="1"/>
    <n v="10900"/>
    <x v="2"/>
    <x v="0"/>
    <x v="56"/>
    <x v="1"/>
    <x v="0"/>
    <x v="0"/>
    <x v="1"/>
    <x v="0"/>
  </r>
  <r>
    <x v="0"/>
    <x v="0"/>
    <n v="2239293977"/>
    <x v="1"/>
    <n v="3600"/>
    <x v="2"/>
    <x v="0"/>
    <x v="56"/>
    <x v="1"/>
    <x v="0"/>
    <x v="0"/>
    <x v="1"/>
    <x v="0"/>
  </r>
  <r>
    <x v="0"/>
    <x v="0"/>
    <n v="2239293979"/>
    <x v="1"/>
    <n v="11400"/>
    <x v="2"/>
    <x v="0"/>
    <x v="56"/>
    <x v="1"/>
    <x v="0"/>
    <x v="0"/>
    <x v="1"/>
    <x v="0"/>
  </r>
  <r>
    <x v="0"/>
    <x v="0"/>
    <n v="2239293980"/>
    <x v="1"/>
    <n v="28280"/>
    <x v="2"/>
    <x v="0"/>
    <x v="56"/>
    <x v="1"/>
    <x v="0"/>
    <x v="0"/>
    <x v="1"/>
    <x v="0"/>
  </r>
  <r>
    <x v="0"/>
    <x v="0"/>
    <n v="2239293981"/>
    <x v="1"/>
    <n v="31200"/>
    <x v="2"/>
    <x v="0"/>
    <x v="56"/>
    <x v="1"/>
    <x v="0"/>
    <x v="0"/>
    <x v="1"/>
    <x v="0"/>
  </r>
  <r>
    <x v="0"/>
    <x v="0"/>
    <n v="2239293982"/>
    <x v="2"/>
    <n v="18568"/>
    <x v="2"/>
    <x v="0"/>
    <x v="56"/>
    <x v="2"/>
    <x v="0"/>
    <x v="0"/>
    <x v="2"/>
    <x v="0"/>
  </r>
  <r>
    <x v="0"/>
    <x v="0"/>
    <n v="2239293983"/>
    <x v="2"/>
    <n v="28336"/>
    <x v="2"/>
    <x v="0"/>
    <x v="56"/>
    <x v="2"/>
    <x v="0"/>
    <x v="0"/>
    <x v="2"/>
    <x v="0"/>
  </r>
  <r>
    <x v="0"/>
    <x v="0"/>
    <n v="2239293984"/>
    <x v="2"/>
    <n v="7084"/>
    <x v="2"/>
    <x v="0"/>
    <x v="56"/>
    <x v="2"/>
    <x v="0"/>
    <x v="0"/>
    <x v="2"/>
    <x v="0"/>
  </r>
  <r>
    <x v="0"/>
    <x v="0"/>
    <n v="2239293986"/>
    <x v="2"/>
    <n v="3000"/>
    <x v="2"/>
    <x v="0"/>
    <x v="56"/>
    <x v="2"/>
    <x v="0"/>
    <x v="0"/>
    <x v="2"/>
    <x v="0"/>
  </r>
  <r>
    <x v="0"/>
    <x v="0"/>
    <n v="2239293988"/>
    <x v="5"/>
    <n v="-4150"/>
    <x v="2"/>
    <x v="0"/>
    <x v="56"/>
    <x v="5"/>
    <x v="0"/>
    <x v="0"/>
    <x v="5"/>
    <x v="0"/>
  </r>
  <r>
    <x v="0"/>
    <x v="0"/>
    <n v="2239293988"/>
    <x v="6"/>
    <n v="10000"/>
    <x v="2"/>
    <x v="0"/>
    <x v="56"/>
    <x v="6"/>
    <x v="0"/>
    <x v="0"/>
    <x v="5"/>
    <x v="0"/>
  </r>
  <r>
    <x v="0"/>
    <x v="0"/>
    <n v="2239293988"/>
    <x v="7"/>
    <n v="650"/>
    <x v="2"/>
    <x v="0"/>
    <x v="56"/>
    <x v="7"/>
    <x v="0"/>
    <x v="0"/>
    <x v="1"/>
    <x v="0"/>
  </r>
  <r>
    <x v="0"/>
    <x v="0"/>
    <n v="2239293989"/>
    <x v="2"/>
    <n v="7150"/>
    <x v="2"/>
    <x v="0"/>
    <x v="56"/>
    <x v="2"/>
    <x v="0"/>
    <x v="0"/>
    <x v="2"/>
    <x v="0"/>
  </r>
  <r>
    <x v="0"/>
    <x v="0"/>
    <n v="2239293990"/>
    <x v="6"/>
    <n v="5000"/>
    <x v="2"/>
    <x v="0"/>
    <x v="56"/>
    <x v="6"/>
    <x v="0"/>
    <x v="0"/>
    <x v="5"/>
    <x v="0"/>
  </r>
  <r>
    <x v="0"/>
    <x v="0"/>
    <n v="2239293991"/>
    <x v="2"/>
    <n v="3575"/>
    <x v="2"/>
    <x v="0"/>
    <x v="56"/>
    <x v="2"/>
    <x v="0"/>
    <x v="0"/>
    <x v="2"/>
    <x v="0"/>
  </r>
  <r>
    <x v="0"/>
    <x v="0"/>
    <n v="2239293993"/>
    <x v="2"/>
    <n v="23265"/>
    <x v="2"/>
    <x v="0"/>
    <x v="56"/>
    <x v="2"/>
    <x v="0"/>
    <x v="0"/>
    <x v="2"/>
    <x v="0"/>
  </r>
  <r>
    <x v="0"/>
    <x v="0"/>
    <n v="2239293994"/>
    <x v="3"/>
    <n v="2400"/>
    <x v="2"/>
    <x v="0"/>
    <x v="56"/>
    <x v="3"/>
    <x v="0"/>
    <x v="0"/>
    <x v="3"/>
    <x v="0"/>
  </r>
  <r>
    <x v="0"/>
    <x v="0"/>
    <n v="2239293994"/>
    <x v="7"/>
    <n v="2400"/>
    <x v="2"/>
    <x v="0"/>
    <x v="56"/>
    <x v="7"/>
    <x v="0"/>
    <x v="0"/>
    <x v="1"/>
    <x v="0"/>
  </r>
  <r>
    <x v="0"/>
    <x v="0"/>
    <n v="2239293995"/>
    <x v="5"/>
    <n v="-600"/>
    <x v="2"/>
    <x v="0"/>
    <x v="56"/>
    <x v="5"/>
    <x v="0"/>
    <x v="0"/>
    <x v="5"/>
    <x v="0"/>
  </r>
  <r>
    <x v="0"/>
    <x v="0"/>
    <n v="2239293995"/>
    <x v="6"/>
    <n v="12000"/>
    <x v="2"/>
    <x v="0"/>
    <x v="56"/>
    <x v="6"/>
    <x v="0"/>
    <x v="0"/>
    <x v="5"/>
    <x v="0"/>
  </r>
  <r>
    <x v="0"/>
    <x v="0"/>
    <n v="2239293996"/>
    <x v="3"/>
    <n v="1650"/>
    <x v="2"/>
    <x v="0"/>
    <x v="56"/>
    <x v="3"/>
    <x v="0"/>
    <x v="0"/>
    <x v="3"/>
    <x v="0"/>
  </r>
  <r>
    <x v="0"/>
    <x v="0"/>
    <n v="2239293998"/>
    <x v="2"/>
    <n v="3250"/>
    <x v="2"/>
    <x v="0"/>
    <x v="56"/>
    <x v="2"/>
    <x v="0"/>
    <x v="0"/>
    <x v="2"/>
    <x v="0"/>
  </r>
  <r>
    <x v="0"/>
    <x v="0"/>
    <n v="2239293999"/>
    <x v="2"/>
    <n v="18645"/>
    <x v="2"/>
    <x v="0"/>
    <x v="56"/>
    <x v="2"/>
    <x v="0"/>
    <x v="0"/>
    <x v="2"/>
    <x v="0"/>
  </r>
  <r>
    <x v="0"/>
    <x v="0"/>
    <n v="2239294000"/>
    <x v="2"/>
    <n v="15468"/>
    <x v="2"/>
    <x v="0"/>
    <x v="56"/>
    <x v="2"/>
    <x v="0"/>
    <x v="0"/>
    <x v="2"/>
    <x v="0"/>
  </r>
  <r>
    <x v="0"/>
    <x v="0"/>
    <n v="2239294001"/>
    <x v="2"/>
    <n v="24915"/>
    <x v="2"/>
    <x v="0"/>
    <x v="56"/>
    <x v="2"/>
    <x v="0"/>
    <x v="0"/>
    <x v="2"/>
    <x v="0"/>
  </r>
  <r>
    <x v="0"/>
    <x v="0"/>
    <n v="2239294002"/>
    <x v="6"/>
    <n v="7000"/>
    <x v="2"/>
    <x v="0"/>
    <x v="56"/>
    <x v="6"/>
    <x v="0"/>
    <x v="0"/>
    <x v="5"/>
    <x v="0"/>
  </r>
  <r>
    <x v="0"/>
    <x v="0"/>
    <n v="2239294003"/>
    <x v="2"/>
    <n v="20735"/>
    <x v="2"/>
    <x v="0"/>
    <x v="56"/>
    <x v="2"/>
    <x v="0"/>
    <x v="0"/>
    <x v="2"/>
    <x v="0"/>
  </r>
  <r>
    <x v="0"/>
    <x v="0"/>
    <n v="2239294004"/>
    <x v="5"/>
    <n v="-2000"/>
    <x v="2"/>
    <x v="0"/>
    <x v="56"/>
    <x v="5"/>
    <x v="0"/>
    <x v="0"/>
    <x v="5"/>
    <x v="0"/>
  </r>
  <r>
    <x v="0"/>
    <x v="0"/>
    <n v="2239294004"/>
    <x v="6"/>
    <n v="5000"/>
    <x v="2"/>
    <x v="0"/>
    <x v="56"/>
    <x v="6"/>
    <x v="0"/>
    <x v="0"/>
    <x v="5"/>
    <x v="0"/>
  </r>
  <r>
    <x v="0"/>
    <x v="0"/>
    <n v="2239294005"/>
    <x v="6"/>
    <n v="2000"/>
    <x v="2"/>
    <x v="0"/>
    <x v="56"/>
    <x v="6"/>
    <x v="0"/>
    <x v="0"/>
    <x v="5"/>
    <x v="0"/>
  </r>
  <r>
    <x v="0"/>
    <x v="0"/>
    <n v="2239294006"/>
    <x v="2"/>
    <n v="14245"/>
    <x v="2"/>
    <x v="0"/>
    <x v="56"/>
    <x v="2"/>
    <x v="0"/>
    <x v="0"/>
    <x v="2"/>
    <x v="0"/>
  </r>
  <r>
    <x v="0"/>
    <x v="0"/>
    <n v="2239294007"/>
    <x v="3"/>
    <n v="3300"/>
    <x v="2"/>
    <x v="0"/>
    <x v="56"/>
    <x v="3"/>
    <x v="0"/>
    <x v="0"/>
    <x v="3"/>
    <x v="0"/>
  </r>
  <r>
    <x v="0"/>
    <x v="0"/>
    <n v="2239294008"/>
    <x v="3"/>
    <n v="13145"/>
    <x v="2"/>
    <x v="0"/>
    <x v="56"/>
    <x v="3"/>
    <x v="0"/>
    <x v="0"/>
    <x v="3"/>
    <x v="0"/>
  </r>
  <r>
    <x v="0"/>
    <x v="0"/>
    <n v="2239294010"/>
    <x v="5"/>
    <n v="-8500"/>
    <x v="2"/>
    <x v="0"/>
    <x v="56"/>
    <x v="5"/>
    <x v="0"/>
    <x v="0"/>
    <x v="5"/>
    <x v="0"/>
  </r>
  <r>
    <x v="0"/>
    <x v="0"/>
    <n v="2239294010"/>
    <x v="6"/>
    <n v="10000"/>
    <x v="2"/>
    <x v="0"/>
    <x v="56"/>
    <x v="6"/>
    <x v="0"/>
    <x v="0"/>
    <x v="5"/>
    <x v="0"/>
  </r>
  <r>
    <x v="0"/>
    <x v="0"/>
    <n v="2239294010"/>
    <x v="7"/>
    <n v="1500"/>
    <x v="2"/>
    <x v="0"/>
    <x v="56"/>
    <x v="7"/>
    <x v="0"/>
    <x v="0"/>
    <x v="1"/>
    <x v="0"/>
  </r>
  <r>
    <x v="0"/>
    <x v="0"/>
    <n v="2239294011"/>
    <x v="4"/>
    <n v="19900"/>
    <x v="2"/>
    <x v="0"/>
    <x v="56"/>
    <x v="4"/>
    <x v="0"/>
    <x v="0"/>
    <x v="4"/>
    <x v="0"/>
  </r>
  <r>
    <x v="0"/>
    <x v="0"/>
    <n v="2239294013"/>
    <x v="2"/>
    <n v="5995"/>
    <x v="2"/>
    <x v="0"/>
    <x v="56"/>
    <x v="2"/>
    <x v="0"/>
    <x v="0"/>
    <x v="2"/>
    <x v="0"/>
  </r>
  <r>
    <x v="0"/>
    <x v="0"/>
    <n v="2239294014"/>
    <x v="5"/>
    <n v="-5600"/>
    <x v="2"/>
    <x v="0"/>
    <x v="56"/>
    <x v="5"/>
    <x v="0"/>
    <x v="0"/>
    <x v="5"/>
    <x v="0"/>
  </r>
  <r>
    <x v="0"/>
    <x v="0"/>
    <n v="2239294014"/>
    <x v="4"/>
    <n v="10000"/>
    <x v="2"/>
    <x v="0"/>
    <x v="56"/>
    <x v="4"/>
    <x v="0"/>
    <x v="0"/>
    <x v="4"/>
    <x v="0"/>
  </r>
  <r>
    <x v="0"/>
    <x v="0"/>
    <n v="2239294015"/>
    <x v="2"/>
    <n v="24640"/>
    <x v="2"/>
    <x v="0"/>
    <x v="56"/>
    <x v="2"/>
    <x v="0"/>
    <x v="0"/>
    <x v="2"/>
    <x v="0"/>
  </r>
  <r>
    <x v="0"/>
    <x v="0"/>
    <n v="2239294017"/>
    <x v="5"/>
    <n v="-5000"/>
    <x v="2"/>
    <x v="0"/>
    <x v="56"/>
    <x v="5"/>
    <x v="0"/>
    <x v="0"/>
    <x v="5"/>
    <x v="0"/>
  </r>
  <r>
    <x v="0"/>
    <x v="0"/>
    <n v="2239294017"/>
    <x v="4"/>
    <n v="10000"/>
    <x v="2"/>
    <x v="0"/>
    <x v="56"/>
    <x v="4"/>
    <x v="0"/>
    <x v="0"/>
    <x v="4"/>
    <x v="0"/>
  </r>
  <r>
    <x v="0"/>
    <x v="0"/>
    <n v="2239294018"/>
    <x v="5"/>
    <n v="-600"/>
    <x v="2"/>
    <x v="0"/>
    <x v="56"/>
    <x v="5"/>
    <x v="0"/>
    <x v="0"/>
    <x v="5"/>
    <x v="0"/>
  </r>
  <r>
    <x v="0"/>
    <x v="0"/>
    <n v="2239294018"/>
    <x v="4"/>
    <n v="5000"/>
    <x v="2"/>
    <x v="0"/>
    <x v="56"/>
    <x v="4"/>
    <x v="0"/>
    <x v="0"/>
    <x v="4"/>
    <x v="0"/>
  </r>
  <r>
    <x v="0"/>
    <x v="0"/>
    <n v="2239294019"/>
    <x v="5"/>
    <n v="-5000"/>
    <x v="2"/>
    <x v="0"/>
    <x v="56"/>
    <x v="5"/>
    <x v="0"/>
    <x v="0"/>
    <x v="5"/>
    <x v="0"/>
  </r>
  <r>
    <x v="0"/>
    <x v="0"/>
    <n v="2239294019"/>
    <x v="6"/>
    <n v="10320"/>
    <x v="2"/>
    <x v="0"/>
    <x v="56"/>
    <x v="6"/>
    <x v="0"/>
    <x v="0"/>
    <x v="5"/>
    <x v="0"/>
  </r>
  <r>
    <x v="0"/>
    <x v="0"/>
    <n v="2239294020"/>
    <x v="5"/>
    <n v="-6750"/>
    <x v="2"/>
    <x v="0"/>
    <x v="56"/>
    <x v="5"/>
    <x v="0"/>
    <x v="0"/>
    <x v="5"/>
    <x v="0"/>
  </r>
  <r>
    <x v="0"/>
    <x v="0"/>
    <n v="2239294020"/>
    <x v="6"/>
    <n v="10000"/>
    <x v="2"/>
    <x v="0"/>
    <x v="56"/>
    <x v="6"/>
    <x v="0"/>
    <x v="0"/>
    <x v="5"/>
    <x v="0"/>
  </r>
  <r>
    <x v="0"/>
    <x v="0"/>
    <n v="2239294021"/>
    <x v="5"/>
    <n v="-14300"/>
    <x v="2"/>
    <x v="0"/>
    <x v="56"/>
    <x v="5"/>
    <x v="0"/>
    <x v="0"/>
    <x v="5"/>
    <x v="0"/>
  </r>
  <r>
    <x v="0"/>
    <x v="0"/>
    <n v="2239294021"/>
    <x v="4"/>
    <n v="20000"/>
    <x v="2"/>
    <x v="0"/>
    <x v="56"/>
    <x v="4"/>
    <x v="0"/>
    <x v="0"/>
    <x v="4"/>
    <x v="0"/>
  </r>
  <r>
    <x v="0"/>
    <x v="0"/>
    <n v="2239294022"/>
    <x v="2"/>
    <n v="13200"/>
    <x v="2"/>
    <x v="0"/>
    <x v="56"/>
    <x v="2"/>
    <x v="0"/>
    <x v="0"/>
    <x v="2"/>
    <x v="0"/>
  </r>
  <r>
    <x v="0"/>
    <x v="0"/>
    <n v="2239294023"/>
    <x v="5"/>
    <n v="-3100"/>
    <x v="2"/>
    <x v="0"/>
    <x v="56"/>
    <x v="5"/>
    <x v="0"/>
    <x v="0"/>
    <x v="5"/>
    <x v="0"/>
  </r>
  <r>
    <x v="0"/>
    <x v="0"/>
    <n v="2239294023"/>
    <x v="6"/>
    <n v="5000"/>
    <x v="2"/>
    <x v="0"/>
    <x v="56"/>
    <x v="6"/>
    <x v="0"/>
    <x v="0"/>
    <x v="5"/>
    <x v="0"/>
  </r>
  <r>
    <x v="0"/>
    <x v="0"/>
    <n v="2239294023"/>
    <x v="7"/>
    <n v="1900"/>
    <x v="2"/>
    <x v="0"/>
    <x v="56"/>
    <x v="7"/>
    <x v="0"/>
    <x v="0"/>
    <x v="1"/>
    <x v="0"/>
  </r>
  <r>
    <x v="0"/>
    <x v="0"/>
    <n v="2239294024"/>
    <x v="3"/>
    <n v="14795"/>
    <x v="2"/>
    <x v="0"/>
    <x v="56"/>
    <x v="3"/>
    <x v="0"/>
    <x v="0"/>
    <x v="3"/>
    <x v="0"/>
  </r>
  <r>
    <x v="0"/>
    <x v="0"/>
    <n v="2239294025"/>
    <x v="5"/>
    <n v="-6250"/>
    <x v="2"/>
    <x v="0"/>
    <x v="56"/>
    <x v="5"/>
    <x v="0"/>
    <x v="0"/>
    <x v="5"/>
    <x v="0"/>
  </r>
  <r>
    <x v="0"/>
    <x v="0"/>
    <n v="2239294025"/>
    <x v="6"/>
    <n v="10000"/>
    <x v="2"/>
    <x v="0"/>
    <x v="56"/>
    <x v="6"/>
    <x v="0"/>
    <x v="0"/>
    <x v="5"/>
    <x v="0"/>
  </r>
  <r>
    <x v="0"/>
    <x v="0"/>
    <n v="2239294026"/>
    <x v="4"/>
    <n v="5300"/>
    <x v="2"/>
    <x v="0"/>
    <x v="56"/>
    <x v="4"/>
    <x v="0"/>
    <x v="0"/>
    <x v="4"/>
    <x v="0"/>
  </r>
  <r>
    <x v="0"/>
    <x v="0"/>
    <n v="2239294027"/>
    <x v="2"/>
    <n v="7500"/>
    <x v="2"/>
    <x v="0"/>
    <x v="56"/>
    <x v="2"/>
    <x v="0"/>
    <x v="0"/>
    <x v="2"/>
    <x v="0"/>
  </r>
  <r>
    <x v="0"/>
    <x v="0"/>
    <n v="2239294028"/>
    <x v="5"/>
    <n v="-6000"/>
    <x v="2"/>
    <x v="0"/>
    <x v="56"/>
    <x v="5"/>
    <x v="0"/>
    <x v="0"/>
    <x v="5"/>
    <x v="0"/>
  </r>
  <r>
    <x v="0"/>
    <x v="0"/>
    <n v="2239294028"/>
    <x v="4"/>
    <n v="10400"/>
    <x v="2"/>
    <x v="0"/>
    <x v="56"/>
    <x v="4"/>
    <x v="0"/>
    <x v="0"/>
    <x v="4"/>
    <x v="0"/>
  </r>
  <r>
    <x v="0"/>
    <x v="0"/>
    <n v="2239294029"/>
    <x v="2"/>
    <n v="20500"/>
    <x v="2"/>
    <x v="0"/>
    <x v="56"/>
    <x v="2"/>
    <x v="0"/>
    <x v="0"/>
    <x v="2"/>
    <x v="0"/>
  </r>
  <r>
    <x v="0"/>
    <x v="0"/>
    <n v="2239294030"/>
    <x v="2"/>
    <n v="8195"/>
    <x v="2"/>
    <x v="0"/>
    <x v="56"/>
    <x v="2"/>
    <x v="0"/>
    <x v="0"/>
    <x v="2"/>
    <x v="0"/>
  </r>
  <r>
    <x v="0"/>
    <x v="0"/>
    <n v="2239294031"/>
    <x v="5"/>
    <n v="-4500"/>
    <x v="2"/>
    <x v="0"/>
    <x v="56"/>
    <x v="5"/>
    <x v="0"/>
    <x v="0"/>
    <x v="5"/>
    <x v="0"/>
  </r>
  <r>
    <x v="0"/>
    <x v="0"/>
    <n v="2239294031"/>
    <x v="4"/>
    <n v="10100"/>
    <x v="2"/>
    <x v="0"/>
    <x v="56"/>
    <x v="4"/>
    <x v="0"/>
    <x v="0"/>
    <x v="4"/>
    <x v="0"/>
  </r>
  <r>
    <x v="0"/>
    <x v="0"/>
    <n v="2239294034"/>
    <x v="6"/>
    <n v="6000"/>
    <x v="2"/>
    <x v="0"/>
    <x v="56"/>
    <x v="6"/>
    <x v="0"/>
    <x v="0"/>
    <x v="5"/>
    <x v="0"/>
  </r>
  <r>
    <x v="0"/>
    <x v="0"/>
    <n v="2239294036"/>
    <x v="2"/>
    <n v="14300"/>
    <x v="2"/>
    <x v="0"/>
    <x v="56"/>
    <x v="2"/>
    <x v="0"/>
    <x v="0"/>
    <x v="2"/>
    <x v="0"/>
  </r>
  <r>
    <x v="0"/>
    <x v="0"/>
    <n v="2239294038"/>
    <x v="3"/>
    <n v="8500"/>
    <x v="2"/>
    <x v="0"/>
    <x v="56"/>
    <x v="3"/>
    <x v="0"/>
    <x v="0"/>
    <x v="3"/>
    <x v="0"/>
  </r>
  <r>
    <x v="0"/>
    <x v="0"/>
    <n v="2239294039"/>
    <x v="2"/>
    <n v="7000"/>
    <x v="2"/>
    <x v="0"/>
    <x v="56"/>
    <x v="2"/>
    <x v="0"/>
    <x v="0"/>
    <x v="2"/>
    <x v="0"/>
  </r>
  <r>
    <x v="0"/>
    <x v="0"/>
    <n v="2239294040"/>
    <x v="2"/>
    <n v="13500"/>
    <x v="2"/>
    <x v="0"/>
    <x v="56"/>
    <x v="2"/>
    <x v="0"/>
    <x v="0"/>
    <x v="2"/>
    <x v="0"/>
  </r>
  <r>
    <x v="0"/>
    <x v="0"/>
    <n v="2239294041"/>
    <x v="3"/>
    <n v="10560"/>
    <x v="2"/>
    <x v="0"/>
    <x v="56"/>
    <x v="3"/>
    <x v="0"/>
    <x v="0"/>
    <x v="3"/>
    <x v="0"/>
  </r>
  <r>
    <x v="0"/>
    <x v="0"/>
    <n v="2239294043"/>
    <x v="5"/>
    <n v="-5000"/>
    <x v="2"/>
    <x v="0"/>
    <x v="56"/>
    <x v="5"/>
    <x v="0"/>
    <x v="0"/>
    <x v="5"/>
    <x v="0"/>
  </r>
  <r>
    <x v="0"/>
    <x v="0"/>
    <n v="2239294043"/>
    <x v="4"/>
    <n v="10600"/>
    <x v="2"/>
    <x v="0"/>
    <x v="56"/>
    <x v="4"/>
    <x v="0"/>
    <x v="0"/>
    <x v="4"/>
    <x v="0"/>
  </r>
  <r>
    <x v="0"/>
    <x v="0"/>
    <n v="2239294044"/>
    <x v="3"/>
    <n v="12320"/>
    <x v="2"/>
    <x v="0"/>
    <x v="56"/>
    <x v="3"/>
    <x v="0"/>
    <x v="0"/>
    <x v="3"/>
    <x v="0"/>
  </r>
  <r>
    <x v="0"/>
    <x v="0"/>
    <n v="2239294045"/>
    <x v="6"/>
    <n v="6000"/>
    <x v="2"/>
    <x v="0"/>
    <x v="56"/>
    <x v="6"/>
    <x v="0"/>
    <x v="0"/>
    <x v="5"/>
    <x v="0"/>
  </r>
  <r>
    <x v="0"/>
    <x v="0"/>
    <n v="2239294046"/>
    <x v="5"/>
    <n v="-5200"/>
    <x v="2"/>
    <x v="0"/>
    <x v="56"/>
    <x v="5"/>
    <x v="0"/>
    <x v="0"/>
    <x v="5"/>
    <x v="0"/>
  </r>
  <r>
    <x v="0"/>
    <x v="0"/>
    <n v="2239294046"/>
    <x v="4"/>
    <n v="10500"/>
    <x v="2"/>
    <x v="0"/>
    <x v="56"/>
    <x v="4"/>
    <x v="0"/>
    <x v="0"/>
    <x v="4"/>
    <x v="0"/>
  </r>
  <r>
    <x v="0"/>
    <x v="0"/>
    <n v="2239294047"/>
    <x v="2"/>
    <n v="5850"/>
    <x v="2"/>
    <x v="0"/>
    <x v="56"/>
    <x v="2"/>
    <x v="0"/>
    <x v="0"/>
    <x v="2"/>
    <x v="0"/>
  </r>
  <r>
    <x v="0"/>
    <x v="0"/>
    <n v="2239294047"/>
    <x v="7"/>
    <n v="650"/>
    <x v="2"/>
    <x v="0"/>
    <x v="56"/>
    <x v="7"/>
    <x v="0"/>
    <x v="0"/>
    <x v="1"/>
    <x v="0"/>
  </r>
  <r>
    <x v="0"/>
    <x v="0"/>
    <n v="2239294048"/>
    <x v="5"/>
    <n v="-2000"/>
    <x v="2"/>
    <x v="0"/>
    <x v="56"/>
    <x v="5"/>
    <x v="0"/>
    <x v="0"/>
    <x v="5"/>
    <x v="0"/>
  </r>
  <r>
    <x v="0"/>
    <x v="0"/>
    <n v="2239294048"/>
    <x v="6"/>
    <n v="15000"/>
    <x v="2"/>
    <x v="0"/>
    <x v="56"/>
    <x v="6"/>
    <x v="0"/>
    <x v="0"/>
    <x v="5"/>
    <x v="0"/>
  </r>
  <r>
    <x v="0"/>
    <x v="0"/>
    <n v="2239294049"/>
    <x v="2"/>
    <n v="36740"/>
    <x v="2"/>
    <x v="0"/>
    <x v="56"/>
    <x v="2"/>
    <x v="0"/>
    <x v="0"/>
    <x v="2"/>
    <x v="0"/>
  </r>
  <r>
    <x v="0"/>
    <x v="0"/>
    <n v="2239294050"/>
    <x v="5"/>
    <n v="-400"/>
    <x v="2"/>
    <x v="0"/>
    <x v="56"/>
    <x v="5"/>
    <x v="0"/>
    <x v="0"/>
    <x v="5"/>
    <x v="0"/>
  </r>
  <r>
    <x v="0"/>
    <x v="0"/>
    <n v="2239294050"/>
    <x v="4"/>
    <n v="5000"/>
    <x v="2"/>
    <x v="0"/>
    <x v="56"/>
    <x v="4"/>
    <x v="0"/>
    <x v="0"/>
    <x v="4"/>
    <x v="0"/>
  </r>
  <r>
    <x v="0"/>
    <x v="0"/>
    <n v="2239294051"/>
    <x v="5"/>
    <n v="-1000"/>
    <x v="2"/>
    <x v="0"/>
    <x v="56"/>
    <x v="5"/>
    <x v="0"/>
    <x v="0"/>
    <x v="5"/>
    <x v="0"/>
  </r>
  <r>
    <x v="0"/>
    <x v="0"/>
    <n v="2239294051"/>
    <x v="6"/>
    <n v="10000"/>
    <x v="2"/>
    <x v="0"/>
    <x v="56"/>
    <x v="6"/>
    <x v="0"/>
    <x v="0"/>
    <x v="5"/>
    <x v="0"/>
  </r>
  <r>
    <x v="0"/>
    <x v="0"/>
    <n v="2239294052"/>
    <x v="5"/>
    <n v="-4400"/>
    <x v="2"/>
    <x v="0"/>
    <x v="56"/>
    <x v="5"/>
    <x v="0"/>
    <x v="0"/>
    <x v="5"/>
    <x v="0"/>
  </r>
  <r>
    <x v="0"/>
    <x v="0"/>
    <n v="2239294052"/>
    <x v="4"/>
    <n v="10000"/>
    <x v="2"/>
    <x v="0"/>
    <x v="56"/>
    <x v="4"/>
    <x v="0"/>
    <x v="0"/>
    <x v="4"/>
    <x v="0"/>
  </r>
  <r>
    <x v="0"/>
    <x v="0"/>
    <n v="2239294053"/>
    <x v="2"/>
    <n v="7000"/>
    <x v="2"/>
    <x v="0"/>
    <x v="56"/>
    <x v="2"/>
    <x v="0"/>
    <x v="0"/>
    <x v="2"/>
    <x v="0"/>
  </r>
  <r>
    <x v="0"/>
    <x v="0"/>
    <n v="2239294054"/>
    <x v="3"/>
    <n v="4180"/>
    <x v="2"/>
    <x v="0"/>
    <x v="56"/>
    <x v="3"/>
    <x v="0"/>
    <x v="0"/>
    <x v="3"/>
    <x v="0"/>
  </r>
  <r>
    <x v="0"/>
    <x v="0"/>
    <n v="2239294055"/>
    <x v="2"/>
    <n v="6500"/>
    <x v="2"/>
    <x v="0"/>
    <x v="56"/>
    <x v="2"/>
    <x v="0"/>
    <x v="0"/>
    <x v="2"/>
    <x v="0"/>
  </r>
  <r>
    <x v="0"/>
    <x v="0"/>
    <n v="2239294056"/>
    <x v="3"/>
    <n v="9350"/>
    <x v="2"/>
    <x v="0"/>
    <x v="56"/>
    <x v="3"/>
    <x v="0"/>
    <x v="0"/>
    <x v="3"/>
    <x v="0"/>
  </r>
  <r>
    <x v="0"/>
    <x v="0"/>
    <n v="2239294057"/>
    <x v="5"/>
    <n v="-4400"/>
    <x v="2"/>
    <x v="0"/>
    <x v="56"/>
    <x v="5"/>
    <x v="0"/>
    <x v="0"/>
    <x v="5"/>
    <x v="0"/>
  </r>
  <r>
    <x v="0"/>
    <x v="0"/>
    <n v="2239294057"/>
    <x v="4"/>
    <n v="10000"/>
    <x v="2"/>
    <x v="0"/>
    <x v="56"/>
    <x v="4"/>
    <x v="0"/>
    <x v="0"/>
    <x v="4"/>
    <x v="0"/>
  </r>
  <r>
    <x v="0"/>
    <x v="0"/>
    <n v="2239294058"/>
    <x v="5"/>
    <n v="-580"/>
    <x v="2"/>
    <x v="0"/>
    <x v="56"/>
    <x v="5"/>
    <x v="0"/>
    <x v="0"/>
    <x v="5"/>
    <x v="0"/>
  </r>
  <r>
    <x v="0"/>
    <x v="0"/>
    <n v="2239294058"/>
    <x v="6"/>
    <n v="5000"/>
    <x v="2"/>
    <x v="0"/>
    <x v="56"/>
    <x v="6"/>
    <x v="0"/>
    <x v="0"/>
    <x v="5"/>
    <x v="0"/>
  </r>
  <r>
    <x v="0"/>
    <x v="0"/>
    <n v="2239294058"/>
    <x v="3"/>
    <n v="19000"/>
    <x v="2"/>
    <x v="0"/>
    <x v="56"/>
    <x v="3"/>
    <x v="0"/>
    <x v="0"/>
    <x v="3"/>
    <x v="0"/>
  </r>
  <r>
    <x v="0"/>
    <x v="0"/>
    <n v="2239294058"/>
    <x v="2"/>
    <n v="24500"/>
    <x v="2"/>
    <x v="0"/>
    <x v="56"/>
    <x v="2"/>
    <x v="0"/>
    <x v="0"/>
    <x v="2"/>
    <x v="0"/>
  </r>
  <r>
    <x v="0"/>
    <x v="0"/>
    <n v="2239294059"/>
    <x v="5"/>
    <n v="-3000"/>
    <x v="2"/>
    <x v="0"/>
    <x v="56"/>
    <x v="5"/>
    <x v="0"/>
    <x v="0"/>
    <x v="5"/>
    <x v="0"/>
  </r>
  <r>
    <x v="0"/>
    <x v="0"/>
    <n v="2239294059"/>
    <x v="6"/>
    <n v="10000"/>
    <x v="2"/>
    <x v="0"/>
    <x v="56"/>
    <x v="6"/>
    <x v="0"/>
    <x v="0"/>
    <x v="5"/>
    <x v="0"/>
  </r>
  <r>
    <x v="0"/>
    <x v="0"/>
    <n v="2239294061"/>
    <x v="2"/>
    <n v="14432"/>
    <x v="2"/>
    <x v="0"/>
    <x v="56"/>
    <x v="2"/>
    <x v="0"/>
    <x v="0"/>
    <x v="2"/>
    <x v="0"/>
  </r>
  <r>
    <x v="0"/>
    <x v="0"/>
    <n v="2239294061"/>
    <x v="7"/>
    <n v="1300"/>
    <x v="2"/>
    <x v="0"/>
    <x v="56"/>
    <x v="7"/>
    <x v="0"/>
    <x v="0"/>
    <x v="1"/>
    <x v="0"/>
  </r>
  <r>
    <x v="0"/>
    <x v="0"/>
    <n v="2239294062"/>
    <x v="5"/>
    <n v="-13500"/>
    <x v="2"/>
    <x v="0"/>
    <x v="56"/>
    <x v="5"/>
    <x v="0"/>
    <x v="0"/>
    <x v="5"/>
    <x v="0"/>
  </r>
  <r>
    <x v="0"/>
    <x v="0"/>
    <n v="2239294062"/>
    <x v="6"/>
    <n v="20000"/>
    <x v="2"/>
    <x v="0"/>
    <x v="56"/>
    <x v="6"/>
    <x v="0"/>
    <x v="0"/>
    <x v="5"/>
    <x v="0"/>
  </r>
  <r>
    <x v="0"/>
    <x v="0"/>
    <n v="2239294064"/>
    <x v="2"/>
    <n v="6500"/>
    <x v="2"/>
    <x v="0"/>
    <x v="56"/>
    <x v="2"/>
    <x v="0"/>
    <x v="0"/>
    <x v="2"/>
    <x v="0"/>
  </r>
  <r>
    <x v="0"/>
    <x v="0"/>
    <n v="2239294065"/>
    <x v="3"/>
    <n v="5500"/>
    <x v="2"/>
    <x v="0"/>
    <x v="56"/>
    <x v="3"/>
    <x v="0"/>
    <x v="0"/>
    <x v="3"/>
    <x v="0"/>
  </r>
  <r>
    <x v="0"/>
    <x v="0"/>
    <n v="2239294066"/>
    <x v="5"/>
    <n v="-160"/>
    <x v="2"/>
    <x v="0"/>
    <x v="56"/>
    <x v="5"/>
    <x v="0"/>
    <x v="0"/>
    <x v="5"/>
    <x v="0"/>
  </r>
  <r>
    <x v="0"/>
    <x v="0"/>
    <n v="2239294066"/>
    <x v="6"/>
    <n v="43000"/>
    <x v="2"/>
    <x v="0"/>
    <x v="56"/>
    <x v="6"/>
    <x v="0"/>
    <x v="0"/>
    <x v="5"/>
    <x v="0"/>
  </r>
  <r>
    <x v="0"/>
    <x v="0"/>
    <n v="2239294068"/>
    <x v="2"/>
    <n v="27192"/>
    <x v="2"/>
    <x v="0"/>
    <x v="56"/>
    <x v="2"/>
    <x v="0"/>
    <x v="0"/>
    <x v="2"/>
    <x v="0"/>
  </r>
  <r>
    <x v="0"/>
    <x v="0"/>
    <n v="2239294069"/>
    <x v="2"/>
    <n v="5850"/>
    <x v="2"/>
    <x v="0"/>
    <x v="56"/>
    <x v="2"/>
    <x v="0"/>
    <x v="0"/>
    <x v="2"/>
    <x v="0"/>
  </r>
  <r>
    <x v="0"/>
    <x v="0"/>
    <n v="2239294069"/>
    <x v="7"/>
    <n v="650"/>
    <x v="2"/>
    <x v="0"/>
    <x v="56"/>
    <x v="7"/>
    <x v="0"/>
    <x v="0"/>
    <x v="1"/>
    <x v="0"/>
  </r>
  <r>
    <x v="0"/>
    <x v="0"/>
    <n v="2239294071"/>
    <x v="2"/>
    <n v="9350"/>
    <x v="2"/>
    <x v="0"/>
    <x v="56"/>
    <x v="2"/>
    <x v="0"/>
    <x v="0"/>
    <x v="2"/>
    <x v="0"/>
  </r>
  <r>
    <x v="0"/>
    <x v="0"/>
    <n v="2239294072"/>
    <x v="5"/>
    <n v="-2500"/>
    <x v="2"/>
    <x v="0"/>
    <x v="56"/>
    <x v="5"/>
    <x v="0"/>
    <x v="0"/>
    <x v="5"/>
    <x v="0"/>
  </r>
  <r>
    <x v="0"/>
    <x v="0"/>
    <n v="2239294072"/>
    <x v="6"/>
    <n v="10000"/>
    <x v="2"/>
    <x v="0"/>
    <x v="56"/>
    <x v="6"/>
    <x v="0"/>
    <x v="0"/>
    <x v="5"/>
    <x v="0"/>
  </r>
  <r>
    <x v="0"/>
    <x v="0"/>
    <n v="2239294074"/>
    <x v="3"/>
    <n v="14000"/>
    <x v="2"/>
    <x v="0"/>
    <x v="56"/>
    <x v="3"/>
    <x v="0"/>
    <x v="0"/>
    <x v="3"/>
    <x v="0"/>
  </r>
  <r>
    <x v="0"/>
    <x v="0"/>
    <n v="2239294075"/>
    <x v="5"/>
    <n v="-4700"/>
    <x v="2"/>
    <x v="0"/>
    <x v="56"/>
    <x v="5"/>
    <x v="0"/>
    <x v="0"/>
    <x v="5"/>
    <x v="0"/>
  </r>
  <r>
    <x v="0"/>
    <x v="0"/>
    <n v="2239294075"/>
    <x v="4"/>
    <n v="10000"/>
    <x v="2"/>
    <x v="0"/>
    <x v="56"/>
    <x v="4"/>
    <x v="0"/>
    <x v="0"/>
    <x v="4"/>
    <x v="0"/>
  </r>
  <r>
    <x v="0"/>
    <x v="0"/>
    <n v="2239294076"/>
    <x v="4"/>
    <n v="5300"/>
    <x v="2"/>
    <x v="0"/>
    <x v="56"/>
    <x v="4"/>
    <x v="0"/>
    <x v="0"/>
    <x v="4"/>
    <x v="0"/>
  </r>
  <r>
    <x v="0"/>
    <x v="0"/>
    <n v="2239294077"/>
    <x v="5"/>
    <n v="-340"/>
    <x v="2"/>
    <x v="0"/>
    <x v="56"/>
    <x v="5"/>
    <x v="0"/>
    <x v="0"/>
    <x v="5"/>
    <x v="0"/>
  </r>
  <r>
    <x v="0"/>
    <x v="0"/>
    <n v="2239294077"/>
    <x v="6"/>
    <n v="3000"/>
    <x v="2"/>
    <x v="0"/>
    <x v="56"/>
    <x v="6"/>
    <x v="0"/>
    <x v="0"/>
    <x v="5"/>
    <x v="0"/>
  </r>
  <r>
    <x v="0"/>
    <x v="0"/>
    <n v="2239294078"/>
    <x v="2"/>
    <n v="20790"/>
    <x v="2"/>
    <x v="0"/>
    <x v="56"/>
    <x v="2"/>
    <x v="0"/>
    <x v="0"/>
    <x v="2"/>
    <x v="0"/>
  </r>
  <r>
    <x v="0"/>
    <x v="0"/>
    <n v="2239294079"/>
    <x v="2"/>
    <n v="30140"/>
    <x v="2"/>
    <x v="0"/>
    <x v="56"/>
    <x v="2"/>
    <x v="0"/>
    <x v="0"/>
    <x v="2"/>
    <x v="0"/>
  </r>
  <r>
    <x v="0"/>
    <x v="0"/>
    <n v="2239294080"/>
    <x v="5"/>
    <n v="-4000"/>
    <x v="2"/>
    <x v="0"/>
    <x v="56"/>
    <x v="5"/>
    <x v="0"/>
    <x v="0"/>
    <x v="5"/>
    <x v="0"/>
  </r>
  <r>
    <x v="0"/>
    <x v="0"/>
    <n v="2239294080"/>
    <x v="6"/>
    <n v="10000"/>
    <x v="2"/>
    <x v="0"/>
    <x v="56"/>
    <x v="6"/>
    <x v="0"/>
    <x v="0"/>
    <x v="5"/>
    <x v="0"/>
  </r>
  <r>
    <x v="0"/>
    <x v="0"/>
    <n v="2239294081"/>
    <x v="5"/>
    <n v="-400"/>
    <x v="2"/>
    <x v="0"/>
    <x v="56"/>
    <x v="5"/>
    <x v="0"/>
    <x v="0"/>
    <x v="5"/>
    <x v="0"/>
  </r>
  <r>
    <x v="0"/>
    <x v="0"/>
    <n v="2239294081"/>
    <x v="4"/>
    <n v="5000"/>
    <x v="2"/>
    <x v="0"/>
    <x v="56"/>
    <x v="4"/>
    <x v="0"/>
    <x v="0"/>
    <x v="4"/>
    <x v="0"/>
  </r>
  <r>
    <x v="0"/>
    <x v="0"/>
    <n v="2239294082"/>
    <x v="3"/>
    <n v="35090"/>
    <x v="2"/>
    <x v="0"/>
    <x v="56"/>
    <x v="3"/>
    <x v="0"/>
    <x v="0"/>
    <x v="3"/>
    <x v="0"/>
  </r>
  <r>
    <x v="0"/>
    <x v="0"/>
    <n v="2239294083"/>
    <x v="5"/>
    <n v="-500"/>
    <x v="2"/>
    <x v="0"/>
    <x v="56"/>
    <x v="5"/>
    <x v="0"/>
    <x v="0"/>
    <x v="5"/>
    <x v="0"/>
  </r>
  <r>
    <x v="0"/>
    <x v="0"/>
    <n v="2239294083"/>
    <x v="4"/>
    <n v="6100"/>
    <x v="2"/>
    <x v="0"/>
    <x v="56"/>
    <x v="4"/>
    <x v="0"/>
    <x v="0"/>
    <x v="4"/>
    <x v="0"/>
  </r>
  <r>
    <x v="0"/>
    <x v="0"/>
    <n v="2239294084"/>
    <x v="5"/>
    <n v="-2000"/>
    <x v="2"/>
    <x v="0"/>
    <x v="56"/>
    <x v="5"/>
    <x v="0"/>
    <x v="0"/>
    <x v="5"/>
    <x v="0"/>
  </r>
  <r>
    <x v="0"/>
    <x v="0"/>
    <n v="2239294084"/>
    <x v="6"/>
    <n v="5000"/>
    <x v="2"/>
    <x v="0"/>
    <x v="56"/>
    <x v="6"/>
    <x v="0"/>
    <x v="0"/>
    <x v="5"/>
    <x v="0"/>
  </r>
  <r>
    <x v="0"/>
    <x v="0"/>
    <n v="2239294085"/>
    <x v="2"/>
    <n v="9350"/>
    <x v="2"/>
    <x v="0"/>
    <x v="56"/>
    <x v="2"/>
    <x v="0"/>
    <x v="0"/>
    <x v="2"/>
    <x v="0"/>
  </r>
  <r>
    <x v="0"/>
    <x v="0"/>
    <n v="2239294086"/>
    <x v="5"/>
    <n v="-4400"/>
    <x v="2"/>
    <x v="0"/>
    <x v="56"/>
    <x v="5"/>
    <x v="0"/>
    <x v="0"/>
    <x v="5"/>
    <x v="0"/>
  </r>
  <r>
    <x v="0"/>
    <x v="0"/>
    <n v="2239294086"/>
    <x v="4"/>
    <n v="10000"/>
    <x v="2"/>
    <x v="0"/>
    <x v="56"/>
    <x v="4"/>
    <x v="0"/>
    <x v="0"/>
    <x v="4"/>
    <x v="0"/>
  </r>
  <r>
    <x v="0"/>
    <x v="0"/>
    <n v="2239294087"/>
    <x v="5"/>
    <n v="-1500"/>
    <x v="2"/>
    <x v="0"/>
    <x v="56"/>
    <x v="5"/>
    <x v="0"/>
    <x v="0"/>
    <x v="5"/>
    <x v="0"/>
  </r>
  <r>
    <x v="0"/>
    <x v="0"/>
    <n v="2239294087"/>
    <x v="6"/>
    <n v="5000"/>
    <x v="2"/>
    <x v="0"/>
    <x v="56"/>
    <x v="6"/>
    <x v="0"/>
    <x v="0"/>
    <x v="5"/>
    <x v="0"/>
  </r>
  <r>
    <x v="0"/>
    <x v="0"/>
    <n v="2239294088"/>
    <x v="2"/>
    <n v="15290"/>
    <x v="2"/>
    <x v="0"/>
    <x v="56"/>
    <x v="2"/>
    <x v="0"/>
    <x v="0"/>
    <x v="2"/>
    <x v="0"/>
  </r>
  <r>
    <x v="0"/>
    <x v="0"/>
    <n v="2239294089"/>
    <x v="5"/>
    <n v="-1970"/>
    <x v="2"/>
    <x v="0"/>
    <x v="56"/>
    <x v="5"/>
    <x v="0"/>
    <x v="0"/>
    <x v="5"/>
    <x v="0"/>
  </r>
  <r>
    <x v="0"/>
    <x v="0"/>
    <n v="2239294089"/>
    <x v="6"/>
    <n v="25000"/>
    <x v="2"/>
    <x v="0"/>
    <x v="56"/>
    <x v="6"/>
    <x v="0"/>
    <x v="0"/>
    <x v="5"/>
    <x v="0"/>
  </r>
  <r>
    <x v="0"/>
    <x v="0"/>
    <n v="2239294090"/>
    <x v="5"/>
    <n v="-15000"/>
    <x v="2"/>
    <x v="0"/>
    <x v="56"/>
    <x v="5"/>
    <x v="0"/>
    <x v="0"/>
    <x v="5"/>
    <x v="0"/>
  </r>
  <r>
    <x v="0"/>
    <x v="0"/>
    <n v="2239294090"/>
    <x v="4"/>
    <n v="20000"/>
    <x v="2"/>
    <x v="0"/>
    <x v="56"/>
    <x v="4"/>
    <x v="0"/>
    <x v="0"/>
    <x v="4"/>
    <x v="0"/>
  </r>
  <r>
    <x v="0"/>
    <x v="0"/>
    <n v="2239294092"/>
    <x v="5"/>
    <n v="-15000"/>
    <x v="2"/>
    <x v="0"/>
    <x v="56"/>
    <x v="5"/>
    <x v="0"/>
    <x v="0"/>
    <x v="5"/>
    <x v="0"/>
  </r>
  <r>
    <x v="0"/>
    <x v="0"/>
    <n v="2239294092"/>
    <x v="4"/>
    <n v="20000"/>
    <x v="2"/>
    <x v="0"/>
    <x v="56"/>
    <x v="4"/>
    <x v="0"/>
    <x v="0"/>
    <x v="4"/>
    <x v="0"/>
  </r>
  <r>
    <x v="0"/>
    <x v="0"/>
    <n v="2239294093"/>
    <x v="5"/>
    <n v="-4300"/>
    <x v="2"/>
    <x v="0"/>
    <x v="56"/>
    <x v="5"/>
    <x v="0"/>
    <x v="0"/>
    <x v="5"/>
    <x v="0"/>
  </r>
  <r>
    <x v="0"/>
    <x v="0"/>
    <n v="2239294093"/>
    <x v="4"/>
    <n v="10000"/>
    <x v="2"/>
    <x v="0"/>
    <x v="56"/>
    <x v="4"/>
    <x v="0"/>
    <x v="0"/>
    <x v="4"/>
    <x v="0"/>
  </r>
  <r>
    <x v="0"/>
    <x v="0"/>
    <n v="2239294094"/>
    <x v="5"/>
    <n v="-400"/>
    <x v="2"/>
    <x v="0"/>
    <x v="56"/>
    <x v="5"/>
    <x v="0"/>
    <x v="0"/>
    <x v="5"/>
    <x v="0"/>
  </r>
  <r>
    <x v="0"/>
    <x v="0"/>
    <n v="2239294094"/>
    <x v="4"/>
    <n v="5000"/>
    <x v="2"/>
    <x v="0"/>
    <x v="56"/>
    <x v="4"/>
    <x v="0"/>
    <x v="0"/>
    <x v="4"/>
    <x v="0"/>
  </r>
  <r>
    <x v="0"/>
    <x v="0"/>
    <n v="2239294095"/>
    <x v="2"/>
    <n v="6500"/>
    <x v="2"/>
    <x v="0"/>
    <x v="56"/>
    <x v="2"/>
    <x v="0"/>
    <x v="0"/>
    <x v="2"/>
    <x v="0"/>
  </r>
  <r>
    <x v="0"/>
    <x v="0"/>
    <n v="2239294096"/>
    <x v="5"/>
    <n v="-6000"/>
    <x v="2"/>
    <x v="0"/>
    <x v="56"/>
    <x v="5"/>
    <x v="0"/>
    <x v="0"/>
    <x v="5"/>
    <x v="0"/>
  </r>
  <r>
    <x v="0"/>
    <x v="0"/>
    <n v="2239294096"/>
    <x v="6"/>
    <n v="10000"/>
    <x v="2"/>
    <x v="0"/>
    <x v="56"/>
    <x v="6"/>
    <x v="0"/>
    <x v="0"/>
    <x v="5"/>
    <x v="0"/>
  </r>
  <r>
    <x v="0"/>
    <x v="0"/>
    <n v="2239294097"/>
    <x v="5"/>
    <n v="-1000"/>
    <x v="2"/>
    <x v="0"/>
    <x v="56"/>
    <x v="5"/>
    <x v="0"/>
    <x v="0"/>
    <x v="5"/>
    <x v="0"/>
  </r>
  <r>
    <x v="0"/>
    <x v="0"/>
    <n v="2239294097"/>
    <x v="4"/>
    <n v="5400"/>
    <x v="2"/>
    <x v="0"/>
    <x v="56"/>
    <x v="4"/>
    <x v="0"/>
    <x v="0"/>
    <x v="4"/>
    <x v="0"/>
  </r>
  <r>
    <x v="0"/>
    <x v="0"/>
    <n v="2239294098"/>
    <x v="5"/>
    <n v="-14000"/>
    <x v="2"/>
    <x v="0"/>
    <x v="56"/>
    <x v="5"/>
    <x v="0"/>
    <x v="0"/>
    <x v="5"/>
    <x v="0"/>
  </r>
  <r>
    <x v="0"/>
    <x v="0"/>
    <n v="2239294098"/>
    <x v="6"/>
    <n v="20000"/>
    <x v="2"/>
    <x v="0"/>
    <x v="56"/>
    <x v="6"/>
    <x v="0"/>
    <x v="0"/>
    <x v="5"/>
    <x v="0"/>
  </r>
  <r>
    <x v="0"/>
    <x v="0"/>
    <n v="2239294099"/>
    <x v="3"/>
    <n v="8500"/>
    <x v="2"/>
    <x v="0"/>
    <x v="56"/>
    <x v="3"/>
    <x v="0"/>
    <x v="0"/>
    <x v="3"/>
    <x v="0"/>
  </r>
  <r>
    <x v="0"/>
    <x v="0"/>
    <n v="2239294100"/>
    <x v="5"/>
    <n v="-5500"/>
    <x v="2"/>
    <x v="0"/>
    <x v="56"/>
    <x v="5"/>
    <x v="0"/>
    <x v="0"/>
    <x v="5"/>
    <x v="0"/>
  </r>
  <r>
    <x v="0"/>
    <x v="0"/>
    <n v="2239294100"/>
    <x v="6"/>
    <n v="10000"/>
    <x v="2"/>
    <x v="0"/>
    <x v="56"/>
    <x v="6"/>
    <x v="0"/>
    <x v="0"/>
    <x v="5"/>
    <x v="0"/>
  </r>
  <r>
    <x v="0"/>
    <x v="0"/>
    <n v="2239294101"/>
    <x v="3"/>
    <n v="14300"/>
    <x v="2"/>
    <x v="0"/>
    <x v="56"/>
    <x v="3"/>
    <x v="0"/>
    <x v="0"/>
    <x v="3"/>
    <x v="0"/>
  </r>
  <r>
    <x v="0"/>
    <x v="0"/>
    <n v="2239294102"/>
    <x v="5"/>
    <n v="-3500"/>
    <x v="2"/>
    <x v="0"/>
    <x v="56"/>
    <x v="5"/>
    <x v="0"/>
    <x v="0"/>
    <x v="5"/>
    <x v="0"/>
  </r>
  <r>
    <x v="0"/>
    <x v="0"/>
    <n v="2239294102"/>
    <x v="6"/>
    <n v="10000"/>
    <x v="2"/>
    <x v="0"/>
    <x v="56"/>
    <x v="6"/>
    <x v="0"/>
    <x v="0"/>
    <x v="5"/>
    <x v="0"/>
  </r>
  <r>
    <x v="0"/>
    <x v="0"/>
    <n v="2239294103"/>
    <x v="5"/>
    <n v="-3500"/>
    <x v="2"/>
    <x v="0"/>
    <x v="56"/>
    <x v="5"/>
    <x v="0"/>
    <x v="0"/>
    <x v="5"/>
    <x v="0"/>
  </r>
  <r>
    <x v="0"/>
    <x v="0"/>
    <n v="2239294103"/>
    <x v="6"/>
    <n v="10000"/>
    <x v="2"/>
    <x v="0"/>
    <x v="56"/>
    <x v="6"/>
    <x v="0"/>
    <x v="0"/>
    <x v="5"/>
    <x v="0"/>
  </r>
  <r>
    <x v="0"/>
    <x v="0"/>
    <n v="2239294104"/>
    <x v="5"/>
    <n v="-3000"/>
    <x v="2"/>
    <x v="0"/>
    <x v="56"/>
    <x v="5"/>
    <x v="0"/>
    <x v="0"/>
    <x v="5"/>
    <x v="0"/>
  </r>
  <r>
    <x v="0"/>
    <x v="0"/>
    <n v="2239294104"/>
    <x v="6"/>
    <n v="10500"/>
    <x v="2"/>
    <x v="0"/>
    <x v="56"/>
    <x v="6"/>
    <x v="0"/>
    <x v="0"/>
    <x v="5"/>
    <x v="0"/>
  </r>
  <r>
    <x v="0"/>
    <x v="0"/>
    <n v="2239297637"/>
    <x v="5"/>
    <n v="-10900"/>
    <x v="2"/>
    <x v="0"/>
    <x v="57"/>
    <x v="5"/>
    <x v="0"/>
    <x v="0"/>
    <x v="5"/>
    <x v="0"/>
  </r>
  <r>
    <x v="0"/>
    <x v="0"/>
    <n v="2239297637"/>
    <x v="6"/>
    <n v="40000"/>
    <x v="2"/>
    <x v="0"/>
    <x v="57"/>
    <x v="6"/>
    <x v="0"/>
    <x v="0"/>
    <x v="5"/>
    <x v="0"/>
  </r>
  <r>
    <x v="0"/>
    <x v="0"/>
    <n v="2239297637"/>
    <x v="7"/>
    <n v="19400"/>
    <x v="2"/>
    <x v="0"/>
    <x v="57"/>
    <x v="7"/>
    <x v="0"/>
    <x v="0"/>
    <x v="1"/>
    <x v="0"/>
  </r>
  <r>
    <x v="0"/>
    <x v="0"/>
    <n v="2239297638"/>
    <x v="1"/>
    <n v="2700"/>
    <x v="2"/>
    <x v="0"/>
    <x v="57"/>
    <x v="1"/>
    <x v="0"/>
    <x v="0"/>
    <x v="1"/>
    <x v="0"/>
  </r>
  <r>
    <x v="0"/>
    <x v="0"/>
    <n v="2239297639"/>
    <x v="2"/>
    <n v="46750"/>
    <x v="2"/>
    <x v="0"/>
    <x v="57"/>
    <x v="2"/>
    <x v="0"/>
    <x v="0"/>
    <x v="2"/>
    <x v="0"/>
  </r>
  <r>
    <x v="0"/>
    <x v="0"/>
    <n v="2239297639"/>
    <x v="7"/>
    <n v="4200"/>
    <x v="2"/>
    <x v="0"/>
    <x v="57"/>
    <x v="7"/>
    <x v="0"/>
    <x v="0"/>
    <x v="1"/>
    <x v="0"/>
  </r>
  <r>
    <x v="0"/>
    <x v="0"/>
    <n v="2239297640"/>
    <x v="1"/>
    <n v="12600"/>
    <x v="2"/>
    <x v="0"/>
    <x v="57"/>
    <x v="1"/>
    <x v="0"/>
    <x v="0"/>
    <x v="1"/>
    <x v="0"/>
  </r>
  <r>
    <x v="0"/>
    <x v="0"/>
    <n v="2239297641"/>
    <x v="1"/>
    <n v="16050"/>
    <x v="2"/>
    <x v="0"/>
    <x v="57"/>
    <x v="1"/>
    <x v="0"/>
    <x v="0"/>
    <x v="1"/>
    <x v="0"/>
  </r>
  <r>
    <x v="0"/>
    <x v="0"/>
    <n v="2239297642"/>
    <x v="1"/>
    <n v="16440"/>
    <x v="2"/>
    <x v="0"/>
    <x v="57"/>
    <x v="1"/>
    <x v="0"/>
    <x v="0"/>
    <x v="1"/>
    <x v="0"/>
  </r>
  <r>
    <x v="0"/>
    <x v="0"/>
    <n v="2239297644"/>
    <x v="1"/>
    <n v="2400"/>
    <x v="2"/>
    <x v="0"/>
    <x v="57"/>
    <x v="1"/>
    <x v="0"/>
    <x v="0"/>
    <x v="1"/>
    <x v="0"/>
  </r>
  <r>
    <x v="0"/>
    <x v="0"/>
    <n v="2239297647"/>
    <x v="1"/>
    <n v="2400"/>
    <x v="2"/>
    <x v="0"/>
    <x v="57"/>
    <x v="1"/>
    <x v="0"/>
    <x v="0"/>
    <x v="1"/>
    <x v="0"/>
  </r>
  <r>
    <x v="0"/>
    <x v="0"/>
    <n v="2239297648"/>
    <x v="7"/>
    <n v="221000"/>
    <x v="2"/>
    <x v="0"/>
    <x v="57"/>
    <x v="7"/>
    <x v="0"/>
    <x v="0"/>
    <x v="1"/>
    <x v="0"/>
  </r>
  <r>
    <x v="0"/>
    <x v="0"/>
    <n v="2239297649"/>
    <x v="7"/>
    <n v="13500"/>
    <x v="2"/>
    <x v="0"/>
    <x v="57"/>
    <x v="7"/>
    <x v="0"/>
    <x v="0"/>
    <x v="1"/>
    <x v="0"/>
  </r>
  <r>
    <x v="0"/>
    <x v="0"/>
    <n v="2239297650"/>
    <x v="1"/>
    <n v="5850"/>
    <x v="2"/>
    <x v="0"/>
    <x v="57"/>
    <x v="1"/>
    <x v="0"/>
    <x v="0"/>
    <x v="1"/>
    <x v="0"/>
  </r>
  <r>
    <x v="0"/>
    <x v="0"/>
    <n v="2239297651"/>
    <x v="1"/>
    <n v="5670"/>
    <x v="2"/>
    <x v="0"/>
    <x v="57"/>
    <x v="1"/>
    <x v="0"/>
    <x v="0"/>
    <x v="1"/>
    <x v="0"/>
  </r>
  <r>
    <x v="0"/>
    <x v="0"/>
    <n v="2239297652"/>
    <x v="1"/>
    <n v="9420"/>
    <x v="2"/>
    <x v="0"/>
    <x v="57"/>
    <x v="1"/>
    <x v="0"/>
    <x v="0"/>
    <x v="1"/>
    <x v="0"/>
  </r>
  <r>
    <x v="0"/>
    <x v="0"/>
    <n v="2239297653"/>
    <x v="7"/>
    <n v="7500"/>
    <x v="2"/>
    <x v="0"/>
    <x v="57"/>
    <x v="7"/>
    <x v="0"/>
    <x v="0"/>
    <x v="1"/>
    <x v="0"/>
  </r>
  <r>
    <x v="0"/>
    <x v="0"/>
    <n v="2239297654"/>
    <x v="7"/>
    <n v="3000"/>
    <x v="2"/>
    <x v="0"/>
    <x v="57"/>
    <x v="7"/>
    <x v="0"/>
    <x v="0"/>
    <x v="1"/>
    <x v="0"/>
  </r>
  <r>
    <x v="0"/>
    <x v="0"/>
    <n v="2239297655"/>
    <x v="7"/>
    <n v="6500"/>
    <x v="2"/>
    <x v="0"/>
    <x v="57"/>
    <x v="7"/>
    <x v="0"/>
    <x v="0"/>
    <x v="1"/>
    <x v="0"/>
  </r>
  <r>
    <x v="0"/>
    <x v="0"/>
    <n v="2239297656"/>
    <x v="7"/>
    <n v="7500"/>
    <x v="2"/>
    <x v="0"/>
    <x v="57"/>
    <x v="7"/>
    <x v="0"/>
    <x v="0"/>
    <x v="1"/>
    <x v="0"/>
  </r>
  <r>
    <x v="0"/>
    <x v="0"/>
    <n v="2239297657"/>
    <x v="7"/>
    <n v="6500"/>
    <x v="2"/>
    <x v="0"/>
    <x v="57"/>
    <x v="7"/>
    <x v="0"/>
    <x v="0"/>
    <x v="1"/>
    <x v="0"/>
  </r>
  <r>
    <x v="0"/>
    <x v="0"/>
    <n v="2239297658"/>
    <x v="7"/>
    <n v="7500"/>
    <x v="2"/>
    <x v="0"/>
    <x v="57"/>
    <x v="7"/>
    <x v="0"/>
    <x v="0"/>
    <x v="1"/>
    <x v="0"/>
  </r>
  <r>
    <x v="0"/>
    <x v="0"/>
    <n v="2239297659"/>
    <x v="7"/>
    <n v="3000"/>
    <x v="2"/>
    <x v="0"/>
    <x v="57"/>
    <x v="7"/>
    <x v="0"/>
    <x v="0"/>
    <x v="1"/>
    <x v="0"/>
  </r>
  <r>
    <x v="0"/>
    <x v="0"/>
    <n v="2239297660"/>
    <x v="1"/>
    <n v="15330"/>
    <x v="2"/>
    <x v="0"/>
    <x v="57"/>
    <x v="1"/>
    <x v="0"/>
    <x v="0"/>
    <x v="1"/>
    <x v="0"/>
  </r>
  <r>
    <x v="0"/>
    <x v="0"/>
    <n v="2239297661"/>
    <x v="1"/>
    <n v="49200"/>
    <x v="2"/>
    <x v="0"/>
    <x v="57"/>
    <x v="1"/>
    <x v="0"/>
    <x v="0"/>
    <x v="1"/>
    <x v="0"/>
  </r>
  <r>
    <x v="0"/>
    <x v="0"/>
    <n v="2239297662"/>
    <x v="1"/>
    <n v="75900"/>
    <x v="2"/>
    <x v="0"/>
    <x v="57"/>
    <x v="1"/>
    <x v="0"/>
    <x v="0"/>
    <x v="1"/>
    <x v="0"/>
  </r>
  <r>
    <x v="0"/>
    <x v="0"/>
    <n v="2239297663"/>
    <x v="1"/>
    <n v="3000"/>
    <x v="2"/>
    <x v="0"/>
    <x v="57"/>
    <x v="1"/>
    <x v="0"/>
    <x v="0"/>
    <x v="1"/>
    <x v="0"/>
  </r>
  <r>
    <x v="0"/>
    <x v="0"/>
    <n v="2239297664"/>
    <x v="1"/>
    <n v="2100"/>
    <x v="2"/>
    <x v="0"/>
    <x v="57"/>
    <x v="1"/>
    <x v="0"/>
    <x v="0"/>
    <x v="1"/>
    <x v="0"/>
  </r>
  <r>
    <x v="0"/>
    <x v="0"/>
    <n v="2239297665"/>
    <x v="1"/>
    <n v="13980"/>
    <x v="2"/>
    <x v="0"/>
    <x v="57"/>
    <x v="1"/>
    <x v="0"/>
    <x v="0"/>
    <x v="1"/>
    <x v="0"/>
  </r>
  <r>
    <x v="0"/>
    <x v="0"/>
    <n v="2239297666"/>
    <x v="1"/>
    <n v="3180"/>
    <x v="2"/>
    <x v="0"/>
    <x v="57"/>
    <x v="1"/>
    <x v="0"/>
    <x v="0"/>
    <x v="1"/>
    <x v="0"/>
  </r>
  <r>
    <x v="0"/>
    <x v="0"/>
    <n v="2239297667"/>
    <x v="1"/>
    <n v="8300"/>
    <x v="2"/>
    <x v="0"/>
    <x v="57"/>
    <x v="1"/>
    <x v="0"/>
    <x v="0"/>
    <x v="1"/>
    <x v="0"/>
  </r>
  <r>
    <x v="0"/>
    <x v="0"/>
    <n v="2239297668"/>
    <x v="7"/>
    <n v="130000"/>
    <x v="2"/>
    <x v="0"/>
    <x v="57"/>
    <x v="7"/>
    <x v="0"/>
    <x v="0"/>
    <x v="1"/>
    <x v="0"/>
  </r>
  <r>
    <x v="0"/>
    <x v="0"/>
    <n v="2239297669"/>
    <x v="1"/>
    <n v="17520"/>
    <x v="2"/>
    <x v="0"/>
    <x v="57"/>
    <x v="1"/>
    <x v="0"/>
    <x v="0"/>
    <x v="1"/>
    <x v="0"/>
  </r>
  <r>
    <x v="0"/>
    <x v="0"/>
    <n v="2239297670"/>
    <x v="1"/>
    <n v="1140"/>
    <x v="2"/>
    <x v="0"/>
    <x v="57"/>
    <x v="1"/>
    <x v="0"/>
    <x v="0"/>
    <x v="1"/>
    <x v="0"/>
  </r>
  <r>
    <x v="0"/>
    <x v="0"/>
    <n v="2239297671"/>
    <x v="1"/>
    <n v="10490"/>
    <x v="2"/>
    <x v="0"/>
    <x v="57"/>
    <x v="1"/>
    <x v="0"/>
    <x v="0"/>
    <x v="1"/>
    <x v="0"/>
  </r>
  <r>
    <x v="0"/>
    <x v="0"/>
    <n v="2239297672"/>
    <x v="1"/>
    <n v="30650"/>
    <x v="2"/>
    <x v="0"/>
    <x v="57"/>
    <x v="1"/>
    <x v="0"/>
    <x v="0"/>
    <x v="1"/>
    <x v="0"/>
  </r>
  <r>
    <x v="0"/>
    <x v="0"/>
    <n v="2239297673"/>
    <x v="1"/>
    <n v="33350"/>
    <x v="2"/>
    <x v="0"/>
    <x v="57"/>
    <x v="1"/>
    <x v="0"/>
    <x v="0"/>
    <x v="1"/>
    <x v="0"/>
  </r>
  <r>
    <x v="0"/>
    <x v="0"/>
    <n v="2239297674"/>
    <x v="1"/>
    <n v="1800"/>
    <x v="2"/>
    <x v="0"/>
    <x v="57"/>
    <x v="1"/>
    <x v="0"/>
    <x v="0"/>
    <x v="1"/>
    <x v="0"/>
  </r>
  <r>
    <x v="0"/>
    <x v="0"/>
    <n v="2239297675"/>
    <x v="1"/>
    <n v="22000"/>
    <x v="2"/>
    <x v="0"/>
    <x v="57"/>
    <x v="1"/>
    <x v="0"/>
    <x v="0"/>
    <x v="1"/>
    <x v="0"/>
  </r>
  <r>
    <x v="0"/>
    <x v="0"/>
    <n v="2239297676"/>
    <x v="1"/>
    <n v="6540"/>
    <x v="2"/>
    <x v="0"/>
    <x v="57"/>
    <x v="1"/>
    <x v="0"/>
    <x v="0"/>
    <x v="1"/>
    <x v="0"/>
  </r>
  <r>
    <x v="0"/>
    <x v="0"/>
    <n v="2239297677"/>
    <x v="1"/>
    <n v="1800"/>
    <x v="2"/>
    <x v="0"/>
    <x v="57"/>
    <x v="1"/>
    <x v="0"/>
    <x v="0"/>
    <x v="1"/>
    <x v="0"/>
  </r>
  <r>
    <x v="0"/>
    <x v="0"/>
    <n v="2239297678"/>
    <x v="1"/>
    <n v="2250"/>
    <x v="2"/>
    <x v="0"/>
    <x v="57"/>
    <x v="1"/>
    <x v="0"/>
    <x v="0"/>
    <x v="1"/>
    <x v="0"/>
  </r>
  <r>
    <x v="0"/>
    <x v="0"/>
    <n v="2239297679"/>
    <x v="3"/>
    <n v="22968"/>
    <x v="2"/>
    <x v="0"/>
    <x v="57"/>
    <x v="3"/>
    <x v="0"/>
    <x v="0"/>
    <x v="3"/>
    <x v="0"/>
  </r>
  <r>
    <x v="0"/>
    <x v="0"/>
    <n v="2239297680"/>
    <x v="3"/>
    <n v="14168"/>
    <x v="2"/>
    <x v="0"/>
    <x v="57"/>
    <x v="3"/>
    <x v="0"/>
    <x v="0"/>
    <x v="3"/>
    <x v="0"/>
  </r>
  <r>
    <x v="0"/>
    <x v="0"/>
    <n v="2239297681"/>
    <x v="2"/>
    <n v="14168"/>
    <x v="2"/>
    <x v="0"/>
    <x v="57"/>
    <x v="2"/>
    <x v="0"/>
    <x v="0"/>
    <x v="2"/>
    <x v="0"/>
  </r>
  <r>
    <x v="0"/>
    <x v="0"/>
    <n v="2239297683"/>
    <x v="7"/>
    <n v="3000"/>
    <x v="2"/>
    <x v="0"/>
    <x v="57"/>
    <x v="7"/>
    <x v="0"/>
    <x v="0"/>
    <x v="1"/>
    <x v="0"/>
  </r>
  <r>
    <x v="0"/>
    <x v="0"/>
    <n v="2239297684"/>
    <x v="3"/>
    <n v="15880"/>
    <x v="2"/>
    <x v="0"/>
    <x v="57"/>
    <x v="3"/>
    <x v="0"/>
    <x v="0"/>
    <x v="3"/>
    <x v="0"/>
  </r>
  <r>
    <x v="0"/>
    <x v="0"/>
    <n v="2239297685"/>
    <x v="4"/>
    <n v="5000"/>
    <x v="2"/>
    <x v="0"/>
    <x v="57"/>
    <x v="4"/>
    <x v="0"/>
    <x v="0"/>
    <x v="4"/>
    <x v="0"/>
  </r>
  <r>
    <x v="0"/>
    <x v="0"/>
    <n v="2239297686"/>
    <x v="4"/>
    <n v="11400"/>
    <x v="2"/>
    <x v="0"/>
    <x v="57"/>
    <x v="4"/>
    <x v="0"/>
    <x v="0"/>
    <x v="4"/>
    <x v="0"/>
  </r>
  <r>
    <x v="0"/>
    <x v="0"/>
    <n v="2239297687"/>
    <x v="7"/>
    <n v="7500"/>
    <x v="2"/>
    <x v="0"/>
    <x v="57"/>
    <x v="7"/>
    <x v="0"/>
    <x v="0"/>
    <x v="1"/>
    <x v="0"/>
  </r>
  <r>
    <x v="0"/>
    <x v="0"/>
    <n v="2239297688"/>
    <x v="2"/>
    <n v="5600"/>
    <x v="2"/>
    <x v="0"/>
    <x v="57"/>
    <x v="2"/>
    <x v="0"/>
    <x v="0"/>
    <x v="2"/>
    <x v="0"/>
  </r>
  <r>
    <x v="0"/>
    <x v="0"/>
    <n v="2239297689"/>
    <x v="2"/>
    <n v="6400"/>
    <x v="2"/>
    <x v="0"/>
    <x v="57"/>
    <x v="2"/>
    <x v="0"/>
    <x v="0"/>
    <x v="2"/>
    <x v="0"/>
  </r>
  <r>
    <x v="0"/>
    <x v="0"/>
    <n v="2239297690"/>
    <x v="5"/>
    <n v="-5240"/>
    <x v="2"/>
    <x v="0"/>
    <x v="57"/>
    <x v="5"/>
    <x v="0"/>
    <x v="0"/>
    <x v="5"/>
    <x v="0"/>
  </r>
  <r>
    <x v="0"/>
    <x v="0"/>
    <n v="2239297690"/>
    <x v="6"/>
    <n v="10000"/>
    <x v="2"/>
    <x v="0"/>
    <x v="57"/>
    <x v="6"/>
    <x v="0"/>
    <x v="0"/>
    <x v="5"/>
    <x v="0"/>
  </r>
  <r>
    <x v="0"/>
    <x v="0"/>
    <n v="2239297691"/>
    <x v="7"/>
    <n v="3000"/>
    <x v="2"/>
    <x v="0"/>
    <x v="57"/>
    <x v="7"/>
    <x v="0"/>
    <x v="0"/>
    <x v="1"/>
    <x v="0"/>
  </r>
  <r>
    <x v="0"/>
    <x v="0"/>
    <n v="2239297692"/>
    <x v="7"/>
    <n v="3000"/>
    <x v="2"/>
    <x v="0"/>
    <x v="57"/>
    <x v="7"/>
    <x v="0"/>
    <x v="0"/>
    <x v="1"/>
    <x v="0"/>
  </r>
  <r>
    <x v="0"/>
    <x v="0"/>
    <n v="2239297693"/>
    <x v="7"/>
    <n v="3000"/>
    <x v="2"/>
    <x v="0"/>
    <x v="57"/>
    <x v="7"/>
    <x v="0"/>
    <x v="0"/>
    <x v="1"/>
    <x v="0"/>
  </r>
  <r>
    <x v="0"/>
    <x v="0"/>
    <n v="2239297695"/>
    <x v="4"/>
    <n v="5600"/>
    <x v="2"/>
    <x v="0"/>
    <x v="57"/>
    <x v="4"/>
    <x v="0"/>
    <x v="0"/>
    <x v="4"/>
    <x v="0"/>
  </r>
  <r>
    <x v="0"/>
    <x v="0"/>
    <n v="2239297696"/>
    <x v="5"/>
    <n v="-7500"/>
    <x v="2"/>
    <x v="0"/>
    <x v="57"/>
    <x v="5"/>
    <x v="0"/>
    <x v="0"/>
    <x v="5"/>
    <x v="0"/>
  </r>
  <r>
    <x v="0"/>
    <x v="0"/>
    <n v="2239297696"/>
    <x v="6"/>
    <n v="40000"/>
    <x v="2"/>
    <x v="0"/>
    <x v="57"/>
    <x v="6"/>
    <x v="0"/>
    <x v="0"/>
    <x v="5"/>
    <x v="0"/>
  </r>
  <r>
    <x v="0"/>
    <x v="0"/>
    <n v="2239297697"/>
    <x v="7"/>
    <n v="3000"/>
    <x v="2"/>
    <x v="0"/>
    <x v="57"/>
    <x v="7"/>
    <x v="0"/>
    <x v="0"/>
    <x v="1"/>
    <x v="0"/>
  </r>
  <r>
    <x v="0"/>
    <x v="0"/>
    <n v="2239297698"/>
    <x v="7"/>
    <n v="6500"/>
    <x v="2"/>
    <x v="0"/>
    <x v="57"/>
    <x v="7"/>
    <x v="0"/>
    <x v="0"/>
    <x v="1"/>
    <x v="0"/>
  </r>
  <r>
    <x v="0"/>
    <x v="0"/>
    <n v="2239297699"/>
    <x v="3"/>
    <n v="9845"/>
    <x v="2"/>
    <x v="0"/>
    <x v="57"/>
    <x v="3"/>
    <x v="0"/>
    <x v="0"/>
    <x v="3"/>
    <x v="0"/>
  </r>
  <r>
    <x v="0"/>
    <x v="0"/>
    <n v="2239297700"/>
    <x v="2"/>
    <n v="4000"/>
    <x v="2"/>
    <x v="0"/>
    <x v="57"/>
    <x v="2"/>
    <x v="0"/>
    <x v="0"/>
    <x v="2"/>
    <x v="0"/>
  </r>
  <r>
    <x v="0"/>
    <x v="0"/>
    <n v="2239297701"/>
    <x v="7"/>
    <n v="6500"/>
    <x v="2"/>
    <x v="0"/>
    <x v="57"/>
    <x v="7"/>
    <x v="0"/>
    <x v="0"/>
    <x v="1"/>
    <x v="0"/>
  </r>
  <r>
    <x v="0"/>
    <x v="0"/>
    <n v="2239297702"/>
    <x v="7"/>
    <n v="6500"/>
    <x v="2"/>
    <x v="0"/>
    <x v="57"/>
    <x v="7"/>
    <x v="0"/>
    <x v="0"/>
    <x v="1"/>
    <x v="0"/>
  </r>
  <r>
    <x v="0"/>
    <x v="0"/>
    <n v="2239297703"/>
    <x v="5"/>
    <n v="-5200"/>
    <x v="2"/>
    <x v="0"/>
    <x v="57"/>
    <x v="5"/>
    <x v="0"/>
    <x v="0"/>
    <x v="5"/>
    <x v="0"/>
  </r>
  <r>
    <x v="0"/>
    <x v="0"/>
    <n v="2239297703"/>
    <x v="4"/>
    <n v="10500"/>
    <x v="2"/>
    <x v="0"/>
    <x v="57"/>
    <x v="4"/>
    <x v="0"/>
    <x v="0"/>
    <x v="4"/>
    <x v="0"/>
  </r>
  <r>
    <x v="0"/>
    <x v="0"/>
    <n v="2239297704"/>
    <x v="5"/>
    <n v="-5900"/>
    <x v="2"/>
    <x v="0"/>
    <x v="57"/>
    <x v="5"/>
    <x v="0"/>
    <x v="0"/>
    <x v="5"/>
    <x v="0"/>
  </r>
  <r>
    <x v="0"/>
    <x v="0"/>
    <n v="2239297704"/>
    <x v="4"/>
    <n v="11500"/>
    <x v="2"/>
    <x v="0"/>
    <x v="57"/>
    <x v="4"/>
    <x v="0"/>
    <x v="0"/>
    <x v="4"/>
    <x v="0"/>
  </r>
  <r>
    <x v="0"/>
    <x v="0"/>
    <n v="2239297705"/>
    <x v="5"/>
    <n v="-200"/>
    <x v="2"/>
    <x v="0"/>
    <x v="57"/>
    <x v="5"/>
    <x v="0"/>
    <x v="0"/>
    <x v="5"/>
    <x v="0"/>
  </r>
  <r>
    <x v="0"/>
    <x v="0"/>
    <n v="2239297705"/>
    <x v="4"/>
    <n v="5500"/>
    <x v="2"/>
    <x v="0"/>
    <x v="57"/>
    <x v="4"/>
    <x v="0"/>
    <x v="0"/>
    <x v="4"/>
    <x v="0"/>
  </r>
  <r>
    <x v="0"/>
    <x v="0"/>
    <n v="2239297706"/>
    <x v="2"/>
    <n v="6500"/>
    <x v="2"/>
    <x v="0"/>
    <x v="57"/>
    <x v="2"/>
    <x v="0"/>
    <x v="0"/>
    <x v="2"/>
    <x v="0"/>
  </r>
  <r>
    <x v="0"/>
    <x v="0"/>
    <n v="2239297707"/>
    <x v="7"/>
    <n v="8000"/>
    <x v="2"/>
    <x v="0"/>
    <x v="57"/>
    <x v="7"/>
    <x v="0"/>
    <x v="0"/>
    <x v="1"/>
    <x v="0"/>
  </r>
  <r>
    <x v="0"/>
    <x v="0"/>
    <n v="2239297708"/>
    <x v="5"/>
    <n v="-4300"/>
    <x v="2"/>
    <x v="0"/>
    <x v="57"/>
    <x v="5"/>
    <x v="0"/>
    <x v="0"/>
    <x v="5"/>
    <x v="0"/>
  </r>
  <r>
    <x v="0"/>
    <x v="0"/>
    <n v="2239297708"/>
    <x v="4"/>
    <n v="10000"/>
    <x v="2"/>
    <x v="0"/>
    <x v="57"/>
    <x v="4"/>
    <x v="0"/>
    <x v="0"/>
    <x v="4"/>
    <x v="0"/>
  </r>
  <r>
    <x v="0"/>
    <x v="0"/>
    <n v="2239297709"/>
    <x v="7"/>
    <n v="3000"/>
    <x v="2"/>
    <x v="0"/>
    <x v="57"/>
    <x v="7"/>
    <x v="0"/>
    <x v="0"/>
    <x v="1"/>
    <x v="0"/>
  </r>
  <r>
    <x v="0"/>
    <x v="0"/>
    <n v="2239297710"/>
    <x v="2"/>
    <n v="4125"/>
    <x v="2"/>
    <x v="0"/>
    <x v="57"/>
    <x v="2"/>
    <x v="0"/>
    <x v="0"/>
    <x v="2"/>
    <x v="0"/>
  </r>
  <r>
    <x v="0"/>
    <x v="0"/>
    <n v="2239297711"/>
    <x v="3"/>
    <n v="16445"/>
    <x v="2"/>
    <x v="0"/>
    <x v="57"/>
    <x v="3"/>
    <x v="0"/>
    <x v="0"/>
    <x v="3"/>
    <x v="0"/>
  </r>
  <r>
    <x v="0"/>
    <x v="0"/>
    <n v="2239297712"/>
    <x v="2"/>
    <n v="4400"/>
    <x v="2"/>
    <x v="0"/>
    <x v="57"/>
    <x v="2"/>
    <x v="0"/>
    <x v="0"/>
    <x v="2"/>
    <x v="0"/>
  </r>
  <r>
    <x v="0"/>
    <x v="0"/>
    <n v="2239297713"/>
    <x v="7"/>
    <n v="7500"/>
    <x v="2"/>
    <x v="0"/>
    <x v="57"/>
    <x v="7"/>
    <x v="0"/>
    <x v="0"/>
    <x v="1"/>
    <x v="0"/>
  </r>
  <r>
    <x v="0"/>
    <x v="0"/>
    <n v="2239297714"/>
    <x v="7"/>
    <n v="7500"/>
    <x v="2"/>
    <x v="0"/>
    <x v="57"/>
    <x v="7"/>
    <x v="0"/>
    <x v="0"/>
    <x v="1"/>
    <x v="0"/>
  </r>
  <r>
    <x v="0"/>
    <x v="0"/>
    <n v="2239297716"/>
    <x v="5"/>
    <n v="-1200"/>
    <x v="2"/>
    <x v="0"/>
    <x v="57"/>
    <x v="5"/>
    <x v="0"/>
    <x v="0"/>
    <x v="5"/>
    <x v="0"/>
  </r>
  <r>
    <x v="0"/>
    <x v="0"/>
    <n v="2239297716"/>
    <x v="6"/>
    <n v="5000"/>
    <x v="2"/>
    <x v="0"/>
    <x v="57"/>
    <x v="6"/>
    <x v="0"/>
    <x v="0"/>
    <x v="5"/>
    <x v="0"/>
  </r>
  <r>
    <x v="0"/>
    <x v="0"/>
    <n v="2239297716"/>
    <x v="7"/>
    <n v="3800"/>
    <x v="2"/>
    <x v="0"/>
    <x v="57"/>
    <x v="7"/>
    <x v="0"/>
    <x v="0"/>
    <x v="1"/>
    <x v="0"/>
  </r>
  <r>
    <x v="0"/>
    <x v="0"/>
    <n v="2239297717"/>
    <x v="5"/>
    <n v="-6000"/>
    <x v="2"/>
    <x v="0"/>
    <x v="57"/>
    <x v="5"/>
    <x v="0"/>
    <x v="0"/>
    <x v="5"/>
    <x v="0"/>
  </r>
  <r>
    <x v="0"/>
    <x v="0"/>
    <n v="2239297717"/>
    <x v="4"/>
    <n v="10400"/>
    <x v="2"/>
    <x v="0"/>
    <x v="57"/>
    <x v="4"/>
    <x v="0"/>
    <x v="0"/>
    <x v="4"/>
    <x v="0"/>
  </r>
  <r>
    <x v="0"/>
    <x v="0"/>
    <n v="2239297718"/>
    <x v="2"/>
    <n v="24365"/>
    <x v="2"/>
    <x v="0"/>
    <x v="57"/>
    <x v="2"/>
    <x v="0"/>
    <x v="0"/>
    <x v="2"/>
    <x v="0"/>
  </r>
  <r>
    <x v="0"/>
    <x v="0"/>
    <n v="2239297719"/>
    <x v="7"/>
    <n v="7500"/>
    <x v="2"/>
    <x v="0"/>
    <x v="57"/>
    <x v="7"/>
    <x v="0"/>
    <x v="0"/>
    <x v="1"/>
    <x v="0"/>
  </r>
  <r>
    <x v="0"/>
    <x v="0"/>
    <n v="2239297720"/>
    <x v="7"/>
    <n v="7500"/>
    <x v="2"/>
    <x v="0"/>
    <x v="57"/>
    <x v="7"/>
    <x v="0"/>
    <x v="0"/>
    <x v="1"/>
    <x v="0"/>
  </r>
  <r>
    <x v="0"/>
    <x v="0"/>
    <n v="2239297721"/>
    <x v="4"/>
    <n v="5300"/>
    <x v="2"/>
    <x v="0"/>
    <x v="57"/>
    <x v="4"/>
    <x v="0"/>
    <x v="0"/>
    <x v="4"/>
    <x v="0"/>
  </r>
  <r>
    <x v="0"/>
    <x v="0"/>
    <n v="2239297722"/>
    <x v="7"/>
    <n v="8000"/>
    <x v="2"/>
    <x v="0"/>
    <x v="57"/>
    <x v="7"/>
    <x v="0"/>
    <x v="0"/>
    <x v="1"/>
    <x v="0"/>
  </r>
  <r>
    <x v="0"/>
    <x v="0"/>
    <n v="2239297723"/>
    <x v="2"/>
    <n v="18590"/>
    <x v="2"/>
    <x v="0"/>
    <x v="57"/>
    <x v="2"/>
    <x v="0"/>
    <x v="0"/>
    <x v="2"/>
    <x v="0"/>
  </r>
  <r>
    <x v="0"/>
    <x v="0"/>
    <n v="2239297725"/>
    <x v="5"/>
    <n v="-16250"/>
    <x v="2"/>
    <x v="0"/>
    <x v="57"/>
    <x v="5"/>
    <x v="0"/>
    <x v="0"/>
    <x v="5"/>
    <x v="0"/>
  </r>
  <r>
    <x v="0"/>
    <x v="0"/>
    <n v="2239297725"/>
    <x v="6"/>
    <n v="20000"/>
    <x v="2"/>
    <x v="0"/>
    <x v="57"/>
    <x v="6"/>
    <x v="0"/>
    <x v="0"/>
    <x v="5"/>
    <x v="0"/>
  </r>
  <r>
    <x v="0"/>
    <x v="0"/>
    <n v="2239297726"/>
    <x v="5"/>
    <n v="-600"/>
    <x v="2"/>
    <x v="0"/>
    <x v="57"/>
    <x v="5"/>
    <x v="0"/>
    <x v="0"/>
    <x v="5"/>
    <x v="0"/>
  </r>
  <r>
    <x v="0"/>
    <x v="0"/>
    <n v="2239297726"/>
    <x v="4"/>
    <n v="5000"/>
    <x v="2"/>
    <x v="0"/>
    <x v="57"/>
    <x v="4"/>
    <x v="0"/>
    <x v="0"/>
    <x v="4"/>
    <x v="0"/>
  </r>
  <r>
    <x v="0"/>
    <x v="0"/>
    <n v="2239297727"/>
    <x v="3"/>
    <n v="13700"/>
    <x v="2"/>
    <x v="0"/>
    <x v="57"/>
    <x v="3"/>
    <x v="0"/>
    <x v="0"/>
    <x v="3"/>
    <x v="0"/>
  </r>
  <r>
    <x v="0"/>
    <x v="0"/>
    <n v="2239297728"/>
    <x v="2"/>
    <n v="80000"/>
    <x v="2"/>
    <x v="0"/>
    <x v="57"/>
    <x v="2"/>
    <x v="0"/>
    <x v="0"/>
    <x v="2"/>
    <x v="0"/>
  </r>
  <r>
    <x v="0"/>
    <x v="0"/>
    <n v="2239297729"/>
    <x v="1"/>
    <n v="1350"/>
    <x v="2"/>
    <x v="0"/>
    <x v="57"/>
    <x v="1"/>
    <x v="0"/>
    <x v="0"/>
    <x v="1"/>
    <x v="0"/>
  </r>
  <r>
    <x v="0"/>
    <x v="0"/>
    <n v="2239297730"/>
    <x v="3"/>
    <n v="3300"/>
    <x v="2"/>
    <x v="0"/>
    <x v="57"/>
    <x v="3"/>
    <x v="0"/>
    <x v="0"/>
    <x v="3"/>
    <x v="0"/>
  </r>
  <r>
    <x v="0"/>
    <x v="0"/>
    <n v="2239297731"/>
    <x v="7"/>
    <n v="7500"/>
    <x v="2"/>
    <x v="0"/>
    <x v="57"/>
    <x v="7"/>
    <x v="0"/>
    <x v="0"/>
    <x v="1"/>
    <x v="0"/>
  </r>
  <r>
    <x v="0"/>
    <x v="0"/>
    <n v="2239297732"/>
    <x v="5"/>
    <n v="-5750"/>
    <x v="2"/>
    <x v="0"/>
    <x v="57"/>
    <x v="5"/>
    <x v="0"/>
    <x v="0"/>
    <x v="5"/>
    <x v="0"/>
  </r>
  <r>
    <x v="0"/>
    <x v="0"/>
    <n v="2239297732"/>
    <x v="6"/>
    <n v="20000"/>
    <x v="2"/>
    <x v="0"/>
    <x v="57"/>
    <x v="6"/>
    <x v="0"/>
    <x v="0"/>
    <x v="5"/>
    <x v="0"/>
  </r>
  <r>
    <x v="0"/>
    <x v="0"/>
    <n v="2239297732"/>
    <x v="7"/>
    <n v="3800"/>
    <x v="2"/>
    <x v="0"/>
    <x v="57"/>
    <x v="7"/>
    <x v="0"/>
    <x v="0"/>
    <x v="1"/>
    <x v="0"/>
  </r>
  <r>
    <x v="0"/>
    <x v="0"/>
    <n v="2239297733"/>
    <x v="7"/>
    <n v="3000"/>
    <x v="2"/>
    <x v="0"/>
    <x v="57"/>
    <x v="7"/>
    <x v="0"/>
    <x v="0"/>
    <x v="1"/>
    <x v="0"/>
  </r>
  <r>
    <x v="0"/>
    <x v="0"/>
    <n v="2239297734"/>
    <x v="5"/>
    <n v="-5900"/>
    <x v="2"/>
    <x v="0"/>
    <x v="57"/>
    <x v="5"/>
    <x v="0"/>
    <x v="0"/>
    <x v="5"/>
    <x v="0"/>
  </r>
  <r>
    <x v="0"/>
    <x v="0"/>
    <n v="2239297734"/>
    <x v="6"/>
    <n v="10000"/>
    <x v="2"/>
    <x v="0"/>
    <x v="57"/>
    <x v="6"/>
    <x v="0"/>
    <x v="0"/>
    <x v="5"/>
    <x v="0"/>
  </r>
  <r>
    <x v="0"/>
    <x v="0"/>
    <n v="2239297734"/>
    <x v="2"/>
    <n v="50000"/>
    <x v="2"/>
    <x v="0"/>
    <x v="57"/>
    <x v="2"/>
    <x v="0"/>
    <x v="0"/>
    <x v="2"/>
    <x v="0"/>
  </r>
  <r>
    <x v="0"/>
    <x v="0"/>
    <n v="2239297734"/>
    <x v="7"/>
    <n v="6500"/>
    <x v="2"/>
    <x v="0"/>
    <x v="57"/>
    <x v="7"/>
    <x v="0"/>
    <x v="0"/>
    <x v="1"/>
    <x v="0"/>
  </r>
  <r>
    <x v="0"/>
    <x v="0"/>
    <n v="2239297736"/>
    <x v="5"/>
    <n v="-19600"/>
    <x v="2"/>
    <x v="0"/>
    <x v="57"/>
    <x v="5"/>
    <x v="0"/>
    <x v="0"/>
    <x v="5"/>
    <x v="0"/>
  </r>
  <r>
    <x v="0"/>
    <x v="0"/>
    <n v="2239297736"/>
    <x v="6"/>
    <n v="95000"/>
    <x v="2"/>
    <x v="0"/>
    <x v="57"/>
    <x v="6"/>
    <x v="0"/>
    <x v="0"/>
    <x v="5"/>
    <x v="0"/>
  </r>
  <r>
    <x v="0"/>
    <x v="0"/>
    <n v="2239297737"/>
    <x v="7"/>
    <n v="3500"/>
    <x v="2"/>
    <x v="0"/>
    <x v="57"/>
    <x v="7"/>
    <x v="0"/>
    <x v="0"/>
    <x v="1"/>
    <x v="0"/>
  </r>
  <r>
    <x v="0"/>
    <x v="0"/>
    <n v="2239297738"/>
    <x v="7"/>
    <n v="3000"/>
    <x v="2"/>
    <x v="0"/>
    <x v="57"/>
    <x v="7"/>
    <x v="0"/>
    <x v="0"/>
    <x v="1"/>
    <x v="0"/>
  </r>
  <r>
    <x v="0"/>
    <x v="0"/>
    <n v="2239297739"/>
    <x v="5"/>
    <n v="-2000"/>
    <x v="2"/>
    <x v="0"/>
    <x v="57"/>
    <x v="5"/>
    <x v="0"/>
    <x v="0"/>
    <x v="5"/>
    <x v="0"/>
  </r>
  <r>
    <x v="0"/>
    <x v="0"/>
    <n v="2239297739"/>
    <x v="6"/>
    <n v="5000"/>
    <x v="2"/>
    <x v="0"/>
    <x v="57"/>
    <x v="6"/>
    <x v="0"/>
    <x v="0"/>
    <x v="5"/>
    <x v="0"/>
  </r>
  <r>
    <x v="0"/>
    <x v="0"/>
    <n v="2239297741"/>
    <x v="2"/>
    <n v="16720"/>
    <x v="2"/>
    <x v="0"/>
    <x v="57"/>
    <x v="2"/>
    <x v="0"/>
    <x v="0"/>
    <x v="2"/>
    <x v="0"/>
  </r>
  <r>
    <x v="0"/>
    <x v="0"/>
    <n v="2239297742"/>
    <x v="2"/>
    <n v="62315"/>
    <x v="2"/>
    <x v="0"/>
    <x v="57"/>
    <x v="2"/>
    <x v="0"/>
    <x v="0"/>
    <x v="2"/>
    <x v="0"/>
  </r>
  <r>
    <x v="0"/>
    <x v="0"/>
    <n v="2239297743"/>
    <x v="5"/>
    <n v="-5600"/>
    <x v="2"/>
    <x v="0"/>
    <x v="57"/>
    <x v="5"/>
    <x v="0"/>
    <x v="0"/>
    <x v="5"/>
    <x v="0"/>
  </r>
  <r>
    <x v="0"/>
    <x v="0"/>
    <n v="2239297743"/>
    <x v="4"/>
    <n v="10000"/>
    <x v="2"/>
    <x v="0"/>
    <x v="57"/>
    <x v="4"/>
    <x v="0"/>
    <x v="0"/>
    <x v="4"/>
    <x v="0"/>
  </r>
  <r>
    <x v="0"/>
    <x v="0"/>
    <n v="2239297744"/>
    <x v="2"/>
    <n v="34350"/>
    <x v="2"/>
    <x v="0"/>
    <x v="57"/>
    <x v="2"/>
    <x v="0"/>
    <x v="0"/>
    <x v="2"/>
    <x v="0"/>
  </r>
  <r>
    <x v="0"/>
    <x v="0"/>
    <n v="2239297745"/>
    <x v="7"/>
    <n v="309000"/>
    <x v="2"/>
    <x v="0"/>
    <x v="57"/>
    <x v="7"/>
    <x v="0"/>
    <x v="0"/>
    <x v="1"/>
    <x v="0"/>
  </r>
  <r>
    <x v="0"/>
    <x v="0"/>
    <n v="2239297746"/>
    <x v="2"/>
    <n v="68860"/>
    <x v="2"/>
    <x v="0"/>
    <x v="57"/>
    <x v="2"/>
    <x v="0"/>
    <x v="0"/>
    <x v="2"/>
    <x v="0"/>
  </r>
  <r>
    <x v="0"/>
    <x v="0"/>
    <n v="2239297747"/>
    <x v="5"/>
    <n v="-16000"/>
    <x v="2"/>
    <x v="0"/>
    <x v="57"/>
    <x v="5"/>
    <x v="0"/>
    <x v="0"/>
    <x v="5"/>
    <x v="0"/>
  </r>
  <r>
    <x v="0"/>
    <x v="0"/>
    <n v="2239297747"/>
    <x v="4"/>
    <n v="20600"/>
    <x v="2"/>
    <x v="0"/>
    <x v="57"/>
    <x v="4"/>
    <x v="0"/>
    <x v="0"/>
    <x v="4"/>
    <x v="0"/>
  </r>
  <r>
    <x v="0"/>
    <x v="0"/>
    <n v="2239297748"/>
    <x v="6"/>
    <n v="2000"/>
    <x v="2"/>
    <x v="0"/>
    <x v="57"/>
    <x v="6"/>
    <x v="0"/>
    <x v="0"/>
    <x v="5"/>
    <x v="0"/>
  </r>
  <r>
    <x v="0"/>
    <x v="0"/>
    <n v="2239297750"/>
    <x v="2"/>
    <n v="50000"/>
    <x v="2"/>
    <x v="0"/>
    <x v="57"/>
    <x v="2"/>
    <x v="0"/>
    <x v="0"/>
    <x v="2"/>
    <x v="0"/>
  </r>
  <r>
    <x v="0"/>
    <x v="0"/>
    <n v="2239297751"/>
    <x v="7"/>
    <n v="2000"/>
    <x v="2"/>
    <x v="0"/>
    <x v="57"/>
    <x v="7"/>
    <x v="0"/>
    <x v="0"/>
    <x v="1"/>
    <x v="0"/>
  </r>
  <r>
    <x v="0"/>
    <x v="0"/>
    <n v="2239297753"/>
    <x v="5"/>
    <n v="-1350"/>
    <x v="2"/>
    <x v="0"/>
    <x v="57"/>
    <x v="5"/>
    <x v="0"/>
    <x v="0"/>
    <x v="5"/>
    <x v="0"/>
  </r>
  <r>
    <x v="0"/>
    <x v="0"/>
    <n v="2239297753"/>
    <x v="6"/>
    <n v="15000"/>
    <x v="2"/>
    <x v="0"/>
    <x v="57"/>
    <x v="6"/>
    <x v="0"/>
    <x v="0"/>
    <x v="5"/>
    <x v="0"/>
  </r>
  <r>
    <x v="0"/>
    <x v="0"/>
    <n v="2239297755"/>
    <x v="2"/>
    <n v="39820"/>
    <x v="2"/>
    <x v="0"/>
    <x v="57"/>
    <x v="2"/>
    <x v="0"/>
    <x v="0"/>
    <x v="2"/>
    <x v="0"/>
  </r>
  <r>
    <x v="0"/>
    <x v="0"/>
    <n v="2239297756"/>
    <x v="2"/>
    <n v="84590"/>
    <x v="2"/>
    <x v="0"/>
    <x v="57"/>
    <x v="2"/>
    <x v="0"/>
    <x v="0"/>
    <x v="2"/>
    <x v="0"/>
  </r>
  <r>
    <x v="0"/>
    <x v="0"/>
    <n v="2239297757"/>
    <x v="5"/>
    <n v="-750"/>
    <x v="2"/>
    <x v="0"/>
    <x v="57"/>
    <x v="5"/>
    <x v="0"/>
    <x v="0"/>
    <x v="5"/>
    <x v="0"/>
  </r>
  <r>
    <x v="0"/>
    <x v="0"/>
    <n v="2239297757"/>
    <x v="6"/>
    <n v="7000"/>
    <x v="2"/>
    <x v="0"/>
    <x v="57"/>
    <x v="6"/>
    <x v="0"/>
    <x v="0"/>
    <x v="5"/>
    <x v="0"/>
  </r>
  <r>
    <x v="0"/>
    <x v="0"/>
    <n v="2239297758"/>
    <x v="3"/>
    <n v="113520"/>
    <x v="2"/>
    <x v="0"/>
    <x v="57"/>
    <x v="3"/>
    <x v="0"/>
    <x v="0"/>
    <x v="3"/>
    <x v="0"/>
  </r>
  <r>
    <x v="0"/>
    <x v="0"/>
    <n v="2239297758"/>
    <x v="7"/>
    <n v="10000"/>
    <x v="2"/>
    <x v="0"/>
    <x v="57"/>
    <x v="7"/>
    <x v="0"/>
    <x v="0"/>
    <x v="1"/>
    <x v="0"/>
  </r>
  <r>
    <x v="0"/>
    <x v="0"/>
    <n v="2239297759"/>
    <x v="2"/>
    <n v="15070"/>
    <x v="2"/>
    <x v="0"/>
    <x v="57"/>
    <x v="2"/>
    <x v="0"/>
    <x v="0"/>
    <x v="2"/>
    <x v="0"/>
  </r>
  <r>
    <x v="0"/>
    <x v="0"/>
    <n v="2239297760"/>
    <x v="5"/>
    <n v="-900"/>
    <x v="2"/>
    <x v="0"/>
    <x v="57"/>
    <x v="5"/>
    <x v="0"/>
    <x v="0"/>
    <x v="5"/>
    <x v="0"/>
  </r>
  <r>
    <x v="0"/>
    <x v="0"/>
    <n v="2239297760"/>
    <x v="6"/>
    <n v="40000"/>
    <x v="2"/>
    <x v="0"/>
    <x v="57"/>
    <x v="6"/>
    <x v="0"/>
    <x v="0"/>
    <x v="5"/>
    <x v="0"/>
  </r>
  <r>
    <x v="0"/>
    <x v="0"/>
    <n v="2239297761"/>
    <x v="2"/>
    <n v="20845"/>
    <x v="2"/>
    <x v="0"/>
    <x v="57"/>
    <x v="2"/>
    <x v="0"/>
    <x v="0"/>
    <x v="2"/>
    <x v="0"/>
  </r>
  <r>
    <x v="0"/>
    <x v="0"/>
    <n v="2239297762"/>
    <x v="2"/>
    <n v="42450"/>
    <x v="2"/>
    <x v="0"/>
    <x v="57"/>
    <x v="2"/>
    <x v="0"/>
    <x v="0"/>
    <x v="2"/>
    <x v="0"/>
  </r>
  <r>
    <x v="0"/>
    <x v="0"/>
    <n v="2239297762"/>
    <x v="7"/>
    <n v="13500"/>
    <x v="2"/>
    <x v="0"/>
    <x v="57"/>
    <x v="7"/>
    <x v="0"/>
    <x v="0"/>
    <x v="1"/>
    <x v="0"/>
  </r>
  <r>
    <x v="0"/>
    <x v="0"/>
    <n v="2239297763"/>
    <x v="6"/>
    <n v="7000"/>
    <x v="2"/>
    <x v="0"/>
    <x v="57"/>
    <x v="6"/>
    <x v="0"/>
    <x v="0"/>
    <x v="5"/>
    <x v="0"/>
  </r>
  <r>
    <x v="0"/>
    <x v="0"/>
    <n v="2239297765"/>
    <x v="2"/>
    <n v="33715"/>
    <x v="2"/>
    <x v="0"/>
    <x v="57"/>
    <x v="2"/>
    <x v="0"/>
    <x v="0"/>
    <x v="2"/>
    <x v="0"/>
  </r>
  <r>
    <x v="0"/>
    <x v="0"/>
    <n v="2239297766"/>
    <x v="2"/>
    <n v="19195"/>
    <x v="2"/>
    <x v="0"/>
    <x v="57"/>
    <x v="2"/>
    <x v="0"/>
    <x v="0"/>
    <x v="2"/>
    <x v="0"/>
  </r>
  <r>
    <x v="0"/>
    <x v="0"/>
    <n v="2239297767"/>
    <x v="2"/>
    <n v="5775"/>
    <x v="2"/>
    <x v="0"/>
    <x v="57"/>
    <x v="2"/>
    <x v="0"/>
    <x v="0"/>
    <x v="2"/>
    <x v="0"/>
  </r>
  <r>
    <x v="0"/>
    <x v="0"/>
    <n v="2239297767"/>
    <x v="7"/>
    <n v="5250"/>
    <x v="2"/>
    <x v="0"/>
    <x v="57"/>
    <x v="7"/>
    <x v="0"/>
    <x v="0"/>
    <x v="1"/>
    <x v="0"/>
  </r>
  <r>
    <x v="0"/>
    <x v="0"/>
    <n v="2239297768"/>
    <x v="2"/>
    <n v="52000"/>
    <x v="2"/>
    <x v="0"/>
    <x v="57"/>
    <x v="2"/>
    <x v="0"/>
    <x v="0"/>
    <x v="2"/>
    <x v="0"/>
  </r>
  <r>
    <x v="0"/>
    <x v="0"/>
    <n v="2239297769"/>
    <x v="2"/>
    <n v="7250"/>
    <x v="2"/>
    <x v="0"/>
    <x v="57"/>
    <x v="2"/>
    <x v="0"/>
    <x v="0"/>
    <x v="2"/>
    <x v="0"/>
  </r>
  <r>
    <x v="0"/>
    <x v="0"/>
    <n v="2239297770"/>
    <x v="5"/>
    <n v="-2300"/>
    <x v="2"/>
    <x v="0"/>
    <x v="57"/>
    <x v="5"/>
    <x v="0"/>
    <x v="0"/>
    <x v="5"/>
    <x v="0"/>
  </r>
  <r>
    <x v="0"/>
    <x v="0"/>
    <n v="2239297770"/>
    <x v="6"/>
    <n v="30000"/>
    <x v="2"/>
    <x v="0"/>
    <x v="57"/>
    <x v="6"/>
    <x v="0"/>
    <x v="0"/>
    <x v="5"/>
    <x v="0"/>
  </r>
  <r>
    <x v="0"/>
    <x v="0"/>
    <n v="2239297773"/>
    <x v="2"/>
    <n v="2250"/>
    <x v="2"/>
    <x v="0"/>
    <x v="57"/>
    <x v="2"/>
    <x v="0"/>
    <x v="0"/>
    <x v="2"/>
    <x v="0"/>
  </r>
  <r>
    <x v="0"/>
    <x v="0"/>
    <n v="2239297774"/>
    <x v="5"/>
    <n v="-15000"/>
    <x v="2"/>
    <x v="0"/>
    <x v="57"/>
    <x v="5"/>
    <x v="0"/>
    <x v="0"/>
    <x v="5"/>
    <x v="0"/>
  </r>
  <r>
    <x v="0"/>
    <x v="0"/>
    <n v="2239297774"/>
    <x v="4"/>
    <n v="20000"/>
    <x v="2"/>
    <x v="0"/>
    <x v="57"/>
    <x v="4"/>
    <x v="0"/>
    <x v="0"/>
    <x v="4"/>
    <x v="0"/>
  </r>
  <r>
    <x v="0"/>
    <x v="0"/>
    <n v="2239297775"/>
    <x v="7"/>
    <n v="7500"/>
    <x v="2"/>
    <x v="0"/>
    <x v="57"/>
    <x v="7"/>
    <x v="0"/>
    <x v="0"/>
    <x v="1"/>
    <x v="0"/>
  </r>
  <r>
    <x v="0"/>
    <x v="0"/>
    <n v="2239297776"/>
    <x v="1"/>
    <n v="9470"/>
    <x v="2"/>
    <x v="0"/>
    <x v="57"/>
    <x v="1"/>
    <x v="0"/>
    <x v="0"/>
    <x v="1"/>
    <x v="0"/>
  </r>
  <r>
    <x v="0"/>
    <x v="0"/>
    <n v="2239297778"/>
    <x v="2"/>
    <n v="3850"/>
    <x v="2"/>
    <x v="0"/>
    <x v="57"/>
    <x v="2"/>
    <x v="0"/>
    <x v="0"/>
    <x v="2"/>
    <x v="0"/>
  </r>
  <r>
    <x v="0"/>
    <x v="0"/>
    <n v="2239297779"/>
    <x v="2"/>
    <n v="22400"/>
    <x v="2"/>
    <x v="0"/>
    <x v="57"/>
    <x v="2"/>
    <x v="0"/>
    <x v="0"/>
    <x v="2"/>
    <x v="0"/>
  </r>
  <r>
    <x v="0"/>
    <x v="0"/>
    <n v="2239297780"/>
    <x v="3"/>
    <n v="4125"/>
    <x v="2"/>
    <x v="0"/>
    <x v="57"/>
    <x v="3"/>
    <x v="0"/>
    <x v="0"/>
    <x v="3"/>
    <x v="0"/>
  </r>
  <r>
    <x v="0"/>
    <x v="0"/>
    <n v="2239297781"/>
    <x v="5"/>
    <n v="-5050"/>
    <x v="2"/>
    <x v="0"/>
    <x v="57"/>
    <x v="5"/>
    <x v="0"/>
    <x v="0"/>
    <x v="5"/>
    <x v="0"/>
  </r>
  <r>
    <x v="0"/>
    <x v="0"/>
    <n v="2239297781"/>
    <x v="6"/>
    <n v="10000"/>
    <x v="2"/>
    <x v="0"/>
    <x v="57"/>
    <x v="6"/>
    <x v="0"/>
    <x v="0"/>
    <x v="5"/>
    <x v="0"/>
  </r>
  <r>
    <x v="0"/>
    <x v="0"/>
    <n v="2239297782"/>
    <x v="2"/>
    <n v="10725"/>
    <x v="2"/>
    <x v="0"/>
    <x v="57"/>
    <x v="2"/>
    <x v="0"/>
    <x v="0"/>
    <x v="2"/>
    <x v="0"/>
  </r>
  <r>
    <x v="0"/>
    <x v="0"/>
    <n v="2239297783"/>
    <x v="2"/>
    <n v="9020"/>
    <x v="2"/>
    <x v="0"/>
    <x v="57"/>
    <x v="2"/>
    <x v="0"/>
    <x v="0"/>
    <x v="2"/>
    <x v="0"/>
  </r>
  <r>
    <x v="0"/>
    <x v="0"/>
    <n v="2239297784"/>
    <x v="5"/>
    <n v="-9050"/>
    <x v="2"/>
    <x v="0"/>
    <x v="57"/>
    <x v="5"/>
    <x v="0"/>
    <x v="0"/>
    <x v="5"/>
    <x v="0"/>
  </r>
  <r>
    <x v="0"/>
    <x v="0"/>
    <n v="2239297784"/>
    <x v="6"/>
    <n v="20000"/>
    <x v="2"/>
    <x v="0"/>
    <x v="57"/>
    <x v="6"/>
    <x v="0"/>
    <x v="0"/>
    <x v="5"/>
    <x v="0"/>
  </r>
  <r>
    <x v="0"/>
    <x v="0"/>
    <n v="2239297785"/>
    <x v="7"/>
    <n v="8000"/>
    <x v="2"/>
    <x v="0"/>
    <x v="57"/>
    <x v="7"/>
    <x v="0"/>
    <x v="0"/>
    <x v="1"/>
    <x v="0"/>
  </r>
  <r>
    <x v="0"/>
    <x v="0"/>
    <n v="2239297786"/>
    <x v="2"/>
    <n v="44400"/>
    <x v="2"/>
    <x v="0"/>
    <x v="57"/>
    <x v="2"/>
    <x v="0"/>
    <x v="0"/>
    <x v="2"/>
    <x v="0"/>
  </r>
  <r>
    <x v="0"/>
    <x v="0"/>
    <n v="2239297786"/>
    <x v="7"/>
    <n v="10200"/>
    <x v="2"/>
    <x v="0"/>
    <x v="57"/>
    <x v="7"/>
    <x v="0"/>
    <x v="0"/>
    <x v="1"/>
    <x v="0"/>
  </r>
  <r>
    <x v="0"/>
    <x v="0"/>
    <n v="2239297788"/>
    <x v="5"/>
    <n v="-19400"/>
    <x v="2"/>
    <x v="0"/>
    <x v="57"/>
    <x v="5"/>
    <x v="0"/>
    <x v="0"/>
    <x v="5"/>
    <x v="0"/>
  </r>
  <r>
    <x v="0"/>
    <x v="0"/>
    <n v="2239297788"/>
    <x v="4"/>
    <n v="25000"/>
    <x v="2"/>
    <x v="0"/>
    <x v="57"/>
    <x v="4"/>
    <x v="0"/>
    <x v="0"/>
    <x v="4"/>
    <x v="0"/>
  </r>
  <r>
    <x v="0"/>
    <x v="0"/>
    <n v="2239297790"/>
    <x v="2"/>
    <n v="11250"/>
    <x v="2"/>
    <x v="0"/>
    <x v="57"/>
    <x v="2"/>
    <x v="0"/>
    <x v="0"/>
    <x v="2"/>
    <x v="0"/>
  </r>
  <r>
    <x v="0"/>
    <x v="0"/>
    <n v="2239297791"/>
    <x v="1"/>
    <n v="38940"/>
    <x v="2"/>
    <x v="0"/>
    <x v="57"/>
    <x v="1"/>
    <x v="0"/>
    <x v="0"/>
    <x v="1"/>
    <x v="0"/>
  </r>
  <r>
    <x v="0"/>
    <x v="0"/>
    <n v="2239297792"/>
    <x v="1"/>
    <n v="1050"/>
    <x v="2"/>
    <x v="0"/>
    <x v="57"/>
    <x v="1"/>
    <x v="0"/>
    <x v="0"/>
    <x v="1"/>
    <x v="0"/>
  </r>
  <r>
    <x v="0"/>
    <x v="0"/>
    <n v="2239297794"/>
    <x v="5"/>
    <n v="-600"/>
    <x v="2"/>
    <x v="0"/>
    <x v="57"/>
    <x v="5"/>
    <x v="0"/>
    <x v="0"/>
    <x v="5"/>
    <x v="0"/>
  </r>
  <r>
    <x v="0"/>
    <x v="0"/>
    <n v="2239297794"/>
    <x v="6"/>
    <n v="25000"/>
    <x v="2"/>
    <x v="0"/>
    <x v="57"/>
    <x v="6"/>
    <x v="0"/>
    <x v="0"/>
    <x v="5"/>
    <x v="0"/>
  </r>
  <r>
    <x v="0"/>
    <x v="0"/>
    <n v="2239297796"/>
    <x v="2"/>
    <n v="16995"/>
    <x v="2"/>
    <x v="0"/>
    <x v="57"/>
    <x v="2"/>
    <x v="0"/>
    <x v="0"/>
    <x v="2"/>
    <x v="0"/>
  </r>
  <r>
    <x v="0"/>
    <x v="0"/>
    <n v="2239297797"/>
    <x v="7"/>
    <n v="154500"/>
    <x v="2"/>
    <x v="0"/>
    <x v="57"/>
    <x v="7"/>
    <x v="0"/>
    <x v="0"/>
    <x v="1"/>
    <x v="0"/>
  </r>
  <r>
    <x v="0"/>
    <x v="0"/>
    <n v="2239297798"/>
    <x v="2"/>
    <n v="25740"/>
    <x v="2"/>
    <x v="0"/>
    <x v="57"/>
    <x v="2"/>
    <x v="0"/>
    <x v="0"/>
    <x v="2"/>
    <x v="0"/>
  </r>
  <r>
    <x v="0"/>
    <x v="0"/>
    <n v="2239297799"/>
    <x v="2"/>
    <n v="73040"/>
    <x v="2"/>
    <x v="0"/>
    <x v="57"/>
    <x v="2"/>
    <x v="0"/>
    <x v="0"/>
    <x v="2"/>
    <x v="0"/>
  </r>
  <r>
    <x v="0"/>
    <x v="0"/>
    <n v="2239297800"/>
    <x v="2"/>
    <n v="4950"/>
    <x v="2"/>
    <x v="0"/>
    <x v="57"/>
    <x v="2"/>
    <x v="0"/>
    <x v="0"/>
    <x v="2"/>
    <x v="0"/>
  </r>
  <r>
    <x v="0"/>
    <x v="0"/>
    <n v="2239297801"/>
    <x v="2"/>
    <n v="22880"/>
    <x v="2"/>
    <x v="0"/>
    <x v="57"/>
    <x v="2"/>
    <x v="0"/>
    <x v="0"/>
    <x v="2"/>
    <x v="0"/>
  </r>
  <r>
    <x v="0"/>
    <x v="0"/>
    <n v="2239297801"/>
    <x v="7"/>
    <n v="5200"/>
    <x v="2"/>
    <x v="0"/>
    <x v="57"/>
    <x v="7"/>
    <x v="0"/>
    <x v="0"/>
    <x v="1"/>
    <x v="0"/>
  </r>
  <r>
    <x v="0"/>
    <x v="0"/>
    <n v="2239297804"/>
    <x v="5"/>
    <n v="-5600"/>
    <x v="2"/>
    <x v="0"/>
    <x v="57"/>
    <x v="5"/>
    <x v="0"/>
    <x v="0"/>
    <x v="5"/>
    <x v="0"/>
  </r>
  <r>
    <x v="0"/>
    <x v="0"/>
    <n v="2239297804"/>
    <x v="4"/>
    <n v="10000"/>
    <x v="2"/>
    <x v="0"/>
    <x v="57"/>
    <x v="4"/>
    <x v="0"/>
    <x v="0"/>
    <x v="4"/>
    <x v="0"/>
  </r>
  <r>
    <x v="0"/>
    <x v="0"/>
    <n v="2239297805"/>
    <x v="2"/>
    <n v="6500"/>
    <x v="2"/>
    <x v="0"/>
    <x v="57"/>
    <x v="2"/>
    <x v="0"/>
    <x v="0"/>
    <x v="2"/>
    <x v="0"/>
  </r>
  <r>
    <x v="0"/>
    <x v="0"/>
    <n v="2239297806"/>
    <x v="2"/>
    <n v="7500"/>
    <x v="2"/>
    <x v="0"/>
    <x v="57"/>
    <x v="2"/>
    <x v="0"/>
    <x v="0"/>
    <x v="2"/>
    <x v="0"/>
  </r>
  <r>
    <x v="0"/>
    <x v="0"/>
    <n v="2239297807"/>
    <x v="2"/>
    <n v="18150"/>
    <x v="2"/>
    <x v="0"/>
    <x v="57"/>
    <x v="2"/>
    <x v="0"/>
    <x v="0"/>
    <x v="2"/>
    <x v="0"/>
  </r>
  <r>
    <x v="0"/>
    <x v="0"/>
    <n v="2239297808"/>
    <x v="2"/>
    <n v="4400"/>
    <x v="2"/>
    <x v="0"/>
    <x v="57"/>
    <x v="2"/>
    <x v="0"/>
    <x v="0"/>
    <x v="2"/>
    <x v="0"/>
  </r>
  <r>
    <x v="0"/>
    <x v="0"/>
    <n v="2239297810"/>
    <x v="5"/>
    <n v="-100"/>
    <x v="2"/>
    <x v="0"/>
    <x v="57"/>
    <x v="5"/>
    <x v="0"/>
    <x v="0"/>
    <x v="5"/>
    <x v="0"/>
  </r>
  <r>
    <x v="0"/>
    <x v="0"/>
    <n v="2239297810"/>
    <x v="6"/>
    <n v="10000"/>
    <x v="2"/>
    <x v="0"/>
    <x v="57"/>
    <x v="6"/>
    <x v="0"/>
    <x v="0"/>
    <x v="5"/>
    <x v="0"/>
  </r>
  <r>
    <x v="0"/>
    <x v="0"/>
    <n v="2239297812"/>
    <x v="2"/>
    <n v="6600"/>
    <x v="2"/>
    <x v="0"/>
    <x v="57"/>
    <x v="2"/>
    <x v="0"/>
    <x v="0"/>
    <x v="2"/>
    <x v="0"/>
  </r>
  <r>
    <x v="0"/>
    <x v="0"/>
    <n v="2239297814"/>
    <x v="5"/>
    <n v="-2000"/>
    <x v="2"/>
    <x v="0"/>
    <x v="57"/>
    <x v="5"/>
    <x v="0"/>
    <x v="0"/>
    <x v="5"/>
    <x v="0"/>
  </r>
  <r>
    <x v="0"/>
    <x v="0"/>
    <n v="2239297814"/>
    <x v="6"/>
    <n v="5000"/>
    <x v="2"/>
    <x v="0"/>
    <x v="57"/>
    <x v="6"/>
    <x v="0"/>
    <x v="0"/>
    <x v="5"/>
    <x v="0"/>
  </r>
  <r>
    <x v="0"/>
    <x v="0"/>
    <n v="2239297816"/>
    <x v="1"/>
    <n v="900"/>
    <x v="2"/>
    <x v="0"/>
    <x v="57"/>
    <x v="1"/>
    <x v="0"/>
    <x v="0"/>
    <x v="1"/>
    <x v="0"/>
  </r>
  <r>
    <x v="0"/>
    <x v="0"/>
    <n v="2239297817"/>
    <x v="3"/>
    <n v="6000"/>
    <x v="2"/>
    <x v="0"/>
    <x v="57"/>
    <x v="3"/>
    <x v="0"/>
    <x v="0"/>
    <x v="3"/>
    <x v="0"/>
  </r>
  <r>
    <x v="0"/>
    <x v="0"/>
    <n v="2239297818"/>
    <x v="2"/>
    <n v="36190"/>
    <x v="2"/>
    <x v="0"/>
    <x v="57"/>
    <x v="2"/>
    <x v="0"/>
    <x v="0"/>
    <x v="2"/>
    <x v="0"/>
  </r>
  <r>
    <x v="0"/>
    <x v="0"/>
    <n v="2239297819"/>
    <x v="2"/>
    <n v="12100"/>
    <x v="2"/>
    <x v="0"/>
    <x v="57"/>
    <x v="2"/>
    <x v="0"/>
    <x v="0"/>
    <x v="2"/>
    <x v="0"/>
  </r>
  <r>
    <x v="0"/>
    <x v="0"/>
    <n v="2239297820"/>
    <x v="2"/>
    <n v="18500"/>
    <x v="2"/>
    <x v="0"/>
    <x v="57"/>
    <x v="2"/>
    <x v="0"/>
    <x v="0"/>
    <x v="2"/>
    <x v="0"/>
  </r>
  <r>
    <x v="0"/>
    <x v="0"/>
    <n v="2239297821"/>
    <x v="3"/>
    <n v="4500"/>
    <x v="2"/>
    <x v="0"/>
    <x v="57"/>
    <x v="3"/>
    <x v="0"/>
    <x v="0"/>
    <x v="3"/>
    <x v="0"/>
  </r>
  <r>
    <x v="0"/>
    <x v="0"/>
    <n v="2239297822"/>
    <x v="2"/>
    <n v="74140"/>
    <x v="2"/>
    <x v="0"/>
    <x v="57"/>
    <x v="2"/>
    <x v="0"/>
    <x v="0"/>
    <x v="2"/>
    <x v="0"/>
  </r>
  <r>
    <x v="0"/>
    <x v="0"/>
    <n v="2239297823"/>
    <x v="2"/>
    <n v="10890"/>
    <x v="2"/>
    <x v="0"/>
    <x v="57"/>
    <x v="2"/>
    <x v="0"/>
    <x v="0"/>
    <x v="2"/>
    <x v="0"/>
  </r>
  <r>
    <x v="0"/>
    <x v="0"/>
    <n v="2239297825"/>
    <x v="3"/>
    <n v="21450"/>
    <x v="2"/>
    <x v="0"/>
    <x v="57"/>
    <x v="3"/>
    <x v="0"/>
    <x v="0"/>
    <x v="3"/>
    <x v="0"/>
  </r>
  <r>
    <x v="0"/>
    <x v="0"/>
    <n v="2239297826"/>
    <x v="2"/>
    <n v="13750"/>
    <x v="2"/>
    <x v="0"/>
    <x v="57"/>
    <x v="2"/>
    <x v="0"/>
    <x v="0"/>
    <x v="2"/>
    <x v="0"/>
  </r>
  <r>
    <x v="0"/>
    <x v="0"/>
    <n v="2239297827"/>
    <x v="2"/>
    <n v="13000"/>
    <x v="2"/>
    <x v="0"/>
    <x v="57"/>
    <x v="2"/>
    <x v="0"/>
    <x v="0"/>
    <x v="2"/>
    <x v="0"/>
  </r>
  <r>
    <x v="0"/>
    <x v="0"/>
    <n v="2239297828"/>
    <x v="5"/>
    <n v="-3500"/>
    <x v="2"/>
    <x v="0"/>
    <x v="57"/>
    <x v="5"/>
    <x v="0"/>
    <x v="0"/>
    <x v="5"/>
    <x v="0"/>
  </r>
  <r>
    <x v="0"/>
    <x v="0"/>
    <n v="2239297828"/>
    <x v="6"/>
    <n v="10000"/>
    <x v="2"/>
    <x v="0"/>
    <x v="57"/>
    <x v="6"/>
    <x v="0"/>
    <x v="0"/>
    <x v="5"/>
    <x v="0"/>
  </r>
  <r>
    <x v="0"/>
    <x v="0"/>
    <n v="2239297829"/>
    <x v="2"/>
    <n v="32340"/>
    <x v="2"/>
    <x v="0"/>
    <x v="57"/>
    <x v="2"/>
    <x v="0"/>
    <x v="0"/>
    <x v="2"/>
    <x v="0"/>
  </r>
  <r>
    <x v="0"/>
    <x v="0"/>
    <n v="2239297830"/>
    <x v="2"/>
    <n v="5500"/>
    <x v="2"/>
    <x v="0"/>
    <x v="57"/>
    <x v="2"/>
    <x v="0"/>
    <x v="0"/>
    <x v="2"/>
    <x v="0"/>
  </r>
  <r>
    <x v="0"/>
    <x v="0"/>
    <n v="2239297833"/>
    <x v="2"/>
    <n v="7500"/>
    <x v="2"/>
    <x v="0"/>
    <x v="57"/>
    <x v="2"/>
    <x v="0"/>
    <x v="0"/>
    <x v="2"/>
    <x v="0"/>
  </r>
  <r>
    <x v="0"/>
    <x v="0"/>
    <n v="2239297834"/>
    <x v="2"/>
    <n v="15400"/>
    <x v="2"/>
    <x v="0"/>
    <x v="57"/>
    <x v="2"/>
    <x v="0"/>
    <x v="0"/>
    <x v="2"/>
    <x v="0"/>
  </r>
  <r>
    <x v="0"/>
    <x v="0"/>
    <n v="2239297835"/>
    <x v="2"/>
    <n v="64240"/>
    <x v="2"/>
    <x v="0"/>
    <x v="57"/>
    <x v="2"/>
    <x v="0"/>
    <x v="0"/>
    <x v="2"/>
    <x v="0"/>
  </r>
  <r>
    <x v="0"/>
    <x v="0"/>
    <n v="2239297836"/>
    <x v="5"/>
    <n v="-600"/>
    <x v="2"/>
    <x v="0"/>
    <x v="57"/>
    <x v="5"/>
    <x v="0"/>
    <x v="0"/>
    <x v="5"/>
    <x v="0"/>
  </r>
  <r>
    <x v="0"/>
    <x v="0"/>
    <n v="2239297836"/>
    <x v="4"/>
    <n v="5000"/>
    <x v="2"/>
    <x v="0"/>
    <x v="57"/>
    <x v="4"/>
    <x v="0"/>
    <x v="0"/>
    <x v="4"/>
    <x v="0"/>
  </r>
  <r>
    <x v="0"/>
    <x v="0"/>
    <n v="2239297839"/>
    <x v="2"/>
    <n v="9000"/>
    <x v="2"/>
    <x v="0"/>
    <x v="57"/>
    <x v="2"/>
    <x v="0"/>
    <x v="0"/>
    <x v="2"/>
    <x v="0"/>
  </r>
  <r>
    <x v="0"/>
    <x v="0"/>
    <n v="2239297840"/>
    <x v="6"/>
    <n v="5000"/>
    <x v="2"/>
    <x v="0"/>
    <x v="57"/>
    <x v="6"/>
    <x v="0"/>
    <x v="0"/>
    <x v="5"/>
    <x v="0"/>
  </r>
  <r>
    <x v="0"/>
    <x v="0"/>
    <n v="2239297841"/>
    <x v="5"/>
    <n v="-4000"/>
    <x v="2"/>
    <x v="0"/>
    <x v="57"/>
    <x v="5"/>
    <x v="0"/>
    <x v="0"/>
    <x v="5"/>
    <x v="0"/>
  </r>
  <r>
    <x v="0"/>
    <x v="0"/>
    <n v="2239297841"/>
    <x v="6"/>
    <n v="10000"/>
    <x v="2"/>
    <x v="0"/>
    <x v="57"/>
    <x v="6"/>
    <x v="0"/>
    <x v="0"/>
    <x v="5"/>
    <x v="0"/>
  </r>
  <r>
    <x v="0"/>
    <x v="0"/>
    <n v="2239297842"/>
    <x v="2"/>
    <n v="7500"/>
    <x v="2"/>
    <x v="0"/>
    <x v="57"/>
    <x v="2"/>
    <x v="0"/>
    <x v="0"/>
    <x v="2"/>
    <x v="0"/>
  </r>
  <r>
    <x v="0"/>
    <x v="0"/>
    <n v="2239297843"/>
    <x v="5"/>
    <n v="-100"/>
    <x v="2"/>
    <x v="0"/>
    <x v="57"/>
    <x v="5"/>
    <x v="0"/>
    <x v="0"/>
    <x v="5"/>
    <x v="0"/>
  </r>
  <r>
    <x v="0"/>
    <x v="0"/>
    <n v="2239297843"/>
    <x v="6"/>
    <n v="22000"/>
    <x v="2"/>
    <x v="0"/>
    <x v="57"/>
    <x v="6"/>
    <x v="0"/>
    <x v="0"/>
    <x v="5"/>
    <x v="0"/>
  </r>
  <r>
    <x v="0"/>
    <x v="0"/>
    <n v="2239297844"/>
    <x v="5"/>
    <n v="-5000"/>
    <x v="2"/>
    <x v="0"/>
    <x v="57"/>
    <x v="5"/>
    <x v="0"/>
    <x v="0"/>
    <x v="5"/>
    <x v="0"/>
  </r>
  <r>
    <x v="0"/>
    <x v="0"/>
    <n v="2239297844"/>
    <x v="4"/>
    <n v="10000"/>
    <x v="2"/>
    <x v="0"/>
    <x v="57"/>
    <x v="4"/>
    <x v="0"/>
    <x v="0"/>
    <x v="4"/>
    <x v="0"/>
  </r>
  <r>
    <x v="0"/>
    <x v="0"/>
    <n v="2239297845"/>
    <x v="3"/>
    <n v="16500"/>
    <x v="2"/>
    <x v="0"/>
    <x v="57"/>
    <x v="3"/>
    <x v="0"/>
    <x v="0"/>
    <x v="3"/>
    <x v="0"/>
  </r>
  <r>
    <x v="0"/>
    <x v="0"/>
    <n v="2239297846"/>
    <x v="2"/>
    <n v="8000"/>
    <x v="2"/>
    <x v="0"/>
    <x v="57"/>
    <x v="2"/>
    <x v="0"/>
    <x v="0"/>
    <x v="2"/>
    <x v="0"/>
  </r>
  <r>
    <x v="0"/>
    <x v="0"/>
    <n v="2239297847"/>
    <x v="5"/>
    <n v="-100"/>
    <x v="2"/>
    <x v="0"/>
    <x v="57"/>
    <x v="5"/>
    <x v="0"/>
    <x v="0"/>
    <x v="5"/>
    <x v="0"/>
  </r>
  <r>
    <x v="0"/>
    <x v="0"/>
    <n v="2239297847"/>
    <x v="6"/>
    <n v="10000"/>
    <x v="2"/>
    <x v="0"/>
    <x v="57"/>
    <x v="6"/>
    <x v="0"/>
    <x v="0"/>
    <x v="5"/>
    <x v="0"/>
  </r>
  <r>
    <x v="0"/>
    <x v="0"/>
    <n v="2239297848"/>
    <x v="5"/>
    <n v="-2500"/>
    <x v="2"/>
    <x v="0"/>
    <x v="57"/>
    <x v="5"/>
    <x v="0"/>
    <x v="0"/>
    <x v="5"/>
    <x v="0"/>
  </r>
  <r>
    <x v="0"/>
    <x v="0"/>
    <n v="2239297848"/>
    <x v="6"/>
    <n v="10000"/>
    <x v="2"/>
    <x v="0"/>
    <x v="57"/>
    <x v="6"/>
    <x v="0"/>
    <x v="0"/>
    <x v="5"/>
    <x v="0"/>
  </r>
  <r>
    <x v="0"/>
    <x v="0"/>
    <n v="2239297849"/>
    <x v="6"/>
    <n v="9000"/>
    <x v="2"/>
    <x v="0"/>
    <x v="57"/>
    <x v="6"/>
    <x v="0"/>
    <x v="0"/>
    <x v="5"/>
    <x v="0"/>
  </r>
  <r>
    <x v="0"/>
    <x v="0"/>
    <n v="2239297850"/>
    <x v="1"/>
    <n v="5670"/>
    <x v="2"/>
    <x v="0"/>
    <x v="57"/>
    <x v="1"/>
    <x v="0"/>
    <x v="0"/>
    <x v="1"/>
    <x v="0"/>
  </r>
  <r>
    <x v="0"/>
    <x v="0"/>
    <n v="2239297851"/>
    <x v="2"/>
    <n v="19140"/>
    <x v="2"/>
    <x v="0"/>
    <x v="57"/>
    <x v="2"/>
    <x v="0"/>
    <x v="0"/>
    <x v="2"/>
    <x v="0"/>
  </r>
  <r>
    <x v="0"/>
    <x v="0"/>
    <n v="2239297852"/>
    <x v="6"/>
    <n v="5000"/>
    <x v="2"/>
    <x v="0"/>
    <x v="57"/>
    <x v="6"/>
    <x v="0"/>
    <x v="0"/>
    <x v="5"/>
    <x v="0"/>
  </r>
  <r>
    <x v="0"/>
    <x v="0"/>
    <n v="2239297853"/>
    <x v="2"/>
    <n v="25000"/>
    <x v="2"/>
    <x v="0"/>
    <x v="57"/>
    <x v="2"/>
    <x v="0"/>
    <x v="0"/>
    <x v="2"/>
    <x v="0"/>
  </r>
  <r>
    <x v="0"/>
    <x v="0"/>
    <n v="2239297854"/>
    <x v="2"/>
    <n v="4500"/>
    <x v="2"/>
    <x v="0"/>
    <x v="57"/>
    <x v="2"/>
    <x v="0"/>
    <x v="0"/>
    <x v="2"/>
    <x v="0"/>
  </r>
  <r>
    <x v="0"/>
    <x v="0"/>
    <n v="2239297856"/>
    <x v="5"/>
    <n v="-8500"/>
    <x v="2"/>
    <x v="0"/>
    <x v="57"/>
    <x v="5"/>
    <x v="0"/>
    <x v="0"/>
    <x v="5"/>
    <x v="0"/>
  </r>
  <r>
    <x v="0"/>
    <x v="0"/>
    <n v="2239297856"/>
    <x v="6"/>
    <n v="20000"/>
    <x v="2"/>
    <x v="0"/>
    <x v="57"/>
    <x v="6"/>
    <x v="0"/>
    <x v="0"/>
    <x v="5"/>
    <x v="0"/>
  </r>
  <r>
    <x v="0"/>
    <x v="0"/>
    <n v="2239297857"/>
    <x v="5"/>
    <n v="-7100"/>
    <x v="2"/>
    <x v="0"/>
    <x v="57"/>
    <x v="5"/>
    <x v="0"/>
    <x v="0"/>
    <x v="5"/>
    <x v="0"/>
  </r>
  <r>
    <x v="0"/>
    <x v="0"/>
    <n v="2239297857"/>
    <x v="6"/>
    <n v="55000"/>
    <x v="2"/>
    <x v="0"/>
    <x v="57"/>
    <x v="6"/>
    <x v="0"/>
    <x v="0"/>
    <x v="5"/>
    <x v="0"/>
  </r>
  <r>
    <x v="0"/>
    <x v="0"/>
    <n v="2239297858"/>
    <x v="2"/>
    <n v="6500"/>
    <x v="2"/>
    <x v="0"/>
    <x v="57"/>
    <x v="2"/>
    <x v="0"/>
    <x v="0"/>
    <x v="2"/>
    <x v="0"/>
  </r>
  <r>
    <x v="0"/>
    <x v="0"/>
    <n v="2239297859"/>
    <x v="2"/>
    <n v="4000"/>
    <x v="2"/>
    <x v="0"/>
    <x v="57"/>
    <x v="2"/>
    <x v="0"/>
    <x v="0"/>
    <x v="2"/>
    <x v="0"/>
  </r>
  <r>
    <x v="0"/>
    <x v="0"/>
    <n v="2239297860"/>
    <x v="3"/>
    <n v="29150"/>
    <x v="2"/>
    <x v="0"/>
    <x v="57"/>
    <x v="3"/>
    <x v="0"/>
    <x v="0"/>
    <x v="3"/>
    <x v="0"/>
  </r>
  <r>
    <x v="0"/>
    <x v="0"/>
    <n v="2239297861"/>
    <x v="2"/>
    <n v="8000"/>
    <x v="2"/>
    <x v="0"/>
    <x v="57"/>
    <x v="2"/>
    <x v="0"/>
    <x v="0"/>
    <x v="2"/>
    <x v="0"/>
  </r>
  <r>
    <x v="0"/>
    <x v="0"/>
    <n v="2239297862"/>
    <x v="2"/>
    <n v="20790"/>
    <x v="2"/>
    <x v="0"/>
    <x v="57"/>
    <x v="2"/>
    <x v="0"/>
    <x v="0"/>
    <x v="2"/>
    <x v="0"/>
  </r>
  <r>
    <x v="0"/>
    <x v="0"/>
    <n v="2239297863"/>
    <x v="2"/>
    <n v="7000"/>
    <x v="2"/>
    <x v="0"/>
    <x v="57"/>
    <x v="2"/>
    <x v="0"/>
    <x v="0"/>
    <x v="2"/>
    <x v="0"/>
  </r>
  <r>
    <x v="0"/>
    <x v="0"/>
    <n v="2239297864"/>
    <x v="2"/>
    <n v="13200"/>
    <x v="2"/>
    <x v="0"/>
    <x v="57"/>
    <x v="2"/>
    <x v="0"/>
    <x v="0"/>
    <x v="2"/>
    <x v="0"/>
  </r>
  <r>
    <x v="0"/>
    <x v="0"/>
    <n v="2239297865"/>
    <x v="2"/>
    <n v="11000"/>
    <x v="2"/>
    <x v="0"/>
    <x v="57"/>
    <x v="2"/>
    <x v="0"/>
    <x v="0"/>
    <x v="2"/>
    <x v="0"/>
  </r>
  <r>
    <x v="0"/>
    <x v="0"/>
    <n v="2239297866"/>
    <x v="5"/>
    <n v="-6800"/>
    <x v="2"/>
    <x v="0"/>
    <x v="57"/>
    <x v="5"/>
    <x v="0"/>
    <x v="0"/>
    <x v="5"/>
    <x v="0"/>
  </r>
  <r>
    <x v="0"/>
    <x v="0"/>
    <n v="2239297866"/>
    <x v="6"/>
    <n v="10000"/>
    <x v="2"/>
    <x v="0"/>
    <x v="57"/>
    <x v="6"/>
    <x v="0"/>
    <x v="0"/>
    <x v="5"/>
    <x v="0"/>
  </r>
  <r>
    <x v="0"/>
    <x v="0"/>
    <n v="2239297867"/>
    <x v="3"/>
    <n v="7150"/>
    <x v="2"/>
    <x v="0"/>
    <x v="57"/>
    <x v="3"/>
    <x v="0"/>
    <x v="0"/>
    <x v="3"/>
    <x v="0"/>
  </r>
  <r>
    <x v="0"/>
    <x v="0"/>
    <n v="2239297868"/>
    <x v="2"/>
    <n v="13000"/>
    <x v="2"/>
    <x v="0"/>
    <x v="57"/>
    <x v="2"/>
    <x v="0"/>
    <x v="0"/>
    <x v="2"/>
    <x v="0"/>
  </r>
  <r>
    <x v="0"/>
    <x v="0"/>
    <n v="2239297869"/>
    <x v="8"/>
    <n v="14300"/>
    <x v="2"/>
    <x v="0"/>
    <x v="57"/>
    <x v="8"/>
    <x v="0"/>
    <x v="0"/>
    <x v="3"/>
    <x v="0"/>
  </r>
  <r>
    <x v="0"/>
    <x v="0"/>
    <n v="2239297870"/>
    <x v="2"/>
    <n v="8250"/>
    <x v="2"/>
    <x v="0"/>
    <x v="57"/>
    <x v="2"/>
    <x v="0"/>
    <x v="0"/>
    <x v="2"/>
    <x v="0"/>
  </r>
  <r>
    <x v="0"/>
    <x v="0"/>
    <n v="2239297871"/>
    <x v="5"/>
    <n v="-13500"/>
    <x v="2"/>
    <x v="0"/>
    <x v="57"/>
    <x v="5"/>
    <x v="0"/>
    <x v="0"/>
    <x v="5"/>
    <x v="0"/>
  </r>
  <r>
    <x v="0"/>
    <x v="0"/>
    <n v="2239297871"/>
    <x v="6"/>
    <n v="20000"/>
    <x v="2"/>
    <x v="0"/>
    <x v="57"/>
    <x v="6"/>
    <x v="0"/>
    <x v="0"/>
    <x v="5"/>
    <x v="0"/>
  </r>
  <r>
    <x v="0"/>
    <x v="0"/>
    <n v="2239297872"/>
    <x v="5"/>
    <n v="-2000"/>
    <x v="2"/>
    <x v="0"/>
    <x v="57"/>
    <x v="5"/>
    <x v="0"/>
    <x v="0"/>
    <x v="5"/>
    <x v="0"/>
  </r>
  <r>
    <x v="0"/>
    <x v="0"/>
    <n v="2239297872"/>
    <x v="6"/>
    <n v="5000"/>
    <x v="2"/>
    <x v="0"/>
    <x v="57"/>
    <x v="6"/>
    <x v="0"/>
    <x v="0"/>
    <x v="5"/>
    <x v="0"/>
  </r>
  <r>
    <x v="0"/>
    <x v="0"/>
    <n v="2239297873"/>
    <x v="2"/>
    <n v="7500"/>
    <x v="2"/>
    <x v="0"/>
    <x v="57"/>
    <x v="2"/>
    <x v="0"/>
    <x v="0"/>
    <x v="2"/>
    <x v="0"/>
  </r>
  <r>
    <x v="0"/>
    <x v="0"/>
    <n v="2239297874"/>
    <x v="3"/>
    <n v="16500"/>
    <x v="2"/>
    <x v="0"/>
    <x v="57"/>
    <x v="3"/>
    <x v="0"/>
    <x v="0"/>
    <x v="3"/>
    <x v="0"/>
  </r>
  <r>
    <x v="0"/>
    <x v="0"/>
    <n v="2239297875"/>
    <x v="2"/>
    <n v="33000"/>
    <x v="2"/>
    <x v="0"/>
    <x v="57"/>
    <x v="2"/>
    <x v="0"/>
    <x v="0"/>
    <x v="2"/>
    <x v="0"/>
  </r>
  <r>
    <x v="0"/>
    <x v="0"/>
    <n v="2239297876"/>
    <x v="2"/>
    <n v="19000"/>
    <x v="2"/>
    <x v="0"/>
    <x v="57"/>
    <x v="2"/>
    <x v="0"/>
    <x v="0"/>
    <x v="2"/>
    <x v="0"/>
  </r>
  <r>
    <x v="0"/>
    <x v="0"/>
    <n v="2239297878"/>
    <x v="2"/>
    <n v="14520"/>
    <x v="2"/>
    <x v="0"/>
    <x v="57"/>
    <x v="2"/>
    <x v="0"/>
    <x v="0"/>
    <x v="2"/>
    <x v="0"/>
  </r>
  <r>
    <x v="0"/>
    <x v="0"/>
    <n v="2239297879"/>
    <x v="3"/>
    <n v="14300"/>
    <x v="2"/>
    <x v="0"/>
    <x v="57"/>
    <x v="3"/>
    <x v="0"/>
    <x v="0"/>
    <x v="3"/>
    <x v="0"/>
  </r>
  <r>
    <x v="0"/>
    <x v="0"/>
    <n v="2239297880"/>
    <x v="2"/>
    <n v="7150"/>
    <x v="2"/>
    <x v="0"/>
    <x v="57"/>
    <x v="2"/>
    <x v="0"/>
    <x v="0"/>
    <x v="2"/>
    <x v="0"/>
  </r>
  <r>
    <x v="0"/>
    <x v="0"/>
    <n v="2239297882"/>
    <x v="2"/>
    <n v="10560"/>
    <x v="2"/>
    <x v="0"/>
    <x v="57"/>
    <x v="2"/>
    <x v="0"/>
    <x v="0"/>
    <x v="2"/>
    <x v="0"/>
  </r>
  <r>
    <x v="0"/>
    <x v="0"/>
    <n v="2239297883"/>
    <x v="2"/>
    <n v="9500"/>
    <x v="2"/>
    <x v="0"/>
    <x v="57"/>
    <x v="2"/>
    <x v="0"/>
    <x v="0"/>
    <x v="2"/>
    <x v="0"/>
  </r>
  <r>
    <x v="0"/>
    <x v="0"/>
    <n v="2239297884"/>
    <x v="2"/>
    <n v="20900"/>
    <x v="2"/>
    <x v="0"/>
    <x v="57"/>
    <x v="2"/>
    <x v="0"/>
    <x v="0"/>
    <x v="2"/>
    <x v="0"/>
  </r>
  <r>
    <x v="0"/>
    <x v="0"/>
    <n v="2239297885"/>
    <x v="5"/>
    <n v="-1500"/>
    <x v="2"/>
    <x v="0"/>
    <x v="57"/>
    <x v="5"/>
    <x v="0"/>
    <x v="0"/>
    <x v="5"/>
    <x v="0"/>
  </r>
  <r>
    <x v="0"/>
    <x v="0"/>
    <n v="2239297885"/>
    <x v="6"/>
    <n v="5000"/>
    <x v="2"/>
    <x v="0"/>
    <x v="57"/>
    <x v="6"/>
    <x v="0"/>
    <x v="0"/>
    <x v="5"/>
    <x v="0"/>
  </r>
  <r>
    <x v="0"/>
    <x v="0"/>
    <n v="2239297886"/>
    <x v="5"/>
    <n v="-3500"/>
    <x v="2"/>
    <x v="0"/>
    <x v="57"/>
    <x v="5"/>
    <x v="0"/>
    <x v="0"/>
    <x v="5"/>
    <x v="0"/>
  </r>
  <r>
    <x v="0"/>
    <x v="0"/>
    <n v="2239297886"/>
    <x v="6"/>
    <n v="15000"/>
    <x v="2"/>
    <x v="0"/>
    <x v="57"/>
    <x v="6"/>
    <x v="0"/>
    <x v="0"/>
    <x v="5"/>
    <x v="0"/>
  </r>
  <r>
    <x v="0"/>
    <x v="0"/>
    <n v="2239297887"/>
    <x v="2"/>
    <n v="16000"/>
    <x v="2"/>
    <x v="0"/>
    <x v="57"/>
    <x v="2"/>
    <x v="0"/>
    <x v="0"/>
    <x v="2"/>
    <x v="0"/>
  </r>
  <r>
    <x v="0"/>
    <x v="0"/>
    <n v="2239297888"/>
    <x v="2"/>
    <n v="15800"/>
    <x v="2"/>
    <x v="0"/>
    <x v="57"/>
    <x v="2"/>
    <x v="0"/>
    <x v="0"/>
    <x v="2"/>
    <x v="0"/>
  </r>
  <r>
    <x v="0"/>
    <x v="0"/>
    <n v="2239297889"/>
    <x v="2"/>
    <n v="12500"/>
    <x v="2"/>
    <x v="0"/>
    <x v="57"/>
    <x v="2"/>
    <x v="0"/>
    <x v="0"/>
    <x v="2"/>
    <x v="0"/>
  </r>
  <r>
    <x v="0"/>
    <x v="0"/>
    <n v="2239297890"/>
    <x v="5"/>
    <n v="-2500"/>
    <x v="2"/>
    <x v="0"/>
    <x v="57"/>
    <x v="5"/>
    <x v="0"/>
    <x v="0"/>
    <x v="5"/>
    <x v="0"/>
  </r>
  <r>
    <x v="0"/>
    <x v="0"/>
    <n v="2239297890"/>
    <x v="6"/>
    <n v="10000"/>
    <x v="2"/>
    <x v="0"/>
    <x v="57"/>
    <x v="6"/>
    <x v="0"/>
    <x v="0"/>
    <x v="5"/>
    <x v="0"/>
  </r>
  <r>
    <x v="0"/>
    <x v="0"/>
    <n v="2239297891"/>
    <x v="3"/>
    <n v="19250"/>
    <x v="2"/>
    <x v="0"/>
    <x v="57"/>
    <x v="3"/>
    <x v="0"/>
    <x v="0"/>
    <x v="3"/>
    <x v="0"/>
  </r>
  <r>
    <x v="0"/>
    <x v="0"/>
    <n v="2239297892"/>
    <x v="2"/>
    <n v="13000"/>
    <x v="2"/>
    <x v="0"/>
    <x v="57"/>
    <x v="2"/>
    <x v="0"/>
    <x v="0"/>
    <x v="2"/>
    <x v="0"/>
  </r>
  <r>
    <x v="0"/>
    <x v="0"/>
    <n v="2239297893"/>
    <x v="3"/>
    <n v="7150"/>
    <x v="2"/>
    <x v="0"/>
    <x v="57"/>
    <x v="3"/>
    <x v="0"/>
    <x v="0"/>
    <x v="3"/>
    <x v="0"/>
  </r>
  <r>
    <x v="0"/>
    <x v="0"/>
    <n v="2239297895"/>
    <x v="2"/>
    <n v="13000"/>
    <x v="2"/>
    <x v="0"/>
    <x v="57"/>
    <x v="2"/>
    <x v="0"/>
    <x v="0"/>
    <x v="2"/>
    <x v="0"/>
  </r>
  <r>
    <x v="0"/>
    <x v="0"/>
    <n v="2239297896"/>
    <x v="5"/>
    <n v="-2500"/>
    <x v="2"/>
    <x v="0"/>
    <x v="57"/>
    <x v="5"/>
    <x v="0"/>
    <x v="0"/>
    <x v="5"/>
    <x v="0"/>
  </r>
  <r>
    <x v="0"/>
    <x v="0"/>
    <n v="2239297896"/>
    <x v="6"/>
    <n v="10000"/>
    <x v="2"/>
    <x v="0"/>
    <x v="57"/>
    <x v="6"/>
    <x v="0"/>
    <x v="0"/>
    <x v="5"/>
    <x v="0"/>
  </r>
  <r>
    <x v="0"/>
    <x v="0"/>
    <n v="2239297897"/>
    <x v="2"/>
    <n v="13000"/>
    <x v="2"/>
    <x v="0"/>
    <x v="57"/>
    <x v="2"/>
    <x v="0"/>
    <x v="0"/>
    <x v="2"/>
    <x v="0"/>
  </r>
  <r>
    <x v="0"/>
    <x v="0"/>
    <n v="2239297898"/>
    <x v="2"/>
    <n v="7150"/>
    <x v="2"/>
    <x v="0"/>
    <x v="57"/>
    <x v="2"/>
    <x v="0"/>
    <x v="0"/>
    <x v="2"/>
    <x v="0"/>
  </r>
  <r>
    <x v="0"/>
    <x v="0"/>
    <n v="2239297899"/>
    <x v="5"/>
    <n v="-1780"/>
    <x v="2"/>
    <x v="0"/>
    <x v="57"/>
    <x v="5"/>
    <x v="0"/>
    <x v="0"/>
    <x v="5"/>
    <x v="0"/>
  </r>
  <r>
    <x v="0"/>
    <x v="0"/>
    <n v="2239297899"/>
    <x v="6"/>
    <n v="10000"/>
    <x v="2"/>
    <x v="0"/>
    <x v="57"/>
    <x v="6"/>
    <x v="0"/>
    <x v="0"/>
    <x v="5"/>
    <x v="0"/>
  </r>
  <r>
    <x v="0"/>
    <x v="0"/>
    <n v="2239297899"/>
    <x v="7"/>
    <n v="3960"/>
    <x v="2"/>
    <x v="0"/>
    <x v="57"/>
    <x v="7"/>
    <x v="0"/>
    <x v="0"/>
    <x v="1"/>
    <x v="0"/>
  </r>
  <r>
    <x v="0"/>
    <x v="0"/>
    <n v="2239297900"/>
    <x v="5"/>
    <n v="-3000"/>
    <x v="2"/>
    <x v="0"/>
    <x v="57"/>
    <x v="5"/>
    <x v="0"/>
    <x v="0"/>
    <x v="5"/>
    <x v="0"/>
  </r>
  <r>
    <x v="0"/>
    <x v="0"/>
    <n v="2239297900"/>
    <x v="6"/>
    <n v="5000"/>
    <x v="2"/>
    <x v="0"/>
    <x v="57"/>
    <x v="6"/>
    <x v="0"/>
    <x v="0"/>
    <x v="5"/>
    <x v="0"/>
  </r>
  <r>
    <x v="0"/>
    <x v="0"/>
    <n v="2239297902"/>
    <x v="6"/>
    <n v="20400"/>
    <x v="2"/>
    <x v="0"/>
    <x v="57"/>
    <x v="6"/>
    <x v="0"/>
    <x v="0"/>
    <x v="5"/>
    <x v="0"/>
  </r>
  <r>
    <x v="0"/>
    <x v="0"/>
    <n v="2239297903"/>
    <x v="6"/>
    <n v="15200"/>
    <x v="2"/>
    <x v="0"/>
    <x v="57"/>
    <x v="6"/>
    <x v="0"/>
    <x v="0"/>
    <x v="5"/>
    <x v="0"/>
  </r>
  <r>
    <x v="0"/>
    <x v="0"/>
    <n v="2239297904"/>
    <x v="2"/>
    <n v="19000"/>
    <x v="2"/>
    <x v="0"/>
    <x v="57"/>
    <x v="2"/>
    <x v="0"/>
    <x v="0"/>
    <x v="2"/>
    <x v="0"/>
  </r>
  <r>
    <x v="0"/>
    <x v="0"/>
    <n v="2239297905"/>
    <x v="3"/>
    <n v="5200"/>
    <x v="2"/>
    <x v="0"/>
    <x v="57"/>
    <x v="3"/>
    <x v="0"/>
    <x v="0"/>
    <x v="3"/>
    <x v="0"/>
  </r>
  <r>
    <x v="0"/>
    <x v="0"/>
    <n v="2239297906"/>
    <x v="2"/>
    <n v="3000"/>
    <x v="2"/>
    <x v="0"/>
    <x v="57"/>
    <x v="2"/>
    <x v="0"/>
    <x v="0"/>
    <x v="2"/>
    <x v="0"/>
  </r>
  <r>
    <x v="0"/>
    <x v="0"/>
    <n v="2239297907"/>
    <x v="3"/>
    <n v="14300"/>
    <x v="2"/>
    <x v="0"/>
    <x v="57"/>
    <x v="3"/>
    <x v="0"/>
    <x v="0"/>
    <x v="3"/>
    <x v="0"/>
  </r>
  <r>
    <x v="0"/>
    <x v="0"/>
    <n v="2239297908"/>
    <x v="2"/>
    <n v="13750"/>
    <x v="2"/>
    <x v="0"/>
    <x v="57"/>
    <x v="2"/>
    <x v="0"/>
    <x v="0"/>
    <x v="2"/>
    <x v="0"/>
  </r>
  <r>
    <x v="0"/>
    <x v="0"/>
    <n v="2239297909"/>
    <x v="2"/>
    <n v="30690"/>
    <x v="2"/>
    <x v="0"/>
    <x v="57"/>
    <x v="2"/>
    <x v="0"/>
    <x v="0"/>
    <x v="2"/>
    <x v="0"/>
  </r>
  <r>
    <x v="0"/>
    <x v="0"/>
    <n v="2239297910"/>
    <x v="3"/>
    <n v="22000"/>
    <x v="2"/>
    <x v="0"/>
    <x v="57"/>
    <x v="3"/>
    <x v="0"/>
    <x v="0"/>
    <x v="3"/>
    <x v="0"/>
  </r>
  <r>
    <x v="0"/>
    <x v="0"/>
    <n v="2239297911"/>
    <x v="5"/>
    <n v="-500"/>
    <x v="2"/>
    <x v="0"/>
    <x v="57"/>
    <x v="5"/>
    <x v="0"/>
    <x v="0"/>
    <x v="5"/>
    <x v="0"/>
  </r>
  <r>
    <x v="0"/>
    <x v="0"/>
    <n v="2239297911"/>
    <x v="6"/>
    <n v="6000"/>
    <x v="2"/>
    <x v="0"/>
    <x v="57"/>
    <x v="6"/>
    <x v="0"/>
    <x v="0"/>
    <x v="5"/>
    <x v="0"/>
  </r>
  <r>
    <x v="0"/>
    <x v="0"/>
    <n v="2239297912"/>
    <x v="2"/>
    <n v="12500"/>
    <x v="2"/>
    <x v="0"/>
    <x v="57"/>
    <x v="2"/>
    <x v="0"/>
    <x v="0"/>
    <x v="2"/>
    <x v="0"/>
  </r>
  <r>
    <x v="0"/>
    <x v="0"/>
    <n v="2239297913"/>
    <x v="1"/>
    <n v="44450"/>
    <x v="2"/>
    <x v="0"/>
    <x v="57"/>
    <x v="1"/>
    <x v="0"/>
    <x v="0"/>
    <x v="1"/>
    <x v="0"/>
  </r>
  <r>
    <x v="0"/>
    <x v="0"/>
    <n v="2239297914"/>
    <x v="2"/>
    <n v="14300"/>
    <x v="2"/>
    <x v="0"/>
    <x v="57"/>
    <x v="2"/>
    <x v="0"/>
    <x v="0"/>
    <x v="2"/>
    <x v="0"/>
  </r>
  <r>
    <x v="0"/>
    <x v="0"/>
    <n v="2239297915"/>
    <x v="5"/>
    <n v="-8500"/>
    <x v="2"/>
    <x v="0"/>
    <x v="57"/>
    <x v="5"/>
    <x v="0"/>
    <x v="0"/>
    <x v="5"/>
    <x v="0"/>
  </r>
  <r>
    <x v="0"/>
    <x v="0"/>
    <n v="2239297915"/>
    <x v="6"/>
    <n v="20000"/>
    <x v="2"/>
    <x v="0"/>
    <x v="57"/>
    <x v="6"/>
    <x v="0"/>
    <x v="0"/>
    <x v="5"/>
    <x v="0"/>
  </r>
  <r>
    <x v="0"/>
    <x v="0"/>
    <n v="2239297916"/>
    <x v="5"/>
    <n v="-3500"/>
    <x v="2"/>
    <x v="0"/>
    <x v="57"/>
    <x v="5"/>
    <x v="0"/>
    <x v="0"/>
    <x v="5"/>
    <x v="0"/>
  </r>
  <r>
    <x v="0"/>
    <x v="0"/>
    <n v="2239297916"/>
    <x v="6"/>
    <n v="10000"/>
    <x v="2"/>
    <x v="0"/>
    <x v="57"/>
    <x v="6"/>
    <x v="0"/>
    <x v="0"/>
    <x v="5"/>
    <x v="0"/>
  </r>
  <r>
    <x v="0"/>
    <x v="0"/>
    <n v="2239297917"/>
    <x v="2"/>
    <n v="14850"/>
    <x v="2"/>
    <x v="0"/>
    <x v="57"/>
    <x v="2"/>
    <x v="0"/>
    <x v="0"/>
    <x v="2"/>
    <x v="0"/>
  </r>
  <r>
    <x v="0"/>
    <x v="0"/>
    <n v="2239297918"/>
    <x v="5"/>
    <n v="-500"/>
    <x v="2"/>
    <x v="0"/>
    <x v="57"/>
    <x v="5"/>
    <x v="0"/>
    <x v="0"/>
    <x v="5"/>
    <x v="0"/>
  </r>
  <r>
    <x v="0"/>
    <x v="0"/>
    <n v="2239297918"/>
    <x v="6"/>
    <n v="5000"/>
    <x v="2"/>
    <x v="0"/>
    <x v="57"/>
    <x v="6"/>
    <x v="0"/>
    <x v="0"/>
    <x v="5"/>
    <x v="0"/>
  </r>
  <r>
    <x v="0"/>
    <x v="0"/>
    <n v="2239297919"/>
    <x v="2"/>
    <n v="20900"/>
    <x v="2"/>
    <x v="0"/>
    <x v="57"/>
    <x v="2"/>
    <x v="0"/>
    <x v="0"/>
    <x v="2"/>
    <x v="0"/>
  </r>
  <r>
    <x v="0"/>
    <x v="0"/>
    <n v="2239297920"/>
    <x v="5"/>
    <n v="-500"/>
    <x v="2"/>
    <x v="0"/>
    <x v="57"/>
    <x v="5"/>
    <x v="0"/>
    <x v="0"/>
    <x v="5"/>
    <x v="0"/>
  </r>
  <r>
    <x v="0"/>
    <x v="0"/>
    <n v="2239297920"/>
    <x v="6"/>
    <n v="15000"/>
    <x v="2"/>
    <x v="0"/>
    <x v="57"/>
    <x v="6"/>
    <x v="0"/>
    <x v="0"/>
    <x v="5"/>
    <x v="0"/>
  </r>
  <r>
    <x v="0"/>
    <x v="0"/>
    <n v="2239297921"/>
    <x v="2"/>
    <n v="13000"/>
    <x v="2"/>
    <x v="0"/>
    <x v="57"/>
    <x v="2"/>
    <x v="0"/>
    <x v="0"/>
    <x v="2"/>
    <x v="0"/>
  </r>
  <r>
    <x v="0"/>
    <x v="0"/>
    <n v="2239297922"/>
    <x v="2"/>
    <n v="12500"/>
    <x v="2"/>
    <x v="0"/>
    <x v="57"/>
    <x v="2"/>
    <x v="0"/>
    <x v="0"/>
    <x v="2"/>
    <x v="0"/>
  </r>
  <r>
    <x v="0"/>
    <x v="0"/>
    <n v="2239297923"/>
    <x v="2"/>
    <n v="16000"/>
    <x v="2"/>
    <x v="0"/>
    <x v="57"/>
    <x v="2"/>
    <x v="0"/>
    <x v="0"/>
    <x v="2"/>
    <x v="0"/>
  </r>
  <r>
    <x v="0"/>
    <x v="0"/>
    <n v="2239297924"/>
    <x v="2"/>
    <n v="16390"/>
    <x v="2"/>
    <x v="0"/>
    <x v="57"/>
    <x v="2"/>
    <x v="0"/>
    <x v="0"/>
    <x v="2"/>
    <x v="0"/>
  </r>
  <r>
    <x v="0"/>
    <x v="0"/>
    <n v="2239297925"/>
    <x v="2"/>
    <n v="19000"/>
    <x v="2"/>
    <x v="0"/>
    <x v="57"/>
    <x v="2"/>
    <x v="0"/>
    <x v="0"/>
    <x v="2"/>
    <x v="0"/>
  </r>
  <r>
    <x v="0"/>
    <x v="0"/>
    <n v="2239297926"/>
    <x v="2"/>
    <n v="6500"/>
    <x v="2"/>
    <x v="0"/>
    <x v="57"/>
    <x v="2"/>
    <x v="0"/>
    <x v="0"/>
    <x v="2"/>
    <x v="0"/>
  </r>
  <r>
    <x v="0"/>
    <x v="0"/>
    <n v="2239297927"/>
    <x v="6"/>
    <n v="800"/>
    <x v="2"/>
    <x v="0"/>
    <x v="57"/>
    <x v="6"/>
    <x v="0"/>
    <x v="0"/>
    <x v="5"/>
    <x v="0"/>
  </r>
  <r>
    <x v="0"/>
    <x v="0"/>
    <n v="2239297927"/>
    <x v="2"/>
    <n v="2200"/>
    <x v="2"/>
    <x v="0"/>
    <x v="57"/>
    <x v="2"/>
    <x v="0"/>
    <x v="0"/>
    <x v="2"/>
    <x v="0"/>
  </r>
  <r>
    <x v="0"/>
    <x v="0"/>
    <n v="2239297928"/>
    <x v="5"/>
    <n v="-10300"/>
    <x v="2"/>
    <x v="0"/>
    <x v="57"/>
    <x v="5"/>
    <x v="0"/>
    <x v="0"/>
    <x v="5"/>
    <x v="0"/>
  </r>
  <r>
    <x v="0"/>
    <x v="0"/>
    <n v="2239297928"/>
    <x v="6"/>
    <n v="40000"/>
    <x v="2"/>
    <x v="0"/>
    <x v="57"/>
    <x v="6"/>
    <x v="0"/>
    <x v="0"/>
    <x v="5"/>
    <x v="0"/>
  </r>
  <r>
    <x v="0"/>
    <x v="0"/>
    <n v="2239297929"/>
    <x v="2"/>
    <n v="7500"/>
    <x v="2"/>
    <x v="0"/>
    <x v="57"/>
    <x v="2"/>
    <x v="0"/>
    <x v="0"/>
    <x v="2"/>
    <x v="0"/>
  </r>
  <r>
    <x v="0"/>
    <x v="0"/>
    <n v="2239297930"/>
    <x v="2"/>
    <n v="6500"/>
    <x v="2"/>
    <x v="0"/>
    <x v="57"/>
    <x v="2"/>
    <x v="0"/>
    <x v="0"/>
    <x v="2"/>
    <x v="0"/>
  </r>
  <r>
    <x v="0"/>
    <x v="0"/>
    <n v="2239297931"/>
    <x v="5"/>
    <n v="-4000"/>
    <x v="2"/>
    <x v="0"/>
    <x v="57"/>
    <x v="5"/>
    <x v="0"/>
    <x v="0"/>
    <x v="5"/>
    <x v="0"/>
  </r>
  <r>
    <x v="0"/>
    <x v="0"/>
    <n v="2239297931"/>
    <x v="6"/>
    <n v="10000"/>
    <x v="2"/>
    <x v="0"/>
    <x v="57"/>
    <x v="6"/>
    <x v="0"/>
    <x v="0"/>
    <x v="5"/>
    <x v="0"/>
  </r>
  <r>
    <x v="0"/>
    <x v="0"/>
    <n v="2239297932"/>
    <x v="3"/>
    <n v="21450"/>
    <x v="2"/>
    <x v="0"/>
    <x v="57"/>
    <x v="3"/>
    <x v="0"/>
    <x v="0"/>
    <x v="3"/>
    <x v="0"/>
  </r>
  <r>
    <x v="0"/>
    <x v="0"/>
    <n v="2239297933"/>
    <x v="2"/>
    <n v="13000"/>
    <x v="2"/>
    <x v="0"/>
    <x v="57"/>
    <x v="2"/>
    <x v="0"/>
    <x v="0"/>
    <x v="2"/>
    <x v="0"/>
  </r>
  <r>
    <x v="0"/>
    <x v="0"/>
    <n v="2239297935"/>
    <x v="2"/>
    <n v="13000"/>
    <x v="2"/>
    <x v="0"/>
    <x v="57"/>
    <x v="2"/>
    <x v="0"/>
    <x v="0"/>
    <x v="2"/>
    <x v="0"/>
  </r>
  <r>
    <x v="0"/>
    <x v="0"/>
    <n v="2239297936"/>
    <x v="2"/>
    <n v="12500"/>
    <x v="2"/>
    <x v="0"/>
    <x v="57"/>
    <x v="2"/>
    <x v="0"/>
    <x v="0"/>
    <x v="2"/>
    <x v="0"/>
  </r>
  <r>
    <x v="0"/>
    <x v="0"/>
    <n v="2239297937"/>
    <x v="2"/>
    <n v="6500"/>
    <x v="2"/>
    <x v="0"/>
    <x v="57"/>
    <x v="2"/>
    <x v="0"/>
    <x v="0"/>
    <x v="2"/>
    <x v="0"/>
  </r>
  <r>
    <x v="0"/>
    <x v="0"/>
    <n v="2239297938"/>
    <x v="2"/>
    <n v="7500"/>
    <x v="2"/>
    <x v="0"/>
    <x v="57"/>
    <x v="2"/>
    <x v="0"/>
    <x v="0"/>
    <x v="2"/>
    <x v="0"/>
  </r>
  <r>
    <x v="0"/>
    <x v="0"/>
    <n v="2239297939"/>
    <x v="2"/>
    <n v="6500"/>
    <x v="2"/>
    <x v="0"/>
    <x v="57"/>
    <x v="2"/>
    <x v="0"/>
    <x v="0"/>
    <x v="2"/>
    <x v="0"/>
  </r>
  <r>
    <x v="0"/>
    <x v="0"/>
    <n v="2239297940"/>
    <x v="2"/>
    <n v="9500"/>
    <x v="2"/>
    <x v="0"/>
    <x v="57"/>
    <x v="2"/>
    <x v="0"/>
    <x v="0"/>
    <x v="2"/>
    <x v="0"/>
  </r>
  <r>
    <x v="0"/>
    <x v="0"/>
    <n v="2239297941"/>
    <x v="2"/>
    <n v="21450"/>
    <x v="2"/>
    <x v="0"/>
    <x v="57"/>
    <x v="2"/>
    <x v="0"/>
    <x v="0"/>
    <x v="2"/>
    <x v="0"/>
  </r>
  <r>
    <x v="0"/>
    <x v="0"/>
    <n v="2239297942"/>
    <x v="5"/>
    <n v="-200"/>
    <x v="2"/>
    <x v="0"/>
    <x v="57"/>
    <x v="5"/>
    <x v="0"/>
    <x v="0"/>
    <x v="5"/>
    <x v="0"/>
  </r>
  <r>
    <x v="0"/>
    <x v="0"/>
    <n v="2239297942"/>
    <x v="6"/>
    <n v="3000"/>
    <x v="2"/>
    <x v="0"/>
    <x v="57"/>
    <x v="6"/>
    <x v="0"/>
    <x v="0"/>
    <x v="5"/>
    <x v="0"/>
  </r>
  <r>
    <x v="0"/>
    <x v="0"/>
    <n v="2239297943"/>
    <x v="5"/>
    <n v="-100"/>
    <x v="2"/>
    <x v="0"/>
    <x v="57"/>
    <x v="5"/>
    <x v="0"/>
    <x v="0"/>
    <x v="5"/>
    <x v="0"/>
  </r>
  <r>
    <x v="0"/>
    <x v="0"/>
    <n v="2239297943"/>
    <x v="4"/>
    <n v="4500"/>
    <x v="2"/>
    <x v="0"/>
    <x v="57"/>
    <x v="4"/>
    <x v="0"/>
    <x v="0"/>
    <x v="4"/>
    <x v="0"/>
  </r>
  <r>
    <x v="0"/>
    <x v="0"/>
    <n v="2239297944"/>
    <x v="2"/>
    <n v="6500"/>
    <x v="2"/>
    <x v="0"/>
    <x v="57"/>
    <x v="2"/>
    <x v="0"/>
    <x v="0"/>
    <x v="2"/>
    <x v="0"/>
  </r>
  <r>
    <x v="0"/>
    <x v="0"/>
    <n v="2239297945"/>
    <x v="2"/>
    <n v="9500"/>
    <x v="2"/>
    <x v="0"/>
    <x v="57"/>
    <x v="2"/>
    <x v="0"/>
    <x v="0"/>
    <x v="2"/>
    <x v="0"/>
  </r>
  <r>
    <x v="0"/>
    <x v="0"/>
    <n v="2239297946"/>
    <x v="2"/>
    <n v="3000"/>
    <x v="2"/>
    <x v="0"/>
    <x v="57"/>
    <x v="2"/>
    <x v="0"/>
    <x v="0"/>
    <x v="2"/>
    <x v="0"/>
  </r>
  <r>
    <x v="0"/>
    <x v="0"/>
    <n v="2239297947"/>
    <x v="2"/>
    <n v="10450"/>
    <x v="2"/>
    <x v="0"/>
    <x v="57"/>
    <x v="2"/>
    <x v="0"/>
    <x v="0"/>
    <x v="2"/>
    <x v="0"/>
  </r>
  <r>
    <x v="0"/>
    <x v="0"/>
    <n v="2239297949"/>
    <x v="5"/>
    <n v="-7500"/>
    <x v="2"/>
    <x v="0"/>
    <x v="57"/>
    <x v="5"/>
    <x v="0"/>
    <x v="0"/>
    <x v="5"/>
    <x v="0"/>
  </r>
  <r>
    <x v="0"/>
    <x v="0"/>
    <n v="2239297949"/>
    <x v="6"/>
    <n v="20000"/>
    <x v="2"/>
    <x v="0"/>
    <x v="57"/>
    <x v="6"/>
    <x v="0"/>
    <x v="0"/>
    <x v="5"/>
    <x v="0"/>
  </r>
  <r>
    <x v="0"/>
    <x v="0"/>
    <n v="2239297950"/>
    <x v="2"/>
    <n v="19000"/>
    <x v="2"/>
    <x v="0"/>
    <x v="57"/>
    <x v="2"/>
    <x v="0"/>
    <x v="0"/>
    <x v="2"/>
    <x v="0"/>
  </r>
  <r>
    <x v="0"/>
    <x v="0"/>
    <n v="2239297951"/>
    <x v="5"/>
    <n v="-260"/>
    <x v="2"/>
    <x v="0"/>
    <x v="57"/>
    <x v="5"/>
    <x v="0"/>
    <x v="0"/>
    <x v="5"/>
    <x v="0"/>
  </r>
  <r>
    <x v="0"/>
    <x v="0"/>
    <n v="2239297951"/>
    <x v="6"/>
    <n v="5000"/>
    <x v="2"/>
    <x v="0"/>
    <x v="57"/>
    <x v="6"/>
    <x v="0"/>
    <x v="0"/>
    <x v="5"/>
    <x v="0"/>
  </r>
  <r>
    <x v="0"/>
    <x v="0"/>
    <n v="2239297951"/>
    <x v="7"/>
    <n v="3160"/>
    <x v="2"/>
    <x v="0"/>
    <x v="57"/>
    <x v="7"/>
    <x v="0"/>
    <x v="0"/>
    <x v="1"/>
    <x v="0"/>
  </r>
  <r>
    <x v="0"/>
    <x v="0"/>
    <n v="2239297955"/>
    <x v="5"/>
    <n v="-4800"/>
    <x v="2"/>
    <x v="0"/>
    <x v="57"/>
    <x v="5"/>
    <x v="0"/>
    <x v="0"/>
    <x v="5"/>
    <x v="0"/>
  </r>
  <r>
    <x v="0"/>
    <x v="0"/>
    <n v="2239297955"/>
    <x v="6"/>
    <n v="10000"/>
    <x v="2"/>
    <x v="0"/>
    <x v="57"/>
    <x v="6"/>
    <x v="0"/>
    <x v="0"/>
    <x v="5"/>
    <x v="0"/>
  </r>
  <r>
    <x v="0"/>
    <x v="0"/>
    <n v="2239297956"/>
    <x v="4"/>
    <n v="5700"/>
    <x v="2"/>
    <x v="0"/>
    <x v="57"/>
    <x v="4"/>
    <x v="0"/>
    <x v="0"/>
    <x v="4"/>
    <x v="0"/>
  </r>
  <r>
    <x v="0"/>
    <x v="0"/>
    <n v="2239297958"/>
    <x v="2"/>
    <n v="3000"/>
    <x v="2"/>
    <x v="0"/>
    <x v="57"/>
    <x v="2"/>
    <x v="0"/>
    <x v="0"/>
    <x v="2"/>
    <x v="0"/>
  </r>
  <r>
    <x v="0"/>
    <x v="0"/>
    <n v="2239297959"/>
    <x v="2"/>
    <n v="13000"/>
    <x v="2"/>
    <x v="0"/>
    <x v="57"/>
    <x v="2"/>
    <x v="0"/>
    <x v="0"/>
    <x v="2"/>
    <x v="0"/>
  </r>
  <r>
    <x v="0"/>
    <x v="0"/>
    <n v="2239297960"/>
    <x v="2"/>
    <n v="44440"/>
    <x v="2"/>
    <x v="0"/>
    <x v="57"/>
    <x v="2"/>
    <x v="0"/>
    <x v="0"/>
    <x v="2"/>
    <x v="0"/>
  </r>
  <r>
    <x v="0"/>
    <x v="0"/>
    <n v="2239297961"/>
    <x v="3"/>
    <n v="14300"/>
    <x v="2"/>
    <x v="0"/>
    <x v="57"/>
    <x v="3"/>
    <x v="0"/>
    <x v="0"/>
    <x v="3"/>
    <x v="0"/>
  </r>
  <r>
    <x v="0"/>
    <x v="0"/>
    <n v="2239297962"/>
    <x v="2"/>
    <n v="17000"/>
    <x v="2"/>
    <x v="0"/>
    <x v="57"/>
    <x v="2"/>
    <x v="0"/>
    <x v="0"/>
    <x v="2"/>
    <x v="0"/>
  </r>
  <r>
    <x v="0"/>
    <x v="0"/>
    <n v="2239297963"/>
    <x v="2"/>
    <n v="22000"/>
    <x v="2"/>
    <x v="0"/>
    <x v="57"/>
    <x v="2"/>
    <x v="0"/>
    <x v="0"/>
    <x v="2"/>
    <x v="0"/>
  </r>
  <r>
    <x v="0"/>
    <x v="0"/>
    <n v="2239297964"/>
    <x v="2"/>
    <n v="13750"/>
    <x v="2"/>
    <x v="0"/>
    <x v="57"/>
    <x v="2"/>
    <x v="0"/>
    <x v="0"/>
    <x v="2"/>
    <x v="0"/>
  </r>
  <r>
    <x v="0"/>
    <x v="0"/>
    <n v="2239297965"/>
    <x v="5"/>
    <n v="-5000"/>
    <x v="2"/>
    <x v="0"/>
    <x v="57"/>
    <x v="5"/>
    <x v="0"/>
    <x v="0"/>
    <x v="5"/>
    <x v="0"/>
  </r>
  <r>
    <x v="0"/>
    <x v="0"/>
    <n v="2239297965"/>
    <x v="4"/>
    <n v="10300"/>
    <x v="2"/>
    <x v="0"/>
    <x v="57"/>
    <x v="4"/>
    <x v="0"/>
    <x v="0"/>
    <x v="4"/>
    <x v="0"/>
  </r>
  <r>
    <x v="0"/>
    <x v="0"/>
    <n v="2239297966"/>
    <x v="2"/>
    <n v="4500"/>
    <x v="2"/>
    <x v="0"/>
    <x v="57"/>
    <x v="2"/>
    <x v="0"/>
    <x v="0"/>
    <x v="2"/>
    <x v="0"/>
  </r>
  <r>
    <x v="0"/>
    <x v="0"/>
    <n v="2239297968"/>
    <x v="2"/>
    <n v="5000"/>
    <x v="2"/>
    <x v="0"/>
    <x v="57"/>
    <x v="2"/>
    <x v="0"/>
    <x v="0"/>
    <x v="2"/>
    <x v="0"/>
  </r>
  <r>
    <x v="0"/>
    <x v="0"/>
    <n v="2239297969"/>
    <x v="2"/>
    <n v="6500"/>
    <x v="2"/>
    <x v="0"/>
    <x v="57"/>
    <x v="2"/>
    <x v="0"/>
    <x v="0"/>
    <x v="2"/>
    <x v="0"/>
  </r>
  <r>
    <x v="0"/>
    <x v="0"/>
    <n v="2239297970"/>
    <x v="2"/>
    <n v="38940"/>
    <x v="2"/>
    <x v="0"/>
    <x v="57"/>
    <x v="2"/>
    <x v="0"/>
    <x v="0"/>
    <x v="2"/>
    <x v="0"/>
  </r>
  <r>
    <x v="0"/>
    <x v="0"/>
    <n v="2239297971"/>
    <x v="5"/>
    <n v="-500"/>
    <x v="2"/>
    <x v="0"/>
    <x v="57"/>
    <x v="5"/>
    <x v="0"/>
    <x v="0"/>
    <x v="5"/>
    <x v="0"/>
  </r>
  <r>
    <x v="0"/>
    <x v="0"/>
    <n v="2239297971"/>
    <x v="6"/>
    <n v="10000"/>
    <x v="2"/>
    <x v="0"/>
    <x v="57"/>
    <x v="6"/>
    <x v="0"/>
    <x v="0"/>
    <x v="5"/>
    <x v="0"/>
  </r>
  <r>
    <x v="0"/>
    <x v="0"/>
    <n v="2239297972"/>
    <x v="5"/>
    <n v="-5000"/>
    <x v="2"/>
    <x v="0"/>
    <x v="57"/>
    <x v="5"/>
    <x v="0"/>
    <x v="0"/>
    <x v="5"/>
    <x v="0"/>
  </r>
  <r>
    <x v="0"/>
    <x v="0"/>
    <n v="2239297972"/>
    <x v="6"/>
    <n v="10000"/>
    <x v="2"/>
    <x v="0"/>
    <x v="57"/>
    <x v="6"/>
    <x v="0"/>
    <x v="0"/>
    <x v="5"/>
    <x v="0"/>
  </r>
  <r>
    <x v="0"/>
    <x v="0"/>
    <n v="2239297973"/>
    <x v="2"/>
    <n v="8250"/>
    <x v="2"/>
    <x v="0"/>
    <x v="57"/>
    <x v="2"/>
    <x v="0"/>
    <x v="0"/>
    <x v="2"/>
    <x v="0"/>
  </r>
  <r>
    <x v="0"/>
    <x v="0"/>
    <n v="2239297975"/>
    <x v="5"/>
    <n v="-2000"/>
    <x v="2"/>
    <x v="0"/>
    <x v="57"/>
    <x v="5"/>
    <x v="0"/>
    <x v="0"/>
    <x v="5"/>
    <x v="0"/>
  </r>
  <r>
    <x v="0"/>
    <x v="0"/>
    <n v="2239297975"/>
    <x v="6"/>
    <n v="5000"/>
    <x v="2"/>
    <x v="0"/>
    <x v="57"/>
    <x v="6"/>
    <x v="0"/>
    <x v="0"/>
    <x v="5"/>
    <x v="0"/>
  </r>
  <r>
    <x v="0"/>
    <x v="0"/>
    <n v="2239297977"/>
    <x v="5"/>
    <n v="-15600"/>
    <x v="2"/>
    <x v="0"/>
    <x v="57"/>
    <x v="5"/>
    <x v="0"/>
    <x v="0"/>
    <x v="5"/>
    <x v="0"/>
  </r>
  <r>
    <x v="0"/>
    <x v="0"/>
    <n v="2239297977"/>
    <x v="4"/>
    <n v="20000"/>
    <x v="2"/>
    <x v="0"/>
    <x v="57"/>
    <x v="4"/>
    <x v="0"/>
    <x v="0"/>
    <x v="4"/>
    <x v="0"/>
  </r>
  <r>
    <x v="0"/>
    <x v="0"/>
    <n v="2239297978"/>
    <x v="5"/>
    <n v="-4000"/>
    <x v="2"/>
    <x v="0"/>
    <x v="57"/>
    <x v="5"/>
    <x v="0"/>
    <x v="0"/>
    <x v="5"/>
    <x v="0"/>
  </r>
  <r>
    <x v="0"/>
    <x v="0"/>
    <n v="2239297978"/>
    <x v="6"/>
    <n v="25000"/>
    <x v="2"/>
    <x v="0"/>
    <x v="57"/>
    <x v="6"/>
    <x v="0"/>
    <x v="0"/>
    <x v="5"/>
    <x v="0"/>
  </r>
  <r>
    <x v="0"/>
    <x v="0"/>
    <n v="2239302081"/>
    <x v="5"/>
    <n v="-3000"/>
    <x v="2"/>
    <x v="0"/>
    <x v="58"/>
    <x v="5"/>
    <x v="0"/>
    <x v="0"/>
    <x v="5"/>
    <x v="0"/>
  </r>
  <r>
    <x v="0"/>
    <x v="0"/>
    <n v="2239302081"/>
    <x v="6"/>
    <n v="6000"/>
    <x v="2"/>
    <x v="0"/>
    <x v="58"/>
    <x v="6"/>
    <x v="0"/>
    <x v="0"/>
    <x v="5"/>
    <x v="0"/>
  </r>
  <r>
    <x v="0"/>
    <x v="0"/>
    <n v="2239302082"/>
    <x v="1"/>
    <n v="3150"/>
    <x v="2"/>
    <x v="0"/>
    <x v="58"/>
    <x v="1"/>
    <x v="0"/>
    <x v="0"/>
    <x v="1"/>
    <x v="0"/>
  </r>
  <r>
    <x v="0"/>
    <x v="0"/>
    <n v="2239302083"/>
    <x v="0"/>
    <n v="15420"/>
    <x v="2"/>
    <x v="0"/>
    <x v="58"/>
    <x v="0"/>
    <x v="0"/>
    <x v="0"/>
    <x v="0"/>
    <x v="0"/>
  </r>
  <r>
    <x v="0"/>
    <x v="0"/>
    <n v="2239302084"/>
    <x v="5"/>
    <n v="-850"/>
    <x v="2"/>
    <x v="0"/>
    <x v="58"/>
    <x v="5"/>
    <x v="0"/>
    <x v="0"/>
    <x v="5"/>
    <x v="0"/>
  </r>
  <r>
    <x v="0"/>
    <x v="0"/>
    <n v="2239302084"/>
    <x v="6"/>
    <n v="7500"/>
    <x v="2"/>
    <x v="0"/>
    <x v="58"/>
    <x v="6"/>
    <x v="0"/>
    <x v="0"/>
    <x v="5"/>
    <x v="0"/>
  </r>
  <r>
    <x v="0"/>
    <x v="0"/>
    <n v="2239302085"/>
    <x v="7"/>
    <n v="7500"/>
    <x v="2"/>
    <x v="0"/>
    <x v="58"/>
    <x v="7"/>
    <x v="0"/>
    <x v="0"/>
    <x v="1"/>
    <x v="0"/>
  </r>
  <r>
    <x v="0"/>
    <x v="0"/>
    <n v="2239302086"/>
    <x v="5"/>
    <n v="-3500"/>
    <x v="2"/>
    <x v="0"/>
    <x v="58"/>
    <x v="5"/>
    <x v="0"/>
    <x v="0"/>
    <x v="5"/>
    <x v="0"/>
  </r>
  <r>
    <x v="0"/>
    <x v="0"/>
    <n v="2239302086"/>
    <x v="6"/>
    <n v="10000"/>
    <x v="2"/>
    <x v="0"/>
    <x v="58"/>
    <x v="6"/>
    <x v="0"/>
    <x v="0"/>
    <x v="5"/>
    <x v="0"/>
  </r>
  <r>
    <x v="0"/>
    <x v="0"/>
    <n v="2239302087"/>
    <x v="1"/>
    <n v="900"/>
    <x v="2"/>
    <x v="0"/>
    <x v="58"/>
    <x v="1"/>
    <x v="0"/>
    <x v="0"/>
    <x v="1"/>
    <x v="0"/>
  </r>
  <r>
    <x v="0"/>
    <x v="0"/>
    <n v="2239302088"/>
    <x v="0"/>
    <n v="4050"/>
    <x v="2"/>
    <x v="0"/>
    <x v="58"/>
    <x v="0"/>
    <x v="0"/>
    <x v="0"/>
    <x v="0"/>
    <x v="0"/>
  </r>
  <r>
    <x v="0"/>
    <x v="0"/>
    <n v="2239302089"/>
    <x v="0"/>
    <n v="2250"/>
    <x v="2"/>
    <x v="0"/>
    <x v="58"/>
    <x v="0"/>
    <x v="0"/>
    <x v="0"/>
    <x v="0"/>
    <x v="0"/>
  </r>
  <r>
    <x v="0"/>
    <x v="0"/>
    <n v="2239302090"/>
    <x v="0"/>
    <n v="2250"/>
    <x v="2"/>
    <x v="0"/>
    <x v="58"/>
    <x v="0"/>
    <x v="0"/>
    <x v="0"/>
    <x v="0"/>
    <x v="0"/>
  </r>
  <r>
    <x v="0"/>
    <x v="0"/>
    <n v="2239302091"/>
    <x v="0"/>
    <n v="1350"/>
    <x v="2"/>
    <x v="0"/>
    <x v="58"/>
    <x v="0"/>
    <x v="0"/>
    <x v="0"/>
    <x v="0"/>
    <x v="0"/>
  </r>
  <r>
    <x v="0"/>
    <x v="0"/>
    <n v="2239302092"/>
    <x v="0"/>
    <n v="1350"/>
    <x v="2"/>
    <x v="0"/>
    <x v="58"/>
    <x v="0"/>
    <x v="0"/>
    <x v="0"/>
    <x v="0"/>
    <x v="0"/>
  </r>
  <r>
    <x v="0"/>
    <x v="0"/>
    <n v="2239302093"/>
    <x v="0"/>
    <n v="1350"/>
    <x v="2"/>
    <x v="0"/>
    <x v="58"/>
    <x v="0"/>
    <x v="0"/>
    <x v="0"/>
    <x v="0"/>
    <x v="0"/>
  </r>
  <r>
    <x v="0"/>
    <x v="0"/>
    <n v="2239302094"/>
    <x v="0"/>
    <n v="5400"/>
    <x v="2"/>
    <x v="0"/>
    <x v="58"/>
    <x v="0"/>
    <x v="0"/>
    <x v="0"/>
    <x v="0"/>
    <x v="0"/>
  </r>
  <r>
    <x v="0"/>
    <x v="0"/>
    <n v="2239302095"/>
    <x v="0"/>
    <n v="900"/>
    <x v="2"/>
    <x v="0"/>
    <x v="58"/>
    <x v="0"/>
    <x v="0"/>
    <x v="0"/>
    <x v="0"/>
    <x v="0"/>
  </r>
  <r>
    <x v="0"/>
    <x v="0"/>
    <n v="2239302096"/>
    <x v="1"/>
    <n v="1050"/>
    <x v="2"/>
    <x v="0"/>
    <x v="58"/>
    <x v="1"/>
    <x v="0"/>
    <x v="0"/>
    <x v="1"/>
    <x v="0"/>
  </r>
  <r>
    <x v="0"/>
    <x v="0"/>
    <n v="2239302097"/>
    <x v="0"/>
    <n v="1350"/>
    <x v="2"/>
    <x v="0"/>
    <x v="58"/>
    <x v="0"/>
    <x v="0"/>
    <x v="0"/>
    <x v="0"/>
    <x v="0"/>
  </r>
  <r>
    <x v="0"/>
    <x v="0"/>
    <n v="2239302098"/>
    <x v="0"/>
    <n v="1350"/>
    <x v="2"/>
    <x v="0"/>
    <x v="58"/>
    <x v="0"/>
    <x v="0"/>
    <x v="0"/>
    <x v="0"/>
    <x v="0"/>
  </r>
  <r>
    <x v="0"/>
    <x v="0"/>
    <n v="2239302099"/>
    <x v="1"/>
    <n v="1140"/>
    <x v="2"/>
    <x v="0"/>
    <x v="58"/>
    <x v="1"/>
    <x v="0"/>
    <x v="0"/>
    <x v="1"/>
    <x v="0"/>
  </r>
  <r>
    <x v="0"/>
    <x v="0"/>
    <n v="2239302100"/>
    <x v="0"/>
    <n v="1350"/>
    <x v="2"/>
    <x v="0"/>
    <x v="58"/>
    <x v="0"/>
    <x v="0"/>
    <x v="0"/>
    <x v="0"/>
    <x v="0"/>
  </r>
  <r>
    <x v="0"/>
    <x v="0"/>
    <n v="2239302101"/>
    <x v="1"/>
    <n v="2250"/>
    <x v="2"/>
    <x v="0"/>
    <x v="58"/>
    <x v="1"/>
    <x v="0"/>
    <x v="0"/>
    <x v="1"/>
    <x v="0"/>
  </r>
  <r>
    <x v="0"/>
    <x v="0"/>
    <n v="2239302102"/>
    <x v="1"/>
    <n v="900"/>
    <x v="2"/>
    <x v="0"/>
    <x v="58"/>
    <x v="1"/>
    <x v="0"/>
    <x v="0"/>
    <x v="1"/>
    <x v="0"/>
  </r>
  <r>
    <x v="0"/>
    <x v="0"/>
    <n v="2239302103"/>
    <x v="1"/>
    <n v="12880"/>
    <x v="2"/>
    <x v="0"/>
    <x v="58"/>
    <x v="1"/>
    <x v="0"/>
    <x v="0"/>
    <x v="1"/>
    <x v="0"/>
  </r>
  <r>
    <x v="0"/>
    <x v="0"/>
    <n v="2239302104"/>
    <x v="0"/>
    <n v="2250"/>
    <x v="2"/>
    <x v="0"/>
    <x v="58"/>
    <x v="0"/>
    <x v="0"/>
    <x v="0"/>
    <x v="0"/>
    <x v="0"/>
  </r>
  <r>
    <x v="0"/>
    <x v="0"/>
    <n v="2239302105"/>
    <x v="1"/>
    <n v="11280"/>
    <x v="2"/>
    <x v="0"/>
    <x v="58"/>
    <x v="1"/>
    <x v="0"/>
    <x v="0"/>
    <x v="1"/>
    <x v="0"/>
  </r>
  <r>
    <x v="0"/>
    <x v="0"/>
    <n v="2239302106"/>
    <x v="1"/>
    <n v="12450"/>
    <x v="2"/>
    <x v="0"/>
    <x v="58"/>
    <x v="1"/>
    <x v="0"/>
    <x v="0"/>
    <x v="1"/>
    <x v="0"/>
  </r>
  <r>
    <x v="0"/>
    <x v="0"/>
    <n v="2239302107"/>
    <x v="1"/>
    <n v="900"/>
    <x v="2"/>
    <x v="0"/>
    <x v="58"/>
    <x v="1"/>
    <x v="0"/>
    <x v="0"/>
    <x v="1"/>
    <x v="0"/>
  </r>
  <r>
    <x v="0"/>
    <x v="0"/>
    <n v="2239302108"/>
    <x v="1"/>
    <n v="900"/>
    <x v="2"/>
    <x v="0"/>
    <x v="58"/>
    <x v="1"/>
    <x v="0"/>
    <x v="0"/>
    <x v="1"/>
    <x v="0"/>
  </r>
  <r>
    <x v="0"/>
    <x v="0"/>
    <n v="2239302109"/>
    <x v="1"/>
    <n v="27770"/>
    <x v="2"/>
    <x v="0"/>
    <x v="58"/>
    <x v="1"/>
    <x v="0"/>
    <x v="0"/>
    <x v="1"/>
    <x v="0"/>
  </r>
  <r>
    <x v="0"/>
    <x v="0"/>
    <n v="2239302110"/>
    <x v="1"/>
    <n v="10470"/>
    <x v="2"/>
    <x v="0"/>
    <x v="58"/>
    <x v="1"/>
    <x v="0"/>
    <x v="0"/>
    <x v="1"/>
    <x v="0"/>
  </r>
  <r>
    <x v="0"/>
    <x v="0"/>
    <n v="2239302111"/>
    <x v="1"/>
    <n v="6960"/>
    <x v="2"/>
    <x v="0"/>
    <x v="58"/>
    <x v="1"/>
    <x v="0"/>
    <x v="0"/>
    <x v="1"/>
    <x v="0"/>
  </r>
  <r>
    <x v="0"/>
    <x v="0"/>
    <n v="2239302112"/>
    <x v="1"/>
    <n v="900"/>
    <x v="2"/>
    <x v="0"/>
    <x v="58"/>
    <x v="1"/>
    <x v="0"/>
    <x v="0"/>
    <x v="1"/>
    <x v="0"/>
  </r>
  <r>
    <x v="0"/>
    <x v="0"/>
    <n v="2239302113"/>
    <x v="1"/>
    <n v="2640"/>
    <x v="2"/>
    <x v="0"/>
    <x v="58"/>
    <x v="1"/>
    <x v="0"/>
    <x v="0"/>
    <x v="1"/>
    <x v="0"/>
  </r>
  <r>
    <x v="0"/>
    <x v="0"/>
    <n v="2239302114"/>
    <x v="1"/>
    <n v="12850"/>
    <x v="2"/>
    <x v="0"/>
    <x v="58"/>
    <x v="1"/>
    <x v="0"/>
    <x v="0"/>
    <x v="1"/>
    <x v="0"/>
  </r>
  <r>
    <x v="0"/>
    <x v="0"/>
    <n v="2239302115"/>
    <x v="0"/>
    <n v="15120"/>
    <x v="2"/>
    <x v="0"/>
    <x v="58"/>
    <x v="0"/>
    <x v="0"/>
    <x v="0"/>
    <x v="0"/>
    <x v="0"/>
  </r>
  <r>
    <x v="0"/>
    <x v="0"/>
    <n v="2239302116"/>
    <x v="1"/>
    <n v="2250"/>
    <x v="2"/>
    <x v="0"/>
    <x v="58"/>
    <x v="1"/>
    <x v="0"/>
    <x v="0"/>
    <x v="1"/>
    <x v="0"/>
  </r>
  <r>
    <x v="0"/>
    <x v="0"/>
    <n v="2239302117"/>
    <x v="0"/>
    <n v="900"/>
    <x v="2"/>
    <x v="0"/>
    <x v="58"/>
    <x v="0"/>
    <x v="0"/>
    <x v="0"/>
    <x v="0"/>
    <x v="0"/>
  </r>
  <r>
    <x v="0"/>
    <x v="0"/>
    <n v="2239302118"/>
    <x v="0"/>
    <n v="43570"/>
    <x v="2"/>
    <x v="0"/>
    <x v="58"/>
    <x v="0"/>
    <x v="0"/>
    <x v="0"/>
    <x v="0"/>
    <x v="0"/>
  </r>
  <r>
    <x v="0"/>
    <x v="0"/>
    <n v="2239302119"/>
    <x v="1"/>
    <n v="6150"/>
    <x v="2"/>
    <x v="0"/>
    <x v="58"/>
    <x v="1"/>
    <x v="0"/>
    <x v="0"/>
    <x v="1"/>
    <x v="0"/>
  </r>
  <r>
    <x v="0"/>
    <x v="0"/>
    <n v="2239302120"/>
    <x v="1"/>
    <n v="5070"/>
    <x v="2"/>
    <x v="0"/>
    <x v="58"/>
    <x v="1"/>
    <x v="0"/>
    <x v="0"/>
    <x v="1"/>
    <x v="0"/>
  </r>
  <r>
    <x v="0"/>
    <x v="0"/>
    <n v="2239302121"/>
    <x v="0"/>
    <n v="12950"/>
    <x v="2"/>
    <x v="0"/>
    <x v="58"/>
    <x v="0"/>
    <x v="0"/>
    <x v="0"/>
    <x v="0"/>
    <x v="0"/>
  </r>
  <r>
    <x v="0"/>
    <x v="0"/>
    <n v="2239302122"/>
    <x v="0"/>
    <n v="6750"/>
    <x v="2"/>
    <x v="0"/>
    <x v="58"/>
    <x v="0"/>
    <x v="0"/>
    <x v="0"/>
    <x v="0"/>
    <x v="0"/>
  </r>
  <r>
    <x v="0"/>
    <x v="0"/>
    <n v="2239302123"/>
    <x v="1"/>
    <n v="9200"/>
    <x v="2"/>
    <x v="0"/>
    <x v="58"/>
    <x v="1"/>
    <x v="0"/>
    <x v="0"/>
    <x v="1"/>
    <x v="0"/>
  </r>
  <r>
    <x v="0"/>
    <x v="0"/>
    <n v="2239302124"/>
    <x v="1"/>
    <n v="6500"/>
    <x v="2"/>
    <x v="0"/>
    <x v="58"/>
    <x v="1"/>
    <x v="0"/>
    <x v="0"/>
    <x v="1"/>
    <x v="0"/>
  </r>
  <r>
    <x v="0"/>
    <x v="0"/>
    <n v="2239302125"/>
    <x v="1"/>
    <n v="19870"/>
    <x v="2"/>
    <x v="0"/>
    <x v="58"/>
    <x v="1"/>
    <x v="0"/>
    <x v="0"/>
    <x v="1"/>
    <x v="0"/>
  </r>
  <r>
    <x v="0"/>
    <x v="0"/>
    <n v="2239302126"/>
    <x v="1"/>
    <n v="35870"/>
    <x v="2"/>
    <x v="0"/>
    <x v="58"/>
    <x v="1"/>
    <x v="0"/>
    <x v="0"/>
    <x v="1"/>
    <x v="0"/>
  </r>
  <r>
    <x v="0"/>
    <x v="0"/>
    <n v="2239302127"/>
    <x v="0"/>
    <n v="1800"/>
    <x v="2"/>
    <x v="0"/>
    <x v="58"/>
    <x v="0"/>
    <x v="0"/>
    <x v="0"/>
    <x v="0"/>
    <x v="0"/>
  </r>
  <r>
    <x v="0"/>
    <x v="0"/>
    <n v="2239302128"/>
    <x v="0"/>
    <n v="19800"/>
    <x v="2"/>
    <x v="0"/>
    <x v="58"/>
    <x v="0"/>
    <x v="0"/>
    <x v="0"/>
    <x v="0"/>
    <x v="0"/>
  </r>
  <r>
    <x v="0"/>
    <x v="0"/>
    <n v="2239302129"/>
    <x v="0"/>
    <n v="9300"/>
    <x v="2"/>
    <x v="0"/>
    <x v="58"/>
    <x v="0"/>
    <x v="0"/>
    <x v="0"/>
    <x v="0"/>
    <x v="0"/>
  </r>
  <r>
    <x v="0"/>
    <x v="0"/>
    <n v="2239302130"/>
    <x v="0"/>
    <n v="2250"/>
    <x v="2"/>
    <x v="0"/>
    <x v="58"/>
    <x v="0"/>
    <x v="0"/>
    <x v="0"/>
    <x v="0"/>
    <x v="0"/>
  </r>
  <r>
    <x v="0"/>
    <x v="0"/>
    <n v="2239302131"/>
    <x v="0"/>
    <n v="9450"/>
    <x v="2"/>
    <x v="0"/>
    <x v="58"/>
    <x v="0"/>
    <x v="0"/>
    <x v="0"/>
    <x v="0"/>
    <x v="0"/>
  </r>
  <r>
    <x v="0"/>
    <x v="0"/>
    <n v="2239302132"/>
    <x v="0"/>
    <n v="1800"/>
    <x v="2"/>
    <x v="0"/>
    <x v="58"/>
    <x v="0"/>
    <x v="0"/>
    <x v="0"/>
    <x v="0"/>
    <x v="0"/>
  </r>
  <r>
    <x v="0"/>
    <x v="0"/>
    <n v="2239302133"/>
    <x v="0"/>
    <n v="900"/>
    <x v="2"/>
    <x v="0"/>
    <x v="58"/>
    <x v="0"/>
    <x v="0"/>
    <x v="0"/>
    <x v="0"/>
    <x v="0"/>
  </r>
  <r>
    <x v="0"/>
    <x v="0"/>
    <n v="2239302134"/>
    <x v="0"/>
    <n v="2250"/>
    <x v="2"/>
    <x v="0"/>
    <x v="58"/>
    <x v="0"/>
    <x v="0"/>
    <x v="0"/>
    <x v="0"/>
    <x v="0"/>
  </r>
  <r>
    <x v="0"/>
    <x v="0"/>
    <n v="2239302135"/>
    <x v="0"/>
    <n v="22800"/>
    <x v="2"/>
    <x v="0"/>
    <x v="58"/>
    <x v="0"/>
    <x v="0"/>
    <x v="0"/>
    <x v="0"/>
    <x v="0"/>
  </r>
  <r>
    <x v="0"/>
    <x v="0"/>
    <n v="2239302136"/>
    <x v="0"/>
    <n v="20310"/>
    <x v="2"/>
    <x v="0"/>
    <x v="58"/>
    <x v="0"/>
    <x v="0"/>
    <x v="0"/>
    <x v="0"/>
    <x v="0"/>
  </r>
  <r>
    <x v="0"/>
    <x v="0"/>
    <n v="2239302137"/>
    <x v="0"/>
    <n v="3600"/>
    <x v="2"/>
    <x v="0"/>
    <x v="58"/>
    <x v="0"/>
    <x v="0"/>
    <x v="0"/>
    <x v="0"/>
    <x v="0"/>
  </r>
  <r>
    <x v="0"/>
    <x v="0"/>
    <n v="2239302138"/>
    <x v="0"/>
    <n v="1800"/>
    <x v="2"/>
    <x v="0"/>
    <x v="58"/>
    <x v="0"/>
    <x v="0"/>
    <x v="0"/>
    <x v="0"/>
    <x v="0"/>
  </r>
  <r>
    <x v="0"/>
    <x v="0"/>
    <n v="2239302139"/>
    <x v="0"/>
    <n v="1200"/>
    <x v="2"/>
    <x v="0"/>
    <x v="58"/>
    <x v="0"/>
    <x v="0"/>
    <x v="0"/>
    <x v="0"/>
    <x v="0"/>
  </r>
  <r>
    <x v="0"/>
    <x v="0"/>
    <n v="2239302140"/>
    <x v="1"/>
    <n v="45850"/>
    <x v="2"/>
    <x v="0"/>
    <x v="58"/>
    <x v="1"/>
    <x v="0"/>
    <x v="0"/>
    <x v="1"/>
    <x v="0"/>
  </r>
  <r>
    <x v="0"/>
    <x v="0"/>
    <n v="2239302142"/>
    <x v="6"/>
    <n v="6000"/>
    <x v="2"/>
    <x v="0"/>
    <x v="58"/>
    <x v="6"/>
    <x v="0"/>
    <x v="0"/>
    <x v="5"/>
    <x v="0"/>
  </r>
  <r>
    <x v="0"/>
    <x v="0"/>
    <n v="2239302143"/>
    <x v="1"/>
    <n v="1350"/>
    <x v="2"/>
    <x v="0"/>
    <x v="58"/>
    <x v="1"/>
    <x v="0"/>
    <x v="0"/>
    <x v="1"/>
    <x v="0"/>
  </r>
  <r>
    <x v="0"/>
    <x v="0"/>
    <n v="2239302146"/>
    <x v="4"/>
    <n v="4400"/>
    <x v="2"/>
    <x v="0"/>
    <x v="58"/>
    <x v="4"/>
    <x v="0"/>
    <x v="0"/>
    <x v="4"/>
    <x v="0"/>
  </r>
  <r>
    <x v="0"/>
    <x v="0"/>
    <n v="2239302147"/>
    <x v="7"/>
    <n v="7500"/>
    <x v="2"/>
    <x v="0"/>
    <x v="58"/>
    <x v="7"/>
    <x v="0"/>
    <x v="0"/>
    <x v="1"/>
    <x v="0"/>
  </r>
  <r>
    <x v="0"/>
    <x v="0"/>
    <n v="2239302148"/>
    <x v="5"/>
    <n v="-4600"/>
    <x v="2"/>
    <x v="0"/>
    <x v="58"/>
    <x v="5"/>
    <x v="0"/>
    <x v="0"/>
    <x v="5"/>
    <x v="0"/>
  </r>
  <r>
    <x v="0"/>
    <x v="0"/>
    <n v="2239302148"/>
    <x v="4"/>
    <n v="10300"/>
    <x v="2"/>
    <x v="0"/>
    <x v="58"/>
    <x v="4"/>
    <x v="0"/>
    <x v="0"/>
    <x v="4"/>
    <x v="0"/>
  </r>
  <r>
    <x v="0"/>
    <x v="0"/>
    <n v="2239302149"/>
    <x v="1"/>
    <n v="2700"/>
    <x v="2"/>
    <x v="0"/>
    <x v="58"/>
    <x v="1"/>
    <x v="0"/>
    <x v="0"/>
    <x v="1"/>
    <x v="0"/>
  </r>
  <r>
    <x v="0"/>
    <x v="0"/>
    <n v="2239302150"/>
    <x v="4"/>
    <n v="5300"/>
    <x v="2"/>
    <x v="0"/>
    <x v="58"/>
    <x v="4"/>
    <x v="0"/>
    <x v="0"/>
    <x v="4"/>
    <x v="0"/>
  </r>
  <r>
    <x v="0"/>
    <x v="0"/>
    <n v="2239302152"/>
    <x v="3"/>
    <n v="2880"/>
    <x v="2"/>
    <x v="0"/>
    <x v="58"/>
    <x v="3"/>
    <x v="0"/>
    <x v="0"/>
    <x v="3"/>
    <x v="0"/>
  </r>
  <r>
    <x v="0"/>
    <x v="0"/>
    <n v="2239302153"/>
    <x v="1"/>
    <n v="1050"/>
    <x v="2"/>
    <x v="0"/>
    <x v="58"/>
    <x v="1"/>
    <x v="0"/>
    <x v="0"/>
    <x v="1"/>
    <x v="0"/>
  </r>
  <r>
    <x v="0"/>
    <x v="0"/>
    <n v="2239302154"/>
    <x v="7"/>
    <n v="2500"/>
    <x v="2"/>
    <x v="0"/>
    <x v="58"/>
    <x v="7"/>
    <x v="0"/>
    <x v="0"/>
    <x v="1"/>
    <x v="0"/>
  </r>
  <r>
    <x v="0"/>
    <x v="0"/>
    <n v="2239302155"/>
    <x v="1"/>
    <n v="1050"/>
    <x v="2"/>
    <x v="0"/>
    <x v="58"/>
    <x v="1"/>
    <x v="0"/>
    <x v="0"/>
    <x v="1"/>
    <x v="0"/>
  </r>
  <r>
    <x v="0"/>
    <x v="0"/>
    <n v="2239302156"/>
    <x v="5"/>
    <n v="-3000"/>
    <x v="2"/>
    <x v="0"/>
    <x v="58"/>
    <x v="5"/>
    <x v="0"/>
    <x v="0"/>
    <x v="5"/>
    <x v="0"/>
  </r>
  <r>
    <x v="0"/>
    <x v="0"/>
    <n v="2239302156"/>
    <x v="6"/>
    <n v="5000"/>
    <x v="2"/>
    <x v="0"/>
    <x v="58"/>
    <x v="6"/>
    <x v="0"/>
    <x v="0"/>
    <x v="5"/>
    <x v="0"/>
  </r>
  <r>
    <x v="0"/>
    <x v="0"/>
    <n v="2239302157"/>
    <x v="5"/>
    <n v="-4100"/>
    <x v="2"/>
    <x v="0"/>
    <x v="58"/>
    <x v="5"/>
    <x v="0"/>
    <x v="0"/>
    <x v="5"/>
    <x v="0"/>
  </r>
  <r>
    <x v="0"/>
    <x v="0"/>
    <n v="2239302157"/>
    <x v="4"/>
    <n v="20000"/>
    <x v="2"/>
    <x v="0"/>
    <x v="58"/>
    <x v="4"/>
    <x v="0"/>
    <x v="0"/>
    <x v="4"/>
    <x v="0"/>
  </r>
  <r>
    <x v="0"/>
    <x v="0"/>
    <n v="2239302160"/>
    <x v="6"/>
    <n v="2000"/>
    <x v="2"/>
    <x v="0"/>
    <x v="58"/>
    <x v="6"/>
    <x v="0"/>
    <x v="0"/>
    <x v="5"/>
    <x v="0"/>
  </r>
  <r>
    <x v="0"/>
    <x v="0"/>
    <n v="2239302161"/>
    <x v="5"/>
    <n v="-600"/>
    <x v="2"/>
    <x v="0"/>
    <x v="58"/>
    <x v="5"/>
    <x v="0"/>
    <x v="0"/>
    <x v="5"/>
    <x v="0"/>
  </r>
  <r>
    <x v="0"/>
    <x v="0"/>
    <n v="2239302161"/>
    <x v="4"/>
    <n v="5000"/>
    <x v="2"/>
    <x v="0"/>
    <x v="58"/>
    <x v="4"/>
    <x v="0"/>
    <x v="0"/>
    <x v="4"/>
    <x v="0"/>
  </r>
  <r>
    <x v="0"/>
    <x v="0"/>
    <n v="2239302162"/>
    <x v="5"/>
    <n v="-600"/>
    <x v="2"/>
    <x v="0"/>
    <x v="58"/>
    <x v="5"/>
    <x v="0"/>
    <x v="0"/>
    <x v="5"/>
    <x v="0"/>
  </r>
  <r>
    <x v="0"/>
    <x v="0"/>
    <n v="2239302162"/>
    <x v="4"/>
    <n v="5000"/>
    <x v="2"/>
    <x v="0"/>
    <x v="58"/>
    <x v="4"/>
    <x v="0"/>
    <x v="0"/>
    <x v="4"/>
    <x v="0"/>
  </r>
  <r>
    <x v="0"/>
    <x v="0"/>
    <n v="2239302163"/>
    <x v="5"/>
    <n v="-3750"/>
    <x v="2"/>
    <x v="0"/>
    <x v="58"/>
    <x v="5"/>
    <x v="0"/>
    <x v="0"/>
    <x v="5"/>
    <x v="0"/>
  </r>
  <r>
    <x v="0"/>
    <x v="0"/>
    <n v="2239302163"/>
    <x v="6"/>
    <n v="20000"/>
    <x v="2"/>
    <x v="0"/>
    <x v="58"/>
    <x v="6"/>
    <x v="0"/>
    <x v="0"/>
    <x v="5"/>
    <x v="0"/>
  </r>
  <r>
    <x v="0"/>
    <x v="0"/>
    <n v="2239302164"/>
    <x v="2"/>
    <n v="27720"/>
    <x v="2"/>
    <x v="0"/>
    <x v="58"/>
    <x v="2"/>
    <x v="0"/>
    <x v="0"/>
    <x v="2"/>
    <x v="0"/>
  </r>
  <r>
    <x v="0"/>
    <x v="0"/>
    <n v="2239302167"/>
    <x v="2"/>
    <n v="21065"/>
    <x v="2"/>
    <x v="0"/>
    <x v="58"/>
    <x v="2"/>
    <x v="0"/>
    <x v="0"/>
    <x v="2"/>
    <x v="0"/>
  </r>
  <r>
    <x v="0"/>
    <x v="0"/>
    <n v="2239302168"/>
    <x v="1"/>
    <n v="5550"/>
    <x v="2"/>
    <x v="0"/>
    <x v="58"/>
    <x v="1"/>
    <x v="0"/>
    <x v="0"/>
    <x v="1"/>
    <x v="0"/>
  </r>
  <r>
    <x v="0"/>
    <x v="0"/>
    <n v="2239302170"/>
    <x v="1"/>
    <n v="2040"/>
    <x v="2"/>
    <x v="0"/>
    <x v="58"/>
    <x v="1"/>
    <x v="0"/>
    <x v="0"/>
    <x v="1"/>
    <x v="0"/>
  </r>
  <r>
    <x v="0"/>
    <x v="0"/>
    <n v="2239302172"/>
    <x v="7"/>
    <n v="7500"/>
    <x v="2"/>
    <x v="0"/>
    <x v="58"/>
    <x v="7"/>
    <x v="0"/>
    <x v="0"/>
    <x v="1"/>
    <x v="0"/>
  </r>
  <r>
    <x v="0"/>
    <x v="0"/>
    <n v="2239302173"/>
    <x v="2"/>
    <n v="7150"/>
    <x v="2"/>
    <x v="0"/>
    <x v="58"/>
    <x v="2"/>
    <x v="0"/>
    <x v="0"/>
    <x v="2"/>
    <x v="0"/>
  </r>
  <r>
    <x v="0"/>
    <x v="0"/>
    <n v="2239302173"/>
    <x v="7"/>
    <n v="6500"/>
    <x v="2"/>
    <x v="0"/>
    <x v="58"/>
    <x v="7"/>
    <x v="0"/>
    <x v="0"/>
    <x v="1"/>
    <x v="0"/>
  </r>
  <r>
    <x v="0"/>
    <x v="0"/>
    <n v="2239302174"/>
    <x v="1"/>
    <n v="900"/>
    <x v="2"/>
    <x v="0"/>
    <x v="58"/>
    <x v="1"/>
    <x v="0"/>
    <x v="0"/>
    <x v="1"/>
    <x v="0"/>
  </r>
  <r>
    <x v="0"/>
    <x v="0"/>
    <n v="2239302175"/>
    <x v="2"/>
    <n v="4125"/>
    <x v="2"/>
    <x v="0"/>
    <x v="58"/>
    <x v="2"/>
    <x v="0"/>
    <x v="0"/>
    <x v="2"/>
    <x v="0"/>
  </r>
  <r>
    <x v="0"/>
    <x v="0"/>
    <n v="2239302176"/>
    <x v="5"/>
    <n v="-17000"/>
    <x v="2"/>
    <x v="0"/>
    <x v="58"/>
    <x v="5"/>
    <x v="0"/>
    <x v="0"/>
    <x v="5"/>
    <x v="0"/>
  </r>
  <r>
    <x v="0"/>
    <x v="0"/>
    <n v="2239302176"/>
    <x v="6"/>
    <n v="20000"/>
    <x v="2"/>
    <x v="0"/>
    <x v="58"/>
    <x v="6"/>
    <x v="0"/>
    <x v="0"/>
    <x v="5"/>
    <x v="0"/>
  </r>
  <r>
    <x v="0"/>
    <x v="0"/>
    <n v="2239302177"/>
    <x v="3"/>
    <n v="3300"/>
    <x v="2"/>
    <x v="0"/>
    <x v="58"/>
    <x v="3"/>
    <x v="0"/>
    <x v="0"/>
    <x v="3"/>
    <x v="0"/>
  </r>
  <r>
    <x v="0"/>
    <x v="0"/>
    <n v="2239302178"/>
    <x v="2"/>
    <n v="87175"/>
    <x v="2"/>
    <x v="0"/>
    <x v="58"/>
    <x v="2"/>
    <x v="0"/>
    <x v="0"/>
    <x v="2"/>
    <x v="0"/>
  </r>
  <r>
    <x v="0"/>
    <x v="0"/>
    <n v="2239302179"/>
    <x v="1"/>
    <n v="2280"/>
    <x v="2"/>
    <x v="0"/>
    <x v="58"/>
    <x v="1"/>
    <x v="0"/>
    <x v="0"/>
    <x v="1"/>
    <x v="0"/>
  </r>
  <r>
    <x v="0"/>
    <x v="0"/>
    <n v="2239302180"/>
    <x v="5"/>
    <n v="-300"/>
    <x v="2"/>
    <x v="0"/>
    <x v="58"/>
    <x v="5"/>
    <x v="0"/>
    <x v="0"/>
    <x v="5"/>
    <x v="0"/>
  </r>
  <r>
    <x v="0"/>
    <x v="0"/>
    <n v="2239302180"/>
    <x v="4"/>
    <n v="6000"/>
    <x v="2"/>
    <x v="0"/>
    <x v="58"/>
    <x v="4"/>
    <x v="0"/>
    <x v="0"/>
    <x v="4"/>
    <x v="0"/>
  </r>
  <r>
    <x v="0"/>
    <x v="0"/>
    <n v="2239302181"/>
    <x v="6"/>
    <n v="1000"/>
    <x v="2"/>
    <x v="0"/>
    <x v="58"/>
    <x v="6"/>
    <x v="0"/>
    <x v="0"/>
    <x v="5"/>
    <x v="0"/>
  </r>
  <r>
    <x v="0"/>
    <x v="0"/>
    <n v="2239302182"/>
    <x v="5"/>
    <n v="-4550"/>
    <x v="2"/>
    <x v="0"/>
    <x v="58"/>
    <x v="5"/>
    <x v="0"/>
    <x v="0"/>
    <x v="5"/>
    <x v="0"/>
  </r>
  <r>
    <x v="0"/>
    <x v="0"/>
    <n v="2239302182"/>
    <x v="6"/>
    <n v="20000"/>
    <x v="2"/>
    <x v="0"/>
    <x v="58"/>
    <x v="6"/>
    <x v="0"/>
    <x v="0"/>
    <x v="5"/>
    <x v="0"/>
  </r>
  <r>
    <x v="0"/>
    <x v="0"/>
    <n v="2239302183"/>
    <x v="5"/>
    <n v="-6050"/>
    <x v="2"/>
    <x v="0"/>
    <x v="58"/>
    <x v="5"/>
    <x v="0"/>
    <x v="0"/>
    <x v="5"/>
    <x v="0"/>
  </r>
  <r>
    <x v="0"/>
    <x v="0"/>
    <n v="2239302183"/>
    <x v="6"/>
    <n v="20000"/>
    <x v="2"/>
    <x v="0"/>
    <x v="58"/>
    <x v="6"/>
    <x v="0"/>
    <x v="0"/>
    <x v="5"/>
    <x v="0"/>
  </r>
  <r>
    <x v="0"/>
    <x v="0"/>
    <n v="2239302184"/>
    <x v="5"/>
    <n v="-7280"/>
    <x v="2"/>
    <x v="0"/>
    <x v="58"/>
    <x v="5"/>
    <x v="0"/>
    <x v="0"/>
    <x v="5"/>
    <x v="0"/>
  </r>
  <r>
    <x v="0"/>
    <x v="0"/>
    <n v="2239302184"/>
    <x v="6"/>
    <n v="20000"/>
    <x v="2"/>
    <x v="0"/>
    <x v="58"/>
    <x v="6"/>
    <x v="0"/>
    <x v="0"/>
    <x v="5"/>
    <x v="0"/>
  </r>
  <r>
    <x v="0"/>
    <x v="0"/>
    <n v="2239302185"/>
    <x v="2"/>
    <n v="62315"/>
    <x v="2"/>
    <x v="0"/>
    <x v="58"/>
    <x v="2"/>
    <x v="0"/>
    <x v="0"/>
    <x v="2"/>
    <x v="0"/>
  </r>
  <r>
    <x v="0"/>
    <x v="0"/>
    <n v="2239302185"/>
    <x v="7"/>
    <n v="4250"/>
    <x v="2"/>
    <x v="0"/>
    <x v="58"/>
    <x v="7"/>
    <x v="0"/>
    <x v="0"/>
    <x v="1"/>
    <x v="0"/>
  </r>
  <r>
    <x v="0"/>
    <x v="0"/>
    <n v="2239302186"/>
    <x v="5"/>
    <n v="-4300"/>
    <x v="2"/>
    <x v="0"/>
    <x v="58"/>
    <x v="5"/>
    <x v="0"/>
    <x v="0"/>
    <x v="5"/>
    <x v="0"/>
  </r>
  <r>
    <x v="0"/>
    <x v="0"/>
    <n v="2239302186"/>
    <x v="4"/>
    <n v="10000"/>
    <x v="2"/>
    <x v="0"/>
    <x v="58"/>
    <x v="4"/>
    <x v="0"/>
    <x v="0"/>
    <x v="4"/>
    <x v="0"/>
  </r>
  <r>
    <x v="0"/>
    <x v="0"/>
    <n v="2239302187"/>
    <x v="6"/>
    <n v="2000"/>
    <x v="2"/>
    <x v="0"/>
    <x v="58"/>
    <x v="6"/>
    <x v="0"/>
    <x v="0"/>
    <x v="5"/>
    <x v="0"/>
  </r>
  <r>
    <x v="0"/>
    <x v="0"/>
    <n v="2239302188"/>
    <x v="2"/>
    <n v="11770"/>
    <x v="2"/>
    <x v="0"/>
    <x v="58"/>
    <x v="2"/>
    <x v="0"/>
    <x v="0"/>
    <x v="2"/>
    <x v="0"/>
  </r>
  <r>
    <x v="0"/>
    <x v="0"/>
    <n v="2239302189"/>
    <x v="5"/>
    <n v="-4400"/>
    <x v="2"/>
    <x v="0"/>
    <x v="58"/>
    <x v="5"/>
    <x v="0"/>
    <x v="0"/>
    <x v="5"/>
    <x v="0"/>
  </r>
  <r>
    <x v="0"/>
    <x v="0"/>
    <n v="2239302189"/>
    <x v="4"/>
    <n v="10000"/>
    <x v="2"/>
    <x v="0"/>
    <x v="58"/>
    <x v="4"/>
    <x v="0"/>
    <x v="0"/>
    <x v="4"/>
    <x v="0"/>
  </r>
  <r>
    <x v="0"/>
    <x v="0"/>
    <n v="2239302191"/>
    <x v="2"/>
    <n v="5000"/>
    <x v="2"/>
    <x v="0"/>
    <x v="58"/>
    <x v="2"/>
    <x v="0"/>
    <x v="0"/>
    <x v="2"/>
    <x v="0"/>
  </r>
  <r>
    <x v="0"/>
    <x v="0"/>
    <n v="2239302192"/>
    <x v="2"/>
    <n v="7700"/>
    <x v="2"/>
    <x v="0"/>
    <x v="58"/>
    <x v="2"/>
    <x v="0"/>
    <x v="0"/>
    <x v="2"/>
    <x v="0"/>
  </r>
  <r>
    <x v="0"/>
    <x v="0"/>
    <n v="2239302192"/>
    <x v="7"/>
    <n v="7000"/>
    <x v="2"/>
    <x v="0"/>
    <x v="58"/>
    <x v="7"/>
    <x v="0"/>
    <x v="0"/>
    <x v="1"/>
    <x v="0"/>
  </r>
  <r>
    <x v="0"/>
    <x v="0"/>
    <n v="2239302193"/>
    <x v="5"/>
    <n v="-550"/>
    <x v="2"/>
    <x v="0"/>
    <x v="58"/>
    <x v="5"/>
    <x v="0"/>
    <x v="0"/>
    <x v="5"/>
    <x v="0"/>
  </r>
  <r>
    <x v="0"/>
    <x v="0"/>
    <n v="2239302193"/>
    <x v="6"/>
    <n v="10000"/>
    <x v="2"/>
    <x v="0"/>
    <x v="58"/>
    <x v="6"/>
    <x v="0"/>
    <x v="0"/>
    <x v="5"/>
    <x v="0"/>
  </r>
  <r>
    <x v="0"/>
    <x v="0"/>
    <n v="2239302193"/>
    <x v="7"/>
    <n v="5450"/>
    <x v="2"/>
    <x v="0"/>
    <x v="58"/>
    <x v="7"/>
    <x v="0"/>
    <x v="0"/>
    <x v="1"/>
    <x v="0"/>
  </r>
  <r>
    <x v="0"/>
    <x v="0"/>
    <n v="2239302194"/>
    <x v="2"/>
    <n v="22220"/>
    <x v="2"/>
    <x v="0"/>
    <x v="58"/>
    <x v="2"/>
    <x v="0"/>
    <x v="0"/>
    <x v="2"/>
    <x v="0"/>
  </r>
  <r>
    <x v="0"/>
    <x v="0"/>
    <n v="2239302194"/>
    <x v="7"/>
    <n v="750"/>
    <x v="2"/>
    <x v="0"/>
    <x v="58"/>
    <x v="7"/>
    <x v="0"/>
    <x v="0"/>
    <x v="1"/>
    <x v="0"/>
  </r>
  <r>
    <x v="0"/>
    <x v="0"/>
    <n v="2239302195"/>
    <x v="5"/>
    <n v="-7000"/>
    <x v="2"/>
    <x v="0"/>
    <x v="58"/>
    <x v="5"/>
    <x v="0"/>
    <x v="0"/>
    <x v="5"/>
    <x v="0"/>
  </r>
  <r>
    <x v="0"/>
    <x v="0"/>
    <n v="2239302195"/>
    <x v="6"/>
    <n v="10000"/>
    <x v="2"/>
    <x v="0"/>
    <x v="58"/>
    <x v="6"/>
    <x v="0"/>
    <x v="0"/>
    <x v="5"/>
    <x v="0"/>
  </r>
  <r>
    <x v="0"/>
    <x v="0"/>
    <n v="2239302196"/>
    <x v="2"/>
    <n v="47135"/>
    <x v="2"/>
    <x v="0"/>
    <x v="58"/>
    <x v="2"/>
    <x v="0"/>
    <x v="0"/>
    <x v="2"/>
    <x v="0"/>
  </r>
  <r>
    <x v="0"/>
    <x v="0"/>
    <n v="2239302197"/>
    <x v="5"/>
    <n v="-14400"/>
    <x v="2"/>
    <x v="0"/>
    <x v="58"/>
    <x v="5"/>
    <x v="0"/>
    <x v="0"/>
    <x v="5"/>
    <x v="0"/>
  </r>
  <r>
    <x v="0"/>
    <x v="0"/>
    <n v="2239302197"/>
    <x v="4"/>
    <n v="20000"/>
    <x v="2"/>
    <x v="0"/>
    <x v="58"/>
    <x v="4"/>
    <x v="0"/>
    <x v="0"/>
    <x v="4"/>
    <x v="0"/>
  </r>
  <r>
    <x v="0"/>
    <x v="0"/>
    <n v="2239302198"/>
    <x v="2"/>
    <n v="140030"/>
    <x v="2"/>
    <x v="0"/>
    <x v="58"/>
    <x v="2"/>
    <x v="0"/>
    <x v="0"/>
    <x v="2"/>
    <x v="0"/>
  </r>
  <r>
    <x v="0"/>
    <x v="0"/>
    <n v="2239302199"/>
    <x v="1"/>
    <n v="12800"/>
    <x v="2"/>
    <x v="0"/>
    <x v="58"/>
    <x v="1"/>
    <x v="0"/>
    <x v="0"/>
    <x v="1"/>
    <x v="0"/>
  </r>
  <r>
    <x v="0"/>
    <x v="0"/>
    <n v="2239302200"/>
    <x v="5"/>
    <n v="-3000"/>
    <x v="2"/>
    <x v="0"/>
    <x v="58"/>
    <x v="5"/>
    <x v="0"/>
    <x v="0"/>
    <x v="5"/>
    <x v="0"/>
  </r>
  <r>
    <x v="0"/>
    <x v="0"/>
    <n v="2239302200"/>
    <x v="6"/>
    <n v="5000"/>
    <x v="2"/>
    <x v="0"/>
    <x v="58"/>
    <x v="6"/>
    <x v="0"/>
    <x v="0"/>
    <x v="5"/>
    <x v="0"/>
  </r>
  <r>
    <x v="0"/>
    <x v="0"/>
    <n v="2239302201"/>
    <x v="3"/>
    <n v="3250"/>
    <x v="2"/>
    <x v="0"/>
    <x v="58"/>
    <x v="3"/>
    <x v="0"/>
    <x v="0"/>
    <x v="3"/>
    <x v="0"/>
  </r>
  <r>
    <x v="0"/>
    <x v="0"/>
    <n v="2239302202"/>
    <x v="2"/>
    <n v="4000"/>
    <x v="2"/>
    <x v="0"/>
    <x v="58"/>
    <x v="2"/>
    <x v="0"/>
    <x v="0"/>
    <x v="2"/>
    <x v="0"/>
  </r>
  <r>
    <x v="0"/>
    <x v="0"/>
    <n v="2239302203"/>
    <x v="1"/>
    <n v="17170"/>
    <x v="2"/>
    <x v="0"/>
    <x v="58"/>
    <x v="1"/>
    <x v="0"/>
    <x v="0"/>
    <x v="1"/>
    <x v="0"/>
  </r>
  <r>
    <x v="0"/>
    <x v="0"/>
    <n v="2239302204"/>
    <x v="6"/>
    <n v="5000"/>
    <x v="2"/>
    <x v="0"/>
    <x v="58"/>
    <x v="6"/>
    <x v="0"/>
    <x v="0"/>
    <x v="5"/>
    <x v="0"/>
  </r>
  <r>
    <x v="0"/>
    <x v="0"/>
    <n v="2239302205"/>
    <x v="2"/>
    <n v="19195"/>
    <x v="2"/>
    <x v="0"/>
    <x v="58"/>
    <x v="2"/>
    <x v="0"/>
    <x v="0"/>
    <x v="2"/>
    <x v="0"/>
  </r>
  <r>
    <x v="0"/>
    <x v="0"/>
    <n v="2239302206"/>
    <x v="5"/>
    <n v="-7050"/>
    <x v="2"/>
    <x v="0"/>
    <x v="58"/>
    <x v="5"/>
    <x v="0"/>
    <x v="0"/>
    <x v="5"/>
    <x v="0"/>
  </r>
  <r>
    <x v="0"/>
    <x v="0"/>
    <n v="2239302206"/>
    <x v="6"/>
    <n v="30000"/>
    <x v="2"/>
    <x v="0"/>
    <x v="58"/>
    <x v="6"/>
    <x v="0"/>
    <x v="0"/>
    <x v="5"/>
    <x v="0"/>
  </r>
  <r>
    <x v="0"/>
    <x v="0"/>
    <n v="2239302207"/>
    <x v="6"/>
    <n v="5000"/>
    <x v="2"/>
    <x v="0"/>
    <x v="58"/>
    <x v="6"/>
    <x v="0"/>
    <x v="0"/>
    <x v="5"/>
    <x v="0"/>
  </r>
  <r>
    <x v="0"/>
    <x v="0"/>
    <n v="2239302208"/>
    <x v="3"/>
    <n v="6000"/>
    <x v="2"/>
    <x v="0"/>
    <x v="58"/>
    <x v="3"/>
    <x v="0"/>
    <x v="0"/>
    <x v="3"/>
    <x v="0"/>
  </r>
  <r>
    <x v="0"/>
    <x v="0"/>
    <n v="2239302209"/>
    <x v="5"/>
    <n v="-3000"/>
    <x v="2"/>
    <x v="0"/>
    <x v="58"/>
    <x v="5"/>
    <x v="0"/>
    <x v="0"/>
    <x v="5"/>
    <x v="0"/>
  </r>
  <r>
    <x v="0"/>
    <x v="0"/>
    <n v="2239302209"/>
    <x v="6"/>
    <n v="5000"/>
    <x v="2"/>
    <x v="0"/>
    <x v="58"/>
    <x v="6"/>
    <x v="0"/>
    <x v="0"/>
    <x v="5"/>
    <x v="0"/>
  </r>
  <r>
    <x v="0"/>
    <x v="0"/>
    <n v="2239302210"/>
    <x v="2"/>
    <n v="2000"/>
    <x v="2"/>
    <x v="0"/>
    <x v="58"/>
    <x v="2"/>
    <x v="0"/>
    <x v="0"/>
    <x v="2"/>
    <x v="0"/>
  </r>
  <r>
    <x v="0"/>
    <x v="0"/>
    <n v="2239302214"/>
    <x v="5"/>
    <n v="-4300"/>
    <x v="2"/>
    <x v="0"/>
    <x v="58"/>
    <x v="5"/>
    <x v="0"/>
    <x v="0"/>
    <x v="5"/>
    <x v="0"/>
  </r>
  <r>
    <x v="0"/>
    <x v="0"/>
    <n v="2239302214"/>
    <x v="4"/>
    <n v="10000"/>
    <x v="2"/>
    <x v="0"/>
    <x v="58"/>
    <x v="4"/>
    <x v="0"/>
    <x v="0"/>
    <x v="4"/>
    <x v="0"/>
  </r>
  <r>
    <x v="0"/>
    <x v="0"/>
    <n v="2239302215"/>
    <x v="1"/>
    <n v="19720"/>
    <x v="2"/>
    <x v="0"/>
    <x v="58"/>
    <x v="1"/>
    <x v="0"/>
    <x v="0"/>
    <x v="1"/>
    <x v="0"/>
  </r>
  <r>
    <x v="0"/>
    <x v="0"/>
    <n v="2239302217"/>
    <x v="2"/>
    <n v="7194"/>
    <x v="2"/>
    <x v="0"/>
    <x v="58"/>
    <x v="2"/>
    <x v="0"/>
    <x v="0"/>
    <x v="2"/>
    <x v="0"/>
  </r>
  <r>
    <x v="0"/>
    <x v="0"/>
    <n v="2239302217"/>
    <x v="7"/>
    <n v="4360"/>
    <x v="2"/>
    <x v="0"/>
    <x v="58"/>
    <x v="7"/>
    <x v="0"/>
    <x v="0"/>
    <x v="1"/>
    <x v="0"/>
  </r>
  <r>
    <x v="0"/>
    <x v="0"/>
    <n v="2239302219"/>
    <x v="5"/>
    <n v="-2200"/>
    <x v="2"/>
    <x v="0"/>
    <x v="58"/>
    <x v="5"/>
    <x v="0"/>
    <x v="0"/>
    <x v="5"/>
    <x v="0"/>
  </r>
  <r>
    <x v="0"/>
    <x v="0"/>
    <n v="2239302219"/>
    <x v="6"/>
    <n v="40000"/>
    <x v="2"/>
    <x v="0"/>
    <x v="58"/>
    <x v="6"/>
    <x v="0"/>
    <x v="0"/>
    <x v="5"/>
    <x v="0"/>
  </r>
  <r>
    <x v="0"/>
    <x v="0"/>
    <n v="2239302220"/>
    <x v="6"/>
    <n v="13300"/>
    <x v="2"/>
    <x v="0"/>
    <x v="58"/>
    <x v="6"/>
    <x v="0"/>
    <x v="0"/>
    <x v="5"/>
    <x v="0"/>
  </r>
  <r>
    <x v="0"/>
    <x v="0"/>
    <n v="2239302221"/>
    <x v="4"/>
    <n v="5300"/>
    <x v="2"/>
    <x v="0"/>
    <x v="58"/>
    <x v="4"/>
    <x v="0"/>
    <x v="0"/>
    <x v="4"/>
    <x v="0"/>
  </r>
  <r>
    <x v="0"/>
    <x v="0"/>
    <n v="2239302222"/>
    <x v="2"/>
    <n v="5200"/>
    <x v="2"/>
    <x v="0"/>
    <x v="58"/>
    <x v="2"/>
    <x v="0"/>
    <x v="0"/>
    <x v="2"/>
    <x v="0"/>
  </r>
  <r>
    <x v="0"/>
    <x v="0"/>
    <n v="2239302222"/>
    <x v="7"/>
    <n v="1300"/>
    <x v="2"/>
    <x v="0"/>
    <x v="58"/>
    <x v="7"/>
    <x v="0"/>
    <x v="0"/>
    <x v="1"/>
    <x v="0"/>
  </r>
  <r>
    <x v="0"/>
    <x v="0"/>
    <n v="2239302227"/>
    <x v="5"/>
    <n v="-300"/>
    <x v="2"/>
    <x v="0"/>
    <x v="58"/>
    <x v="5"/>
    <x v="0"/>
    <x v="0"/>
    <x v="5"/>
    <x v="0"/>
  </r>
  <r>
    <x v="0"/>
    <x v="0"/>
    <n v="2239302227"/>
    <x v="4"/>
    <n v="6000"/>
    <x v="2"/>
    <x v="0"/>
    <x v="58"/>
    <x v="4"/>
    <x v="0"/>
    <x v="0"/>
    <x v="4"/>
    <x v="0"/>
  </r>
  <r>
    <x v="0"/>
    <x v="0"/>
    <n v="2239302228"/>
    <x v="4"/>
    <n v="5600"/>
    <x v="2"/>
    <x v="0"/>
    <x v="58"/>
    <x v="4"/>
    <x v="0"/>
    <x v="0"/>
    <x v="4"/>
    <x v="0"/>
  </r>
  <r>
    <x v="0"/>
    <x v="0"/>
    <n v="2239302229"/>
    <x v="2"/>
    <n v="7000"/>
    <x v="2"/>
    <x v="0"/>
    <x v="58"/>
    <x v="2"/>
    <x v="0"/>
    <x v="0"/>
    <x v="2"/>
    <x v="0"/>
  </r>
  <r>
    <x v="0"/>
    <x v="0"/>
    <n v="2239302230"/>
    <x v="5"/>
    <n v="-600"/>
    <x v="2"/>
    <x v="0"/>
    <x v="58"/>
    <x v="5"/>
    <x v="0"/>
    <x v="0"/>
    <x v="5"/>
    <x v="0"/>
  </r>
  <r>
    <x v="0"/>
    <x v="0"/>
    <n v="2239302230"/>
    <x v="4"/>
    <n v="5000"/>
    <x v="2"/>
    <x v="0"/>
    <x v="58"/>
    <x v="4"/>
    <x v="0"/>
    <x v="0"/>
    <x v="4"/>
    <x v="0"/>
  </r>
  <r>
    <x v="0"/>
    <x v="0"/>
    <n v="2239302231"/>
    <x v="5"/>
    <n v="-6000"/>
    <x v="2"/>
    <x v="0"/>
    <x v="58"/>
    <x v="5"/>
    <x v="0"/>
    <x v="0"/>
    <x v="5"/>
    <x v="0"/>
  </r>
  <r>
    <x v="0"/>
    <x v="0"/>
    <n v="2239302231"/>
    <x v="4"/>
    <n v="10400"/>
    <x v="2"/>
    <x v="0"/>
    <x v="58"/>
    <x v="4"/>
    <x v="0"/>
    <x v="0"/>
    <x v="4"/>
    <x v="0"/>
  </r>
  <r>
    <x v="0"/>
    <x v="0"/>
    <n v="2239302232"/>
    <x v="1"/>
    <n v="10740"/>
    <x v="2"/>
    <x v="0"/>
    <x v="58"/>
    <x v="1"/>
    <x v="0"/>
    <x v="0"/>
    <x v="1"/>
    <x v="0"/>
  </r>
  <r>
    <x v="0"/>
    <x v="0"/>
    <n v="2239302233"/>
    <x v="5"/>
    <n v="-3360"/>
    <x v="2"/>
    <x v="0"/>
    <x v="58"/>
    <x v="5"/>
    <x v="0"/>
    <x v="0"/>
    <x v="5"/>
    <x v="0"/>
  </r>
  <r>
    <x v="0"/>
    <x v="0"/>
    <n v="2239302233"/>
    <x v="6"/>
    <n v="10000"/>
    <x v="2"/>
    <x v="0"/>
    <x v="58"/>
    <x v="6"/>
    <x v="0"/>
    <x v="0"/>
    <x v="5"/>
    <x v="0"/>
  </r>
  <r>
    <x v="0"/>
    <x v="0"/>
    <n v="2239302234"/>
    <x v="5"/>
    <n v="-4750"/>
    <x v="2"/>
    <x v="0"/>
    <x v="58"/>
    <x v="5"/>
    <x v="0"/>
    <x v="0"/>
    <x v="5"/>
    <x v="0"/>
  </r>
  <r>
    <x v="0"/>
    <x v="0"/>
    <n v="2239302234"/>
    <x v="6"/>
    <n v="10000"/>
    <x v="2"/>
    <x v="0"/>
    <x v="58"/>
    <x v="6"/>
    <x v="0"/>
    <x v="0"/>
    <x v="5"/>
    <x v="0"/>
  </r>
  <r>
    <x v="0"/>
    <x v="0"/>
    <n v="2239302234"/>
    <x v="7"/>
    <n v="2250"/>
    <x v="2"/>
    <x v="0"/>
    <x v="58"/>
    <x v="7"/>
    <x v="0"/>
    <x v="0"/>
    <x v="1"/>
    <x v="0"/>
  </r>
  <r>
    <x v="0"/>
    <x v="0"/>
    <n v="2239302235"/>
    <x v="5"/>
    <n v="-14500"/>
    <x v="2"/>
    <x v="0"/>
    <x v="58"/>
    <x v="5"/>
    <x v="0"/>
    <x v="0"/>
    <x v="5"/>
    <x v="0"/>
  </r>
  <r>
    <x v="0"/>
    <x v="0"/>
    <n v="2239302235"/>
    <x v="4"/>
    <n v="20200"/>
    <x v="2"/>
    <x v="0"/>
    <x v="58"/>
    <x v="4"/>
    <x v="0"/>
    <x v="0"/>
    <x v="4"/>
    <x v="0"/>
  </r>
  <r>
    <x v="0"/>
    <x v="0"/>
    <n v="2239302236"/>
    <x v="5"/>
    <n v="-6000"/>
    <x v="2"/>
    <x v="0"/>
    <x v="58"/>
    <x v="5"/>
    <x v="0"/>
    <x v="0"/>
    <x v="5"/>
    <x v="0"/>
  </r>
  <r>
    <x v="0"/>
    <x v="0"/>
    <n v="2239302236"/>
    <x v="4"/>
    <n v="10400"/>
    <x v="2"/>
    <x v="0"/>
    <x v="58"/>
    <x v="4"/>
    <x v="0"/>
    <x v="0"/>
    <x v="4"/>
    <x v="0"/>
  </r>
  <r>
    <x v="0"/>
    <x v="0"/>
    <n v="2239302237"/>
    <x v="2"/>
    <n v="14300"/>
    <x v="2"/>
    <x v="0"/>
    <x v="58"/>
    <x v="2"/>
    <x v="0"/>
    <x v="0"/>
    <x v="2"/>
    <x v="0"/>
  </r>
  <r>
    <x v="0"/>
    <x v="0"/>
    <n v="2239302239"/>
    <x v="2"/>
    <n v="14000"/>
    <x v="2"/>
    <x v="0"/>
    <x v="58"/>
    <x v="2"/>
    <x v="0"/>
    <x v="0"/>
    <x v="2"/>
    <x v="0"/>
  </r>
  <r>
    <x v="0"/>
    <x v="0"/>
    <n v="2239302240"/>
    <x v="2"/>
    <n v="22330"/>
    <x v="2"/>
    <x v="0"/>
    <x v="58"/>
    <x v="2"/>
    <x v="0"/>
    <x v="0"/>
    <x v="2"/>
    <x v="0"/>
  </r>
  <r>
    <x v="0"/>
    <x v="0"/>
    <n v="2239302241"/>
    <x v="2"/>
    <n v="6500"/>
    <x v="2"/>
    <x v="0"/>
    <x v="58"/>
    <x v="2"/>
    <x v="0"/>
    <x v="0"/>
    <x v="2"/>
    <x v="0"/>
  </r>
  <r>
    <x v="0"/>
    <x v="0"/>
    <n v="2239302243"/>
    <x v="5"/>
    <n v="-5600"/>
    <x v="2"/>
    <x v="0"/>
    <x v="58"/>
    <x v="5"/>
    <x v="0"/>
    <x v="0"/>
    <x v="5"/>
    <x v="0"/>
  </r>
  <r>
    <x v="0"/>
    <x v="0"/>
    <n v="2239302243"/>
    <x v="4"/>
    <n v="10000"/>
    <x v="2"/>
    <x v="0"/>
    <x v="58"/>
    <x v="4"/>
    <x v="0"/>
    <x v="0"/>
    <x v="4"/>
    <x v="0"/>
  </r>
  <r>
    <x v="0"/>
    <x v="0"/>
    <n v="2239302244"/>
    <x v="2"/>
    <n v="7500"/>
    <x v="2"/>
    <x v="0"/>
    <x v="58"/>
    <x v="2"/>
    <x v="0"/>
    <x v="0"/>
    <x v="2"/>
    <x v="0"/>
  </r>
  <r>
    <x v="0"/>
    <x v="0"/>
    <n v="2239302245"/>
    <x v="5"/>
    <n v="-4300"/>
    <x v="2"/>
    <x v="0"/>
    <x v="58"/>
    <x v="5"/>
    <x v="0"/>
    <x v="0"/>
    <x v="5"/>
    <x v="0"/>
  </r>
  <r>
    <x v="0"/>
    <x v="0"/>
    <n v="2239302245"/>
    <x v="4"/>
    <n v="10000"/>
    <x v="2"/>
    <x v="0"/>
    <x v="58"/>
    <x v="4"/>
    <x v="0"/>
    <x v="0"/>
    <x v="4"/>
    <x v="0"/>
  </r>
  <r>
    <x v="0"/>
    <x v="0"/>
    <n v="2239302248"/>
    <x v="2"/>
    <n v="5720"/>
    <x v="2"/>
    <x v="0"/>
    <x v="58"/>
    <x v="2"/>
    <x v="0"/>
    <x v="0"/>
    <x v="2"/>
    <x v="0"/>
  </r>
  <r>
    <x v="0"/>
    <x v="0"/>
    <n v="2239302248"/>
    <x v="7"/>
    <n v="1300"/>
    <x v="2"/>
    <x v="0"/>
    <x v="58"/>
    <x v="7"/>
    <x v="0"/>
    <x v="0"/>
    <x v="1"/>
    <x v="0"/>
  </r>
  <r>
    <x v="0"/>
    <x v="0"/>
    <n v="2239302249"/>
    <x v="2"/>
    <n v="9163"/>
    <x v="2"/>
    <x v="0"/>
    <x v="58"/>
    <x v="2"/>
    <x v="0"/>
    <x v="0"/>
    <x v="2"/>
    <x v="0"/>
  </r>
  <r>
    <x v="0"/>
    <x v="0"/>
    <n v="2239302249"/>
    <x v="7"/>
    <n v="2970"/>
    <x v="2"/>
    <x v="0"/>
    <x v="58"/>
    <x v="7"/>
    <x v="0"/>
    <x v="0"/>
    <x v="1"/>
    <x v="0"/>
  </r>
  <r>
    <x v="0"/>
    <x v="0"/>
    <n v="2239302250"/>
    <x v="5"/>
    <n v="-5000"/>
    <x v="2"/>
    <x v="0"/>
    <x v="58"/>
    <x v="5"/>
    <x v="0"/>
    <x v="0"/>
    <x v="5"/>
    <x v="0"/>
  </r>
  <r>
    <x v="0"/>
    <x v="0"/>
    <n v="2239302250"/>
    <x v="4"/>
    <n v="10600"/>
    <x v="2"/>
    <x v="0"/>
    <x v="58"/>
    <x v="4"/>
    <x v="0"/>
    <x v="0"/>
    <x v="4"/>
    <x v="0"/>
  </r>
  <r>
    <x v="0"/>
    <x v="0"/>
    <n v="2239302251"/>
    <x v="5"/>
    <n v="-4500"/>
    <x v="2"/>
    <x v="0"/>
    <x v="58"/>
    <x v="5"/>
    <x v="0"/>
    <x v="0"/>
    <x v="5"/>
    <x v="0"/>
  </r>
  <r>
    <x v="0"/>
    <x v="0"/>
    <n v="2239302251"/>
    <x v="4"/>
    <n v="10200"/>
    <x v="2"/>
    <x v="0"/>
    <x v="58"/>
    <x v="4"/>
    <x v="0"/>
    <x v="0"/>
    <x v="4"/>
    <x v="0"/>
  </r>
  <r>
    <x v="0"/>
    <x v="0"/>
    <n v="2239302252"/>
    <x v="5"/>
    <n v="-6000"/>
    <x v="2"/>
    <x v="0"/>
    <x v="58"/>
    <x v="5"/>
    <x v="0"/>
    <x v="0"/>
    <x v="5"/>
    <x v="0"/>
  </r>
  <r>
    <x v="0"/>
    <x v="0"/>
    <n v="2239302252"/>
    <x v="6"/>
    <n v="20000"/>
    <x v="2"/>
    <x v="0"/>
    <x v="58"/>
    <x v="6"/>
    <x v="0"/>
    <x v="0"/>
    <x v="5"/>
    <x v="0"/>
  </r>
  <r>
    <x v="0"/>
    <x v="0"/>
    <n v="2239302253"/>
    <x v="2"/>
    <n v="13000"/>
    <x v="2"/>
    <x v="0"/>
    <x v="58"/>
    <x v="2"/>
    <x v="0"/>
    <x v="0"/>
    <x v="2"/>
    <x v="0"/>
  </r>
  <r>
    <x v="0"/>
    <x v="0"/>
    <n v="2239302254"/>
    <x v="5"/>
    <n v="-4700"/>
    <x v="2"/>
    <x v="0"/>
    <x v="58"/>
    <x v="5"/>
    <x v="0"/>
    <x v="0"/>
    <x v="5"/>
    <x v="0"/>
  </r>
  <r>
    <x v="0"/>
    <x v="0"/>
    <n v="2239302254"/>
    <x v="4"/>
    <n v="10000"/>
    <x v="2"/>
    <x v="0"/>
    <x v="58"/>
    <x v="4"/>
    <x v="0"/>
    <x v="0"/>
    <x v="4"/>
    <x v="0"/>
  </r>
  <r>
    <x v="0"/>
    <x v="0"/>
    <n v="2239302256"/>
    <x v="2"/>
    <n v="15400"/>
    <x v="2"/>
    <x v="0"/>
    <x v="58"/>
    <x v="2"/>
    <x v="0"/>
    <x v="0"/>
    <x v="2"/>
    <x v="0"/>
  </r>
  <r>
    <x v="0"/>
    <x v="0"/>
    <n v="2239302257"/>
    <x v="5"/>
    <n v="-4300"/>
    <x v="2"/>
    <x v="0"/>
    <x v="58"/>
    <x v="5"/>
    <x v="0"/>
    <x v="0"/>
    <x v="5"/>
    <x v="0"/>
  </r>
  <r>
    <x v="0"/>
    <x v="0"/>
    <n v="2239302257"/>
    <x v="4"/>
    <n v="10000"/>
    <x v="2"/>
    <x v="0"/>
    <x v="58"/>
    <x v="4"/>
    <x v="0"/>
    <x v="0"/>
    <x v="4"/>
    <x v="0"/>
  </r>
  <r>
    <x v="0"/>
    <x v="0"/>
    <n v="2239302258"/>
    <x v="3"/>
    <n v="46090"/>
    <x v="2"/>
    <x v="0"/>
    <x v="58"/>
    <x v="3"/>
    <x v="0"/>
    <x v="0"/>
    <x v="3"/>
    <x v="0"/>
  </r>
  <r>
    <x v="0"/>
    <x v="0"/>
    <n v="2239302259"/>
    <x v="2"/>
    <n v="3000"/>
    <x v="2"/>
    <x v="0"/>
    <x v="58"/>
    <x v="2"/>
    <x v="0"/>
    <x v="0"/>
    <x v="2"/>
    <x v="0"/>
  </r>
  <r>
    <x v="0"/>
    <x v="0"/>
    <n v="2239302260"/>
    <x v="6"/>
    <n v="3000"/>
    <x v="2"/>
    <x v="0"/>
    <x v="58"/>
    <x v="6"/>
    <x v="0"/>
    <x v="0"/>
    <x v="5"/>
    <x v="0"/>
  </r>
  <r>
    <x v="0"/>
    <x v="0"/>
    <n v="2239302263"/>
    <x v="2"/>
    <n v="13000"/>
    <x v="2"/>
    <x v="0"/>
    <x v="58"/>
    <x v="2"/>
    <x v="0"/>
    <x v="0"/>
    <x v="2"/>
    <x v="0"/>
  </r>
  <r>
    <x v="0"/>
    <x v="0"/>
    <n v="2239302264"/>
    <x v="2"/>
    <n v="18150"/>
    <x v="2"/>
    <x v="0"/>
    <x v="58"/>
    <x v="2"/>
    <x v="0"/>
    <x v="0"/>
    <x v="2"/>
    <x v="0"/>
  </r>
  <r>
    <x v="0"/>
    <x v="0"/>
    <n v="2239302266"/>
    <x v="2"/>
    <n v="14960"/>
    <x v="2"/>
    <x v="0"/>
    <x v="58"/>
    <x v="2"/>
    <x v="0"/>
    <x v="0"/>
    <x v="2"/>
    <x v="0"/>
  </r>
  <r>
    <x v="0"/>
    <x v="0"/>
    <n v="2239302266"/>
    <x v="7"/>
    <n v="1300"/>
    <x v="2"/>
    <x v="0"/>
    <x v="58"/>
    <x v="7"/>
    <x v="0"/>
    <x v="0"/>
    <x v="1"/>
    <x v="0"/>
  </r>
  <r>
    <x v="0"/>
    <x v="0"/>
    <n v="2239302267"/>
    <x v="5"/>
    <n v="-9100"/>
    <x v="2"/>
    <x v="0"/>
    <x v="58"/>
    <x v="5"/>
    <x v="0"/>
    <x v="0"/>
    <x v="5"/>
    <x v="0"/>
  </r>
  <r>
    <x v="0"/>
    <x v="0"/>
    <n v="2239302267"/>
    <x v="6"/>
    <n v="30000"/>
    <x v="2"/>
    <x v="0"/>
    <x v="58"/>
    <x v="6"/>
    <x v="0"/>
    <x v="0"/>
    <x v="5"/>
    <x v="0"/>
  </r>
  <r>
    <x v="0"/>
    <x v="0"/>
    <n v="2239302270"/>
    <x v="5"/>
    <n v="-1000"/>
    <x v="2"/>
    <x v="0"/>
    <x v="58"/>
    <x v="5"/>
    <x v="0"/>
    <x v="0"/>
    <x v="5"/>
    <x v="0"/>
  </r>
  <r>
    <x v="0"/>
    <x v="0"/>
    <n v="2239302270"/>
    <x v="6"/>
    <n v="20000"/>
    <x v="2"/>
    <x v="0"/>
    <x v="58"/>
    <x v="6"/>
    <x v="0"/>
    <x v="0"/>
    <x v="5"/>
    <x v="0"/>
  </r>
  <r>
    <x v="0"/>
    <x v="0"/>
    <n v="2239302271"/>
    <x v="2"/>
    <n v="10500"/>
    <x v="2"/>
    <x v="0"/>
    <x v="58"/>
    <x v="2"/>
    <x v="0"/>
    <x v="0"/>
    <x v="2"/>
    <x v="0"/>
  </r>
  <r>
    <x v="0"/>
    <x v="0"/>
    <n v="2239302272"/>
    <x v="5"/>
    <n v="-600"/>
    <x v="2"/>
    <x v="0"/>
    <x v="58"/>
    <x v="5"/>
    <x v="0"/>
    <x v="0"/>
    <x v="5"/>
    <x v="0"/>
  </r>
  <r>
    <x v="0"/>
    <x v="0"/>
    <n v="2239302272"/>
    <x v="4"/>
    <n v="5000"/>
    <x v="2"/>
    <x v="0"/>
    <x v="58"/>
    <x v="4"/>
    <x v="0"/>
    <x v="0"/>
    <x v="4"/>
    <x v="0"/>
  </r>
  <r>
    <x v="0"/>
    <x v="0"/>
    <n v="2239302273"/>
    <x v="2"/>
    <n v="15400"/>
    <x v="2"/>
    <x v="0"/>
    <x v="58"/>
    <x v="2"/>
    <x v="0"/>
    <x v="0"/>
    <x v="2"/>
    <x v="0"/>
  </r>
  <r>
    <x v="0"/>
    <x v="0"/>
    <n v="2239302274"/>
    <x v="2"/>
    <n v="9000"/>
    <x v="2"/>
    <x v="0"/>
    <x v="58"/>
    <x v="2"/>
    <x v="0"/>
    <x v="0"/>
    <x v="2"/>
    <x v="0"/>
  </r>
  <r>
    <x v="0"/>
    <x v="0"/>
    <n v="2239302275"/>
    <x v="3"/>
    <n v="19500"/>
    <x v="2"/>
    <x v="0"/>
    <x v="58"/>
    <x v="3"/>
    <x v="0"/>
    <x v="0"/>
    <x v="3"/>
    <x v="0"/>
  </r>
  <r>
    <x v="0"/>
    <x v="0"/>
    <n v="2239302276"/>
    <x v="5"/>
    <n v="-4400"/>
    <x v="2"/>
    <x v="0"/>
    <x v="58"/>
    <x v="5"/>
    <x v="0"/>
    <x v="0"/>
    <x v="5"/>
    <x v="0"/>
  </r>
  <r>
    <x v="0"/>
    <x v="0"/>
    <n v="2239302276"/>
    <x v="4"/>
    <n v="10000"/>
    <x v="2"/>
    <x v="0"/>
    <x v="58"/>
    <x v="4"/>
    <x v="0"/>
    <x v="0"/>
    <x v="4"/>
    <x v="0"/>
  </r>
  <r>
    <x v="0"/>
    <x v="0"/>
    <n v="2239302277"/>
    <x v="5"/>
    <n v="-700"/>
    <x v="2"/>
    <x v="0"/>
    <x v="58"/>
    <x v="5"/>
    <x v="0"/>
    <x v="0"/>
    <x v="5"/>
    <x v="0"/>
  </r>
  <r>
    <x v="0"/>
    <x v="0"/>
    <n v="2239302277"/>
    <x v="4"/>
    <n v="6000"/>
    <x v="2"/>
    <x v="0"/>
    <x v="58"/>
    <x v="4"/>
    <x v="0"/>
    <x v="0"/>
    <x v="4"/>
    <x v="0"/>
  </r>
  <r>
    <x v="0"/>
    <x v="0"/>
    <n v="2239302279"/>
    <x v="5"/>
    <n v="-6500"/>
    <x v="2"/>
    <x v="0"/>
    <x v="58"/>
    <x v="5"/>
    <x v="0"/>
    <x v="0"/>
    <x v="5"/>
    <x v="0"/>
  </r>
  <r>
    <x v="0"/>
    <x v="0"/>
    <n v="2239302279"/>
    <x v="6"/>
    <n v="10000"/>
    <x v="2"/>
    <x v="0"/>
    <x v="58"/>
    <x v="6"/>
    <x v="0"/>
    <x v="0"/>
    <x v="5"/>
    <x v="0"/>
  </r>
  <r>
    <x v="0"/>
    <x v="0"/>
    <n v="2239302281"/>
    <x v="5"/>
    <n v="-5500"/>
    <x v="2"/>
    <x v="0"/>
    <x v="58"/>
    <x v="5"/>
    <x v="0"/>
    <x v="0"/>
    <x v="5"/>
    <x v="0"/>
  </r>
  <r>
    <x v="0"/>
    <x v="0"/>
    <n v="2239302281"/>
    <x v="4"/>
    <n v="10000"/>
    <x v="2"/>
    <x v="0"/>
    <x v="58"/>
    <x v="4"/>
    <x v="0"/>
    <x v="0"/>
    <x v="4"/>
    <x v="0"/>
  </r>
  <r>
    <x v="0"/>
    <x v="0"/>
    <n v="2239302282"/>
    <x v="5"/>
    <n v="-600"/>
    <x v="2"/>
    <x v="0"/>
    <x v="58"/>
    <x v="5"/>
    <x v="0"/>
    <x v="0"/>
    <x v="5"/>
    <x v="0"/>
  </r>
  <r>
    <x v="0"/>
    <x v="0"/>
    <n v="2239302282"/>
    <x v="4"/>
    <n v="5000"/>
    <x v="2"/>
    <x v="0"/>
    <x v="58"/>
    <x v="4"/>
    <x v="0"/>
    <x v="0"/>
    <x v="4"/>
    <x v="0"/>
  </r>
  <r>
    <x v="0"/>
    <x v="0"/>
    <n v="2239302283"/>
    <x v="5"/>
    <n v="-3000"/>
    <x v="2"/>
    <x v="0"/>
    <x v="58"/>
    <x v="5"/>
    <x v="0"/>
    <x v="0"/>
    <x v="5"/>
    <x v="0"/>
  </r>
  <r>
    <x v="0"/>
    <x v="0"/>
    <n v="2239302283"/>
    <x v="6"/>
    <n v="10000"/>
    <x v="2"/>
    <x v="0"/>
    <x v="58"/>
    <x v="6"/>
    <x v="0"/>
    <x v="0"/>
    <x v="5"/>
    <x v="0"/>
  </r>
  <r>
    <x v="0"/>
    <x v="0"/>
    <n v="2239302284"/>
    <x v="5"/>
    <n v="-14700"/>
    <x v="2"/>
    <x v="0"/>
    <x v="58"/>
    <x v="5"/>
    <x v="0"/>
    <x v="0"/>
    <x v="5"/>
    <x v="0"/>
  </r>
  <r>
    <x v="0"/>
    <x v="0"/>
    <n v="2239302284"/>
    <x v="4"/>
    <n v="20000"/>
    <x v="2"/>
    <x v="0"/>
    <x v="58"/>
    <x v="4"/>
    <x v="0"/>
    <x v="0"/>
    <x v="4"/>
    <x v="0"/>
  </r>
  <r>
    <x v="0"/>
    <x v="0"/>
    <n v="2239302285"/>
    <x v="8"/>
    <n v="6500"/>
    <x v="2"/>
    <x v="0"/>
    <x v="58"/>
    <x v="8"/>
    <x v="0"/>
    <x v="0"/>
    <x v="3"/>
    <x v="0"/>
  </r>
  <r>
    <x v="0"/>
    <x v="0"/>
    <n v="2239302286"/>
    <x v="5"/>
    <n v="-10500"/>
    <x v="2"/>
    <x v="0"/>
    <x v="58"/>
    <x v="5"/>
    <x v="0"/>
    <x v="0"/>
    <x v="5"/>
    <x v="0"/>
  </r>
  <r>
    <x v="0"/>
    <x v="0"/>
    <n v="2239302286"/>
    <x v="6"/>
    <n v="20000"/>
    <x v="2"/>
    <x v="0"/>
    <x v="58"/>
    <x v="6"/>
    <x v="0"/>
    <x v="0"/>
    <x v="5"/>
    <x v="0"/>
  </r>
  <r>
    <x v="0"/>
    <x v="0"/>
    <n v="2239302287"/>
    <x v="5"/>
    <n v="-14700"/>
    <x v="2"/>
    <x v="0"/>
    <x v="58"/>
    <x v="5"/>
    <x v="0"/>
    <x v="0"/>
    <x v="5"/>
    <x v="0"/>
  </r>
  <r>
    <x v="0"/>
    <x v="0"/>
    <n v="2239302287"/>
    <x v="4"/>
    <n v="20000"/>
    <x v="2"/>
    <x v="0"/>
    <x v="58"/>
    <x v="4"/>
    <x v="0"/>
    <x v="0"/>
    <x v="4"/>
    <x v="0"/>
  </r>
  <r>
    <x v="0"/>
    <x v="0"/>
    <n v="2239302288"/>
    <x v="2"/>
    <n v="14300"/>
    <x v="2"/>
    <x v="0"/>
    <x v="58"/>
    <x v="2"/>
    <x v="0"/>
    <x v="0"/>
    <x v="2"/>
    <x v="0"/>
  </r>
  <r>
    <x v="0"/>
    <x v="0"/>
    <n v="2239302289"/>
    <x v="5"/>
    <n v="-4700"/>
    <x v="2"/>
    <x v="0"/>
    <x v="58"/>
    <x v="5"/>
    <x v="0"/>
    <x v="0"/>
    <x v="5"/>
    <x v="0"/>
  </r>
  <r>
    <x v="0"/>
    <x v="0"/>
    <n v="2239302289"/>
    <x v="4"/>
    <n v="10000"/>
    <x v="2"/>
    <x v="0"/>
    <x v="58"/>
    <x v="4"/>
    <x v="0"/>
    <x v="0"/>
    <x v="4"/>
    <x v="0"/>
  </r>
  <r>
    <x v="0"/>
    <x v="0"/>
    <n v="2239302290"/>
    <x v="5"/>
    <n v="-500"/>
    <x v="2"/>
    <x v="0"/>
    <x v="58"/>
    <x v="5"/>
    <x v="0"/>
    <x v="0"/>
    <x v="5"/>
    <x v="0"/>
  </r>
  <r>
    <x v="0"/>
    <x v="0"/>
    <n v="2239302290"/>
    <x v="6"/>
    <n v="25000"/>
    <x v="2"/>
    <x v="0"/>
    <x v="58"/>
    <x v="6"/>
    <x v="0"/>
    <x v="0"/>
    <x v="5"/>
    <x v="0"/>
  </r>
  <r>
    <x v="0"/>
    <x v="0"/>
    <n v="2239302291"/>
    <x v="5"/>
    <n v="-1500"/>
    <x v="2"/>
    <x v="0"/>
    <x v="58"/>
    <x v="5"/>
    <x v="0"/>
    <x v="0"/>
    <x v="5"/>
    <x v="0"/>
  </r>
  <r>
    <x v="0"/>
    <x v="0"/>
    <n v="2239302291"/>
    <x v="6"/>
    <n v="5000"/>
    <x v="2"/>
    <x v="0"/>
    <x v="58"/>
    <x v="6"/>
    <x v="0"/>
    <x v="0"/>
    <x v="5"/>
    <x v="0"/>
  </r>
  <r>
    <x v="0"/>
    <x v="0"/>
    <n v="2239302292"/>
    <x v="2"/>
    <n v="6500"/>
    <x v="2"/>
    <x v="0"/>
    <x v="58"/>
    <x v="2"/>
    <x v="0"/>
    <x v="0"/>
    <x v="2"/>
    <x v="0"/>
  </r>
  <r>
    <x v="0"/>
    <x v="0"/>
    <n v="2239302294"/>
    <x v="2"/>
    <n v="17550"/>
    <x v="2"/>
    <x v="0"/>
    <x v="58"/>
    <x v="2"/>
    <x v="0"/>
    <x v="0"/>
    <x v="2"/>
    <x v="0"/>
  </r>
  <r>
    <x v="0"/>
    <x v="0"/>
    <n v="2239302295"/>
    <x v="5"/>
    <n v="-14700"/>
    <x v="2"/>
    <x v="0"/>
    <x v="58"/>
    <x v="5"/>
    <x v="0"/>
    <x v="0"/>
    <x v="5"/>
    <x v="0"/>
  </r>
  <r>
    <x v="0"/>
    <x v="0"/>
    <n v="2239302295"/>
    <x v="4"/>
    <n v="20000"/>
    <x v="2"/>
    <x v="0"/>
    <x v="58"/>
    <x v="4"/>
    <x v="0"/>
    <x v="0"/>
    <x v="4"/>
    <x v="0"/>
  </r>
  <r>
    <x v="0"/>
    <x v="0"/>
    <n v="2239302296"/>
    <x v="2"/>
    <n v="8000"/>
    <x v="2"/>
    <x v="0"/>
    <x v="58"/>
    <x v="2"/>
    <x v="0"/>
    <x v="0"/>
    <x v="2"/>
    <x v="0"/>
  </r>
  <r>
    <x v="0"/>
    <x v="0"/>
    <n v="2239302297"/>
    <x v="5"/>
    <n v="-1200"/>
    <x v="2"/>
    <x v="0"/>
    <x v="58"/>
    <x v="5"/>
    <x v="0"/>
    <x v="0"/>
    <x v="5"/>
    <x v="0"/>
  </r>
  <r>
    <x v="0"/>
    <x v="0"/>
    <n v="2239302297"/>
    <x v="6"/>
    <n v="5000"/>
    <x v="2"/>
    <x v="0"/>
    <x v="58"/>
    <x v="6"/>
    <x v="0"/>
    <x v="0"/>
    <x v="5"/>
    <x v="0"/>
  </r>
  <r>
    <x v="0"/>
    <x v="0"/>
    <n v="2239302298"/>
    <x v="2"/>
    <n v="11990"/>
    <x v="2"/>
    <x v="0"/>
    <x v="58"/>
    <x v="2"/>
    <x v="0"/>
    <x v="0"/>
    <x v="2"/>
    <x v="0"/>
  </r>
  <r>
    <x v="0"/>
    <x v="0"/>
    <n v="2239302299"/>
    <x v="2"/>
    <n v="18150"/>
    <x v="2"/>
    <x v="0"/>
    <x v="58"/>
    <x v="2"/>
    <x v="0"/>
    <x v="0"/>
    <x v="2"/>
    <x v="0"/>
  </r>
  <r>
    <x v="0"/>
    <x v="0"/>
    <n v="2239302300"/>
    <x v="3"/>
    <n v="21450"/>
    <x v="2"/>
    <x v="0"/>
    <x v="58"/>
    <x v="3"/>
    <x v="0"/>
    <x v="0"/>
    <x v="3"/>
    <x v="0"/>
  </r>
  <r>
    <x v="0"/>
    <x v="0"/>
    <n v="2239302302"/>
    <x v="6"/>
    <n v="3500"/>
    <x v="2"/>
    <x v="0"/>
    <x v="58"/>
    <x v="6"/>
    <x v="0"/>
    <x v="0"/>
    <x v="5"/>
    <x v="0"/>
  </r>
  <r>
    <x v="0"/>
    <x v="0"/>
    <n v="2239302305"/>
    <x v="3"/>
    <n v="17600"/>
    <x v="2"/>
    <x v="0"/>
    <x v="58"/>
    <x v="3"/>
    <x v="0"/>
    <x v="0"/>
    <x v="3"/>
    <x v="0"/>
  </r>
  <r>
    <x v="0"/>
    <x v="0"/>
    <n v="2239302306"/>
    <x v="2"/>
    <n v="7500"/>
    <x v="2"/>
    <x v="0"/>
    <x v="58"/>
    <x v="2"/>
    <x v="0"/>
    <x v="0"/>
    <x v="2"/>
    <x v="0"/>
  </r>
  <r>
    <x v="0"/>
    <x v="0"/>
    <n v="2239302309"/>
    <x v="2"/>
    <n v="8000"/>
    <x v="2"/>
    <x v="0"/>
    <x v="58"/>
    <x v="2"/>
    <x v="0"/>
    <x v="0"/>
    <x v="2"/>
    <x v="0"/>
  </r>
  <r>
    <x v="0"/>
    <x v="0"/>
    <n v="2239302310"/>
    <x v="2"/>
    <n v="16500"/>
    <x v="2"/>
    <x v="0"/>
    <x v="58"/>
    <x v="2"/>
    <x v="0"/>
    <x v="0"/>
    <x v="2"/>
    <x v="0"/>
  </r>
  <r>
    <x v="0"/>
    <x v="0"/>
    <n v="2239302311"/>
    <x v="5"/>
    <n v="-540"/>
    <x v="2"/>
    <x v="0"/>
    <x v="58"/>
    <x v="5"/>
    <x v="0"/>
    <x v="0"/>
    <x v="5"/>
    <x v="0"/>
  </r>
  <r>
    <x v="0"/>
    <x v="0"/>
    <n v="2239302311"/>
    <x v="6"/>
    <n v="3000"/>
    <x v="2"/>
    <x v="0"/>
    <x v="58"/>
    <x v="6"/>
    <x v="0"/>
    <x v="0"/>
    <x v="5"/>
    <x v="0"/>
  </r>
  <r>
    <x v="0"/>
    <x v="0"/>
    <n v="2239302311"/>
    <x v="2"/>
    <n v="17700"/>
    <x v="2"/>
    <x v="0"/>
    <x v="58"/>
    <x v="2"/>
    <x v="0"/>
    <x v="0"/>
    <x v="2"/>
    <x v="0"/>
  </r>
  <r>
    <x v="0"/>
    <x v="0"/>
    <n v="2239302311"/>
    <x v="7"/>
    <n v="6840"/>
    <x v="2"/>
    <x v="0"/>
    <x v="58"/>
    <x v="7"/>
    <x v="0"/>
    <x v="0"/>
    <x v="1"/>
    <x v="0"/>
  </r>
  <r>
    <x v="0"/>
    <x v="0"/>
    <n v="2239302313"/>
    <x v="2"/>
    <n v="10450"/>
    <x v="2"/>
    <x v="0"/>
    <x v="58"/>
    <x v="2"/>
    <x v="0"/>
    <x v="0"/>
    <x v="2"/>
    <x v="0"/>
  </r>
  <r>
    <x v="0"/>
    <x v="0"/>
    <n v="2239302314"/>
    <x v="2"/>
    <n v="3300"/>
    <x v="2"/>
    <x v="0"/>
    <x v="58"/>
    <x v="2"/>
    <x v="0"/>
    <x v="0"/>
    <x v="2"/>
    <x v="0"/>
  </r>
  <r>
    <x v="0"/>
    <x v="0"/>
    <n v="2239302315"/>
    <x v="5"/>
    <n v="-3500"/>
    <x v="2"/>
    <x v="0"/>
    <x v="58"/>
    <x v="5"/>
    <x v="0"/>
    <x v="0"/>
    <x v="5"/>
    <x v="0"/>
  </r>
  <r>
    <x v="0"/>
    <x v="0"/>
    <n v="2239302315"/>
    <x v="6"/>
    <n v="15000"/>
    <x v="2"/>
    <x v="0"/>
    <x v="58"/>
    <x v="6"/>
    <x v="0"/>
    <x v="0"/>
    <x v="5"/>
    <x v="0"/>
  </r>
  <r>
    <x v="0"/>
    <x v="0"/>
    <n v="2239302316"/>
    <x v="5"/>
    <n v="-5000"/>
    <x v="2"/>
    <x v="0"/>
    <x v="58"/>
    <x v="5"/>
    <x v="0"/>
    <x v="0"/>
    <x v="5"/>
    <x v="0"/>
  </r>
  <r>
    <x v="0"/>
    <x v="0"/>
    <n v="2239302316"/>
    <x v="4"/>
    <n v="10300"/>
    <x v="2"/>
    <x v="0"/>
    <x v="58"/>
    <x v="4"/>
    <x v="0"/>
    <x v="0"/>
    <x v="4"/>
    <x v="0"/>
  </r>
  <r>
    <x v="0"/>
    <x v="0"/>
    <n v="2239302317"/>
    <x v="2"/>
    <n v="23100"/>
    <x v="2"/>
    <x v="0"/>
    <x v="58"/>
    <x v="2"/>
    <x v="0"/>
    <x v="0"/>
    <x v="2"/>
    <x v="0"/>
  </r>
  <r>
    <x v="0"/>
    <x v="0"/>
    <n v="2239302318"/>
    <x v="5"/>
    <n v="-100"/>
    <x v="2"/>
    <x v="0"/>
    <x v="58"/>
    <x v="5"/>
    <x v="0"/>
    <x v="0"/>
    <x v="5"/>
    <x v="0"/>
  </r>
  <r>
    <x v="0"/>
    <x v="0"/>
    <n v="2239302318"/>
    <x v="6"/>
    <n v="10000"/>
    <x v="2"/>
    <x v="0"/>
    <x v="58"/>
    <x v="6"/>
    <x v="0"/>
    <x v="0"/>
    <x v="5"/>
    <x v="0"/>
  </r>
  <r>
    <x v="0"/>
    <x v="0"/>
    <n v="2239302320"/>
    <x v="3"/>
    <n v="23100"/>
    <x v="2"/>
    <x v="0"/>
    <x v="58"/>
    <x v="3"/>
    <x v="0"/>
    <x v="0"/>
    <x v="3"/>
    <x v="0"/>
  </r>
  <r>
    <x v="0"/>
    <x v="0"/>
    <n v="2239302321"/>
    <x v="3"/>
    <n v="22000"/>
    <x v="2"/>
    <x v="0"/>
    <x v="58"/>
    <x v="3"/>
    <x v="0"/>
    <x v="0"/>
    <x v="3"/>
    <x v="0"/>
  </r>
  <r>
    <x v="0"/>
    <x v="0"/>
    <n v="2239302322"/>
    <x v="5"/>
    <n v="-4700"/>
    <x v="2"/>
    <x v="0"/>
    <x v="58"/>
    <x v="5"/>
    <x v="0"/>
    <x v="0"/>
    <x v="5"/>
    <x v="0"/>
  </r>
  <r>
    <x v="0"/>
    <x v="0"/>
    <n v="2239302322"/>
    <x v="4"/>
    <n v="10000"/>
    <x v="2"/>
    <x v="0"/>
    <x v="58"/>
    <x v="4"/>
    <x v="0"/>
    <x v="0"/>
    <x v="4"/>
    <x v="0"/>
  </r>
  <r>
    <x v="0"/>
    <x v="0"/>
    <n v="2239307974"/>
    <x v="2"/>
    <n v="26700"/>
    <x v="2"/>
    <x v="0"/>
    <x v="20"/>
    <x v="2"/>
    <x v="0"/>
    <x v="0"/>
    <x v="2"/>
    <x v="0"/>
  </r>
  <r>
    <x v="0"/>
    <x v="0"/>
    <n v="2239307984"/>
    <x v="5"/>
    <n v="-17650"/>
    <x v="2"/>
    <x v="0"/>
    <x v="20"/>
    <x v="5"/>
    <x v="0"/>
    <x v="0"/>
    <x v="5"/>
    <x v="0"/>
  </r>
  <r>
    <x v="0"/>
    <x v="0"/>
    <n v="2239307984"/>
    <x v="6"/>
    <n v="60000"/>
    <x v="2"/>
    <x v="0"/>
    <x v="20"/>
    <x v="6"/>
    <x v="0"/>
    <x v="0"/>
    <x v="5"/>
    <x v="0"/>
  </r>
  <r>
    <x v="0"/>
    <x v="0"/>
    <n v="2239307988"/>
    <x v="1"/>
    <n v="8850"/>
    <x v="2"/>
    <x v="0"/>
    <x v="20"/>
    <x v="1"/>
    <x v="0"/>
    <x v="0"/>
    <x v="1"/>
    <x v="0"/>
  </r>
  <r>
    <x v="0"/>
    <x v="0"/>
    <n v="2239307991"/>
    <x v="1"/>
    <n v="9900"/>
    <x v="2"/>
    <x v="0"/>
    <x v="20"/>
    <x v="1"/>
    <x v="0"/>
    <x v="0"/>
    <x v="1"/>
    <x v="0"/>
  </r>
  <r>
    <x v="0"/>
    <x v="0"/>
    <n v="2239307992"/>
    <x v="1"/>
    <n v="3150"/>
    <x v="2"/>
    <x v="0"/>
    <x v="20"/>
    <x v="1"/>
    <x v="0"/>
    <x v="0"/>
    <x v="1"/>
    <x v="0"/>
  </r>
  <r>
    <x v="0"/>
    <x v="0"/>
    <n v="2239307993"/>
    <x v="1"/>
    <n v="13180"/>
    <x v="2"/>
    <x v="0"/>
    <x v="20"/>
    <x v="1"/>
    <x v="0"/>
    <x v="0"/>
    <x v="1"/>
    <x v="0"/>
  </r>
  <r>
    <x v="0"/>
    <x v="0"/>
    <n v="2239307994"/>
    <x v="1"/>
    <n v="1950"/>
    <x v="2"/>
    <x v="0"/>
    <x v="20"/>
    <x v="1"/>
    <x v="0"/>
    <x v="0"/>
    <x v="1"/>
    <x v="0"/>
  </r>
  <r>
    <x v="0"/>
    <x v="0"/>
    <n v="2239307995"/>
    <x v="1"/>
    <n v="2100"/>
    <x v="2"/>
    <x v="0"/>
    <x v="20"/>
    <x v="1"/>
    <x v="0"/>
    <x v="0"/>
    <x v="1"/>
    <x v="0"/>
  </r>
  <r>
    <x v="0"/>
    <x v="0"/>
    <n v="2239307996"/>
    <x v="1"/>
    <n v="25600"/>
    <x v="2"/>
    <x v="0"/>
    <x v="20"/>
    <x v="1"/>
    <x v="0"/>
    <x v="0"/>
    <x v="1"/>
    <x v="0"/>
  </r>
  <r>
    <x v="0"/>
    <x v="0"/>
    <n v="2239307997"/>
    <x v="1"/>
    <n v="900"/>
    <x v="2"/>
    <x v="0"/>
    <x v="20"/>
    <x v="1"/>
    <x v="0"/>
    <x v="0"/>
    <x v="1"/>
    <x v="0"/>
  </r>
  <r>
    <x v="0"/>
    <x v="0"/>
    <n v="2239307998"/>
    <x v="7"/>
    <n v="161000"/>
    <x v="2"/>
    <x v="0"/>
    <x v="20"/>
    <x v="7"/>
    <x v="0"/>
    <x v="0"/>
    <x v="1"/>
    <x v="0"/>
  </r>
  <r>
    <x v="0"/>
    <x v="0"/>
    <n v="2239307999"/>
    <x v="1"/>
    <n v="23580"/>
    <x v="2"/>
    <x v="0"/>
    <x v="20"/>
    <x v="1"/>
    <x v="0"/>
    <x v="0"/>
    <x v="1"/>
    <x v="0"/>
  </r>
  <r>
    <x v="0"/>
    <x v="0"/>
    <n v="2239308000"/>
    <x v="1"/>
    <n v="6300"/>
    <x v="2"/>
    <x v="0"/>
    <x v="20"/>
    <x v="1"/>
    <x v="0"/>
    <x v="0"/>
    <x v="1"/>
    <x v="0"/>
  </r>
  <r>
    <x v="0"/>
    <x v="0"/>
    <n v="2239308001"/>
    <x v="1"/>
    <n v="43900"/>
    <x v="2"/>
    <x v="0"/>
    <x v="20"/>
    <x v="1"/>
    <x v="0"/>
    <x v="0"/>
    <x v="1"/>
    <x v="0"/>
  </r>
  <r>
    <x v="0"/>
    <x v="0"/>
    <n v="2239308002"/>
    <x v="7"/>
    <n v="177000"/>
    <x v="2"/>
    <x v="0"/>
    <x v="20"/>
    <x v="7"/>
    <x v="0"/>
    <x v="0"/>
    <x v="1"/>
    <x v="0"/>
  </r>
  <r>
    <x v="0"/>
    <x v="0"/>
    <n v="2239308003"/>
    <x v="1"/>
    <n v="7200"/>
    <x v="2"/>
    <x v="0"/>
    <x v="20"/>
    <x v="1"/>
    <x v="0"/>
    <x v="0"/>
    <x v="1"/>
    <x v="0"/>
  </r>
  <r>
    <x v="0"/>
    <x v="0"/>
    <n v="2239308004"/>
    <x v="1"/>
    <n v="19770"/>
    <x v="2"/>
    <x v="0"/>
    <x v="20"/>
    <x v="1"/>
    <x v="0"/>
    <x v="0"/>
    <x v="1"/>
    <x v="0"/>
  </r>
  <r>
    <x v="0"/>
    <x v="0"/>
    <n v="2239308005"/>
    <x v="1"/>
    <n v="11970"/>
    <x v="2"/>
    <x v="0"/>
    <x v="20"/>
    <x v="1"/>
    <x v="0"/>
    <x v="0"/>
    <x v="1"/>
    <x v="0"/>
  </r>
  <r>
    <x v="0"/>
    <x v="0"/>
    <n v="2239308006"/>
    <x v="1"/>
    <n v="23900"/>
    <x v="2"/>
    <x v="0"/>
    <x v="20"/>
    <x v="1"/>
    <x v="0"/>
    <x v="0"/>
    <x v="1"/>
    <x v="0"/>
  </r>
  <r>
    <x v="0"/>
    <x v="0"/>
    <n v="2239308007"/>
    <x v="1"/>
    <n v="16000"/>
    <x v="2"/>
    <x v="0"/>
    <x v="20"/>
    <x v="1"/>
    <x v="0"/>
    <x v="0"/>
    <x v="1"/>
    <x v="0"/>
  </r>
  <r>
    <x v="0"/>
    <x v="0"/>
    <n v="2239308009"/>
    <x v="1"/>
    <n v="4500"/>
    <x v="2"/>
    <x v="0"/>
    <x v="20"/>
    <x v="1"/>
    <x v="0"/>
    <x v="0"/>
    <x v="1"/>
    <x v="0"/>
  </r>
  <r>
    <x v="0"/>
    <x v="0"/>
    <n v="2239308010"/>
    <x v="1"/>
    <n v="900"/>
    <x v="2"/>
    <x v="0"/>
    <x v="20"/>
    <x v="1"/>
    <x v="0"/>
    <x v="0"/>
    <x v="1"/>
    <x v="0"/>
  </r>
  <r>
    <x v="0"/>
    <x v="0"/>
    <n v="2239308011"/>
    <x v="1"/>
    <n v="16950"/>
    <x v="2"/>
    <x v="0"/>
    <x v="20"/>
    <x v="1"/>
    <x v="0"/>
    <x v="0"/>
    <x v="1"/>
    <x v="0"/>
  </r>
  <r>
    <x v="0"/>
    <x v="0"/>
    <n v="2239308012"/>
    <x v="1"/>
    <n v="17450"/>
    <x v="2"/>
    <x v="0"/>
    <x v="20"/>
    <x v="1"/>
    <x v="0"/>
    <x v="0"/>
    <x v="1"/>
    <x v="0"/>
  </r>
  <r>
    <x v="0"/>
    <x v="0"/>
    <n v="2239308013"/>
    <x v="1"/>
    <n v="4350"/>
    <x v="2"/>
    <x v="0"/>
    <x v="20"/>
    <x v="1"/>
    <x v="0"/>
    <x v="0"/>
    <x v="1"/>
    <x v="0"/>
  </r>
  <r>
    <x v="0"/>
    <x v="0"/>
    <n v="2239308014"/>
    <x v="1"/>
    <n v="79400"/>
    <x v="2"/>
    <x v="0"/>
    <x v="20"/>
    <x v="1"/>
    <x v="0"/>
    <x v="0"/>
    <x v="1"/>
    <x v="0"/>
  </r>
  <r>
    <x v="0"/>
    <x v="0"/>
    <n v="2239308016"/>
    <x v="1"/>
    <n v="11430"/>
    <x v="2"/>
    <x v="0"/>
    <x v="20"/>
    <x v="1"/>
    <x v="0"/>
    <x v="0"/>
    <x v="1"/>
    <x v="0"/>
  </r>
  <r>
    <x v="0"/>
    <x v="0"/>
    <n v="2239308017"/>
    <x v="1"/>
    <n v="22770"/>
    <x v="2"/>
    <x v="0"/>
    <x v="20"/>
    <x v="1"/>
    <x v="0"/>
    <x v="0"/>
    <x v="1"/>
    <x v="0"/>
  </r>
  <r>
    <x v="0"/>
    <x v="0"/>
    <n v="2239308018"/>
    <x v="1"/>
    <n v="43210"/>
    <x v="2"/>
    <x v="0"/>
    <x v="20"/>
    <x v="1"/>
    <x v="0"/>
    <x v="0"/>
    <x v="1"/>
    <x v="0"/>
  </r>
  <r>
    <x v="0"/>
    <x v="0"/>
    <n v="2239308020"/>
    <x v="1"/>
    <n v="8850"/>
    <x v="2"/>
    <x v="0"/>
    <x v="20"/>
    <x v="1"/>
    <x v="0"/>
    <x v="0"/>
    <x v="1"/>
    <x v="0"/>
  </r>
  <r>
    <x v="0"/>
    <x v="0"/>
    <n v="2239308024"/>
    <x v="1"/>
    <n v="2250"/>
    <x v="2"/>
    <x v="0"/>
    <x v="20"/>
    <x v="1"/>
    <x v="0"/>
    <x v="0"/>
    <x v="1"/>
    <x v="0"/>
  </r>
  <r>
    <x v="0"/>
    <x v="0"/>
    <n v="2239308025"/>
    <x v="2"/>
    <n v="10500"/>
    <x v="2"/>
    <x v="0"/>
    <x v="20"/>
    <x v="2"/>
    <x v="0"/>
    <x v="0"/>
    <x v="2"/>
    <x v="0"/>
  </r>
  <r>
    <x v="0"/>
    <x v="0"/>
    <n v="2239308027"/>
    <x v="1"/>
    <n v="1140"/>
    <x v="2"/>
    <x v="0"/>
    <x v="20"/>
    <x v="1"/>
    <x v="0"/>
    <x v="0"/>
    <x v="1"/>
    <x v="0"/>
  </r>
  <r>
    <x v="0"/>
    <x v="0"/>
    <n v="2239308028"/>
    <x v="1"/>
    <n v="900"/>
    <x v="2"/>
    <x v="0"/>
    <x v="20"/>
    <x v="1"/>
    <x v="0"/>
    <x v="0"/>
    <x v="1"/>
    <x v="0"/>
  </r>
  <r>
    <x v="0"/>
    <x v="0"/>
    <n v="2239308029"/>
    <x v="2"/>
    <n v="10395"/>
    <x v="2"/>
    <x v="0"/>
    <x v="20"/>
    <x v="2"/>
    <x v="0"/>
    <x v="0"/>
    <x v="2"/>
    <x v="0"/>
  </r>
  <r>
    <x v="0"/>
    <x v="0"/>
    <n v="2239308030"/>
    <x v="1"/>
    <n v="1050"/>
    <x v="2"/>
    <x v="0"/>
    <x v="20"/>
    <x v="1"/>
    <x v="0"/>
    <x v="0"/>
    <x v="1"/>
    <x v="0"/>
  </r>
  <r>
    <x v="0"/>
    <x v="0"/>
    <n v="2239308032"/>
    <x v="2"/>
    <n v="42845"/>
    <x v="2"/>
    <x v="0"/>
    <x v="20"/>
    <x v="2"/>
    <x v="0"/>
    <x v="0"/>
    <x v="2"/>
    <x v="0"/>
  </r>
  <r>
    <x v="0"/>
    <x v="0"/>
    <n v="2239308036"/>
    <x v="6"/>
    <n v="1500"/>
    <x v="2"/>
    <x v="0"/>
    <x v="20"/>
    <x v="6"/>
    <x v="0"/>
    <x v="0"/>
    <x v="5"/>
    <x v="0"/>
  </r>
  <r>
    <x v="0"/>
    <x v="0"/>
    <n v="2239308038"/>
    <x v="1"/>
    <n v="11900"/>
    <x v="2"/>
    <x v="0"/>
    <x v="20"/>
    <x v="1"/>
    <x v="0"/>
    <x v="0"/>
    <x v="1"/>
    <x v="0"/>
  </r>
  <r>
    <x v="0"/>
    <x v="0"/>
    <n v="2239308039"/>
    <x v="4"/>
    <n v="5600"/>
    <x v="2"/>
    <x v="0"/>
    <x v="20"/>
    <x v="4"/>
    <x v="0"/>
    <x v="0"/>
    <x v="4"/>
    <x v="0"/>
  </r>
  <r>
    <x v="0"/>
    <x v="0"/>
    <n v="2239308041"/>
    <x v="2"/>
    <n v="28600"/>
    <x v="2"/>
    <x v="0"/>
    <x v="20"/>
    <x v="2"/>
    <x v="0"/>
    <x v="0"/>
    <x v="2"/>
    <x v="0"/>
  </r>
  <r>
    <x v="0"/>
    <x v="0"/>
    <n v="2239308042"/>
    <x v="2"/>
    <n v="36190"/>
    <x v="2"/>
    <x v="0"/>
    <x v="20"/>
    <x v="2"/>
    <x v="0"/>
    <x v="0"/>
    <x v="2"/>
    <x v="0"/>
  </r>
  <r>
    <x v="0"/>
    <x v="0"/>
    <n v="2239308043"/>
    <x v="2"/>
    <n v="103180"/>
    <x v="2"/>
    <x v="0"/>
    <x v="20"/>
    <x v="2"/>
    <x v="0"/>
    <x v="0"/>
    <x v="2"/>
    <x v="0"/>
  </r>
  <r>
    <x v="0"/>
    <x v="0"/>
    <n v="2239308044"/>
    <x v="1"/>
    <n v="4500"/>
    <x v="2"/>
    <x v="0"/>
    <x v="20"/>
    <x v="1"/>
    <x v="0"/>
    <x v="0"/>
    <x v="1"/>
    <x v="0"/>
  </r>
  <r>
    <x v="0"/>
    <x v="0"/>
    <n v="2239308045"/>
    <x v="5"/>
    <n v="-650"/>
    <x v="2"/>
    <x v="0"/>
    <x v="20"/>
    <x v="5"/>
    <x v="0"/>
    <x v="0"/>
    <x v="5"/>
    <x v="0"/>
  </r>
  <r>
    <x v="0"/>
    <x v="0"/>
    <n v="2239308045"/>
    <x v="6"/>
    <n v="4000"/>
    <x v="2"/>
    <x v="0"/>
    <x v="20"/>
    <x v="6"/>
    <x v="0"/>
    <x v="0"/>
    <x v="5"/>
    <x v="0"/>
  </r>
  <r>
    <x v="0"/>
    <x v="0"/>
    <n v="2239308045"/>
    <x v="2"/>
    <n v="9450"/>
    <x v="2"/>
    <x v="0"/>
    <x v="20"/>
    <x v="2"/>
    <x v="0"/>
    <x v="0"/>
    <x v="2"/>
    <x v="0"/>
  </r>
  <r>
    <x v="0"/>
    <x v="0"/>
    <n v="2239308046"/>
    <x v="2"/>
    <n v="36795"/>
    <x v="2"/>
    <x v="0"/>
    <x v="20"/>
    <x v="2"/>
    <x v="0"/>
    <x v="0"/>
    <x v="2"/>
    <x v="0"/>
  </r>
  <r>
    <x v="0"/>
    <x v="0"/>
    <n v="2239308047"/>
    <x v="5"/>
    <n v="-6050"/>
    <x v="2"/>
    <x v="0"/>
    <x v="20"/>
    <x v="5"/>
    <x v="0"/>
    <x v="0"/>
    <x v="5"/>
    <x v="0"/>
  </r>
  <r>
    <x v="0"/>
    <x v="0"/>
    <n v="2239308047"/>
    <x v="6"/>
    <n v="20000"/>
    <x v="2"/>
    <x v="0"/>
    <x v="20"/>
    <x v="6"/>
    <x v="0"/>
    <x v="0"/>
    <x v="5"/>
    <x v="0"/>
  </r>
  <r>
    <x v="0"/>
    <x v="0"/>
    <n v="2239308048"/>
    <x v="2"/>
    <n v="29865"/>
    <x v="2"/>
    <x v="0"/>
    <x v="20"/>
    <x v="2"/>
    <x v="0"/>
    <x v="0"/>
    <x v="2"/>
    <x v="0"/>
  </r>
  <r>
    <x v="0"/>
    <x v="0"/>
    <n v="2239308049"/>
    <x v="2"/>
    <n v="23540"/>
    <x v="2"/>
    <x v="0"/>
    <x v="20"/>
    <x v="2"/>
    <x v="0"/>
    <x v="0"/>
    <x v="2"/>
    <x v="0"/>
  </r>
  <r>
    <x v="0"/>
    <x v="0"/>
    <n v="2239308051"/>
    <x v="2"/>
    <n v="39985"/>
    <x v="2"/>
    <x v="0"/>
    <x v="20"/>
    <x v="2"/>
    <x v="0"/>
    <x v="0"/>
    <x v="2"/>
    <x v="0"/>
  </r>
  <r>
    <x v="0"/>
    <x v="0"/>
    <n v="2239308052"/>
    <x v="2"/>
    <n v="36245"/>
    <x v="2"/>
    <x v="0"/>
    <x v="20"/>
    <x v="2"/>
    <x v="0"/>
    <x v="0"/>
    <x v="2"/>
    <x v="0"/>
  </r>
  <r>
    <x v="0"/>
    <x v="0"/>
    <n v="2239308053"/>
    <x v="5"/>
    <n v="-5600"/>
    <x v="2"/>
    <x v="0"/>
    <x v="20"/>
    <x v="5"/>
    <x v="0"/>
    <x v="0"/>
    <x v="5"/>
    <x v="0"/>
  </r>
  <r>
    <x v="0"/>
    <x v="0"/>
    <n v="2239308053"/>
    <x v="6"/>
    <n v="30000"/>
    <x v="2"/>
    <x v="0"/>
    <x v="20"/>
    <x v="6"/>
    <x v="0"/>
    <x v="0"/>
    <x v="5"/>
    <x v="0"/>
  </r>
  <r>
    <x v="0"/>
    <x v="0"/>
    <n v="2239308054"/>
    <x v="5"/>
    <n v="-6500"/>
    <x v="2"/>
    <x v="0"/>
    <x v="20"/>
    <x v="5"/>
    <x v="0"/>
    <x v="0"/>
    <x v="5"/>
    <x v="0"/>
  </r>
  <r>
    <x v="0"/>
    <x v="0"/>
    <n v="2239308054"/>
    <x v="6"/>
    <n v="10000"/>
    <x v="2"/>
    <x v="0"/>
    <x v="20"/>
    <x v="6"/>
    <x v="0"/>
    <x v="0"/>
    <x v="5"/>
    <x v="0"/>
  </r>
  <r>
    <x v="0"/>
    <x v="0"/>
    <n v="2239308055"/>
    <x v="3"/>
    <n v="3300"/>
    <x v="2"/>
    <x v="0"/>
    <x v="20"/>
    <x v="3"/>
    <x v="0"/>
    <x v="0"/>
    <x v="3"/>
    <x v="0"/>
  </r>
  <r>
    <x v="0"/>
    <x v="0"/>
    <n v="2239308056"/>
    <x v="5"/>
    <n v="-20"/>
    <x v="2"/>
    <x v="0"/>
    <x v="20"/>
    <x v="5"/>
    <x v="0"/>
    <x v="0"/>
    <x v="5"/>
    <x v="0"/>
  </r>
  <r>
    <x v="0"/>
    <x v="0"/>
    <n v="2239308056"/>
    <x v="6"/>
    <n v="101300"/>
    <x v="2"/>
    <x v="0"/>
    <x v="20"/>
    <x v="6"/>
    <x v="0"/>
    <x v="0"/>
    <x v="5"/>
    <x v="0"/>
  </r>
  <r>
    <x v="0"/>
    <x v="0"/>
    <n v="2239308056"/>
    <x v="7"/>
    <n v="5200"/>
    <x v="2"/>
    <x v="0"/>
    <x v="20"/>
    <x v="7"/>
    <x v="0"/>
    <x v="0"/>
    <x v="1"/>
    <x v="0"/>
  </r>
  <r>
    <x v="0"/>
    <x v="0"/>
    <n v="2239308057"/>
    <x v="8"/>
    <n v="84645"/>
    <x v="2"/>
    <x v="0"/>
    <x v="20"/>
    <x v="8"/>
    <x v="0"/>
    <x v="0"/>
    <x v="3"/>
    <x v="0"/>
  </r>
  <r>
    <x v="0"/>
    <x v="0"/>
    <n v="2239308057"/>
    <x v="7"/>
    <n v="4250"/>
    <x v="2"/>
    <x v="0"/>
    <x v="20"/>
    <x v="7"/>
    <x v="0"/>
    <x v="0"/>
    <x v="1"/>
    <x v="0"/>
  </r>
  <r>
    <x v="0"/>
    <x v="0"/>
    <n v="2239308058"/>
    <x v="4"/>
    <n v="15900"/>
    <x v="2"/>
    <x v="0"/>
    <x v="20"/>
    <x v="4"/>
    <x v="0"/>
    <x v="0"/>
    <x v="4"/>
    <x v="0"/>
  </r>
  <r>
    <x v="0"/>
    <x v="0"/>
    <n v="2239308059"/>
    <x v="5"/>
    <n v="-3300"/>
    <x v="2"/>
    <x v="0"/>
    <x v="20"/>
    <x v="5"/>
    <x v="0"/>
    <x v="0"/>
    <x v="5"/>
    <x v="0"/>
  </r>
  <r>
    <x v="0"/>
    <x v="0"/>
    <n v="2239308059"/>
    <x v="6"/>
    <n v="10000"/>
    <x v="2"/>
    <x v="0"/>
    <x v="20"/>
    <x v="6"/>
    <x v="0"/>
    <x v="0"/>
    <x v="5"/>
    <x v="0"/>
  </r>
  <r>
    <x v="0"/>
    <x v="0"/>
    <n v="2239308060"/>
    <x v="3"/>
    <n v="22440"/>
    <x v="2"/>
    <x v="0"/>
    <x v="20"/>
    <x v="3"/>
    <x v="0"/>
    <x v="0"/>
    <x v="3"/>
    <x v="0"/>
  </r>
  <r>
    <x v="0"/>
    <x v="0"/>
    <n v="2239308061"/>
    <x v="5"/>
    <n v="-4700"/>
    <x v="2"/>
    <x v="0"/>
    <x v="20"/>
    <x v="5"/>
    <x v="0"/>
    <x v="0"/>
    <x v="5"/>
    <x v="0"/>
  </r>
  <r>
    <x v="0"/>
    <x v="0"/>
    <n v="2239308061"/>
    <x v="4"/>
    <n v="10000"/>
    <x v="2"/>
    <x v="0"/>
    <x v="20"/>
    <x v="4"/>
    <x v="0"/>
    <x v="0"/>
    <x v="4"/>
    <x v="0"/>
  </r>
  <r>
    <x v="0"/>
    <x v="0"/>
    <n v="2239308062"/>
    <x v="2"/>
    <n v="43120"/>
    <x v="2"/>
    <x v="0"/>
    <x v="20"/>
    <x v="2"/>
    <x v="0"/>
    <x v="0"/>
    <x v="2"/>
    <x v="0"/>
  </r>
  <r>
    <x v="0"/>
    <x v="0"/>
    <n v="2239308063"/>
    <x v="2"/>
    <n v="12800"/>
    <x v="2"/>
    <x v="0"/>
    <x v="20"/>
    <x v="2"/>
    <x v="0"/>
    <x v="0"/>
    <x v="2"/>
    <x v="0"/>
  </r>
  <r>
    <x v="0"/>
    <x v="0"/>
    <n v="2239308064"/>
    <x v="3"/>
    <n v="45100"/>
    <x v="2"/>
    <x v="0"/>
    <x v="20"/>
    <x v="3"/>
    <x v="0"/>
    <x v="0"/>
    <x v="3"/>
    <x v="0"/>
  </r>
  <r>
    <x v="0"/>
    <x v="0"/>
    <n v="2239308065"/>
    <x v="2"/>
    <n v="30000"/>
    <x v="2"/>
    <x v="0"/>
    <x v="20"/>
    <x v="2"/>
    <x v="0"/>
    <x v="0"/>
    <x v="2"/>
    <x v="0"/>
  </r>
  <r>
    <x v="0"/>
    <x v="0"/>
    <n v="2239308066"/>
    <x v="2"/>
    <n v="67925"/>
    <x v="2"/>
    <x v="0"/>
    <x v="20"/>
    <x v="2"/>
    <x v="0"/>
    <x v="0"/>
    <x v="2"/>
    <x v="0"/>
  </r>
  <r>
    <x v="0"/>
    <x v="0"/>
    <n v="2239308067"/>
    <x v="2"/>
    <n v="17820"/>
    <x v="2"/>
    <x v="0"/>
    <x v="20"/>
    <x v="2"/>
    <x v="0"/>
    <x v="0"/>
    <x v="2"/>
    <x v="0"/>
  </r>
  <r>
    <x v="0"/>
    <x v="0"/>
    <n v="2239308068"/>
    <x v="2"/>
    <n v="24420"/>
    <x v="2"/>
    <x v="0"/>
    <x v="20"/>
    <x v="2"/>
    <x v="0"/>
    <x v="0"/>
    <x v="2"/>
    <x v="0"/>
  </r>
  <r>
    <x v="0"/>
    <x v="0"/>
    <n v="2239308069"/>
    <x v="2"/>
    <n v="21945"/>
    <x v="2"/>
    <x v="0"/>
    <x v="20"/>
    <x v="2"/>
    <x v="0"/>
    <x v="0"/>
    <x v="2"/>
    <x v="0"/>
  </r>
  <r>
    <x v="0"/>
    <x v="0"/>
    <n v="2239308070"/>
    <x v="3"/>
    <n v="22495"/>
    <x v="2"/>
    <x v="0"/>
    <x v="20"/>
    <x v="3"/>
    <x v="0"/>
    <x v="0"/>
    <x v="3"/>
    <x v="0"/>
  </r>
  <r>
    <x v="0"/>
    <x v="0"/>
    <n v="2239308071"/>
    <x v="2"/>
    <n v="29645"/>
    <x v="2"/>
    <x v="0"/>
    <x v="20"/>
    <x v="2"/>
    <x v="0"/>
    <x v="0"/>
    <x v="2"/>
    <x v="0"/>
  </r>
  <r>
    <x v="0"/>
    <x v="0"/>
    <n v="2239308072"/>
    <x v="2"/>
    <n v="4000"/>
    <x v="2"/>
    <x v="0"/>
    <x v="20"/>
    <x v="2"/>
    <x v="0"/>
    <x v="0"/>
    <x v="2"/>
    <x v="0"/>
  </r>
  <r>
    <x v="0"/>
    <x v="0"/>
    <n v="2239308073"/>
    <x v="1"/>
    <n v="900"/>
    <x v="2"/>
    <x v="0"/>
    <x v="20"/>
    <x v="1"/>
    <x v="0"/>
    <x v="0"/>
    <x v="1"/>
    <x v="0"/>
  </r>
  <r>
    <x v="0"/>
    <x v="0"/>
    <n v="2239308074"/>
    <x v="2"/>
    <n v="27060"/>
    <x v="2"/>
    <x v="0"/>
    <x v="20"/>
    <x v="2"/>
    <x v="0"/>
    <x v="0"/>
    <x v="2"/>
    <x v="0"/>
  </r>
  <r>
    <x v="0"/>
    <x v="0"/>
    <n v="2239308075"/>
    <x v="2"/>
    <n v="1750"/>
    <x v="2"/>
    <x v="0"/>
    <x v="20"/>
    <x v="2"/>
    <x v="0"/>
    <x v="0"/>
    <x v="2"/>
    <x v="0"/>
  </r>
  <r>
    <x v="0"/>
    <x v="0"/>
    <n v="2239308076"/>
    <x v="2"/>
    <n v="3750"/>
    <x v="2"/>
    <x v="0"/>
    <x v="20"/>
    <x v="2"/>
    <x v="0"/>
    <x v="0"/>
    <x v="2"/>
    <x v="0"/>
  </r>
  <r>
    <x v="0"/>
    <x v="0"/>
    <n v="2239308077"/>
    <x v="2"/>
    <n v="3750"/>
    <x v="2"/>
    <x v="0"/>
    <x v="20"/>
    <x v="2"/>
    <x v="0"/>
    <x v="0"/>
    <x v="2"/>
    <x v="0"/>
  </r>
  <r>
    <x v="0"/>
    <x v="0"/>
    <n v="2239308078"/>
    <x v="2"/>
    <n v="7500"/>
    <x v="2"/>
    <x v="0"/>
    <x v="20"/>
    <x v="2"/>
    <x v="0"/>
    <x v="0"/>
    <x v="2"/>
    <x v="0"/>
  </r>
  <r>
    <x v="0"/>
    <x v="0"/>
    <n v="2239308079"/>
    <x v="5"/>
    <n v="-16250"/>
    <x v="2"/>
    <x v="0"/>
    <x v="20"/>
    <x v="5"/>
    <x v="0"/>
    <x v="0"/>
    <x v="5"/>
    <x v="0"/>
  </r>
  <r>
    <x v="0"/>
    <x v="0"/>
    <n v="2239308079"/>
    <x v="6"/>
    <n v="20000"/>
    <x v="2"/>
    <x v="0"/>
    <x v="20"/>
    <x v="6"/>
    <x v="0"/>
    <x v="0"/>
    <x v="5"/>
    <x v="0"/>
  </r>
  <r>
    <x v="0"/>
    <x v="0"/>
    <n v="2239308080"/>
    <x v="5"/>
    <n v="-4700"/>
    <x v="2"/>
    <x v="0"/>
    <x v="20"/>
    <x v="5"/>
    <x v="0"/>
    <x v="0"/>
    <x v="5"/>
    <x v="0"/>
  </r>
  <r>
    <x v="0"/>
    <x v="0"/>
    <n v="2239308080"/>
    <x v="4"/>
    <n v="10000"/>
    <x v="2"/>
    <x v="0"/>
    <x v="20"/>
    <x v="4"/>
    <x v="0"/>
    <x v="0"/>
    <x v="4"/>
    <x v="0"/>
  </r>
  <r>
    <x v="0"/>
    <x v="0"/>
    <n v="2239308081"/>
    <x v="2"/>
    <n v="6380"/>
    <x v="2"/>
    <x v="0"/>
    <x v="20"/>
    <x v="2"/>
    <x v="0"/>
    <x v="0"/>
    <x v="2"/>
    <x v="0"/>
  </r>
  <r>
    <x v="0"/>
    <x v="0"/>
    <n v="2239308082"/>
    <x v="2"/>
    <n v="49390"/>
    <x v="2"/>
    <x v="0"/>
    <x v="20"/>
    <x v="2"/>
    <x v="0"/>
    <x v="0"/>
    <x v="2"/>
    <x v="0"/>
  </r>
  <r>
    <x v="0"/>
    <x v="0"/>
    <n v="2239308083"/>
    <x v="2"/>
    <n v="13090"/>
    <x v="2"/>
    <x v="0"/>
    <x v="20"/>
    <x v="2"/>
    <x v="0"/>
    <x v="0"/>
    <x v="2"/>
    <x v="0"/>
  </r>
  <r>
    <x v="0"/>
    <x v="0"/>
    <n v="2239308085"/>
    <x v="5"/>
    <n v="-3000"/>
    <x v="2"/>
    <x v="0"/>
    <x v="20"/>
    <x v="5"/>
    <x v="0"/>
    <x v="0"/>
    <x v="5"/>
    <x v="0"/>
  </r>
  <r>
    <x v="0"/>
    <x v="0"/>
    <n v="2239308085"/>
    <x v="6"/>
    <n v="10000"/>
    <x v="2"/>
    <x v="0"/>
    <x v="20"/>
    <x v="6"/>
    <x v="0"/>
    <x v="0"/>
    <x v="5"/>
    <x v="0"/>
  </r>
  <r>
    <x v="0"/>
    <x v="0"/>
    <n v="2239308087"/>
    <x v="2"/>
    <n v="42240"/>
    <x v="2"/>
    <x v="0"/>
    <x v="20"/>
    <x v="2"/>
    <x v="0"/>
    <x v="0"/>
    <x v="2"/>
    <x v="0"/>
  </r>
  <r>
    <x v="0"/>
    <x v="0"/>
    <n v="2239308088"/>
    <x v="8"/>
    <n v="27995"/>
    <x v="2"/>
    <x v="0"/>
    <x v="20"/>
    <x v="8"/>
    <x v="0"/>
    <x v="0"/>
    <x v="3"/>
    <x v="0"/>
  </r>
  <r>
    <x v="0"/>
    <x v="0"/>
    <n v="2239308089"/>
    <x v="2"/>
    <n v="30140"/>
    <x v="2"/>
    <x v="0"/>
    <x v="20"/>
    <x v="2"/>
    <x v="0"/>
    <x v="0"/>
    <x v="2"/>
    <x v="0"/>
  </r>
  <r>
    <x v="0"/>
    <x v="0"/>
    <n v="2239308090"/>
    <x v="2"/>
    <n v="117260"/>
    <x v="2"/>
    <x v="0"/>
    <x v="20"/>
    <x v="2"/>
    <x v="0"/>
    <x v="0"/>
    <x v="2"/>
    <x v="0"/>
  </r>
  <r>
    <x v="0"/>
    <x v="0"/>
    <n v="2239308091"/>
    <x v="2"/>
    <n v="45540"/>
    <x v="2"/>
    <x v="0"/>
    <x v="20"/>
    <x v="2"/>
    <x v="0"/>
    <x v="0"/>
    <x v="2"/>
    <x v="0"/>
  </r>
  <r>
    <x v="0"/>
    <x v="0"/>
    <n v="2239308092"/>
    <x v="2"/>
    <n v="10000"/>
    <x v="2"/>
    <x v="0"/>
    <x v="20"/>
    <x v="2"/>
    <x v="0"/>
    <x v="0"/>
    <x v="2"/>
    <x v="0"/>
  </r>
  <r>
    <x v="0"/>
    <x v="0"/>
    <n v="2239308093"/>
    <x v="1"/>
    <n v="5370"/>
    <x v="2"/>
    <x v="0"/>
    <x v="20"/>
    <x v="1"/>
    <x v="0"/>
    <x v="0"/>
    <x v="1"/>
    <x v="0"/>
  </r>
  <r>
    <x v="0"/>
    <x v="0"/>
    <n v="2239308094"/>
    <x v="2"/>
    <n v="3300"/>
    <x v="2"/>
    <x v="0"/>
    <x v="20"/>
    <x v="2"/>
    <x v="0"/>
    <x v="0"/>
    <x v="2"/>
    <x v="0"/>
  </r>
  <r>
    <x v="0"/>
    <x v="0"/>
    <n v="2239308095"/>
    <x v="2"/>
    <n v="9130"/>
    <x v="2"/>
    <x v="0"/>
    <x v="20"/>
    <x v="2"/>
    <x v="0"/>
    <x v="0"/>
    <x v="2"/>
    <x v="0"/>
  </r>
  <r>
    <x v="0"/>
    <x v="0"/>
    <n v="2239308096"/>
    <x v="2"/>
    <n v="47190"/>
    <x v="2"/>
    <x v="0"/>
    <x v="20"/>
    <x v="2"/>
    <x v="0"/>
    <x v="0"/>
    <x v="2"/>
    <x v="0"/>
  </r>
  <r>
    <x v="0"/>
    <x v="0"/>
    <n v="2239308097"/>
    <x v="2"/>
    <n v="11000"/>
    <x v="2"/>
    <x v="0"/>
    <x v="20"/>
    <x v="2"/>
    <x v="0"/>
    <x v="0"/>
    <x v="2"/>
    <x v="0"/>
  </r>
  <r>
    <x v="0"/>
    <x v="0"/>
    <n v="2239308098"/>
    <x v="5"/>
    <n v="-5500"/>
    <x v="2"/>
    <x v="0"/>
    <x v="20"/>
    <x v="5"/>
    <x v="0"/>
    <x v="0"/>
    <x v="5"/>
    <x v="0"/>
  </r>
  <r>
    <x v="0"/>
    <x v="0"/>
    <n v="2239308098"/>
    <x v="4"/>
    <n v="10100"/>
    <x v="2"/>
    <x v="0"/>
    <x v="20"/>
    <x v="4"/>
    <x v="0"/>
    <x v="0"/>
    <x v="4"/>
    <x v="0"/>
  </r>
  <r>
    <x v="0"/>
    <x v="0"/>
    <n v="2239308099"/>
    <x v="2"/>
    <n v="4400"/>
    <x v="2"/>
    <x v="0"/>
    <x v="20"/>
    <x v="2"/>
    <x v="0"/>
    <x v="0"/>
    <x v="2"/>
    <x v="0"/>
  </r>
  <r>
    <x v="0"/>
    <x v="0"/>
    <n v="2239308100"/>
    <x v="2"/>
    <n v="31790"/>
    <x v="2"/>
    <x v="0"/>
    <x v="20"/>
    <x v="2"/>
    <x v="0"/>
    <x v="0"/>
    <x v="2"/>
    <x v="0"/>
  </r>
  <r>
    <x v="0"/>
    <x v="0"/>
    <n v="2239308101"/>
    <x v="2"/>
    <n v="97570"/>
    <x v="2"/>
    <x v="0"/>
    <x v="20"/>
    <x v="2"/>
    <x v="0"/>
    <x v="0"/>
    <x v="2"/>
    <x v="0"/>
  </r>
  <r>
    <x v="0"/>
    <x v="0"/>
    <n v="2239308103"/>
    <x v="5"/>
    <n v="-5200"/>
    <x v="2"/>
    <x v="0"/>
    <x v="20"/>
    <x v="5"/>
    <x v="0"/>
    <x v="0"/>
    <x v="5"/>
    <x v="0"/>
  </r>
  <r>
    <x v="0"/>
    <x v="0"/>
    <n v="2239308103"/>
    <x v="4"/>
    <n v="10500"/>
    <x v="2"/>
    <x v="0"/>
    <x v="20"/>
    <x v="4"/>
    <x v="0"/>
    <x v="0"/>
    <x v="4"/>
    <x v="0"/>
  </r>
  <r>
    <x v="0"/>
    <x v="0"/>
    <n v="2239308104"/>
    <x v="5"/>
    <n v="-9400"/>
    <x v="2"/>
    <x v="0"/>
    <x v="20"/>
    <x v="5"/>
    <x v="0"/>
    <x v="0"/>
    <x v="5"/>
    <x v="0"/>
  </r>
  <r>
    <x v="0"/>
    <x v="0"/>
    <n v="2239308104"/>
    <x v="4"/>
    <n v="20000"/>
    <x v="2"/>
    <x v="0"/>
    <x v="20"/>
    <x v="4"/>
    <x v="0"/>
    <x v="0"/>
    <x v="4"/>
    <x v="0"/>
  </r>
  <r>
    <x v="0"/>
    <x v="0"/>
    <n v="2239308105"/>
    <x v="2"/>
    <n v="14300"/>
    <x v="2"/>
    <x v="0"/>
    <x v="20"/>
    <x v="2"/>
    <x v="0"/>
    <x v="0"/>
    <x v="2"/>
    <x v="0"/>
  </r>
  <r>
    <x v="0"/>
    <x v="0"/>
    <n v="2239308107"/>
    <x v="2"/>
    <n v="30690"/>
    <x v="2"/>
    <x v="0"/>
    <x v="20"/>
    <x v="2"/>
    <x v="0"/>
    <x v="0"/>
    <x v="2"/>
    <x v="0"/>
  </r>
  <r>
    <x v="0"/>
    <x v="0"/>
    <n v="2239308108"/>
    <x v="2"/>
    <n v="12800"/>
    <x v="2"/>
    <x v="0"/>
    <x v="20"/>
    <x v="2"/>
    <x v="0"/>
    <x v="0"/>
    <x v="2"/>
    <x v="0"/>
  </r>
  <r>
    <x v="0"/>
    <x v="0"/>
    <n v="2239308109"/>
    <x v="3"/>
    <n v="12500"/>
    <x v="2"/>
    <x v="0"/>
    <x v="20"/>
    <x v="3"/>
    <x v="0"/>
    <x v="0"/>
    <x v="3"/>
    <x v="0"/>
  </r>
  <r>
    <x v="0"/>
    <x v="0"/>
    <n v="2239308111"/>
    <x v="3"/>
    <n v="9540"/>
    <x v="2"/>
    <x v="0"/>
    <x v="20"/>
    <x v="3"/>
    <x v="0"/>
    <x v="0"/>
    <x v="3"/>
    <x v="0"/>
  </r>
  <r>
    <x v="0"/>
    <x v="0"/>
    <n v="2239308112"/>
    <x v="2"/>
    <n v="26950"/>
    <x v="2"/>
    <x v="0"/>
    <x v="20"/>
    <x v="2"/>
    <x v="0"/>
    <x v="0"/>
    <x v="2"/>
    <x v="0"/>
  </r>
  <r>
    <x v="0"/>
    <x v="0"/>
    <n v="2239308113"/>
    <x v="2"/>
    <n v="28050"/>
    <x v="2"/>
    <x v="0"/>
    <x v="20"/>
    <x v="2"/>
    <x v="0"/>
    <x v="0"/>
    <x v="2"/>
    <x v="0"/>
  </r>
  <r>
    <x v="0"/>
    <x v="0"/>
    <n v="2239308114"/>
    <x v="5"/>
    <n v="-500"/>
    <x v="2"/>
    <x v="0"/>
    <x v="20"/>
    <x v="5"/>
    <x v="0"/>
    <x v="0"/>
    <x v="5"/>
    <x v="0"/>
  </r>
  <r>
    <x v="0"/>
    <x v="0"/>
    <n v="2239308114"/>
    <x v="6"/>
    <n v="14000"/>
    <x v="2"/>
    <x v="0"/>
    <x v="20"/>
    <x v="6"/>
    <x v="0"/>
    <x v="0"/>
    <x v="5"/>
    <x v="0"/>
  </r>
  <r>
    <x v="0"/>
    <x v="0"/>
    <n v="2239308115"/>
    <x v="2"/>
    <n v="35300"/>
    <x v="2"/>
    <x v="0"/>
    <x v="20"/>
    <x v="2"/>
    <x v="0"/>
    <x v="0"/>
    <x v="2"/>
    <x v="0"/>
  </r>
  <r>
    <x v="0"/>
    <x v="0"/>
    <n v="2239308116"/>
    <x v="2"/>
    <n v="16500"/>
    <x v="2"/>
    <x v="0"/>
    <x v="20"/>
    <x v="2"/>
    <x v="0"/>
    <x v="0"/>
    <x v="2"/>
    <x v="0"/>
  </r>
  <r>
    <x v="0"/>
    <x v="0"/>
    <n v="2239308117"/>
    <x v="5"/>
    <n v="-5500"/>
    <x v="2"/>
    <x v="0"/>
    <x v="20"/>
    <x v="5"/>
    <x v="0"/>
    <x v="0"/>
    <x v="5"/>
    <x v="0"/>
  </r>
  <r>
    <x v="0"/>
    <x v="0"/>
    <n v="2239308117"/>
    <x v="6"/>
    <n v="20000"/>
    <x v="2"/>
    <x v="0"/>
    <x v="20"/>
    <x v="6"/>
    <x v="0"/>
    <x v="0"/>
    <x v="5"/>
    <x v="0"/>
  </r>
  <r>
    <x v="0"/>
    <x v="0"/>
    <n v="2239308118"/>
    <x v="2"/>
    <n v="3000"/>
    <x v="2"/>
    <x v="0"/>
    <x v="20"/>
    <x v="2"/>
    <x v="0"/>
    <x v="0"/>
    <x v="2"/>
    <x v="0"/>
  </r>
  <r>
    <x v="0"/>
    <x v="0"/>
    <n v="2239308119"/>
    <x v="2"/>
    <n v="4500"/>
    <x v="2"/>
    <x v="0"/>
    <x v="20"/>
    <x v="2"/>
    <x v="0"/>
    <x v="0"/>
    <x v="2"/>
    <x v="0"/>
  </r>
  <r>
    <x v="0"/>
    <x v="0"/>
    <n v="2239308120"/>
    <x v="8"/>
    <n v="6000"/>
    <x v="2"/>
    <x v="0"/>
    <x v="20"/>
    <x v="8"/>
    <x v="0"/>
    <x v="0"/>
    <x v="3"/>
    <x v="0"/>
  </r>
  <r>
    <x v="0"/>
    <x v="0"/>
    <n v="2239308121"/>
    <x v="2"/>
    <n v="3300"/>
    <x v="2"/>
    <x v="0"/>
    <x v="20"/>
    <x v="2"/>
    <x v="0"/>
    <x v="0"/>
    <x v="2"/>
    <x v="0"/>
  </r>
  <r>
    <x v="0"/>
    <x v="0"/>
    <n v="2239308122"/>
    <x v="2"/>
    <n v="6500"/>
    <x v="2"/>
    <x v="0"/>
    <x v="20"/>
    <x v="2"/>
    <x v="0"/>
    <x v="0"/>
    <x v="2"/>
    <x v="0"/>
  </r>
  <r>
    <x v="0"/>
    <x v="0"/>
    <n v="2239308123"/>
    <x v="2"/>
    <n v="16500"/>
    <x v="2"/>
    <x v="0"/>
    <x v="20"/>
    <x v="2"/>
    <x v="0"/>
    <x v="0"/>
    <x v="2"/>
    <x v="0"/>
  </r>
  <r>
    <x v="0"/>
    <x v="0"/>
    <n v="2239308125"/>
    <x v="2"/>
    <n v="73590"/>
    <x v="2"/>
    <x v="0"/>
    <x v="20"/>
    <x v="2"/>
    <x v="0"/>
    <x v="0"/>
    <x v="2"/>
    <x v="0"/>
  </r>
  <r>
    <x v="0"/>
    <x v="0"/>
    <n v="2239308127"/>
    <x v="2"/>
    <n v="6000"/>
    <x v="2"/>
    <x v="0"/>
    <x v="20"/>
    <x v="2"/>
    <x v="0"/>
    <x v="0"/>
    <x v="2"/>
    <x v="0"/>
  </r>
  <r>
    <x v="0"/>
    <x v="0"/>
    <n v="2239308128"/>
    <x v="1"/>
    <n v="1140"/>
    <x v="2"/>
    <x v="0"/>
    <x v="20"/>
    <x v="1"/>
    <x v="0"/>
    <x v="0"/>
    <x v="1"/>
    <x v="0"/>
  </r>
  <r>
    <x v="0"/>
    <x v="0"/>
    <n v="2239308129"/>
    <x v="5"/>
    <n v="-200"/>
    <x v="2"/>
    <x v="0"/>
    <x v="20"/>
    <x v="5"/>
    <x v="0"/>
    <x v="0"/>
    <x v="5"/>
    <x v="0"/>
  </r>
  <r>
    <x v="0"/>
    <x v="0"/>
    <n v="2239308129"/>
    <x v="6"/>
    <n v="13000"/>
    <x v="2"/>
    <x v="0"/>
    <x v="20"/>
    <x v="6"/>
    <x v="0"/>
    <x v="0"/>
    <x v="5"/>
    <x v="0"/>
  </r>
  <r>
    <x v="0"/>
    <x v="0"/>
    <n v="2239308130"/>
    <x v="5"/>
    <n v="-7500"/>
    <x v="2"/>
    <x v="0"/>
    <x v="20"/>
    <x v="5"/>
    <x v="0"/>
    <x v="0"/>
    <x v="5"/>
    <x v="0"/>
  </r>
  <r>
    <x v="0"/>
    <x v="0"/>
    <n v="2239308130"/>
    <x v="6"/>
    <n v="15000"/>
    <x v="2"/>
    <x v="0"/>
    <x v="20"/>
    <x v="6"/>
    <x v="0"/>
    <x v="0"/>
    <x v="5"/>
    <x v="0"/>
  </r>
  <r>
    <x v="0"/>
    <x v="0"/>
    <n v="2239308131"/>
    <x v="1"/>
    <n v="8750"/>
    <x v="2"/>
    <x v="0"/>
    <x v="20"/>
    <x v="1"/>
    <x v="0"/>
    <x v="0"/>
    <x v="1"/>
    <x v="0"/>
  </r>
  <r>
    <x v="0"/>
    <x v="0"/>
    <n v="2239308132"/>
    <x v="5"/>
    <n v="-2200"/>
    <x v="2"/>
    <x v="0"/>
    <x v="20"/>
    <x v="5"/>
    <x v="0"/>
    <x v="0"/>
    <x v="5"/>
    <x v="0"/>
  </r>
  <r>
    <x v="0"/>
    <x v="0"/>
    <n v="2239308132"/>
    <x v="4"/>
    <n v="7500"/>
    <x v="2"/>
    <x v="0"/>
    <x v="20"/>
    <x v="4"/>
    <x v="0"/>
    <x v="0"/>
    <x v="4"/>
    <x v="0"/>
  </r>
  <r>
    <x v="0"/>
    <x v="0"/>
    <n v="2239308134"/>
    <x v="8"/>
    <n v="51590"/>
    <x v="2"/>
    <x v="0"/>
    <x v="20"/>
    <x v="8"/>
    <x v="0"/>
    <x v="0"/>
    <x v="3"/>
    <x v="0"/>
  </r>
  <r>
    <x v="0"/>
    <x v="0"/>
    <n v="2239308135"/>
    <x v="2"/>
    <n v="4500"/>
    <x v="2"/>
    <x v="0"/>
    <x v="20"/>
    <x v="2"/>
    <x v="0"/>
    <x v="0"/>
    <x v="2"/>
    <x v="0"/>
  </r>
  <r>
    <x v="0"/>
    <x v="0"/>
    <n v="2239308136"/>
    <x v="2"/>
    <n v="66990"/>
    <x v="2"/>
    <x v="0"/>
    <x v="20"/>
    <x v="2"/>
    <x v="0"/>
    <x v="0"/>
    <x v="2"/>
    <x v="0"/>
  </r>
  <r>
    <x v="0"/>
    <x v="0"/>
    <n v="2239308137"/>
    <x v="2"/>
    <n v="12500"/>
    <x v="2"/>
    <x v="0"/>
    <x v="20"/>
    <x v="2"/>
    <x v="0"/>
    <x v="0"/>
    <x v="2"/>
    <x v="0"/>
  </r>
  <r>
    <x v="0"/>
    <x v="0"/>
    <n v="2239308138"/>
    <x v="2"/>
    <n v="43890"/>
    <x v="2"/>
    <x v="0"/>
    <x v="20"/>
    <x v="2"/>
    <x v="0"/>
    <x v="0"/>
    <x v="2"/>
    <x v="0"/>
  </r>
  <r>
    <x v="0"/>
    <x v="0"/>
    <n v="2239308139"/>
    <x v="1"/>
    <n v="1140"/>
    <x v="2"/>
    <x v="0"/>
    <x v="20"/>
    <x v="1"/>
    <x v="0"/>
    <x v="0"/>
    <x v="1"/>
    <x v="0"/>
  </r>
  <r>
    <x v="0"/>
    <x v="0"/>
    <n v="2239308140"/>
    <x v="2"/>
    <n v="20900"/>
    <x v="2"/>
    <x v="0"/>
    <x v="20"/>
    <x v="2"/>
    <x v="0"/>
    <x v="0"/>
    <x v="2"/>
    <x v="0"/>
  </r>
  <r>
    <x v="0"/>
    <x v="0"/>
    <n v="2239308141"/>
    <x v="5"/>
    <n v="-1500"/>
    <x v="2"/>
    <x v="0"/>
    <x v="20"/>
    <x v="5"/>
    <x v="0"/>
    <x v="0"/>
    <x v="5"/>
    <x v="0"/>
  </r>
  <r>
    <x v="0"/>
    <x v="0"/>
    <n v="2239308141"/>
    <x v="6"/>
    <n v="5000"/>
    <x v="2"/>
    <x v="0"/>
    <x v="20"/>
    <x v="6"/>
    <x v="0"/>
    <x v="0"/>
    <x v="5"/>
    <x v="0"/>
  </r>
  <r>
    <x v="0"/>
    <x v="0"/>
    <n v="2239308142"/>
    <x v="10"/>
    <n v="36740"/>
    <x v="2"/>
    <x v="0"/>
    <x v="20"/>
    <x v="10"/>
    <x v="0"/>
    <x v="0"/>
    <x v="3"/>
    <x v="0"/>
  </r>
  <r>
    <x v="0"/>
    <x v="0"/>
    <n v="2239308143"/>
    <x v="2"/>
    <n v="4466"/>
    <x v="2"/>
    <x v="0"/>
    <x v="20"/>
    <x v="2"/>
    <x v="0"/>
    <x v="0"/>
    <x v="2"/>
    <x v="0"/>
  </r>
  <r>
    <x v="0"/>
    <x v="0"/>
    <n v="2239308144"/>
    <x v="2"/>
    <n v="11500"/>
    <x v="2"/>
    <x v="0"/>
    <x v="20"/>
    <x v="2"/>
    <x v="0"/>
    <x v="0"/>
    <x v="2"/>
    <x v="0"/>
  </r>
  <r>
    <x v="0"/>
    <x v="0"/>
    <n v="2239308145"/>
    <x v="8"/>
    <n v="3300"/>
    <x v="2"/>
    <x v="0"/>
    <x v="20"/>
    <x v="8"/>
    <x v="0"/>
    <x v="0"/>
    <x v="3"/>
    <x v="0"/>
  </r>
  <r>
    <x v="0"/>
    <x v="0"/>
    <n v="2239308146"/>
    <x v="2"/>
    <n v="13000"/>
    <x v="2"/>
    <x v="0"/>
    <x v="20"/>
    <x v="2"/>
    <x v="0"/>
    <x v="0"/>
    <x v="2"/>
    <x v="0"/>
  </r>
  <r>
    <x v="0"/>
    <x v="0"/>
    <n v="2239308147"/>
    <x v="2"/>
    <n v="39490"/>
    <x v="2"/>
    <x v="0"/>
    <x v="20"/>
    <x v="2"/>
    <x v="0"/>
    <x v="0"/>
    <x v="2"/>
    <x v="0"/>
  </r>
  <r>
    <x v="0"/>
    <x v="0"/>
    <n v="2239308148"/>
    <x v="2"/>
    <n v="6000"/>
    <x v="2"/>
    <x v="0"/>
    <x v="20"/>
    <x v="2"/>
    <x v="0"/>
    <x v="0"/>
    <x v="2"/>
    <x v="0"/>
  </r>
  <r>
    <x v="0"/>
    <x v="0"/>
    <n v="2239308149"/>
    <x v="6"/>
    <n v="12000"/>
    <x v="2"/>
    <x v="0"/>
    <x v="20"/>
    <x v="6"/>
    <x v="0"/>
    <x v="0"/>
    <x v="5"/>
    <x v="0"/>
  </r>
  <r>
    <x v="0"/>
    <x v="0"/>
    <n v="2239308150"/>
    <x v="2"/>
    <n v="13000"/>
    <x v="2"/>
    <x v="0"/>
    <x v="20"/>
    <x v="2"/>
    <x v="0"/>
    <x v="0"/>
    <x v="2"/>
    <x v="0"/>
  </r>
  <r>
    <x v="0"/>
    <x v="0"/>
    <n v="2239308151"/>
    <x v="5"/>
    <n v="-4000"/>
    <x v="2"/>
    <x v="0"/>
    <x v="20"/>
    <x v="5"/>
    <x v="0"/>
    <x v="0"/>
    <x v="5"/>
    <x v="0"/>
  </r>
  <r>
    <x v="0"/>
    <x v="0"/>
    <n v="2239308151"/>
    <x v="6"/>
    <n v="10000"/>
    <x v="2"/>
    <x v="0"/>
    <x v="20"/>
    <x v="6"/>
    <x v="0"/>
    <x v="0"/>
    <x v="5"/>
    <x v="0"/>
  </r>
  <r>
    <x v="0"/>
    <x v="0"/>
    <n v="2239308152"/>
    <x v="5"/>
    <n v="-6500"/>
    <x v="2"/>
    <x v="0"/>
    <x v="20"/>
    <x v="5"/>
    <x v="0"/>
    <x v="0"/>
    <x v="5"/>
    <x v="0"/>
  </r>
  <r>
    <x v="0"/>
    <x v="0"/>
    <n v="2239308152"/>
    <x v="6"/>
    <n v="10000"/>
    <x v="2"/>
    <x v="0"/>
    <x v="20"/>
    <x v="6"/>
    <x v="0"/>
    <x v="0"/>
    <x v="5"/>
    <x v="0"/>
  </r>
  <r>
    <x v="0"/>
    <x v="0"/>
    <n v="2239308153"/>
    <x v="2"/>
    <n v="14300"/>
    <x v="2"/>
    <x v="0"/>
    <x v="20"/>
    <x v="2"/>
    <x v="0"/>
    <x v="0"/>
    <x v="2"/>
    <x v="0"/>
  </r>
  <r>
    <x v="0"/>
    <x v="0"/>
    <n v="2239308154"/>
    <x v="2"/>
    <n v="14500"/>
    <x v="2"/>
    <x v="0"/>
    <x v="20"/>
    <x v="2"/>
    <x v="0"/>
    <x v="0"/>
    <x v="2"/>
    <x v="0"/>
  </r>
  <r>
    <x v="0"/>
    <x v="0"/>
    <n v="2239308155"/>
    <x v="5"/>
    <n v="-5600"/>
    <x v="2"/>
    <x v="0"/>
    <x v="20"/>
    <x v="5"/>
    <x v="0"/>
    <x v="0"/>
    <x v="5"/>
    <x v="0"/>
  </r>
  <r>
    <x v="0"/>
    <x v="0"/>
    <n v="2239308155"/>
    <x v="4"/>
    <n v="10000"/>
    <x v="2"/>
    <x v="0"/>
    <x v="20"/>
    <x v="4"/>
    <x v="0"/>
    <x v="0"/>
    <x v="4"/>
    <x v="0"/>
  </r>
  <r>
    <x v="0"/>
    <x v="0"/>
    <n v="2239308157"/>
    <x v="2"/>
    <n v="12100"/>
    <x v="2"/>
    <x v="0"/>
    <x v="20"/>
    <x v="2"/>
    <x v="0"/>
    <x v="0"/>
    <x v="2"/>
    <x v="0"/>
  </r>
  <r>
    <x v="0"/>
    <x v="0"/>
    <n v="2239308158"/>
    <x v="2"/>
    <n v="7150"/>
    <x v="2"/>
    <x v="0"/>
    <x v="20"/>
    <x v="2"/>
    <x v="0"/>
    <x v="0"/>
    <x v="2"/>
    <x v="0"/>
  </r>
  <r>
    <x v="0"/>
    <x v="0"/>
    <n v="2239308159"/>
    <x v="1"/>
    <n v="1140"/>
    <x v="2"/>
    <x v="0"/>
    <x v="20"/>
    <x v="1"/>
    <x v="0"/>
    <x v="0"/>
    <x v="1"/>
    <x v="0"/>
  </r>
  <r>
    <x v="0"/>
    <x v="0"/>
    <n v="2239308160"/>
    <x v="2"/>
    <n v="9548"/>
    <x v="2"/>
    <x v="0"/>
    <x v="20"/>
    <x v="2"/>
    <x v="0"/>
    <x v="0"/>
    <x v="2"/>
    <x v="0"/>
  </r>
  <r>
    <x v="0"/>
    <x v="0"/>
    <n v="2239308161"/>
    <x v="2"/>
    <n v="12000"/>
    <x v="2"/>
    <x v="0"/>
    <x v="20"/>
    <x v="2"/>
    <x v="0"/>
    <x v="0"/>
    <x v="2"/>
    <x v="0"/>
  </r>
  <r>
    <x v="0"/>
    <x v="0"/>
    <n v="2239308162"/>
    <x v="5"/>
    <n v="-4400"/>
    <x v="2"/>
    <x v="0"/>
    <x v="20"/>
    <x v="5"/>
    <x v="0"/>
    <x v="0"/>
    <x v="5"/>
    <x v="0"/>
  </r>
  <r>
    <x v="0"/>
    <x v="0"/>
    <n v="2239308162"/>
    <x v="4"/>
    <n v="10000"/>
    <x v="2"/>
    <x v="0"/>
    <x v="20"/>
    <x v="4"/>
    <x v="0"/>
    <x v="0"/>
    <x v="4"/>
    <x v="0"/>
  </r>
  <r>
    <x v="0"/>
    <x v="0"/>
    <n v="2239308163"/>
    <x v="1"/>
    <n v="5820"/>
    <x v="2"/>
    <x v="0"/>
    <x v="20"/>
    <x v="1"/>
    <x v="0"/>
    <x v="0"/>
    <x v="1"/>
    <x v="0"/>
  </r>
  <r>
    <x v="0"/>
    <x v="0"/>
    <n v="2239308164"/>
    <x v="5"/>
    <n v="-1460"/>
    <x v="2"/>
    <x v="0"/>
    <x v="20"/>
    <x v="5"/>
    <x v="0"/>
    <x v="0"/>
    <x v="5"/>
    <x v="0"/>
  </r>
  <r>
    <x v="0"/>
    <x v="0"/>
    <n v="2239308164"/>
    <x v="6"/>
    <n v="20000"/>
    <x v="2"/>
    <x v="0"/>
    <x v="20"/>
    <x v="6"/>
    <x v="0"/>
    <x v="0"/>
    <x v="5"/>
    <x v="0"/>
  </r>
  <r>
    <x v="0"/>
    <x v="0"/>
    <n v="2239308165"/>
    <x v="2"/>
    <n v="32340"/>
    <x v="2"/>
    <x v="0"/>
    <x v="20"/>
    <x v="2"/>
    <x v="0"/>
    <x v="0"/>
    <x v="2"/>
    <x v="0"/>
  </r>
  <r>
    <x v="0"/>
    <x v="0"/>
    <n v="2239308167"/>
    <x v="2"/>
    <n v="10890"/>
    <x v="2"/>
    <x v="0"/>
    <x v="20"/>
    <x v="2"/>
    <x v="0"/>
    <x v="0"/>
    <x v="2"/>
    <x v="0"/>
  </r>
  <r>
    <x v="0"/>
    <x v="0"/>
    <n v="2239308169"/>
    <x v="2"/>
    <n v="13000"/>
    <x v="2"/>
    <x v="0"/>
    <x v="20"/>
    <x v="2"/>
    <x v="0"/>
    <x v="0"/>
    <x v="2"/>
    <x v="0"/>
  </r>
  <r>
    <x v="0"/>
    <x v="0"/>
    <n v="2239308170"/>
    <x v="5"/>
    <n v="-7000"/>
    <x v="2"/>
    <x v="0"/>
    <x v="20"/>
    <x v="5"/>
    <x v="0"/>
    <x v="0"/>
    <x v="5"/>
    <x v="0"/>
  </r>
  <r>
    <x v="0"/>
    <x v="0"/>
    <n v="2239308170"/>
    <x v="6"/>
    <n v="20000"/>
    <x v="2"/>
    <x v="0"/>
    <x v="20"/>
    <x v="6"/>
    <x v="0"/>
    <x v="0"/>
    <x v="5"/>
    <x v="0"/>
  </r>
  <r>
    <x v="0"/>
    <x v="0"/>
    <n v="2239308171"/>
    <x v="2"/>
    <n v="28600"/>
    <x v="2"/>
    <x v="0"/>
    <x v="20"/>
    <x v="2"/>
    <x v="0"/>
    <x v="0"/>
    <x v="2"/>
    <x v="0"/>
  </r>
  <r>
    <x v="0"/>
    <x v="0"/>
    <n v="2239308172"/>
    <x v="2"/>
    <n v="38940"/>
    <x v="2"/>
    <x v="0"/>
    <x v="20"/>
    <x v="2"/>
    <x v="0"/>
    <x v="0"/>
    <x v="2"/>
    <x v="0"/>
  </r>
  <r>
    <x v="0"/>
    <x v="0"/>
    <n v="2239308173"/>
    <x v="2"/>
    <n v="14000"/>
    <x v="2"/>
    <x v="0"/>
    <x v="20"/>
    <x v="2"/>
    <x v="0"/>
    <x v="0"/>
    <x v="2"/>
    <x v="0"/>
  </r>
  <r>
    <x v="0"/>
    <x v="0"/>
    <n v="2239308175"/>
    <x v="5"/>
    <n v="-5600"/>
    <x v="2"/>
    <x v="0"/>
    <x v="20"/>
    <x v="5"/>
    <x v="0"/>
    <x v="0"/>
    <x v="5"/>
    <x v="0"/>
  </r>
  <r>
    <x v="0"/>
    <x v="0"/>
    <n v="2239308175"/>
    <x v="4"/>
    <n v="10000"/>
    <x v="2"/>
    <x v="0"/>
    <x v="20"/>
    <x v="4"/>
    <x v="0"/>
    <x v="0"/>
    <x v="4"/>
    <x v="0"/>
  </r>
  <r>
    <x v="0"/>
    <x v="0"/>
    <n v="2239308176"/>
    <x v="2"/>
    <n v="16500"/>
    <x v="2"/>
    <x v="0"/>
    <x v="20"/>
    <x v="2"/>
    <x v="0"/>
    <x v="0"/>
    <x v="2"/>
    <x v="0"/>
  </r>
  <r>
    <x v="0"/>
    <x v="0"/>
    <n v="2239308177"/>
    <x v="2"/>
    <n v="24090"/>
    <x v="2"/>
    <x v="0"/>
    <x v="20"/>
    <x v="2"/>
    <x v="0"/>
    <x v="0"/>
    <x v="2"/>
    <x v="0"/>
  </r>
  <r>
    <x v="0"/>
    <x v="0"/>
    <n v="2239308178"/>
    <x v="2"/>
    <n v="14300"/>
    <x v="2"/>
    <x v="0"/>
    <x v="20"/>
    <x v="2"/>
    <x v="0"/>
    <x v="0"/>
    <x v="2"/>
    <x v="0"/>
  </r>
  <r>
    <x v="0"/>
    <x v="0"/>
    <n v="2239308180"/>
    <x v="5"/>
    <n v="-600"/>
    <x v="2"/>
    <x v="0"/>
    <x v="20"/>
    <x v="5"/>
    <x v="0"/>
    <x v="0"/>
    <x v="5"/>
    <x v="0"/>
  </r>
  <r>
    <x v="0"/>
    <x v="0"/>
    <n v="2239308180"/>
    <x v="4"/>
    <n v="5000"/>
    <x v="2"/>
    <x v="0"/>
    <x v="20"/>
    <x v="4"/>
    <x v="0"/>
    <x v="0"/>
    <x v="4"/>
    <x v="0"/>
  </r>
  <r>
    <x v="0"/>
    <x v="0"/>
    <n v="2239308183"/>
    <x v="3"/>
    <n v="5000"/>
    <x v="2"/>
    <x v="0"/>
    <x v="20"/>
    <x v="3"/>
    <x v="0"/>
    <x v="0"/>
    <x v="3"/>
    <x v="0"/>
  </r>
  <r>
    <x v="0"/>
    <x v="0"/>
    <n v="2239308184"/>
    <x v="5"/>
    <n v="-500"/>
    <x v="2"/>
    <x v="0"/>
    <x v="20"/>
    <x v="5"/>
    <x v="0"/>
    <x v="0"/>
    <x v="5"/>
    <x v="0"/>
  </r>
  <r>
    <x v="0"/>
    <x v="0"/>
    <n v="2239308184"/>
    <x v="6"/>
    <n v="10000"/>
    <x v="2"/>
    <x v="0"/>
    <x v="20"/>
    <x v="6"/>
    <x v="0"/>
    <x v="0"/>
    <x v="5"/>
    <x v="0"/>
  </r>
  <r>
    <x v="0"/>
    <x v="0"/>
    <n v="2239308185"/>
    <x v="8"/>
    <n v="14300"/>
    <x v="2"/>
    <x v="0"/>
    <x v="20"/>
    <x v="8"/>
    <x v="0"/>
    <x v="0"/>
    <x v="3"/>
    <x v="0"/>
  </r>
  <r>
    <x v="0"/>
    <x v="0"/>
    <n v="2239308186"/>
    <x v="3"/>
    <n v="10500"/>
    <x v="2"/>
    <x v="0"/>
    <x v="20"/>
    <x v="3"/>
    <x v="0"/>
    <x v="0"/>
    <x v="3"/>
    <x v="0"/>
  </r>
  <r>
    <x v="0"/>
    <x v="0"/>
    <n v="2239308187"/>
    <x v="5"/>
    <n v="-3500"/>
    <x v="2"/>
    <x v="0"/>
    <x v="20"/>
    <x v="5"/>
    <x v="0"/>
    <x v="0"/>
    <x v="5"/>
    <x v="0"/>
  </r>
  <r>
    <x v="0"/>
    <x v="0"/>
    <n v="2239308187"/>
    <x v="6"/>
    <n v="10000"/>
    <x v="2"/>
    <x v="0"/>
    <x v="20"/>
    <x v="6"/>
    <x v="0"/>
    <x v="0"/>
    <x v="5"/>
    <x v="0"/>
  </r>
  <r>
    <x v="0"/>
    <x v="0"/>
    <n v="2239308188"/>
    <x v="5"/>
    <n v="-5600"/>
    <x v="2"/>
    <x v="0"/>
    <x v="20"/>
    <x v="5"/>
    <x v="0"/>
    <x v="0"/>
    <x v="5"/>
    <x v="0"/>
  </r>
  <r>
    <x v="0"/>
    <x v="0"/>
    <n v="2239308188"/>
    <x v="4"/>
    <n v="10000"/>
    <x v="2"/>
    <x v="0"/>
    <x v="20"/>
    <x v="4"/>
    <x v="0"/>
    <x v="0"/>
    <x v="4"/>
    <x v="0"/>
  </r>
  <r>
    <x v="0"/>
    <x v="0"/>
    <n v="2239308189"/>
    <x v="2"/>
    <n v="25850"/>
    <x v="2"/>
    <x v="0"/>
    <x v="20"/>
    <x v="2"/>
    <x v="0"/>
    <x v="0"/>
    <x v="2"/>
    <x v="0"/>
  </r>
  <r>
    <x v="0"/>
    <x v="0"/>
    <n v="2239308190"/>
    <x v="2"/>
    <n v="19500"/>
    <x v="2"/>
    <x v="0"/>
    <x v="20"/>
    <x v="2"/>
    <x v="0"/>
    <x v="0"/>
    <x v="2"/>
    <x v="0"/>
  </r>
  <r>
    <x v="0"/>
    <x v="0"/>
    <n v="2239308191"/>
    <x v="2"/>
    <n v="7700"/>
    <x v="2"/>
    <x v="0"/>
    <x v="20"/>
    <x v="2"/>
    <x v="0"/>
    <x v="0"/>
    <x v="2"/>
    <x v="0"/>
  </r>
  <r>
    <x v="0"/>
    <x v="0"/>
    <n v="2239308192"/>
    <x v="2"/>
    <n v="23540"/>
    <x v="2"/>
    <x v="0"/>
    <x v="20"/>
    <x v="2"/>
    <x v="0"/>
    <x v="0"/>
    <x v="2"/>
    <x v="0"/>
  </r>
  <r>
    <x v="0"/>
    <x v="0"/>
    <n v="2239308193"/>
    <x v="2"/>
    <n v="9500"/>
    <x v="2"/>
    <x v="0"/>
    <x v="20"/>
    <x v="2"/>
    <x v="0"/>
    <x v="0"/>
    <x v="2"/>
    <x v="0"/>
  </r>
  <r>
    <x v="0"/>
    <x v="0"/>
    <n v="2239308194"/>
    <x v="2"/>
    <n v="7500"/>
    <x v="2"/>
    <x v="0"/>
    <x v="20"/>
    <x v="2"/>
    <x v="0"/>
    <x v="0"/>
    <x v="2"/>
    <x v="0"/>
  </r>
  <r>
    <x v="0"/>
    <x v="0"/>
    <n v="2239308195"/>
    <x v="2"/>
    <n v="25190"/>
    <x v="2"/>
    <x v="0"/>
    <x v="20"/>
    <x v="2"/>
    <x v="0"/>
    <x v="0"/>
    <x v="2"/>
    <x v="0"/>
  </r>
  <r>
    <x v="0"/>
    <x v="0"/>
    <n v="2239308196"/>
    <x v="2"/>
    <n v="10010"/>
    <x v="2"/>
    <x v="0"/>
    <x v="20"/>
    <x v="2"/>
    <x v="0"/>
    <x v="0"/>
    <x v="2"/>
    <x v="0"/>
  </r>
  <r>
    <x v="0"/>
    <x v="0"/>
    <n v="2239308197"/>
    <x v="5"/>
    <n v="-500"/>
    <x v="2"/>
    <x v="0"/>
    <x v="20"/>
    <x v="5"/>
    <x v="0"/>
    <x v="0"/>
    <x v="5"/>
    <x v="0"/>
  </r>
  <r>
    <x v="0"/>
    <x v="0"/>
    <n v="2239308197"/>
    <x v="6"/>
    <n v="10000"/>
    <x v="2"/>
    <x v="0"/>
    <x v="20"/>
    <x v="6"/>
    <x v="0"/>
    <x v="0"/>
    <x v="5"/>
    <x v="0"/>
  </r>
  <r>
    <x v="0"/>
    <x v="0"/>
    <n v="2239308198"/>
    <x v="5"/>
    <n v="-6000"/>
    <x v="2"/>
    <x v="0"/>
    <x v="20"/>
    <x v="5"/>
    <x v="0"/>
    <x v="0"/>
    <x v="5"/>
    <x v="0"/>
  </r>
  <r>
    <x v="0"/>
    <x v="0"/>
    <n v="2239308198"/>
    <x v="6"/>
    <n v="10000"/>
    <x v="2"/>
    <x v="0"/>
    <x v="20"/>
    <x v="6"/>
    <x v="0"/>
    <x v="0"/>
    <x v="5"/>
    <x v="0"/>
  </r>
  <r>
    <x v="0"/>
    <x v="0"/>
    <n v="2239308199"/>
    <x v="2"/>
    <n v="51590"/>
    <x v="2"/>
    <x v="0"/>
    <x v="20"/>
    <x v="2"/>
    <x v="0"/>
    <x v="0"/>
    <x v="2"/>
    <x v="0"/>
  </r>
  <r>
    <x v="0"/>
    <x v="0"/>
    <n v="2239308200"/>
    <x v="5"/>
    <n v="-500"/>
    <x v="2"/>
    <x v="0"/>
    <x v="20"/>
    <x v="5"/>
    <x v="0"/>
    <x v="0"/>
    <x v="5"/>
    <x v="0"/>
  </r>
  <r>
    <x v="0"/>
    <x v="0"/>
    <n v="2239308200"/>
    <x v="6"/>
    <n v="20000"/>
    <x v="2"/>
    <x v="0"/>
    <x v="20"/>
    <x v="6"/>
    <x v="0"/>
    <x v="0"/>
    <x v="5"/>
    <x v="0"/>
  </r>
  <r>
    <x v="0"/>
    <x v="0"/>
    <n v="2239308201"/>
    <x v="5"/>
    <n v="-2000"/>
    <x v="2"/>
    <x v="0"/>
    <x v="20"/>
    <x v="5"/>
    <x v="0"/>
    <x v="0"/>
    <x v="5"/>
    <x v="0"/>
  </r>
  <r>
    <x v="0"/>
    <x v="0"/>
    <n v="2239308201"/>
    <x v="6"/>
    <n v="10000"/>
    <x v="2"/>
    <x v="0"/>
    <x v="20"/>
    <x v="6"/>
    <x v="0"/>
    <x v="0"/>
    <x v="5"/>
    <x v="0"/>
  </r>
  <r>
    <x v="0"/>
    <x v="0"/>
    <n v="2239308202"/>
    <x v="2"/>
    <n v="25674"/>
    <x v="2"/>
    <x v="0"/>
    <x v="20"/>
    <x v="2"/>
    <x v="0"/>
    <x v="0"/>
    <x v="2"/>
    <x v="0"/>
  </r>
  <r>
    <x v="0"/>
    <x v="0"/>
    <n v="2239308202"/>
    <x v="7"/>
    <n v="15560"/>
    <x v="2"/>
    <x v="0"/>
    <x v="20"/>
    <x v="7"/>
    <x v="0"/>
    <x v="0"/>
    <x v="1"/>
    <x v="0"/>
  </r>
  <r>
    <x v="0"/>
    <x v="0"/>
    <n v="2239308204"/>
    <x v="2"/>
    <n v="16500"/>
    <x v="2"/>
    <x v="0"/>
    <x v="20"/>
    <x v="2"/>
    <x v="0"/>
    <x v="0"/>
    <x v="2"/>
    <x v="0"/>
  </r>
  <r>
    <x v="0"/>
    <x v="0"/>
    <n v="2239308205"/>
    <x v="2"/>
    <n v="39000"/>
    <x v="2"/>
    <x v="0"/>
    <x v="20"/>
    <x v="2"/>
    <x v="0"/>
    <x v="0"/>
    <x v="2"/>
    <x v="0"/>
  </r>
  <r>
    <x v="0"/>
    <x v="0"/>
    <n v="2239308206"/>
    <x v="2"/>
    <n v="22000"/>
    <x v="2"/>
    <x v="0"/>
    <x v="20"/>
    <x v="2"/>
    <x v="0"/>
    <x v="0"/>
    <x v="2"/>
    <x v="0"/>
  </r>
  <r>
    <x v="0"/>
    <x v="0"/>
    <n v="2239308207"/>
    <x v="5"/>
    <n v="-12900"/>
    <x v="2"/>
    <x v="0"/>
    <x v="20"/>
    <x v="5"/>
    <x v="0"/>
    <x v="0"/>
    <x v="5"/>
    <x v="0"/>
  </r>
  <r>
    <x v="0"/>
    <x v="0"/>
    <n v="2239308207"/>
    <x v="6"/>
    <n v="30000"/>
    <x v="2"/>
    <x v="0"/>
    <x v="20"/>
    <x v="6"/>
    <x v="0"/>
    <x v="0"/>
    <x v="5"/>
    <x v="0"/>
  </r>
  <r>
    <x v="0"/>
    <x v="0"/>
    <n v="2239308209"/>
    <x v="2"/>
    <n v="14500"/>
    <x v="2"/>
    <x v="0"/>
    <x v="20"/>
    <x v="2"/>
    <x v="0"/>
    <x v="0"/>
    <x v="2"/>
    <x v="0"/>
  </r>
  <r>
    <x v="0"/>
    <x v="0"/>
    <n v="2239308210"/>
    <x v="5"/>
    <n v="-8500"/>
    <x v="2"/>
    <x v="0"/>
    <x v="20"/>
    <x v="5"/>
    <x v="0"/>
    <x v="0"/>
    <x v="5"/>
    <x v="0"/>
  </r>
  <r>
    <x v="0"/>
    <x v="0"/>
    <n v="2239308210"/>
    <x v="4"/>
    <n v="12900"/>
    <x v="2"/>
    <x v="0"/>
    <x v="20"/>
    <x v="4"/>
    <x v="0"/>
    <x v="0"/>
    <x v="4"/>
    <x v="0"/>
  </r>
  <r>
    <x v="0"/>
    <x v="0"/>
    <n v="2239308212"/>
    <x v="2"/>
    <n v="29700"/>
    <x v="2"/>
    <x v="0"/>
    <x v="20"/>
    <x v="2"/>
    <x v="0"/>
    <x v="0"/>
    <x v="2"/>
    <x v="0"/>
  </r>
  <r>
    <x v="0"/>
    <x v="0"/>
    <n v="2239308213"/>
    <x v="2"/>
    <n v="39490"/>
    <x v="2"/>
    <x v="0"/>
    <x v="20"/>
    <x v="2"/>
    <x v="0"/>
    <x v="0"/>
    <x v="2"/>
    <x v="0"/>
  </r>
  <r>
    <x v="0"/>
    <x v="0"/>
    <n v="2239308214"/>
    <x v="2"/>
    <n v="38000"/>
    <x v="2"/>
    <x v="0"/>
    <x v="20"/>
    <x v="2"/>
    <x v="0"/>
    <x v="0"/>
    <x v="2"/>
    <x v="0"/>
  </r>
  <r>
    <x v="0"/>
    <x v="0"/>
    <n v="2239308215"/>
    <x v="2"/>
    <n v="7500"/>
    <x v="2"/>
    <x v="0"/>
    <x v="20"/>
    <x v="2"/>
    <x v="0"/>
    <x v="0"/>
    <x v="2"/>
    <x v="0"/>
  </r>
  <r>
    <x v="0"/>
    <x v="0"/>
    <n v="2239308216"/>
    <x v="2"/>
    <n v="8000"/>
    <x v="2"/>
    <x v="0"/>
    <x v="20"/>
    <x v="2"/>
    <x v="0"/>
    <x v="0"/>
    <x v="2"/>
    <x v="0"/>
  </r>
  <r>
    <x v="0"/>
    <x v="0"/>
    <n v="2239308217"/>
    <x v="2"/>
    <n v="3000"/>
    <x v="2"/>
    <x v="0"/>
    <x v="20"/>
    <x v="2"/>
    <x v="0"/>
    <x v="0"/>
    <x v="2"/>
    <x v="0"/>
  </r>
  <r>
    <x v="0"/>
    <x v="0"/>
    <n v="2239308219"/>
    <x v="2"/>
    <n v="18700"/>
    <x v="2"/>
    <x v="0"/>
    <x v="20"/>
    <x v="2"/>
    <x v="0"/>
    <x v="0"/>
    <x v="2"/>
    <x v="0"/>
  </r>
  <r>
    <x v="0"/>
    <x v="0"/>
    <n v="2239308220"/>
    <x v="2"/>
    <n v="30690"/>
    <x v="2"/>
    <x v="0"/>
    <x v="20"/>
    <x v="2"/>
    <x v="0"/>
    <x v="0"/>
    <x v="2"/>
    <x v="0"/>
  </r>
  <r>
    <x v="0"/>
    <x v="0"/>
    <n v="2239308221"/>
    <x v="5"/>
    <n v="-3500"/>
    <x v="2"/>
    <x v="0"/>
    <x v="20"/>
    <x v="5"/>
    <x v="0"/>
    <x v="0"/>
    <x v="5"/>
    <x v="0"/>
  </r>
  <r>
    <x v="0"/>
    <x v="0"/>
    <n v="2239308221"/>
    <x v="6"/>
    <n v="10000"/>
    <x v="2"/>
    <x v="0"/>
    <x v="20"/>
    <x v="6"/>
    <x v="0"/>
    <x v="0"/>
    <x v="5"/>
    <x v="0"/>
  </r>
  <r>
    <x v="0"/>
    <x v="0"/>
    <n v="2239308223"/>
    <x v="5"/>
    <n v="-1850"/>
    <x v="2"/>
    <x v="0"/>
    <x v="20"/>
    <x v="5"/>
    <x v="0"/>
    <x v="0"/>
    <x v="5"/>
    <x v="0"/>
  </r>
  <r>
    <x v="0"/>
    <x v="0"/>
    <n v="2239308223"/>
    <x v="6"/>
    <n v="5000"/>
    <x v="2"/>
    <x v="0"/>
    <x v="20"/>
    <x v="6"/>
    <x v="0"/>
    <x v="0"/>
    <x v="5"/>
    <x v="0"/>
  </r>
  <r>
    <x v="0"/>
    <x v="0"/>
    <n v="2239308224"/>
    <x v="2"/>
    <n v="37290"/>
    <x v="2"/>
    <x v="0"/>
    <x v="20"/>
    <x v="2"/>
    <x v="0"/>
    <x v="0"/>
    <x v="2"/>
    <x v="0"/>
  </r>
  <r>
    <x v="0"/>
    <x v="0"/>
    <n v="2239308225"/>
    <x v="5"/>
    <n v="-500"/>
    <x v="2"/>
    <x v="0"/>
    <x v="20"/>
    <x v="5"/>
    <x v="0"/>
    <x v="0"/>
    <x v="5"/>
    <x v="0"/>
  </r>
  <r>
    <x v="0"/>
    <x v="0"/>
    <n v="2239308225"/>
    <x v="6"/>
    <n v="5000"/>
    <x v="2"/>
    <x v="0"/>
    <x v="20"/>
    <x v="6"/>
    <x v="0"/>
    <x v="0"/>
    <x v="5"/>
    <x v="0"/>
  </r>
  <r>
    <x v="0"/>
    <x v="0"/>
    <n v="2239308226"/>
    <x v="2"/>
    <n v="8250"/>
    <x v="2"/>
    <x v="0"/>
    <x v="20"/>
    <x v="2"/>
    <x v="0"/>
    <x v="0"/>
    <x v="2"/>
    <x v="0"/>
  </r>
  <r>
    <x v="0"/>
    <x v="0"/>
    <n v="2239308227"/>
    <x v="2"/>
    <n v="15070"/>
    <x v="2"/>
    <x v="0"/>
    <x v="20"/>
    <x v="2"/>
    <x v="0"/>
    <x v="0"/>
    <x v="2"/>
    <x v="0"/>
  </r>
  <r>
    <x v="0"/>
    <x v="0"/>
    <n v="2239308228"/>
    <x v="2"/>
    <n v="28600"/>
    <x v="2"/>
    <x v="0"/>
    <x v="20"/>
    <x v="2"/>
    <x v="0"/>
    <x v="0"/>
    <x v="2"/>
    <x v="0"/>
  </r>
  <r>
    <x v="0"/>
    <x v="0"/>
    <n v="2239308229"/>
    <x v="2"/>
    <n v="10800"/>
    <x v="2"/>
    <x v="0"/>
    <x v="20"/>
    <x v="2"/>
    <x v="0"/>
    <x v="0"/>
    <x v="2"/>
    <x v="0"/>
  </r>
  <r>
    <x v="0"/>
    <x v="0"/>
    <n v="2239308230"/>
    <x v="2"/>
    <n v="19250"/>
    <x v="2"/>
    <x v="0"/>
    <x v="20"/>
    <x v="2"/>
    <x v="0"/>
    <x v="0"/>
    <x v="2"/>
    <x v="0"/>
  </r>
  <r>
    <x v="0"/>
    <x v="0"/>
    <n v="2239308231"/>
    <x v="5"/>
    <n v="-700"/>
    <x v="2"/>
    <x v="0"/>
    <x v="20"/>
    <x v="5"/>
    <x v="0"/>
    <x v="0"/>
    <x v="5"/>
    <x v="0"/>
  </r>
  <r>
    <x v="0"/>
    <x v="0"/>
    <n v="2239308231"/>
    <x v="4"/>
    <n v="6000"/>
    <x v="2"/>
    <x v="0"/>
    <x v="20"/>
    <x v="4"/>
    <x v="0"/>
    <x v="0"/>
    <x v="4"/>
    <x v="0"/>
  </r>
  <r>
    <x v="0"/>
    <x v="0"/>
    <n v="2239308232"/>
    <x v="2"/>
    <n v="11550"/>
    <x v="2"/>
    <x v="0"/>
    <x v="20"/>
    <x v="2"/>
    <x v="0"/>
    <x v="0"/>
    <x v="2"/>
    <x v="0"/>
  </r>
  <r>
    <x v="0"/>
    <x v="0"/>
    <n v="2239308234"/>
    <x v="2"/>
    <n v="55990"/>
    <x v="2"/>
    <x v="0"/>
    <x v="20"/>
    <x v="2"/>
    <x v="0"/>
    <x v="0"/>
    <x v="2"/>
    <x v="0"/>
  </r>
  <r>
    <x v="0"/>
    <x v="0"/>
    <n v="2239308236"/>
    <x v="2"/>
    <n v="7150"/>
    <x v="2"/>
    <x v="0"/>
    <x v="20"/>
    <x v="2"/>
    <x v="0"/>
    <x v="0"/>
    <x v="2"/>
    <x v="0"/>
  </r>
  <r>
    <x v="0"/>
    <x v="0"/>
    <n v="2239308237"/>
    <x v="5"/>
    <n v="-5400"/>
    <x v="2"/>
    <x v="0"/>
    <x v="20"/>
    <x v="5"/>
    <x v="0"/>
    <x v="0"/>
    <x v="5"/>
    <x v="0"/>
  </r>
  <r>
    <x v="0"/>
    <x v="0"/>
    <n v="2239308237"/>
    <x v="4"/>
    <n v="10000"/>
    <x v="2"/>
    <x v="0"/>
    <x v="20"/>
    <x v="4"/>
    <x v="0"/>
    <x v="0"/>
    <x v="4"/>
    <x v="0"/>
  </r>
  <r>
    <x v="0"/>
    <x v="0"/>
    <n v="2239308239"/>
    <x v="2"/>
    <n v="3000"/>
    <x v="2"/>
    <x v="0"/>
    <x v="20"/>
    <x v="2"/>
    <x v="0"/>
    <x v="0"/>
    <x v="2"/>
    <x v="0"/>
  </r>
  <r>
    <x v="0"/>
    <x v="0"/>
    <n v="2239308240"/>
    <x v="2"/>
    <n v="6050"/>
    <x v="2"/>
    <x v="0"/>
    <x v="20"/>
    <x v="2"/>
    <x v="0"/>
    <x v="0"/>
    <x v="2"/>
    <x v="0"/>
  </r>
  <r>
    <x v="0"/>
    <x v="0"/>
    <n v="2239308242"/>
    <x v="2"/>
    <n v="30800"/>
    <x v="2"/>
    <x v="0"/>
    <x v="20"/>
    <x v="2"/>
    <x v="0"/>
    <x v="0"/>
    <x v="2"/>
    <x v="0"/>
  </r>
  <r>
    <x v="0"/>
    <x v="0"/>
    <n v="2239308244"/>
    <x v="5"/>
    <n v="-5000"/>
    <x v="2"/>
    <x v="0"/>
    <x v="20"/>
    <x v="5"/>
    <x v="0"/>
    <x v="0"/>
    <x v="5"/>
    <x v="0"/>
  </r>
  <r>
    <x v="0"/>
    <x v="0"/>
    <n v="2239308244"/>
    <x v="4"/>
    <n v="10300"/>
    <x v="2"/>
    <x v="0"/>
    <x v="20"/>
    <x v="4"/>
    <x v="0"/>
    <x v="0"/>
    <x v="4"/>
    <x v="0"/>
  </r>
  <r>
    <x v="0"/>
    <x v="0"/>
    <n v="2239308245"/>
    <x v="2"/>
    <n v="22550"/>
    <x v="2"/>
    <x v="0"/>
    <x v="20"/>
    <x v="2"/>
    <x v="0"/>
    <x v="0"/>
    <x v="2"/>
    <x v="0"/>
  </r>
  <r>
    <x v="0"/>
    <x v="0"/>
    <n v="2239308246"/>
    <x v="6"/>
    <n v="17100"/>
    <x v="2"/>
    <x v="0"/>
    <x v="20"/>
    <x v="6"/>
    <x v="0"/>
    <x v="0"/>
    <x v="5"/>
    <x v="0"/>
  </r>
  <r>
    <x v="0"/>
    <x v="0"/>
    <n v="2239308248"/>
    <x v="2"/>
    <n v="7000"/>
    <x v="2"/>
    <x v="0"/>
    <x v="20"/>
    <x v="2"/>
    <x v="0"/>
    <x v="0"/>
    <x v="2"/>
    <x v="0"/>
  </r>
  <r>
    <x v="0"/>
    <x v="0"/>
    <n v="2239308249"/>
    <x v="5"/>
    <n v="-500"/>
    <x v="2"/>
    <x v="0"/>
    <x v="20"/>
    <x v="5"/>
    <x v="0"/>
    <x v="0"/>
    <x v="5"/>
    <x v="0"/>
  </r>
  <r>
    <x v="0"/>
    <x v="0"/>
    <n v="2239308249"/>
    <x v="6"/>
    <n v="10000"/>
    <x v="2"/>
    <x v="0"/>
    <x v="20"/>
    <x v="6"/>
    <x v="0"/>
    <x v="0"/>
    <x v="5"/>
    <x v="0"/>
  </r>
  <r>
    <x v="0"/>
    <x v="0"/>
    <n v="2239308250"/>
    <x v="2"/>
    <n v="3300"/>
    <x v="2"/>
    <x v="0"/>
    <x v="20"/>
    <x v="2"/>
    <x v="0"/>
    <x v="0"/>
    <x v="2"/>
    <x v="0"/>
  </r>
  <r>
    <x v="0"/>
    <x v="0"/>
    <n v="2239308251"/>
    <x v="2"/>
    <n v="7000"/>
    <x v="2"/>
    <x v="0"/>
    <x v="20"/>
    <x v="2"/>
    <x v="0"/>
    <x v="0"/>
    <x v="2"/>
    <x v="0"/>
  </r>
  <r>
    <x v="0"/>
    <x v="0"/>
    <n v="2239308252"/>
    <x v="2"/>
    <n v="8250"/>
    <x v="2"/>
    <x v="0"/>
    <x v="20"/>
    <x v="2"/>
    <x v="0"/>
    <x v="0"/>
    <x v="2"/>
    <x v="0"/>
  </r>
  <r>
    <x v="0"/>
    <x v="0"/>
    <n v="2239308253"/>
    <x v="5"/>
    <n v="-3500"/>
    <x v="2"/>
    <x v="0"/>
    <x v="20"/>
    <x v="5"/>
    <x v="0"/>
    <x v="0"/>
    <x v="5"/>
    <x v="0"/>
  </r>
  <r>
    <x v="0"/>
    <x v="0"/>
    <n v="2239308253"/>
    <x v="6"/>
    <n v="10000"/>
    <x v="2"/>
    <x v="0"/>
    <x v="20"/>
    <x v="6"/>
    <x v="0"/>
    <x v="0"/>
    <x v="5"/>
    <x v="0"/>
  </r>
  <r>
    <x v="0"/>
    <x v="0"/>
    <n v="2239308254"/>
    <x v="2"/>
    <n v="7000"/>
    <x v="2"/>
    <x v="0"/>
    <x v="20"/>
    <x v="2"/>
    <x v="0"/>
    <x v="0"/>
    <x v="2"/>
    <x v="0"/>
  </r>
  <r>
    <x v="0"/>
    <x v="0"/>
    <n v="2239308255"/>
    <x v="2"/>
    <n v="18040"/>
    <x v="2"/>
    <x v="0"/>
    <x v="20"/>
    <x v="2"/>
    <x v="0"/>
    <x v="0"/>
    <x v="2"/>
    <x v="0"/>
  </r>
  <r>
    <x v="0"/>
    <x v="0"/>
    <n v="2239308255"/>
    <x v="7"/>
    <n v="2600"/>
    <x v="2"/>
    <x v="0"/>
    <x v="20"/>
    <x v="7"/>
    <x v="0"/>
    <x v="0"/>
    <x v="1"/>
    <x v="0"/>
  </r>
  <r>
    <x v="0"/>
    <x v="0"/>
    <n v="2239308256"/>
    <x v="2"/>
    <n v="7500"/>
    <x v="2"/>
    <x v="0"/>
    <x v="20"/>
    <x v="2"/>
    <x v="0"/>
    <x v="0"/>
    <x v="2"/>
    <x v="0"/>
  </r>
  <r>
    <x v="0"/>
    <x v="0"/>
    <n v="2239308258"/>
    <x v="5"/>
    <n v="-11320"/>
    <x v="2"/>
    <x v="0"/>
    <x v="20"/>
    <x v="5"/>
    <x v="0"/>
    <x v="0"/>
    <x v="5"/>
    <x v="0"/>
  </r>
  <r>
    <x v="0"/>
    <x v="0"/>
    <n v="2239308258"/>
    <x v="6"/>
    <n v="20000"/>
    <x v="2"/>
    <x v="0"/>
    <x v="20"/>
    <x v="6"/>
    <x v="0"/>
    <x v="0"/>
    <x v="5"/>
    <x v="0"/>
  </r>
  <r>
    <x v="0"/>
    <x v="0"/>
    <n v="2239308261"/>
    <x v="5"/>
    <n v="-5720"/>
    <x v="2"/>
    <x v="0"/>
    <x v="20"/>
    <x v="5"/>
    <x v="0"/>
    <x v="0"/>
    <x v="5"/>
    <x v="0"/>
  </r>
  <r>
    <x v="0"/>
    <x v="0"/>
    <n v="2239308261"/>
    <x v="4"/>
    <n v="11320"/>
    <x v="2"/>
    <x v="0"/>
    <x v="20"/>
    <x v="4"/>
    <x v="0"/>
    <x v="0"/>
    <x v="4"/>
    <x v="0"/>
  </r>
  <r>
    <x v="0"/>
    <x v="0"/>
    <n v="2239308262"/>
    <x v="5"/>
    <n v="-12500"/>
    <x v="2"/>
    <x v="0"/>
    <x v="20"/>
    <x v="5"/>
    <x v="0"/>
    <x v="0"/>
    <x v="5"/>
    <x v="0"/>
  </r>
  <r>
    <x v="0"/>
    <x v="0"/>
    <n v="2239308262"/>
    <x v="6"/>
    <n v="20000"/>
    <x v="2"/>
    <x v="0"/>
    <x v="20"/>
    <x v="6"/>
    <x v="0"/>
    <x v="0"/>
    <x v="5"/>
    <x v="0"/>
  </r>
  <r>
    <x v="0"/>
    <x v="0"/>
    <n v="2239308263"/>
    <x v="6"/>
    <n v="28000"/>
    <x v="2"/>
    <x v="0"/>
    <x v="20"/>
    <x v="6"/>
    <x v="0"/>
    <x v="0"/>
    <x v="5"/>
    <x v="0"/>
  </r>
  <r>
    <x v="0"/>
    <x v="0"/>
    <n v="2239308264"/>
    <x v="2"/>
    <n v="33440"/>
    <x v="2"/>
    <x v="0"/>
    <x v="20"/>
    <x v="2"/>
    <x v="0"/>
    <x v="0"/>
    <x v="2"/>
    <x v="0"/>
  </r>
  <r>
    <x v="0"/>
    <x v="0"/>
    <n v="2239308265"/>
    <x v="2"/>
    <n v="14300"/>
    <x v="2"/>
    <x v="0"/>
    <x v="20"/>
    <x v="2"/>
    <x v="0"/>
    <x v="0"/>
    <x v="2"/>
    <x v="0"/>
  </r>
  <r>
    <x v="0"/>
    <x v="0"/>
    <n v="2239308266"/>
    <x v="2"/>
    <n v="3000"/>
    <x v="2"/>
    <x v="0"/>
    <x v="20"/>
    <x v="2"/>
    <x v="0"/>
    <x v="0"/>
    <x v="2"/>
    <x v="0"/>
  </r>
  <r>
    <x v="0"/>
    <x v="0"/>
    <n v="2239308267"/>
    <x v="2"/>
    <n v="13992"/>
    <x v="2"/>
    <x v="0"/>
    <x v="20"/>
    <x v="2"/>
    <x v="0"/>
    <x v="0"/>
    <x v="2"/>
    <x v="0"/>
  </r>
  <r>
    <x v="0"/>
    <x v="0"/>
    <n v="2239308268"/>
    <x v="5"/>
    <n v="-6850"/>
    <x v="2"/>
    <x v="0"/>
    <x v="20"/>
    <x v="5"/>
    <x v="0"/>
    <x v="0"/>
    <x v="5"/>
    <x v="0"/>
  </r>
  <r>
    <x v="0"/>
    <x v="0"/>
    <n v="2239308268"/>
    <x v="6"/>
    <n v="10000"/>
    <x v="2"/>
    <x v="0"/>
    <x v="20"/>
    <x v="6"/>
    <x v="0"/>
    <x v="0"/>
    <x v="5"/>
    <x v="0"/>
  </r>
  <r>
    <x v="0"/>
    <x v="0"/>
    <n v="2239308269"/>
    <x v="5"/>
    <n v="-2250"/>
    <x v="2"/>
    <x v="0"/>
    <x v="20"/>
    <x v="5"/>
    <x v="0"/>
    <x v="0"/>
    <x v="5"/>
    <x v="0"/>
  </r>
  <r>
    <x v="0"/>
    <x v="0"/>
    <n v="2239308269"/>
    <x v="4"/>
    <n v="6850"/>
    <x v="2"/>
    <x v="0"/>
    <x v="20"/>
    <x v="4"/>
    <x v="0"/>
    <x v="0"/>
    <x v="4"/>
    <x v="0"/>
  </r>
  <r>
    <x v="0"/>
    <x v="0"/>
    <n v="2239308271"/>
    <x v="5"/>
    <n v="-2500"/>
    <x v="2"/>
    <x v="0"/>
    <x v="20"/>
    <x v="5"/>
    <x v="0"/>
    <x v="0"/>
    <x v="5"/>
    <x v="0"/>
  </r>
  <r>
    <x v="0"/>
    <x v="0"/>
    <n v="2239308271"/>
    <x v="6"/>
    <n v="10000"/>
    <x v="2"/>
    <x v="0"/>
    <x v="20"/>
    <x v="6"/>
    <x v="0"/>
    <x v="0"/>
    <x v="5"/>
    <x v="0"/>
  </r>
  <r>
    <x v="0"/>
    <x v="0"/>
    <n v="2239308272"/>
    <x v="2"/>
    <n v="7700"/>
    <x v="2"/>
    <x v="0"/>
    <x v="20"/>
    <x v="2"/>
    <x v="0"/>
    <x v="0"/>
    <x v="2"/>
    <x v="0"/>
  </r>
  <r>
    <x v="0"/>
    <x v="0"/>
    <n v="2239308273"/>
    <x v="3"/>
    <n v="3000"/>
    <x v="2"/>
    <x v="0"/>
    <x v="20"/>
    <x v="3"/>
    <x v="0"/>
    <x v="0"/>
    <x v="3"/>
    <x v="0"/>
  </r>
  <r>
    <x v="0"/>
    <x v="0"/>
    <n v="2239308274"/>
    <x v="2"/>
    <n v="7000"/>
    <x v="2"/>
    <x v="0"/>
    <x v="20"/>
    <x v="2"/>
    <x v="0"/>
    <x v="0"/>
    <x v="2"/>
    <x v="0"/>
  </r>
  <r>
    <x v="0"/>
    <x v="0"/>
    <n v="2239308275"/>
    <x v="5"/>
    <n v="-1770"/>
    <x v="2"/>
    <x v="0"/>
    <x v="20"/>
    <x v="5"/>
    <x v="0"/>
    <x v="0"/>
    <x v="5"/>
    <x v="0"/>
  </r>
  <r>
    <x v="0"/>
    <x v="0"/>
    <n v="2239308275"/>
    <x v="6"/>
    <n v="15000"/>
    <x v="2"/>
    <x v="0"/>
    <x v="20"/>
    <x v="6"/>
    <x v="0"/>
    <x v="0"/>
    <x v="5"/>
    <x v="0"/>
  </r>
  <r>
    <x v="0"/>
    <x v="0"/>
    <n v="2239308276"/>
    <x v="2"/>
    <n v="13200"/>
    <x v="2"/>
    <x v="0"/>
    <x v="20"/>
    <x v="2"/>
    <x v="0"/>
    <x v="0"/>
    <x v="2"/>
    <x v="0"/>
  </r>
  <r>
    <x v="0"/>
    <x v="0"/>
    <n v="2239308277"/>
    <x v="2"/>
    <n v="3000"/>
    <x v="2"/>
    <x v="0"/>
    <x v="20"/>
    <x v="2"/>
    <x v="0"/>
    <x v="0"/>
    <x v="2"/>
    <x v="0"/>
  </r>
  <r>
    <x v="0"/>
    <x v="0"/>
    <n v="2239308278"/>
    <x v="5"/>
    <n v="-4700"/>
    <x v="2"/>
    <x v="0"/>
    <x v="20"/>
    <x v="5"/>
    <x v="0"/>
    <x v="0"/>
    <x v="5"/>
    <x v="0"/>
  </r>
  <r>
    <x v="0"/>
    <x v="0"/>
    <n v="2239308278"/>
    <x v="4"/>
    <n v="10000"/>
    <x v="2"/>
    <x v="0"/>
    <x v="20"/>
    <x v="4"/>
    <x v="0"/>
    <x v="0"/>
    <x v="4"/>
    <x v="0"/>
  </r>
  <r>
    <x v="0"/>
    <x v="0"/>
    <n v="2239308279"/>
    <x v="2"/>
    <n v="2000"/>
    <x v="2"/>
    <x v="0"/>
    <x v="20"/>
    <x v="2"/>
    <x v="0"/>
    <x v="0"/>
    <x v="2"/>
    <x v="0"/>
  </r>
  <r>
    <x v="0"/>
    <x v="0"/>
    <n v="2239308280"/>
    <x v="5"/>
    <n v="-10500"/>
    <x v="2"/>
    <x v="0"/>
    <x v="20"/>
    <x v="5"/>
    <x v="0"/>
    <x v="0"/>
    <x v="5"/>
    <x v="0"/>
  </r>
  <r>
    <x v="0"/>
    <x v="0"/>
    <n v="2239308280"/>
    <x v="6"/>
    <n v="20000"/>
    <x v="2"/>
    <x v="0"/>
    <x v="20"/>
    <x v="6"/>
    <x v="0"/>
    <x v="0"/>
    <x v="5"/>
    <x v="0"/>
  </r>
  <r>
    <x v="0"/>
    <x v="0"/>
    <n v="2239308281"/>
    <x v="3"/>
    <n v="9900"/>
    <x v="2"/>
    <x v="0"/>
    <x v="20"/>
    <x v="3"/>
    <x v="0"/>
    <x v="0"/>
    <x v="3"/>
    <x v="0"/>
  </r>
  <r>
    <x v="0"/>
    <x v="0"/>
    <n v="2239308282"/>
    <x v="5"/>
    <n v="-500"/>
    <x v="2"/>
    <x v="0"/>
    <x v="20"/>
    <x v="5"/>
    <x v="0"/>
    <x v="0"/>
    <x v="5"/>
    <x v="0"/>
  </r>
  <r>
    <x v="0"/>
    <x v="0"/>
    <n v="2239308282"/>
    <x v="6"/>
    <n v="10000"/>
    <x v="2"/>
    <x v="0"/>
    <x v="20"/>
    <x v="6"/>
    <x v="0"/>
    <x v="0"/>
    <x v="5"/>
    <x v="0"/>
  </r>
  <r>
    <x v="0"/>
    <x v="0"/>
    <n v="2239308283"/>
    <x v="2"/>
    <n v="8250"/>
    <x v="2"/>
    <x v="0"/>
    <x v="20"/>
    <x v="2"/>
    <x v="0"/>
    <x v="0"/>
    <x v="2"/>
    <x v="0"/>
  </r>
  <r>
    <x v="0"/>
    <x v="0"/>
    <n v="2239308284"/>
    <x v="8"/>
    <n v="6500"/>
    <x v="2"/>
    <x v="0"/>
    <x v="20"/>
    <x v="8"/>
    <x v="0"/>
    <x v="0"/>
    <x v="3"/>
    <x v="0"/>
  </r>
  <r>
    <x v="0"/>
    <x v="0"/>
    <n v="2239308285"/>
    <x v="5"/>
    <n v="-15600"/>
    <x v="2"/>
    <x v="0"/>
    <x v="20"/>
    <x v="5"/>
    <x v="0"/>
    <x v="0"/>
    <x v="5"/>
    <x v="0"/>
  </r>
  <r>
    <x v="0"/>
    <x v="0"/>
    <n v="2239308285"/>
    <x v="4"/>
    <n v="20000"/>
    <x v="2"/>
    <x v="0"/>
    <x v="20"/>
    <x v="4"/>
    <x v="0"/>
    <x v="0"/>
    <x v="4"/>
    <x v="0"/>
  </r>
  <r>
    <x v="0"/>
    <x v="0"/>
    <n v="2239308286"/>
    <x v="2"/>
    <n v="40150"/>
    <x v="2"/>
    <x v="0"/>
    <x v="20"/>
    <x v="2"/>
    <x v="0"/>
    <x v="0"/>
    <x v="2"/>
    <x v="0"/>
  </r>
  <r>
    <x v="0"/>
    <x v="0"/>
    <n v="2239308287"/>
    <x v="2"/>
    <n v="16500"/>
    <x v="2"/>
    <x v="0"/>
    <x v="20"/>
    <x v="2"/>
    <x v="0"/>
    <x v="0"/>
    <x v="2"/>
    <x v="0"/>
  </r>
  <r>
    <x v="0"/>
    <x v="0"/>
    <n v="2239308288"/>
    <x v="5"/>
    <n v="-1000"/>
    <x v="2"/>
    <x v="0"/>
    <x v="20"/>
    <x v="5"/>
    <x v="0"/>
    <x v="0"/>
    <x v="5"/>
    <x v="0"/>
  </r>
  <r>
    <x v="0"/>
    <x v="0"/>
    <n v="2239308288"/>
    <x v="6"/>
    <n v="5000"/>
    <x v="2"/>
    <x v="0"/>
    <x v="20"/>
    <x v="6"/>
    <x v="0"/>
    <x v="0"/>
    <x v="5"/>
    <x v="0"/>
  </r>
  <r>
    <x v="0"/>
    <x v="0"/>
    <n v="2239308289"/>
    <x v="2"/>
    <n v="28000"/>
    <x v="2"/>
    <x v="0"/>
    <x v="20"/>
    <x v="2"/>
    <x v="0"/>
    <x v="0"/>
    <x v="2"/>
    <x v="0"/>
  </r>
  <r>
    <x v="0"/>
    <x v="0"/>
    <n v="2239308290"/>
    <x v="5"/>
    <n v="-3000"/>
    <x v="2"/>
    <x v="0"/>
    <x v="20"/>
    <x v="5"/>
    <x v="0"/>
    <x v="0"/>
    <x v="5"/>
    <x v="0"/>
  </r>
  <r>
    <x v="0"/>
    <x v="0"/>
    <n v="2239308290"/>
    <x v="6"/>
    <n v="10000"/>
    <x v="2"/>
    <x v="0"/>
    <x v="20"/>
    <x v="6"/>
    <x v="0"/>
    <x v="0"/>
    <x v="5"/>
    <x v="0"/>
  </r>
  <r>
    <x v="0"/>
    <x v="0"/>
    <n v="2239308292"/>
    <x v="5"/>
    <n v="-4000"/>
    <x v="2"/>
    <x v="0"/>
    <x v="20"/>
    <x v="5"/>
    <x v="0"/>
    <x v="0"/>
    <x v="5"/>
    <x v="0"/>
  </r>
  <r>
    <x v="0"/>
    <x v="0"/>
    <n v="2239308292"/>
    <x v="6"/>
    <n v="30000"/>
    <x v="2"/>
    <x v="0"/>
    <x v="20"/>
    <x v="6"/>
    <x v="0"/>
    <x v="0"/>
    <x v="5"/>
    <x v="0"/>
  </r>
  <r>
    <x v="0"/>
    <x v="0"/>
    <n v="2239308293"/>
    <x v="8"/>
    <n v="16500"/>
    <x v="2"/>
    <x v="0"/>
    <x v="20"/>
    <x v="8"/>
    <x v="0"/>
    <x v="0"/>
    <x v="3"/>
    <x v="0"/>
  </r>
  <r>
    <x v="0"/>
    <x v="0"/>
    <n v="2239308294"/>
    <x v="5"/>
    <n v="-4700"/>
    <x v="2"/>
    <x v="0"/>
    <x v="20"/>
    <x v="5"/>
    <x v="0"/>
    <x v="0"/>
    <x v="5"/>
    <x v="0"/>
  </r>
  <r>
    <x v="0"/>
    <x v="0"/>
    <n v="2239308294"/>
    <x v="4"/>
    <n v="10000"/>
    <x v="2"/>
    <x v="0"/>
    <x v="20"/>
    <x v="4"/>
    <x v="0"/>
    <x v="0"/>
    <x v="4"/>
    <x v="0"/>
  </r>
  <r>
    <x v="0"/>
    <x v="0"/>
    <n v="2239308295"/>
    <x v="5"/>
    <n v="-1200"/>
    <x v="2"/>
    <x v="0"/>
    <x v="20"/>
    <x v="5"/>
    <x v="0"/>
    <x v="0"/>
    <x v="5"/>
    <x v="0"/>
  </r>
  <r>
    <x v="0"/>
    <x v="0"/>
    <n v="2239308295"/>
    <x v="6"/>
    <n v="5000"/>
    <x v="2"/>
    <x v="0"/>
    <x v="20"/>
    <x v="6"/>
    <x v="0"/>
    <x v="0"/>
    <x v="5"/>
    <x v="0"/>
  </r>
  <r>
    <x v="0"/>
    <x v="0"/>
    <n v="2239308296"/>
    <x v="5"/>
    <n v="-7340"/>
    <x v="2"/>
    <x v="0"/>
    <x v="20"/>
    <x v="5"/>
    <x v="0"/>
    <x v="0"/>
    <x v="5"/>
    <x v="0"/>
  </r>
  <r>
    <x v="0"/>
    <x v="0"/>
    <n v="2239308296"/>
    <x v="6"/>
    <n v="10000"/>
    <x v="2"/>
    <x v="0"/>
    <x v="20"/>
    <x v="6"/>
    <x v="0"/>
    <x v="0"/>
    <x v="5"/>
    <x v="0"/>
  </r>
  <r>
    <x v="0"/>
    <x v="0"/>
    <n v="2239308299"/>
    <x v="6"/>
    <n v="7000"/>
    <x v="2"/>
    <x v="0"/>
    <x v="20"/>
    <x v="6"/>
    <x v="0"/>
    <x v="0"/>
    <x v="5"/>
    <x v="0"/>
  </r>
  <r>
    <x v="0"/>
    <x v="0"/>
    <n v="2239308300"/>
    <x v="5"/>
    <n v="-5000"/>
    <x v="2"/>
    <x v="0"/>
    <x v="20"/>
    <x v="5"/>
    <x v="0"/>
    <x v="0"/>
    <x v="5"/>
    <x v="0"/>
  </r>
  <r>
    <x v="0"/>
    <x v="0"/>
    <n v="2239308300"/>
    <x v="6"/>
    <n v="10200"/>
    <x v="2"/>
    <x v="0"/>
    <x v="20"/>
    <x v="6"/>
    <x v="0"/>
    <x v="0"/>
    <x v="5"/>
    <x v="0"/>
  </r>
  <r>
    <x v="0"/>
    <x v="0"/>
    <n v="2239308300"/>
    <x v="7"/>
    <n v="1300"/>
    <x v="2"/>
    <x v="0"/>
    <x v="20"/>
    <x v="7"/>
    <x v="0"/>
    <x v="0"/>
    <x v="1"/>
    <x v="0"/>
  </r>
  <r>
    <x v="0"/>
    <x v="0"/>
    <n v="2239308301"/>
    <x v="2"/>
    <n v="2000"/>
    <x v="2"/>
    <x v="0"/>
    <x v="20"/>
    <x v="2"/>
    <x v="0"/>
    <x v="0"/>
    <x v="2"/>
    <x v="0"/>
  </r>
  <r>
    <x v="0"/>
    <x v="0"/>
    <n v="2239308302"/>
    <x v="5"/>
    <n v="-600"/>
    <x v="2"/>
    <x v="0"/>
    <x v="20"/>
    <x v="5"/>
    <x v="0"/>
    <x v="0"/>
    <x v="5"/>
    <x v="0"/>
  </r>
  <r>
    <x v="0"/>
    <x v="0"/>
    <n v="2239308302"/>
    <x v="4"/>
    <n v="5000"/>
    <x v="2"/>
    <x v="0"/>
    <x v="20"/>
    <x v="4"/>
    <x v="0"/>
    <x v="0"/>
    <x v="4"/>
    <x v="0"/>
  </r>
  <r>
    <x v="0"/>
    <x v="0"/>
    <n v="2239308303"/>
    <x v="5"/>
    <n v="-2000"/>
    <x v="2"/>
    <x v="0"/>
    <x v="20"/>
    <x v="5"/>
    <x v="0"/>
    <x v="0"/>
    <x v="5"/>
    <x v="0"/>
  </r>
  <r>
    <x v="0"/>
    <x v="0"/>
    <n v="2239308303"/>
    <x v="6"/>
    <n v="5000"/>
    <x v="2"/>
    <x v="0"/>
    <x v="20"/>
    <x v="6"/>
    <x v="0"/>
    <x v="0"/>
    <x v="5"/>
    <x v="0"/>
  </r>
  <r>
    <x v="0"/>
    <x v="0"/>
    <n v="2239314502"/>
    <x v="5"/>
    <n v="-1060"/>
    <x v="2"/>
    <x v="0"/>
    <x v="22"/>
    <x v="5"/>
    <x v="0"/>
    <x v="0"/>
    <x v="5"/>
    <x v="0"/>
  </r>
  <r>
    <x v="0"/>
    <x v="0"/>
    <n v="2239314502"/>
    <x v="6"/>
    <n v="10000"/>
    <x v="2"/>
    <x v="0"/>
    <x v="22"/>
    <x v="6"/>
    <x v="0"/>
    <x v="0"/>
    <x v="5"/>
    <x v="0"/>
  </r>
  <r>
    <x v="0"/>
    <x v="0"/>
    <n v="2239314503"/>
    <x v="2"/>
    <n v="4950"/>
    <x v="2"/>
    <x v="0"/>
    <x v="22"/>
    <x v="2"/>
    <x v="0"/>
    <x v="0"/>
    <x v="2"/>
    <x v="0"/>
  </r>
  <r>
    <x v="0"/>
    <x v="0"/>
    <n v="2239314504"/>
    <x v="3"/>
    <n v="20350"/>
    <x v="2"/>
    <x v="0"/>
    <x v="22"/>
    <x v="3"/>
    <x v="0"/>
    <x v="0"/>
    <x v="3"/>
    <x v="0"/>
  </r>
  <r>
    <x v="0"/>
    <x v="0"/>
    <n v="2239314505"/>
    <x v="7"/>
    <n v="9000"/>
    <x v="2"/>
    <x v="0"/>
    <x v="22"/>
    <x v="7"/>
    <x v="0"/>
    <x v="0"/>
    <x v="1"/>
    <x v="0"/>
  </r>
  <r>
    <x v="0"/>
    <x v="0"/>
    <n v="2239314506"/>
    <x v="2"/>
    <n v="29700"/>
    <x v="2"/>
    <x v="0"/>
    <x v="22"/>
    <x v="2"/>
    <x v="0"/>
    <x v="0"/>
    <x v="2"/>
    <x v="0"/>
  </r>
  <r>
    <x v="0"/>
    <x v="0"/>
    <n v="2239314507"/>
    <x v="2"/>
    <n v="3800"/>
    <x v="2"/>
    <x v="0"/>
    <x v="22"/>
    <x v="2"/>
    <x v="0"/>
    <x v="0"/>
    <x v="2"/>
    <x v="0"/>
  </r>
  <r>
    <x v="0"/>
    <x v="0"/>
    <n v="2239314508"/>
    <x v="2"/>
    <n v="9500"/>
    <x v="2"/>
    <x v="0"/>
    <x v="22"/>
    <x v="2"/>
    <x v="0"/>
    <x v="0"/>
    <x v="2"/>
    <x v="0"/>
  </r>
  <r>
    <x v="0"/>
    <x v="0"/>
    <n v="2239314511"/>
    <x v="5"/>
    <n v="-500"/>
    <x v="2"/>
    <x v="0"/>
    <x v="22"/>
    <x v="5"/>
    <x v="0"/>
    <x v="0"/>
    <x v="5"/>
    <x v="0"/>
  </r>
  <r>
    <x v="0"/>
    <x v="0"/>
    <n v="2239314511"/>
    <x v="6"/>
    <n v="8000"/>
    <x v="2"/>
    <x v="0"/>
    <x v="22"/>
    <x v="6"/>
    <x v="0"/>
    <x v="0"/>
    <x v="5"/>
    <x v="0"/>
  </r>
  <r>
    <x v="0"/>
    <x v="0"/>
    <n v="2239314512"/>
    <x v="7"/>
    <n v="7500"/>
    <x v="2"/>
    <x v="0"/>
    <x v="22"/>
    <x v="7"/>
    <x v="0"/>
    <x v="0"/>
    <x v="1"/>
    <x v="0"/>
  </r>
  <r>
    <x v="0"/>
    <x v="0"/>
    <n v="2239314513"/>
    <x v="5"/>
    <n v="-2500"/>
    <x v="2"/>
    <x v="0"/>
    <x v="22"/>
    <x v="5"/>
    <x v="0"/>
    <x v="0"/>
    <x v="5"/>
    <x v="0"/>
  </r>
  <r>
    <x v="0"/>
    <x v="0"/>
    <n v="2239314513"/>
    <x v="6"/>
    <n v="10000"/>
    <x v="2"/>
    <x v="0"/>
    <x v="22"/>
    <x v="6"/>
    <x v="0"/>
    <x v="0"/>
    <x v="5"/>
    <x v="0"/>
  </r>
  <r>
    <x v="0"/>
    <x v="0"/>
    <n v="2239314514"/>
    <x v="3"/>
    <n v="19000"/>
    <x v="2"/>
    <x v="0"/>
    <x v="22"/>
    <x v="3"/>
    <x v="0"/>
    <x v="0"/>
    <x v="3"/>
    <x v="0"/>
  </r>
  <r>
    <x v="0"/>
    <x v="0"/>
    <n v="2239314515"/>
    <x v="2"/>
    <n v="6500"/>
    <x v="2"/>
    <x v="0"/>
    <x v="22"/>
    <x v="2"/>
    <x v="0"/>
    <x v="0"/>
    <x v="2"/>
    <x v="0"/>
  </r>
  <r>
    <x v="0"/>
    <x v="0"/>
    <n v="2239314516"/>
    <x v="0"/>
    <n v="2700"/>
    <x v="2"/>
    <x v="0"/>
    <x v="22"/>
    <x v="0"/>
    <x v="0"/>
    <x v="0"/>
    <x v="0"/>
    <x v="0"/>
  </r>
  <r>
    <x v="0"/>
    <x v="0"/>
    <n v="2239314517"/>
    <x v="2"/>
    <n v="4950"/>
    <x v="2"/>
    <x v="0"/>
    <x v="22"/>
    <x v="2"/>
    <x v="0"/>
    <x v="0"/>
    <x v="2"/>
    <x v="0"/>
  </r>
  <r>
    <x v="0"/>
    <x v="0"/>
    <n v="2239314518"/>
    <x v="5"/>
    <n v="-1000"/>
    <x v="2"/>
    <x v="0"/>
    <x v="22"/>
    <x v="5"/>
    <x v="0"/>
    <x v="0"/>
    <x v="5"/>
    <x v="0"/>
  </r>
  <r>
    <x v="0"/>
    <x v="0"/>
    <n v="2239314518"/>
    <x v="6"/>
    <n v="60000"/>
    <x v="2"/>
    <x v="0"/>
    <x v="22"/>
    <x v="6"/>
    <x v="0"/>
    <x v="0"/>
    <x v="5"/>
    <x v="0"/>
  </r>
  <r>
    <x v="0"/>
    <x v="0"/>
    <n v="2239314519"/>
    <x v="7"/>
    <n v="6500"/>
    <x v="2"/>
    <x v="0"/>
    <x v="22"/>
    <x v="7"/>
    <x v="0"/>
    <x v="0"/>
    <x v="1"/>
    <x v="0"/>
  </r>
  <r>
    <x v="0"/>
    <x v="0"/>
    <n v="2239314520"/>
    <x v="5"/>
    <n v="-2500"/>
    <x v="2"/>
    <x v="0"/>
    <x v="22"/>
    <x v="5"/>
    <x v="0"/>
    <x v="0"/>
    <x v="5"/>
    <x v="0"/>
  </r>
  <r>
    <x v="0"/>
    <x v="0"/>
    <n v="2239314520"/>
    <x v="6"/>
    <n v="10000"/>
    <x v="2"/>
    <x v="0"/>
    <x v="22"/>
    <x v="6"/>
    <x v="0"/>
    <x v="0"/>
    <x v="5"/>
    <x v="0"/>
  </r>
  <r>
    <x v="0"/>
    <x v="0"/>
    <n v="2239314521"/>
    <x v="0"/>
    <n v="3000"/>
    <x v="2"/>
    <x v="0"/>
    <x v="22"/>
    <x v="0"/>
    <x v="0"/>
    <x v="0"/>
    <x v="0"/>
    <x v="0"/>
  </r>
  <r>
    <x v="0"/>
    <x v="0"/>
    <n v="2239314522"/>
    <x v="2"/>
    <n v="3000"/>
    <x v="2"/>
    <x v="0"/>
    <x v="22"/>
    <x v="2"/>
    <x v="0"/>
    <x v="0"/>
    <x v="2"/>
    <x v="0"/>
  </r>
  <r>
    <x v="0"/>
    <x v="0"/>
    <n v="2239314523"/>
    <x v="5"/>
    <n v="-3000"/>
    <x v="2"/>
    <x v="0"/>
    <x v="22"/>
    <x v="5"/>
    <x v="0"/>
    <x v="0"/>
    <x v="5"/>
    <x v="0"/>
  </r>
  <r>
    <x v="0"/>
    <x v="0"/>
    <n v="2239314523"/>
    <x v="6"/>
    <n v="10000"/>
    <x v="2"/>
    <x v="0"/>
    <x v="22"/>
    <x v="6"/>
    <x v="0"/>
    <x v="0"/>
    <x v="5"/>
    <x v="0"/>
  </r>
  <r>
    <x v="0"/>
    <x v="0"/>
    <n v="2239314524"/>
    <x v="0"/>
    <n v="1140"/>
    <x v="2"/>
    <x v="0"/>
    <x v="22"/>
    <x v="0"/>
    <x v="0"/>
    <x v="0"/>
    <x v="0"/>
    <x v="0"/>
  </r>
  <r>
    <x v="0"/>
    <x v="0"/>
    <n v="2239314525"/>
    <x v="5"/>
    <n v="-2000"/>
    <x v="2"/>
    <x v="0"/>
    <x v="22"/>
    <x v="5"/>
    <x v="0"/>
    <x v="0"/>
    <x v="5"/>
    <x v="0"/>
  </r>
  <r>
    <x v="0"/>
    <x v="0"/>
    <n v="2239314525"/>
    <x v="6"/>
    <n v="5000"/>
    <x v="2"/>
    <x v="0"/>
    <x v="22"/>
    <x v="6"/>
    <x v="0"/>
    <x v="0"/>
    <x v="5"/>
    <x v="0"/>
  </r>
  <r>
    <x v="0"/>
    <x v="0"/>
    <n v="2239314526"/>
    <x v="2"/>
    <n v="6500"/>
    <x v="2"/>
    <x v="0"/>
    <x v="22"/>
    <x v="2"/>
    <x v="0"/>
    <x v="0"/>
    <x v="2"/>
    <x v="0"/>
  </r>
  <r>
    <x v="0"/>
    <x v="0"/>
    <n v="2239314527"/>
    <x v="5"/>
    <n v="-970"/>
    <x v="2"/>
    <x v="0"/>
    <x v="22"/>
    <x v="5"/>
    <x v="0"/>
    <x v="0"/>
    <x v="5"/>
    <x v="0"/>
  </r>
  <r>
    <x v="0"/>
    <x v="0"/>
    <n v="2239314527"/>
    <x v="6"/>
    <n v="51000"/>
    <x v="2"/>
    <x v="0"/>
    <x v="22"/>
    <x v="6"/>
    <x v="0"/>
    <x v="0"/>
    <x v="5"/>
    <x v="0"/>
  </r>
  <r>
    <x v="0"/>
    <x v="0"/>
    <n v="2239314527"/>
    <x v="7"/>
    <n v="5370"/>
    <x v="2"/>
    <x v="0"/>
    <x v="22"/>
    <x v="7"/>
    <x v="0"/>
    <x v="0"/>
    <x v="1"/>
    <x v="0"/>
  </r>
  <r>
    <x v="0"/>
    <x v="0"/>
    <n v="2239314528"/>
    <x v="1"/>
    <n v="62850"/>
    <x v="2"/>
    <x v="0"/>
    <x v="22"/>
    <x v="1"/>
    <x v="0"/>
    <x v="0"/>
    <x v="1"/>
    <x v="0"/>
  </r>
  <r>
    <x v="0"/>
    <x v="0"/>
    <n v="2239314529"/>
    <x v="1"/>
    <n v="11100"/>
    <x v="2"/>
    <x v="0"/>
    <x v="22"/>
    <x v="1"/>
    <x v="0"/>
    <x v="0"/>
    <x v="1"/>
    <x v="0"/>
  </r>
  <r>
    <x v="0"/>
    <x v="0"/>
    <n v="2239314530"/>
    <x v="1"/>
    <n v="2700"/>
    <x v="2"/>
    <x v="0"/>
    <x v="22"/>
    <x v="1"/>
    <x v="0"/>
    <x v="0"/>
    <x v="1"/>
    <x v="0"/>
  </r>
  <r>
    <x v="0"/>
    <x v="0"/>
    <n v="2239314531"/>
    <x v="1"/>
    <n v="33000"/>
    <x v="2"/>
    <x v="0"/>
    <x v="22"/>
    <x v="1"/>
    <x v="0"/>
    <x v="0"/>
    <x v="1"/>
    <x v="0"/>
  </r>
  <r>
    <x v="0"/>
    <x v="0"/>
    <n v="2239314532"/>
    <x v="1"/>
    <n v="7470"/>
    <x v="2"/>
    <x v="0"/>
    <x v="22"/>
    <x v="1"/>
    <x v="0"/>
    <x v="0"/>
    <x v="1"/>
    <x v="0"/>
  </r>
  <r>
    <x v="0"/>
    <x v="0"/>
    <n v="2239314533"/>
    <x v="1"/>
    <n v="17100"/>
    <x v="2"/>
    <x v="0"/>
    <x v="22"/>
    <x v="1"/>
    <x v="0"/>
    <x v="0"/>
    <x v="1"/>
    <x v="0"/>
  </r>
  <r>
    <x v="0"/>
    <x v="0"/>
    <n v="2239314534"/>
    <x v="1"/>
    <n v="17770"/>
    <x v="2"/>
    <x v="0"/>
    <x v="22"/>
    <x v="1"/>
    <x v="0"/>
    <x v="0"/>
    <x v="1"/>
    <x v="0"/>
  </r>
  <r>
    <x v="0"/>
    <x v="0"/>
    <n v="2239314535"/>
    <x v="1"/>
    <n v="3600"/>
    <x v="2"/>
    <x v="0"/>
    <x v="22"/>
    <x v="1"/>
    <x v="0"/>
    <x v="0"/>
    <x v="1"/>
    <x v="0"/>
  </r>
  <r>
    <x v="0"/>
    <x v="0"/>
    <n v="2239314536"/>
    <x v="1"/>
    <n v="900"/>
    <x v="2"/>
    <x v="0"/>
    <x v="22"/>
    <x v="1"/>
    <x v="0"/>
    <x v="0"/>
    <x v="1"/>
    <x v="0"/>
  </r>
  <r>
    <x v="0"/>
    <x v="0"/>
    <n v="2239314537"/>
    <x v="1"/>
    <n v="4650"/>
    <x v="2"/>
    <x v="0"/>
    <x v="22"/>
    <x v="1"/>
    <x v="0"/>
    <x v="0"/>
    <x v="1"/>
    <x v="0"/>
  </r>
  <r>
    <x v="0"/>
    <x v="0"/>
    <n v="2239314538"/>
    <x v="7"/>
    <n v="3000"/>
    <x v="2"/>
    <x v="0"/>
    <x v="22"/>
    <x v="7"/>
    <x v="0"/>
    <x v="0"/>
    <x v="1"/>
    <x v="0"/>
  </r>
  <r>
    <x v="0"/>
    <x v="0"/>
    <n v="2239314539"/>
    <x v="7"/>
    <n v="3000"/>
    <x v="2"/>
    <x v="0"/>
    <x v="22"/>
    <x v="7"/>
    <x v="0"/>
    <x v="0"/>
    <x v="1"/>
    <x v="0"/>
  </r>
  <r>
    <x v="0"/>
    <x v="0"/>
    <n v="2239314540"/>
    <x v="7"/>
    <n v="3000"/>
    <x v="2"/>
    <x v="0"/>
    <x v="22"/>
    <x v="7"/>
    <x v="0"/>
    <x v="0"/>
    <x v="1"/>
    <x v="0"/>
  </r>
  <r>
    <x v="0"/>
    <x v="0"/>
    <n v="2239314541"/>
    <x v="1"/>
    <n v="7050"/>
    <x v="2"/>
    <x v="0"/>
    <x v="22"/>
    <x v="1"/>
    <x v="0"/>
    <x v="0"/>
    <x v="1"/>
    <x v="0"/>
  </r>
  <r>
    <x v="0"/>
    <x v="0"/>
    <n v="2239314542"/>
    <x v="0"/>
    <n v="19350"/>
    <x v="2"/>
    <x v="0"/>
    <x v="22"/>
    <x v="0"/>
    <x v="0"/>
    <x v="0"/>
    <x v="0"/>
    <x v="0"/>
  </r>
  <r>
    <x v="0"/>
    <x v="0"/>
    <n v="2239314543"/>
    <x v="0"/>
    <n v="6750"/>
    <x v="2"/>
    <x v="0"/>
    <x v="22"/>
    <x v="0"/>
    <x v="0"/>
    <x v="0"/>
    <x v="0"/>
    <x v="0"/>
  </r>
  <r>
    <x v="0"/>
    <x v="0"/>
    <n v="2239314544"/>
    <x v="1"/>
    <n v="23900"/>
    <x v="2"/>
    <x v="0"/>
    <x v="22"/>
    <x v="1"/>
    <x v="0"/>
    <x v="0"/>
    <x v="1"/>
    <x v="0"/>
  </r>
  <r>
    <x v="0"/>
    <x v="0"/>
    <n v="2239314545"/>
    <x v="1"/>
    <n v="27700"/>
    <x v="2"/>
    <x v="0"/>
    <x v="22"/>
    <x v="1"/>
    <x v="0"/>
    <x v="0"/>
    <x v="1"/>
    <x v="0"/>
  </r>
  <r>
    <x v="0"/>
    <x v="0"/>
    <n v="2239314546"/>
    <x v="7"/>
    <n v="3500"/>
    <x v="2"/>
    <x v="0"/>
    <x v="22"/>
    <x v="7"/>
    <x v="0"/>
    <x v="0"/>
    <x v="1"/>
    <x v="0"/>
  </r>
  <r>
    <x v="0"/>
    <x v="0"/>
    <n v="2239314547"/>
    <x v="7"/>
    <n v="3000"/>
    <x v="2"/>
    <x v="0"/>
    <x v="22"/>
    <x v="7"/>
    <x v="0"/>
    <x v="0"/>
    <x v="1"/>
    <x v="0"/>
  </r>
  <r>
    <x v="0"/>
    <x v="0"/>
    <n v="2239314548"/>
    <x v="1"/>
    <n v="2850"/>
    <x v="2"/>
    <x v="0"/>
    <x v="22"/>
    <x v="1"/>
    <x v="0"/>
    <x v="0"/>
    <x v="1"/>
    <x v="0"/>
  </r>
  <r>
    <x v="0"/>
    <x v="0"/>
    <n v="2239314549"/>
    <x v="0"/>
    <n v="11250"/>
    <x v="2"/>
    <x v="0"/>
    <x v="22"/>
    <x v="0"/>
    <x v="0"/>
    <x v="0"/>
    <x v="0"/>
    <x v="0"/>
  </r>
  <r>
    <x v="0"/>
    <x v="0"/>
    <n v="2239314550"/>
    <x v="0"/>
    <n v="6570"/>
    <x v="2"/>
    <x v="0"/>
    <x v="22"/>
    <x v="0"/>
    <x v="0"/>
    <x v="0"/>
    <x v="0"/>
    <x v="0"/>
  </r>
  <r>
    <x v="0"/>
    <x v="0"/>
    <n v="2239314551"/>
    <x v="7"/>
    <n v="10500"/>
    <x v="2"/>
    <x v="0"/>
    <x v="22"/>
    <x v="7"/>
    <x v="0"/>
    <x v="0"/>
    <x v="1"/>
    <x v="0"/>
  </r>
  <r>
    <x v="0"/>
    <x v="0"/>
    <n v="2239314552"/>
    <x v="0"/>
    <n v="2250"/>
    <x v="2"/>
    <x v="0"/>
    <x v="22"/>
    <x v="0"/>
    <x v="0"/>
    <x v="0"/>
    <x v="0"/>
    <x v="0"/>
  </r>
  <r>
    <x v="0"/>
    <x v="0"/>
    <n v="2239314553"/>
    <x v="0"/>
    <n v="11490"/>
    <x v="2"/>
    <x v="0"/>
    <x v="22"/>
    <x v="0"/>
    <x v="0"/>
    <x v="0"/>
    <x v="0"/>
    <x v="0"/>
  </r>
  <r>
    <x v="0"/>
    <x v="0"/>
    <n v="2239314554"/>
    <x v="1"/>
    <n v="900"/>
    <x v="2"/>
    <x v="0"/>
    <x v="22"/>
    <x v="1"/>
    <x v="0"/>
    <x v="0"/>
    <x v="1"/>
    <x v="0"/>
  </r>
  <r>
    <x v="0"/>
    <x v="0"/>
    <n v="2239314555"/>
    <x v="1"/>
    <n v="2400"/>
    <x v="2"/>
    <x v="0"/>
    <x v="22"/>
    <x v="1"/>
    <x v="0"/>
    <x v="0"/>
    <x v="1"/>
    <x v="0"/>
  </r>
  <r>
    <x v="0"/>
    <x v="0"/>
    <n v="2239314556"/>
    <x v="0"/>
    <n v="900"/>
    <x v="2"/>
    <x v="0"/>
    <x v="22"/>
    <x v="0"/>
    <x v="0"/>
    <x v="0"/>
    <x v="0"/>
    <x v="0"/>
  </r>
  <r>
    <x v="0"/>
    <x v="0"/>
    <n v="2239314557"/>
    <x v="0"/>
    <n v="5670"/>
    <x v="2"/>
    <x v="0"/>
    <x v="22"/>
    <x v="0"/>
    <x v="0"/>
    <x v="0"/>
    <x v="0"/>
    <x v="0"/>
  </r>
  <r>
    <x v="0"/>
    <x v="0"/>
    <n v="2239314558"/>
    <x v="1"/>
    <n v="1140"/>
    <x v="2"/>
    <x v="0"/>
    <x v="22"/>
    <x v="1"/>
    <x v="0"/>
    <x v="0"/>
    <x v="1"/>
    <x v="0"/>
  </r>
  <r>
    <x v="0"/>
    <x v="0"/>
    <n v="2239314559"/>
    <x v="7"/>
    <n v="4500"/>
    <x v="2"/>
    <x v="0"/>
    <x v="22"/>
    <x v="7"/>
    <x v="0"/>
    <x v="0"/>
    <x v="1"/>
    <x v="0"/>
  </r>
  <r>
    <x v="0"/>
    <x v="0"/>
    <n v="2239314560"/>
    <x v="7"/>
    <n v="3000"/>
    <x v="2"/>
    <x v="0"/>
    <x v="22"/>
    <x v="7"/>
    <x v="0"/>
    <x v="0"/>
    <x v="1"/>
    <x v="0"/>
  </r>
  <r>
    <x v="0"/>
    <x v="0"/>
    <n v="2239314561"/>
    <x v="0"/>
    <n v="83950"/>
    <x v="2"/>
    <x v="0"/>
    <x v="22"/>
    <x v="0"/>
    <x v="0"/>
    <x v="0"/>
    <x v="0"/>
    <x v="0"/>
  </r>
  <r>
    <x v="0"/>
    <x v="0"/>
    <n v="2239314562"/>
    <x v="7"/>
    <n v="8000"/>
    <x v="2"/>
    <x v="0"/>
    <x v="22"/>
    <x v="7"/>
    <x v="0"/>
    <x v="0"/>
    <x v="1"/>
    <x v="0"/>
  </r>
  <r>
    <x v="0"/>
    <x v="0"/>
    <n v="2239314563"/>
    <x v="7"/>
    <n v="3000"/>
    <x v="2"/>
    <x v="0"/>
    <x v="22"/>
    <x v="7"/>
    <x v="0"/>
    <x v="0"/>
    <x v="1"/>
    <x v="0"/>
  </r>
  <r>
    <x v="0"/>
    <x v="0"/>
    <n v="2239314564"/>
    <x v="7"/>
    <n v="10500"/>
    <x v="2"/>
    <x v="0"/>
    <x v="22"/>
    <x v="7"/>
    <x v="0"/>
    <x v="0"/>
    <x v="1"/>
    <x v="0"/>
  </r>
  <r>
    <x v="0"/>
    <x v="0"/>
    <n v="2239314565"/>
    <x v="7"/>
    <n v="7500"/>
    <x v="2"/>
    <x v="0"/>
    <x v="22"/>
    <x v="7"/>
    <x v="0"/>
    <x v="0"/>
    <x v="1"/>
    <x v="0"/>
  </r>
  <r>
    <x v="0"/>
    <x v="0"/>
    <n v="2239314566"/>
    <x v="7"/>
    <n v="6500"/>
    <x v="2"/>
    <x v="0"/>
    <x v="22"/>
    <x v="7"/>
    <x v="0"/>
    <x v="0"/>
    <x v="1"/>
    <x v="0"/>
  </r>
  <r>
    <x v="0"/>
    <x v="0"/>
    <n v="2239314567"/>
    <x v="7"/>
    <n v="6000"/>
    <x v="2"/>
    <x v="0"/>
    <x v="22"/>
    <x v="7"/>
    <x v="0"/>
    <x v="0"/>
    <x v="1"/>
    <x v="0"/>
  </r>
  <r>
    <x v="0"/>
    <x v="0"/>
    <n v="2239314568"/>
    <x v="7"/>
    <n v="6000"/>
    <x v="2"/>
    <x v="0"/>
    <x v="22"/>
    <x v="7"/>
    <x v="0"/>
    <x v="0"/>
    <x v="1"/>
    <x v="0"/>
  </r>
  <r>
    <x v="0"/>
    <x v="0"/>
    <n v="2239314569"/>
    <x v="7"/>
    <n v="4500"/>
    <x v="2"/>
    <x v="0"/>
    <x v="22"/>
    <x v="7"/>
    <x v="0"/>
    <x v="0"/>
    <x v="1"/>
    <x v="0"/>
  </r>
  <r>
    <x v="0"/>
    <x v="0"/>
    <n v="2239314570"/>
    <x v="7"/>
    <n v="4500"/>
    <x v="2"/>
    <x v="0"/>
    <x v="22"/>
    <x v="7"/>
    <x v="0"/>
    <x v="0"/>
    <x v="1"/>
    <x v="0"/>
  </r>
  <r>
    <x v="0"/>
    <x v="0"/>
    <n v="2239314571"/>
    <x v="7"/>
    <n v="7500"/>
    <x v="2"/>
    <x v="0"/>
    <x v="22"/>
    <x v="7"/>
    <x v="0"/>
    <x v="0"/>
    <x v="1"/>
    <x v="0"/>
  </r>
  <r>
    <x v="0"/>
    <x v="0"/>
    <n v="2239314572"/>
    <x v="7"/>
    <n v="3000"/>
    <x v="2"/>
    <x v="0"/>
    <x v="22"/>
    <x v="7"/>
    <x v="0"/>
    <x v="0"/>
    <x v="1"/>
    <x v="0"/>
  </r>
  <r>
    <x v="0"/>
    <x v="0"/>
    <n v="2239314573"/>
    <x v="0"/>
    <n v="900"/>
    <x v="2"/>
    <x v="0"/>
    <x v="22"/>
    <x v="0"/>
    <x v="0"/>
    <x v="0"/>
    <x v="0"/>
    <x v="0"/>
  </r>
  <r>
    <x v="0"/>
    <x v="0"/>
    <n v="2239314574"/>
    <x v="1"/>
    <n v="1200"/>
    <x v="2"/>
    <x v="0"/>
    <x v="22"/>
    <x v="1"/>
    <x v="0"/>
    <x v="0"/>
    <x v="1"/>
    <x v="0"/>
  </r>
  <r>
    <x v="0"/>
    <x v="0"/>
    <n v="2239314575"/>
    <x v="0"/>
    <n v="22400"/>
    <x v="2"/>
    <x v="0"/>
    <x v="22"/>
    <x v="0"/>
    <x v="0"/>
    <x v="0"/>
    <x v="0"/>
    <x v="0"/>
  </r>
  <r>
    <x v="0"/>
    <x v="0"/>
    <n v="2239314576"/>
    <x v="2"/>
    <n v="29590"/>
    <x v="2"/>
    <x v="0"/>
    <x v="22"/>
    <x v="2"/>
    <x v="0"/>
    <x v="0"/>
    <x v="2"/>
    <x v="0"/>
  </r>
  <r>
    <x v="0"/>
    <x v="0"/>
    <n v="2239314578"/>
    <x v="7"/>
    <n v="89500"/>
    <x v="2"/>
    <x v="0"/>
    <x v="22"/>
    <x v="7"/>
    <x v="0"/>
    <x v="0"/>
    <x v="1"/>
    <x v="0"/>
  </r>
  <r>
    <x v="0"/>
    <x v="0"/>
    <n v="2239314579"/>
    <x v="1"/>
    <n v="149900"/>
    <x v="2"/>
    <x v="0"/>
    <x v="22"/>
    <x v="1"/>
    <x v="0"/>
    <x v="0"/>
    <x v="1"/>
    <x v="0"/>
  </r>
  <r>
    <x v="0"/>
    <x v="0"/>
    <n v="2239314580"/>
    <x v="1"/>
    <n v="6630"/>
    <x v="2"/>
    <x v="0"/>
    <x v="22"/>
    <x v="1"/>
    <x v="0"/>
    <x v="0"/>
    <x v="1"/>
    <x v="0"/>
  </r>
  <r>
    <x v="0"/>
    <x v="0"/>
    <n v="2239314581"/>
    <x v="0"/>
    <n v="3600"/>
    <x v="2"/>
    <x v="0"/>
    <x v="22"/>
    <x v="0"/>
    <x v="0"/>
    <x v="0"/>
    <x v="0"/>
    <x v="0"/>
  </r>
  <r>
    <x v="0"/>
    <x v="0"/>
    <n v="2239314582"/>
    <x v="7"/>
    <n v="120000"/>
    <x v="2"/>
    <x v="0"/>
    <x v="22"/>
    <x v="7"/>
    <x v="0"/>
    <x v="0"/>
    <x v="1"/>
    <x v="0"/>
  </r>
  <r>
    <x v="0"/>
    <x v="0"/>
    <n v="2239314583"/>
    <x v="0"/>
    <n v="24090"/>
    <x v="2"/>
    <x v="0"/>
    <x v="22"/>
    <x v="0"/>
    <x v="0"/>
    <x v="0"/>
    <x v="0"/>
    <x v="0"/>
  </r>
  <r>
    <x v="0"/>
    <x v="0"/>
    <n v="2239314584"/>
    <x v="1"/>
    <n v="15540"/>
    <x v="2"/>
    <x v="0"/>
    <x v="22"/>
    <x v="1"/>
    <x v="0"/>
    <x v="0"/>
    <x v="1"/>
    <x v="0"/>
  </r>
  <r>
    <x v="0"/>
    <x v="0"/>
    <n v="2239314585"/>
    <x v="1"/>
    <n v="34440"/>
    <x v="2"/>
    <x v="0"/>
    <x v="22"/>
    <x v="1"/>
    <x v="0"/>
    <x v="0"/>
    <x v="1"/>
    <x v="0"/>
  </r>
  <r>
    <x v="0"/>
    <x v="0"/>
    <n v="2239314586"/>
    <x v="0"/>
    <n v="6500"/>
    <x v="2"/>
    <x v="0"/>
    <x v="22"/>
    <x v="0"/>
    <x v="0"/>
    <x v="0"/>
    <x v="0"/>
    <x v="0"/>
  </r>
  <r>
    <x v="0"/>
    <x v="0"/>
    <n v="2239314587"/>
    <x v="0"/>
    <n v="7650"/>
    <x v="2"/>
    <x v="0"/>
    <x v="22"/>
    <x v="0"/>
    <x v="0"/>
    <x v="0"/>
    <x v="0"/>
    <x v="0"/>
  </r>
  <r>
    <x v="0"/>
    <x v="0"/>
    <n v="2239314588"/>
    <x v="0"/>
    <n v="9000"/>
    <x v="2"/>
    <x v="0"/>
    <x v="22"/>
    <x v="0"/>
    <x v="0"/>
    <x v="0"/>
    <x v="0"/>
    <x v="0"/>
  </r>
  <r>
    <x v="0"/>
    <x v="0"/>
    <n v="2239314589"/>
    <x v="1"/>
    <n v="37740"/>
    <x v="2"/>
    <x v="0"/>
    <x v="22"/>
    <x v="1"/>
    <x v="0"/>
    <x v="0"/>
    <x v="1"/>
    <x v="0"/>
  </r>
  <r>
    <x v="0"/>
    <x v="0"/>
    <n v="2239314590"/>
    <x v="1"/>
    <n v="2250"/>
    <x v="2"/>
    <x v="0"/>
    <x v="22"/>
    <x v="1"/>
    <x v="0"/>
    <x v="0"/>
    <x v="1"/>
    <x v="0"/>
  </r>
  <r>
    <x v="0"/>
    <x v="0"/>
    <n v="2239314591"/>
    <x v="7"/>
    <n v="10500"/>
    <x v="2"/>
    <x v="0"/>
    <x v="22"/>
    <x v="7"/>
    <x v="0"/>
    <x v="0"/>
    <x v="1"/>
    <x v="0"/>
  </r>
  <r>
    <x v="0"/>
    <x v="0"/>
    <n v="2239314592"/>
    <x v="1"/>
    <n v="19740"/>
    <x v="2"/>
    <x v="0"/>
    <x v="22"/>
    <x v="1"/>
    <x v="0"/>
    <x v="0"/>
    <x v="1"/>
    <x v="0"/>
  </r>
  <r>
    <x v="0"/>
    <x v="0"/>
    <n v="2239314593"/>
    <x v="1"/>
    <n v="57000"/>
    <x v="2"/>
    <x v="0"/>
    <x v="22"/>
    <x v="1"/>
    <x v="0"/>
    <x v="0"/>
    <x v="1"/>
    <x v="0"/>
  </r>
  <r>
    <x v="0"/>
    <x v="0"/>
    <n v="2239314594"/>
    <x v="0"/>
    <n v="8070"/>
    <x v="2"/>
    <x v="0"/>
    <x v="22"/>
    <x v="0"/>
    <x v="0"/>
    <x v="0"/>
    <x v="0"/>
    <x v="0"/>
  </r>
  <r>
    <x v="0"/>
    <x v="0"/>
    <n v="2239314595"/>
    <x v="1"/>
    <n v="7350"/>
    <x v="2"/>
    <x v="0"/>
    <x v="22"/>
    <x v="1"/>
    <x v="0"/>
    <x v="0"/>
    <x v="1"/>
    <x v="0"/>
  </r>
  <r>
    <x v="0"/>
    <x v="0"/>
    <n v="2239314596"/>
    <x v="0"/>
    <n v="10800"/>
    <x v="2"/>
    <x v="0"/>
    <x v="22"/>
    <x v="0"/>
    <x v="0"/>
    <x v="0"/>
    <x v="0"/>
    <x v="0"/>
  </r>
  <r>
    <x v="0"/>
    <x v="0"/>
    <n v="2239314597"/>
    <x v="1"/>
    <n v="11800"/>
    <x v="2"/>
    <x v="0"/>
    <x v="22"/>
    <x v="1"/>
    <x v="0"/>
    <x v="0"/>
    <x v="1"/>
    <x v="0"/>
  </r>
  <r>
    <x v="0"/>
    <x v="0"/>
    <n v="2239314598"/>
    <x v="1"/>
    <n v="40290"/>
    <x v="2"/>
    <x v="0"/>
    <x v="22"/>
    <x v="1"/>
    <x v="0"/>
    <x v="0"/>
    <x v="1"/>
    <x v="0"/>
  </r>
  <r>
    <x v="0"/>
    <x v="0"/>
    <n v="2239314599"/>
    <x v="1"/>
    <n v="6750"/>
    <x v="2"/>
    <x v="0"/>
    <x v="22"/>
    <x v="1"/>
    <x v="0"/>
    <x v="0"/>
    <x v="1"/>
    <x v="0"/>
  </r>
  <r>
    <x v="0"/>
    <x v="0"/>
    <n v="2239314600"/>
    <x v="0"/>
    <n v="1500"/>
    <x v="2"/>
    <x v="0"/>
    <x v="22"/>
    <x v="0"/>
    <x v="0"/>
    <x v="0"/>
    <x v="0"/>
    <x v="0"/>
  </r>
  <r>
    <x v="0"/>
    <x v="0"/>
    <n v="2239314601"/>
    <x v="1"/>
    <n v="45220"/>
    <x v="2"/>
    <x v="0"/>
    <x v="22"/>
    <x v="1"/>
    <x v="0"/>
    <x v="0"/>
    <x v="1"/>
    <x v="0"/>
  </r>
  <r>
    <x v="0"/>
    <x v="0"/>
    <n v="2239314602"/>
    <x v="1"/>
    <n v="14870"/>
    <x v="2"/>
    <x v="0"/>
    <x v="22"/>
    <x v="1"/>
    <x v="0"/>
    <x v="0"/>
    <x v="1"/>
    <x v="0"/>
  </r>
  <r>
    <x v="0"/>
    <x v="0"/>
    <n v="2239314603"/>
    <x v="1"/>
    <n v="50740"/>
    <x v="2"/>
    <x v="0"/>
    <x v="22"/>
    <x v="1"/>
    <x v="0"/>
    <x v="0"/>
    <x v="1"/>
    <x v="0"/>
  </r>
  <r>
    <x v="0"/>
    <x v="0"/>
    <n v="2239314604"/>
    <x v="0"/>
    <n v="7800"/>
    <x v="2"/>
    <x v="0"/>
    <x v="22"/>
    <x v="0"/>
    <x v="0"/>
    <x v="0"/>
    <x v="0"/>
    <x v="0"/>
  </r>
  <r>
    <x v="0"/>
    <x v="0"/>
    <n v="2239314605"/>
    <x v="1"/>
    <n v="900"/>
    <x v="2"/>
    <x v="0"/>
    <x v="22"/>
    <x v="1"/>
    <x v="0"/>
    <x v="0"/>
    <x v="1"/>
    <x v="0"/>
  </r>
  <r>
    <x v="0"/>
    <x v="0"/>
    <n v="2239314606"/>
    <x v="0"/>
    <n v="14850"/>
    <x v="2"/>
    <x v="0"/>
    <x v="22"/>
    <x v="0"/>
    <x v="0"/>
    <x v="0"/>
    <x v="0"/>
    <x v="0"/>
  </r>
  <r>
    <x v="0"/>
    <x v="0"/>
    <n v="2239314607"/>
    <x v="1"/>
    <n v="68400"/>
    <x v="2"/>
    <x v="0"/>
    <x v="22"/>
    <x v="1"/>
    <x v="0"/>
    <x v="0"/>
    <x v="1"/>
    <x v="0"/>
  </r>
  <r>
    <x v="0"/>
    <x v="0"/>
    <n v="2239314608"/>
    <x v="1"/>
    <n v="15720"/>
    <x v="2"/>
    <x v="0"/>
    <x v="22"/>
    <x v="1"/>
    <x v="0"/>
    <x v="0"/>
    <x v="1"/>
    <x v="0"/>
  </r>
  <r>
    <x v="0"/>
    <x v="0"/>
    <n v="2239314609"/>
    <x v="7"/>
    <n v="7500"/>
    <x v="2"/>
    <x v="0"/>
    <x v="22"/>
    <x v="7"/>
    <x v="0"/>
    <x v="0"/>
    <x v="1"/>
    <x v="0"/>
  </r>
  <r>
    <x v="0"/>
    <x v="0"/>
    <n v="2239314610"/>
    <x v="1"/>
    <n v="13600"/>
    <x v="2"/>
    <x v="0"/>
    <x v="22"/>
    <x v="1"/>
    <x v="0"/>
    <x v="0"/>
    <x v="1"/>
    <x v="0"/>
  </r>
  <r>
    <x v="0"/>
    <x v="0"/>
    <n v="2239314611"/>
    <x v="1"/>
    <n v="19770"/>
    <x v="2"/>
    <x v="0"/>
    <x v="22"/>
    <x v="1"/>
    <x v="0"/>
    <x v="0"/>
    <x v="1"/>
    <x v="0"/>
  </r>
  <r>
    <x v="0"/>
    <x v="0"/>
    <n v="2239314612"/>
    <x v="1"/>
    <n v="10500"/>
    <x v="2"/>
    <x v="0"/>
    <x v="22"/>
    <x v="1"/>
    <x v="0"/>
    <x v="0"/>
    <x v="1"/>
    <x v="0"/>
  </r>
  <r>
    <x v="0"/>
    <x v="0"/>
    <n v="2239314613"/>
    <x v="1"/>
    <n v="7200"/>
    <x v="2"/>
    <x v="0"/>
    <x v="22"/>
    <x v="1"/>
    <x v="0"/>
    <x v="0"/>
    <x v="1"/>
    <x v="0"/>
  </r>
  <r>
    <x v="0"/>
    <x v="0"/>
    <n v="2239314614"/>
    <x v="1"/>
    <n v="10650"/>
    <x v="2"/>
    <x v="0"/>
    <x v="22"/>
    <x v="1"/>
    <x v="0"/>
    <x v="0"/>
    <x v="1"/>
    <x v="0"/>
  </r>
  <r>
    <x v="0"/>
    <x v="0"/>
    <n v="2239314615"/>
    <x v="1"/>
    <n v="19410"/>
    <x v="2"/>
    <x v="0"/>
    <x v="22"/>
    <x v="1"/>
    <x v="0"/>
    <x v="0"/>
    <x v="1"/>
    <x v="0"/>
  </r>
  <r>
    <x v="0"/>
    <x v="0"/>
    <n v="2239314616"/>
    <x v="1"/>
    <n v="6750"/>
    <x v="2"/>
    <x v="0"/>
    <x v="22"/>
    <x v="1"/>
    <x v="0"/>
    <x v="0"/>
    <x v="1"/>
    <x v="0"/>
  </r>
  <r>
    <x v="0"/>
    <x v="0"/>
    <n v="2239314617"/>
    <x v="0"/>
    <n v="23760"/>
    <x v="2"/>
    <x v="0"/>
    <x v="22"/>
    <x v="0"/>
    <x v="0"/>
    <x v="0"/>
    <x v="0"/>
    <x v="0"/>
  </r>
  <r>
    <x v="0"/>
    <x v="0"/>
    <n v="2239314618"/>
    <x v="1"/>
    <n v="19200"/>
    <x v="2"/>
    <x v="0"/>
    <x v="22"/>
    <x v="1"/>
    <x v="0"/>
    <x v="0"/>
    <x v="1"/>
    <x v="0"/>
  </r>
  <r>
    <x v="0"/>
    <x v="0"/>
    <n v="2239314619"/>
    <x v="0"/>
    <n v="6000"/>
    <x v="2"/>
    <x v="0"/>
    <x v="22"/>
    <x v="0"/>
    <x v="0"/>
    <x v="0"/>
    <x v="0"/>
    <x v="0"/>
  </r>
  <r>
    <x v="0"/>
    <x v="0"/>
    <n v="2239314620"/>
    <x v="7"/>
    <n v="2000"/>
    <x v="2"/>
    <x v="0"/>
    <x v="22"/>
    <x v="7"/>
    <x v="0"/>
    <x v="0"/>
    <x v="1"/>
    <x v="0"/>
  </r>
  <r>
    <x v="0"/>
    <x v="0"/>
    <n v="2239314621"/>
    <x v="1"/>
    <n v="900"/>
    <x v="2"/>
    <x v="0"/>
    <x v="22"/>
    <x v="1"/>
    <x v="0"/>
    <x v="0"/>
    <x v="1"/>
    <x v="0"/>
  </r>
  <r>
    <x v="0"/>
    <x v="0"/>
    <n v="2239314622"/>
    <x v="1"/>
    <n v="2250"/>
    <x v="2"/>
    <x v="0"/>
    <x v="22"/>
    <x v="1"/>
    <x v="0"/>
    <x v="0"/>
    <x v="1"/>
    <x v="0"/>
  </r>
  <r>
    <x v="0"/>
    <x v="0"/>
    <n v="2239314623"/>
    <x v="1"/>
    <n v="4770"/>
    <x v="2"/>
    <x v="0"/>
    <x v="22"/>
    <x v="1"/>
    <x v="0"/>
    <x v="0"/>
    <x v="1"/>
    <x v="0"/>
  </r>
  <r>
    <x v="0"/>
    <x v="0"/>
    <n v="2239314624"/>
    <x v="1"/>
    <n v="4770"/>
    <x v="2"/>
    <x v="0"/>
    <x v="22"/>
    <x v="1"/>
    <x v="0"/>
    <x v="0"/>
    <x v="1"/>
    <x v="0"/>
  </r>
  <r>
    <x v="0"/>
    <x v="0"/>
    <n v="2239314625"/>
    <x v="0"/>
    <n v="600"/>
    <x v="2"/>
    <x v="0"/>
    <x v="22"/>
    <x v="0"/>
    <x v="0"/>
    <x v="0"/>
    <x v="0"/>
    <x v="0"/>
  </r>
  <r>
    <x v="0"/>
    <x v="0"/>
    <n v="2239314626"/>
    <x v="1"/>
    <n v="42800"/>
    <x v="2"/>
    <x v="0"/>
    <x v="22"/>
    <x v="1"/>
    <x v="0"/>
    <x v="0"/>
    <x v="1"/>
    <x v="0"/>
  </r>
  <r>
    <x v="0"/>
    <x v="0"/>
    <n v="2239314627"/>
    <x v="2"/>
    <n v="38280"/>
    <x v="2"/>
    <x v="0"/>
    <x v="22"/>
    <x v="2"/>
    <x v="0"/>
    <x v="0"/>
    <x v="2"/>
    <x v="0"/>
  </r>
  <r>
    <x v="0"/>
    <x v="0"/>
    <n v="2239314628"/>
    <x v="3"/>
    <n v="6500"/>
    <x v="2"/>
    <x v="0"/>
    <x v="22"/>
    <x v="3"/>
    <x v="0"/>
    <x v="0"/>
    <x v="3"/>
    <x v="0"/>
  </r>
  <r>
    <x v="0"/>
    <x v="0"/>
    <n v="2239314629"/>
    <x v="5"/>
    <n v="-14000"/>
    <x v="2"/>
    <x v="0"/>
    <x v="22"/>
    <x v="5"/>
    <x v="0"/>
    <x v="0"/>
    <x v="5"/>
    <x v="0"/>
  </r>
  <r>
    <x v="0"/>
    <x v="0"/>
    <n v="2239314629"/>
    <x v="6"/>
    <n v="20000"/>
    <x v="2"/>
    <x v="0"/>
    <x v="22"/>
    <x v="6"/>
    <x v="0"/>
    <x v="0"/>
    <x v="5"/>
    <x v="0"/>
  </r>
  <r>
    <x v="0"/>
    <x v="0"/>
    <n v="2239314630"/>
    <x v="3"/>
    <n v="5000"/>
    <x v="2"/>
    <x v="0"/>
    <x v="22"/>
    <x v="3"/>
    <x v="0"/>
    <x v="0"/>
    <x v="3"/>
    <x v="0"/>
  </r>
  <r>
    <x v="0"/>
    <x v="0"/>
    <n v="2239314631"/>
    <x v="5"/>
    <n v="-400"/>
    <x v="2"/>
    <x v="0"/>
    <x v="22"/>
    <x v="5"/>
    <x v="0"/>
    <x v="0"/>
    <x v="5"/>
    <x v="0"/>
  </r>
  <r>
    <x v="0"/>
    <x v="0"/>
    <n v="2239314631"/>
    <x v="4"/>
    <n v="5000"/>
    <x v="2"/>
    <x v="0"/>
    <x v="22"/>
    <x v="4"/>
    <x v="0"/>
    <x v="0"/>
    <x v="4"/>
    <x v="0"/>
  </r>
  <r>
    <x v="0"/>
    <x v="0"/>
    <n v="2239314632"/>
    <x v="7"/>
    <n v="113000"/>
    <x v="2"/>
    <x v="0"/>
    <x v="22"/>
    <x v="7"/>
    <x v="0"/>
    <x v="0"/>
    <x v="1"/>
    <x v="0"/>
  </r>
  <r>
    <x v="0"/>
    <x v="0"/>
    <n v="2239314634"/>
    <x v="3"/>
    <n v="24090"/>
    <x v="2"/>
    <x v="0"/>
    <x v="22"/>
    <x v="3"/>
    <x v="0"/>
    <x v="0"/>
    <x v="3"/>
    <x v="0"/>
  </r>
  <r>
    <x v="0"/>
    <x v="0"/>
    <n v="2239314635"/>
    <x v="5"/>
    <n v="-9000"/>
    <x v="2"/>
    <x v="0"/>
    <x v="22"/>
    <x v="5"/>
    <x v="0"/>
    <x v="0"/>
    <x v="5"/>
    <x v="0"/>
  </r>
  <r>
    <x v="0"/>
    <x v="0"/>
    <n v="2239314635"/>
    <x v="6"/>
    <n v="10000"/>
    <x v="2"/>
    <x v="0"/>
    <x v="22"/>
    <x v="6"/>
    <x v="0"/>
    <x v="0"/>
    <x v="5"/>
    <x v="0"/>
  </r>
  <r>
    <x v="0"/>
    <x v="0"/>
    <n v="2239314636"/>
    <x v="4"/>
    <n v="4400"/>
    <x v="2"/>
    <x v="0"/>
    <x v="22"/>
    <x v="4"/>
    <x v="0"/>
    <x v="0"/>
    <x v="4"/>
    <x v="0"/>
  </r>
  <r>
    <x v="0"/>
    <x v="0"/>
    <n v="2239314637"/>
    <x v="2"/>
    <n v="3300"/>
    <x v="2"/>
    <x v="0"/>
    <x v="22"/>
    <x v="2"/>
    <x v="0"/>
    <x v="0"/>
    <x v="2"/>
    <x v="0"/>
  </r>
  <r>
    <x v="0"/>
    <x v="0"/>
    <n v="2239314639"/>
    <x v="7"/>
    <n v="25500"/>
    <x v="2"/>
    <x v="0"/>
    <x v="22"/>
    <x v="7"/>
    <x v="0"/>
    <x v="0"/>
    <x v="1"/>
    <x v="0"/>
  </r>
  <r>
    <x v="0"/>
    <x v="0"/>
    <n v="2239314641"/>
    <x v="2"/>
    <n v="22990"/>
    <x v="2"/>
    <x v="0"/>
    <x v="22"/>
    <x v="2"/>
    <x v="0"/>
    <x v="0"/>
    <x v="2"/>
    <x v="0"/>
  </r>
  <r>
    <x v="0"/>
    <x v="0"/>
    <n v="2239314642"/>
    <x v="1"/>
    <n v="8220"/>
    <x v="2"/>
    <x v="0"/>
    <x v="22"/>
    <x v="1"/>
    <x v="0"/>
    <x v="0"/>
    <x v="1"/>
    <x v="0"/>
  </r>
  <r>
    <x v="0"/>
    <x v="0"/>
    <n v="2239314643"/>
    <x v="3"/>
    <n v="8250"/>
    <x v="2"/>
    <x v="0"/>
    <x v="22"/>
    <x v="3"/>
    <x v="0"/>
    <x v="0"/>
    <x v="3"/>
    <x v="0"/>
  </r>
  <r>
    <x v="0"/>
    <x v="0"/>
    <n v="2239314647"/>
    <x v="3"/>
    <n v="7500"/>
    <x v="2"/>
    <x v="0"/>
    <x v="22"/>
    <x v="3"/>
    <x v="0"/>
    <x v="0"/>
    <x v="3"/>
    <x v="0"/>
  </r>
  <r>
    <x v="0"/>
    <x v="0"/>
    <n v="2239314649"/>
    <x v="2"/>
    <n v="125070"/>
    <x v="2"/>
    <x v="0"/>
    <x v="22"/>
    <x v="2"/>
    <x v="0"/>
    <x v="0"/>
    <x v="2"/>
    <x v="0"/>
  </r>
  <r>
    <x v="0"/>
    <x v="0"/>
    <n v="2239314650"/>
    <x v="5"/>
    <n v="-5600"/>
    <x v="2"/>
    <x v="0"/>
    <x v="22"/>
    <x v="5"/>
    <x v="0"/>
    <x v="0"/>
    <x v="5"/>
    <x v="0"/>
  </r>
  <r>
    <x v="0"/>
    <x v="0"/>
    <n v="2239314650"/>
    <x v="4"/>
    <n v="10000"/>
    <x v="2"/>
    <x v="0"/>
    <x v="22"/>
    <x v="4"/>
    <x v="0"/>
    <x v="0"/>
    <x v="4"/>
    <x v="0"/>
  </r>
  <r>
    <x v="0"/>
    <x v="0"/>
    <n v="2239314651"/>
    <x v="5"/>
    <n v="-400"/>
    <x v="2"/>
    <x v="0"/>
    <x v="22"/>
    <x v="5"/>
    <x v="0"/>
    <x v="0"/>
    <x v="5"/>
    <x v="0"/>
  </r>
  <r>
    <x v="0"/>
    <x v="0"/>
    <n v="2239314651"/>
    <x v="4"/>
    <n v="6000"/>
    <x v="2"/>
    <x v="0"/>
    <x v="22"/>
    <x v="4"/>
    <x v="0"/>
    <x v="0"/>
    <x v="4"/>
    <x v="0"/>
  </r>
  <r>
    <x v="0"/>
    <x v="0"/>
    <n v="2239314652"/>
    <x v="5"/>
    <n v="-2000"/>
    <x v="2"/>
    <x v="0"/>
    <x v="22"/>
    <x v="5"/>
    <x v="0"/>
    <x v="0"/>
    <x v="5"/>
    <x v="0"/>
  </r>
  <r>
    <x v="0"/>
    <x v="0"/>
    <n v="2239314652"/>
    <x v="6"/>
    <n v="5000"/>
    <x v="2"/>
    <x v="0"/>
    <x v="22"/>
    <x v="6"/>
    <x v="0"/>
    <x v="0"/>
    <x v="5"/>
    <x v="0"/>
  </r>
  <r>
    <x v="0"/>
    <x v="0"/>
    <n v="2239314654"/>
    <x v="5"/>
    <n v="-600"/>
    <x v="2"/>
    <x v="0"/>
    <x v="22"/>
    <x v="5"/>
    <x v="0"/>
    <x v="0"/>
    <x v="5"/>
    <x v="0"/>
  </r>
  <r>
    <x v="0"/>
    <x v="0"/>
    <n v="2239314654"/>
    <x v="4"/>
    <n v="5000"/>
    <x v="2"/>
    <x v="0"/>
    <x v="22"/>
    <x v="4"/>
    <x v="0"/>
    <x v="0"/>
    <x v="4"/>
    <x v="0"/>
  </r>
  <r>
    <x v="0"/>
    <x v="0"/>
    <n v="2239314655"/>
    <x v="1"/>
    <n v="3240"/>
    <x v="2"/>
    <x v="0"/>
    <x v="22"/>
    <x v="1"/>
    <x v="0"/>
    <x v="0"/>
    <x v="1"/>
    <x v="0"/>
  </r>
  <r>
    <x v="0"/>
    <x v="0"/>
    <n v="2239314656"/>
    <x v="5"/>
    <n v="-3100"/>
    <x v="2"/>
    <x v="0"/>
    <x v="22"/>
    <x v="5"/>
    <x v="0"/>
    <x v="0"/>
    <x v="5"/>
    <x v="0"/>
  </r>
  <r>
    <x v="0"/>
    <x v="0"/>
    <n v="2239314656"/>
    <x v="6"/>
    <n v="20000"/>
    <x v="2"/>
    <x v="0"/>
    <x v="22"/>
    <x v="6"/>
    <x v="0"/>
    <x v="0"/>
    <x v="5"/>
    <x v="0"/>
  </r>
  <r>
    <x v="0"/>
    <x v="0"/>
    <n v="2239314657"/>
    <x v="7"/>
    <n v="6500"/>
    <x v="2"/>
    <x v="0"/>
    <x v="22"/>
    <x v="7"/>
    <x v="0"/>
    <x v="0"/>
    <x v="1"/>
    <x v="0"/>
  </r>
  <r>
    <x v="0"/>
    <x v="0"/>
    <n v="2239314658"/>
    <x v="7"/>
    <n v="3000"/>
    <x v="2"/>
    <x v="0"/>
    <x v="22"/>
    <x v="7"/>
    <x v="0"/>
    <x v="0"/>
    <x v="1"/>
    <x v="0"/>
  </r>
  <r>
    <x v="0"/>
    <x v="0"/>
    <n v="2239314660"/>
    <x v="5"/>
    <n v="-400"/>
    <x v="2"/>
    <x v="0"/>
    <x v="22"/>
    <x v="5"/>
    <x v="0"/>
    <x v="0"/>
    <x v="5"/>
    <x v="0"/>
  </r>
  <r>
    <x v="0"/>
    <x v="0"/>
    <n v="2239314660"/>
    <x v="4"/>
    <n v="6000"/>
    <x v="2"/>
    <x v="0"/>
    <x v="22"/>
    <x v="4"/>
    <x v="0"/>
    <x v="0"/>
    <x v="4"/>
    <x v="0"/>
  </r>
  <r>
    <x v="0"/>
    <x v="0"/>
    <n v="2239314661"/>
    <x v="2"/>
    <n v="7425"/>
    <x v="2"/>
    <x v="0"/>
    <x v="22"/>
    <x v="2"/>
    <x v="0"/>
    <x v="0"/>
    <x v="2"/>
    <x v="0"/>
  </r>
  <r>
    <x v="0"/>
    <x v="0"/>
    <n v="2239314662"/>
    <x v="7"/>
    <n v="6500"/>
    <x v="2"/>
    <x v="0"/>
    <x v="22"/>
    <x v="7"/>
    <x v="0"/>
    <x v="0"/>
    <x v="1"/>
    <x v="0"/>
  </r>
  <r>
    <x v="0"/>
    <x v="0"/>
    <n v="2239314663"/>
    <x v="7"/>
    <n v="6500"/>
    <x v="2"/>
    <x v="0"/>
    <x v="22"/>
    <x v="7"/>
    <x v="0"/>
    <x v="0"/>
    <x v="1"/>
    <x v="0"/>
  </r>
  <r>
    <x v="0"/>
    <x v="0"/>
    <n v="2239314664"/>
    <x v="7"/>
    <n v="6500"/>
    <x v="2"/>
    <x v="0"/>
    <x v="22"/>
    <x v="7"/>
    <x v="0"/>
    <x v="0"/>
    <x v="1"/>
    <x v="0"/>
  </r>
  <r>
    <x v="0"/>
    <x v="0"/>
    <n v="2239314665"/>
    <x v="1"/>
    <n v="15300"/>
    <x v="2"/>
    <x v="0"/>
    <x v="22"/>
    <x v="1"/>
    <x v="0"/>
    <x v="0"/>
    <x v="1"/>
    <x v="0"/>
  </r>
  <r>
    <x v="0"/>
    <x v="0"/>
    <n v="2239314666"/>
    <x v="7"/>
    <n v="10500"/>
    <x v="2"/>
    <x v="0"/>
    <x v="22"/>
    <x v="7"/>
    <x v="0"/>
    <x v="0"/>
    <x v="1"/>
    <x v="0"/>
  </r>
  <r>
    <x v="0"/>
    <x v="0"/>
    <n v="2239314667"/>
    <x v="5"/>
    <n v="-1000"/>
    <x v="2"/>
    <x v="0"/>
    <x v="22"/>
    <x v="5"/>
    <x v="0"/>
    <x v="0"/>
    <x v="5"/>
    <x v="0"/>
  </r>
  <r>
    <x v="0"/>
    <x v="0"/>
    <n v="2239314667"/>
    <x v="4"/>
    <n v="5400"/>
    <x v="2"/>
    <x v="0"/>
    <x v="22"/>
    <x v="4"/>
    <x v="0"/>
    <x v="0"/>
    <x v="4"/>
    <x v="0"/>
  </r>
  <r>
    <x v="0"/>
    <x v="0"/>
    <n v="2239314668"/>
    <x v="1"/>
    <n v="5670"/>
    <x v="2"/>
    <x v="0"/>
    <x v="22"/>
    <x v="1"/>
    <x v="0"/>
    <x v="0"/>
    <x v="1"/>
    <x v="0"/>
  </r>
  <r>
    <x v="0"/>
    <x v="0"/>
    <n v="2239314669"/>
    <x v="1"/>
    <n v="28210"/>
    <x v="2"/>
    <x v="0"/>
    <x v="22"/>
    <x v="1"/>
    <x v="0"/>
    <x v="0"/>
    <x v="1"/>
    <x v="0"/>
  </r>
  <r>
    <x v="0"/>
    <x v="0"/>
    <n v="2239314670"/>
    <x v="0"/>
    <n v="16650"/>
    <x v="2"/>
    <x v="0"/>
    <x v="22"/>
    <x v="0"/>
    <x v="0"/>
    <x v="0"/>
    <x v="0"/>
    <x v="0"/>
  </r>
  <r>
    <x v="0"/>
    <x v="0"/>
    <n v="2239314671"/>
    <x v="2"/>
    <n v="6750"/>
    <x v="2"/>
    <x v="0"/>
    <x v="22"/>
    <x v="2"/>
    <x v="0"/>
    <x v="0"/>
    <x v="2"/>
    <x v="0"/>
  </r>
  <r>
    <x v="0"/>
    <x v="0"/>
    <n v="2239314672"/>
    <x v="2"/>
    <n v="8250"/>
    <x v="2"/>
    <x v="0"/>
    <x v="22"/>
    <x v="2"/>
    <x v="0"/>
    <x v="0"/>
    <x v="2"/>
    <x v="0"/>
  </r>
  <r>
    <x v="0"/>
    <x v="0"/>
    <n v="2239314673"/>
    <x v="2"/>
    <n v="38511"/>
    <x v="2"/>
    <x v="0"/>
    <x v="22"/>
    <x v="2"/>
    <x v="0"/>
    <x v="0"/>
    <x v="2"/>
    <x v="0"/>
  </r>
  <r>
    <x v="0"/>
    <x v="0"/>
    <n v="2239314674"/>
    <x v="7"/>
    <n v="7500"/>
    <x v="2"/>
    <x v="0"/>
    <x v="22"/>
    <x v="7"/>
    <x v="0"/>
    <x v="0"/>
    <x v="1"/>
    <x v="0"/>
  </r>
  <r>
    <x v="0"/>
    <x v="0"/>
    <n v="2239314675"/>
    <x v="7"/>
    <n v="2500"/>
    <x v="2"/>
    <x v="0"/>
    <x v="22"/>
    <x v="7"/>
    <x v="0"/>
    <x v="0"/>
    <x v="1"/>
    <x v="0"/>
  </r>
  <r>
    <x v="0"/>
    <x v="0"/>
    <n v="2239314676"/>
    <x v="1"/>
    <n v="3900"/>
    <x v="2"/>
    <x v="0"/>
    <x v="22"/>
    <x v="1"/>
    <x v="0"/>
    <x v="0"/>
    <x v="1"/>
    <x v="0"/>
  </r>
  <r>
    <x v="0"/>
    <x v="0"/>
    <n v="2239314677"/>
    <x v="2"/>
    <n v="29590"/>
    <x v="2"/>
    <x v="0"/>
    <x v="22"/>
    <x v="2"/>
    <x v="0"/>
    <x v="0"/>
    <x v="2"/>
    <x v="0"/>
  </r>
  <r>
    <x v="0"/>
    <x v="0"/>
    <n v="2239314678"/>
    <x v="0"/>
    <n v="13500"/>
    <x v="2"/>
    <x v="0"/>
    <x v="22"/>
    <x v="0"/>
    <x v="0"/>
    <x v="0"/>
    <x v="0"/>
    <x v="0"/>
  </r>
  <r>
    <x v="0"/>
    <x v="0"/>
    <n v="2239314679"/>
    <x v="5"/>
    <n v="-3500"/>
    <x v="2"/>
    <x v="0"/>
    <x v="22"/>
    <x v="5"/>
    <x v="0"/>
    <x v="0"/>
    <x v="5"/>
    <x v="0"/>
  </r>
  <r>
    <x v="0"/>
    <x v="0"/>
    <n v="2239314679"/>
    <x v="6"/>
    <n v="10000"/>
    <x v="2"/>
    <x v="0"/>
    <x v="22"/>
    <x v="6"/>
    <x v="0"/>
    <x v="0"/>
    <x v="5"/>
    <x v="0"/>
  </r>
  <r>
    <x v="0"/>
    <x v="0"/>
    <n v="2239314681"/>
    <x v="2"/>
    <n v="17490"/>
    <x v="2"/>
    <x v="0"/>
    <x v="22"/>
    <x v="2"/>
    <x v="0"/>
    <x v="0"/>
    <x v="2"/>
    <x v="0"/>
  </r>
  <r>
    <x v="0"/>
    <x v="0"/>
    <n v="2239314682"/>
    <x v="0"/>
    <n v="19250"/>
    <x v="2"/>
    <x v="0"/>
    <x v="22"/>
    <x v="0"/>
    <x v="0"/>
    <x v="0"/>
    <x v="0"/>
    <x v="0"/>
  </r>
  <r>
    <x v="0"/>
    <x v="0"/>
    <n v="2239314683"/>
    <x v="5"/>
    <n v="-3190"/>
    <x v="2"/>
    <x v="0"/>
    <x v="22"/>
    <x v="5"/>
    <x v="0"/>
    <x v="0"/>
    <x v="5"/>
    <x v="0"/>
  </r>
  <r>
    <x v="0"/>
    <x v="0"/>
    <n v="2239314683"/>
    <x v="6"/>
    <n v="40000"/>
    <x v="2"/>
    <x v="0"/>
    <x v="22"/>
    <x v="6"/>
    <x v="0"/>
    <x v="0"/>
    <x v="5"/>
    <x v="0"/>
  </r>
  <r>
    <x v="0"/>
    <x v="0"/>
    <n v="2239314685"/>
    <x v="2"/>
    <n v="4000"/>
    <x v="2"/>
    <x v="0"/>
    <x v="22"/>
    <x v="2"/>
    <x v="0"/>
    <x v="0"/>
    <x v="2"/>
    <x v="0"/>
  </r>
  <r>
    <x v="0"/>
    <x v="0"/>
    <n v="2239314686"/>
    <x v="2"/>
    <n v="4000"/>
    <x v="2"/>
    <x v="0"/>
    <x v="22"/>
    <x v="2"/>
    <x v="0"/>
    <x v="0"/>
    <x v="2"/>
    <x v="0"/>
  </r>
  <r>
    <x v="0"/>
    <x v="0"/>
    <n v="2239314687"/>
    <x v="3"/>
    <n v="15840"/>
    <x v="2"/>
    <x v="0"/>
    <x v="22"/>
    <x v="3"/>
    <x v="0"/>
    <x v="0"/>
    <x v="3"/>
    <x v="0"/>
  </r>
  <r>
    <x v="0"/>
    <x v="0"/>
    <n v="2239314688"/>
    <x v="3"/>
    <n v="4950"/>
    <x v="2"/>
    <x v="0"/>
    <x v="22"/>
    <x v="3"/>
    <x v="0"/>
    <x v="0"/>
    <x v="3"/>
    <x v="0"/>
  </r>
  <r>
    <x v="0"/>
    <x v="0"/>
    <n v="2239314689"/>
    <x v="2"/>
    <n v="6600"/>
    <x v="2"/>
    <x v="0"/>
    <x v="22"/>
    <x v="2"/>
    <x v="0"/>
    <x v="0"/>
    <x v="2"/>
    <x v="0"/>
  </r>
  <r>
    <x v="0"/>
    <x v="0"/>
    <n v="2239314690"/>
    <x v="3"/>
    <n v="41140"/>
    <x v="2"/>
    <x v="0"/>
    <x v="22"/>
    <x v="3"/>
    <x v="0"/>
    <x v="0"/>
    <x v="3"/>
    <x v="0"/>
  </r>
  <r>
    <x v="0"/>
    <x v="0"/>
    <n v="2239314691"/>
    <x v="3"/>
    <n v="44990"/>
    <x v="2"/>
    <x v="0"/>
    <x v="22"/>
    <x v="3"/>
    <x v="0"/>
    <x v="0"/>
    <x v="3"/>
    <x v="0"/>
  </r>
  <r>
    <x v="0"/>
    <x v="0"/>
    <n v="2239314692"/>
    <x v="2"/>
    <n v="7000"/>
    <x v="2"/>
    <x v="0"/>
    <x v="22"/>
    <x v="2"/>
    <x v="0"/>
    <x v="0"/>
    <x v="2"/>
    <x v="0"/>
  </r>
  <r>
    <x v="0"/>
    <x v="0"/>
    <n v="2239314693"/>
    <x v="0"/>
    <n v="17300"/>
    <x v="2"/>
    <x v="0"/>
    <x v="22"/>
    <x v="0"/>
    <x v="0"/>
    <x v="0"/>
    <x v="0"/>
    <x v="0"/>
  </r>
  <r>
    <x v="0"/>
    <x v="0"/>
    <n v="2239314694"/>
    <x v="5"/>
    <n v="-5600"/>
    <x v="2"/>
    <x v="0"/>
    <x v="22"/>
    <x v="5"/>
    <x v="0"/>
    <x v="0"/>
    <x v="5"/>
    <x v="0"/>
  </r>
  <r>
    <x v="0"/>
    <x v="0"/>
    <n v="2239314694"/>
    <x v="4"/>
    <n v="10000"/>
    <x v="2"/>
    <x v="0"/>
    <x v="22"/>
    <x v="4"/>
    <x v="0"/>
    <x v="0"/>
    <x v="4"/>
    <x v="0"/>
  </r>
  <r>
    <x v="0"/>
    <x v="0"/>
    <n v="2239314695"/>
    <x v="2"/>
    <n v="14960"/>
    <x v="2"/>
    <x v="0"/>
    <x v="22"/>
    <x v="2"/>
    <x v="0"/>
    <x v="0"/>
    <x v="2"/>
    <x v="0"/>
  </r>
  <r>
    <x v="0"/>
    <x v="0"/>
    <n v="2239314697"/>
    <x v="5"/>
    <n v="-2500"/>
    <x v="2"/>
    <x v="0"/>
    <x v="22"/>
    <x v="5"/>
    <x v="0"/>
    <x v="0"/>
    <x v="5"/>
    <x v="0"/>
  </r>
  <r>
    <x v="0"/>
    <x v="0"/>
    <n v="2239314697"/>
    <x v="6"/>
    <n v="10000"/>
    <x v="2"/>
    <x v="0"/>
    <x v="22"/>
    <x v="6"/>
    <x v="0"/>
    <x v="0"/>
    <x v="5"/>
    <x v="0"/>
  </r>
  <r>
    <x v="0"/>
    <x v="0"/>
    <n v="2239314698"/>
    <x v="0"/>
    <n v="6750"/>
    <x v="2"/>
    <x v="0"/>
    <x v="22"/>
    <x v="0"/>
    <x v="0"/>
    <x v="0"/>
    <x v="0"/>
    <x v="0"/>
  </r>
  <r>
    <x v="0"/>
    <x v="0"/>
    <n v="2239314699"/>
    <x v="2"/>
    <n v="22500"/>
    <x v="2"/>
    <x v="0"/>
    <x v="22"/>
    <x v="2"/>
    <x v="0"/>
    <x v="0"/>
    <x v="2"/>
    <x v="0"/>
  </r>
  <r>
    <x v="0"/>
    <x v="0"/>
    <n v="2239314700"/>
    <x v="5"/>
    <n v="-500"/>
    <x v="2"/>
    <x v="0"/>
    <x v="22"/>
    <x v="5"/>
    <x v="0"/>
    <x v="0"/>
    <x v="5"/>
    <x v="0"/>
  </r>
  <r>
    <x v="0"/>
    <x v="0"/>
    <n v="2239314700"/>
    <x v="6"/>
    <n v="10000"/>
    <x v="2"/>
    <x v="0"/>
    <x v="22"/>
    <x v="6"/>
    <x v="0"/>
    <x v="0"/>
    <x v="5"/>
    <x v="0"/>
  </r>
  <r>
    <x v="0"/>
    <x v="0"/>
    <n v="2239314701"/>
    <x v="0"/>
    <n v="2250"/>
    <x v="2"/>
    <x v="0"/>
    <x v="22"/>
    <x v="0"/>
    <x v="0"/>
    <x v="0"/>
    <x v="0"/>
    <x v="0"/>
  </r>
  <r>
    <x v="0"/>
    <x v="0"/>
    <n v="2239314702"/>
    <x v="5"/>
    <n v="-2000"/>
    <x v="2"/>
    <x v="0"/>
    <x v="22"/>
    <x v="5"/>
    <x v="0"/>
    <x v="0"/>
    <x v="5"/>
    <x v="0"/>
  </r>
  <r>
    <x v="0"/>
    <x v="0"/>
    <n v="2239314702"/>
    <x v="6"/>
    <n v="5000"/>
    <x v="2"/>
    <x v="0"/>
    <x v="22"/>
    <x v="6"/>
    <x v="0"/>
    <x v="0"/>
    <x v="5"/>
    <x v="0"/>
  </r>
  <r>
    <x v="0"/>
    <x v="0"/>
    <n v="2239314704"/>
    <x v="6"/>
    <n v="6000"/>
    <x v="2"/>
    <x v="0"/>
    <x v="22"/>
    <x v="6"/>
    <x v="0"/>
    <x v="0"/>
    <x v="5"/>
    <x v="0"/>
  </r>
  <r>
    <x v="0"/>
    <x v="0"/>
    <n v="2239314705"/>
    <x v="1"/>
    <n v="17200"/>
    <x v="2"/>
    <x v="0"/>
    <x v="22"/>
    <x v="1"/>
    <x v="0"/>
    <x v="0"/>
    <x v="1"/>
    <x v="0"/>
  </r>
  <r>
    <x v="0"/>
    <x v="0"/>
    <n v="2239314706"/>
    <x v="2"/>
    <n v="6600"/>
    <x v="2"/>
    <x v="0"/>
    <x v="22"/>
    <x v="2"/>
    <x v="0"/>
    <x v="0"/>
    <x v="2"/>
    <x v="0"/>
  </r>
  <r>
    <x v="0"/>
    <x v="0"/>
    <n v="2239314707"/>
    <x v="1"/>
    <n v="5370"/>
    <x v="2"/>
    <x v="0"/>
    <x v="22"/>
    <x v="1"/>
    <x v="0"/>
    <x v="0"/>
    <x v="1"/>
    <x v="0"/>
  </r>
  <r>
    <x v="0"/>
    <x v="0"/>
    <n v="2239314709"/>
    <x v="2"/>
    <n v="45760"/>
    <x v="2"/>
    <x v="0"/>
    <x v="22"/>
    <x v="2"/>
    <x v="0"/>
    <x v="0"/>
    <x v="2"/>
    <x v="0"/>
  </r>
  <r>
    <x v="0"/>
    <x v="0"/>
    <n v="2239314710"/>
    <x v="0"/>
    <n v="8400"/>
    <x v="2"/>
    <x v="0"/>
    <x v="22"/>
    <x v="0"/>
    <x v="0"/>
    <x v="0"/>
    <x v="0"/>
    <x v="0"/>
  </r>
  <r>
    <x v="0"/>
    <x v="0"/>
    <n v="2239314711"/>
    <x v="6"/>
    <n v="3000"/>
    <x v="2"/>
    <x v="0"/>
    <x v="22"/>
    <x v="6"/>
    <x v="0"/>
    <x v="0"/>
    <x v="5"/>
    <x v="0"/>
  </r>
  <r>
    <x v="0"/>
    <x v="0"/>
    <n v="2239314712"/>
    <x v="1"/>
    <n v="10020"/>
    <x v="2"/>
    <x v="0"/>
    <x v="22"/>
    <x v="1"/>
    <x v="0"/>
    <x v="0"/>
    <x v="1"/>
    <x v="0"/>
  </r>
  <r>
    <x v="0"/>
    <x v="0"/>
    <n v="2239314713"/>
    <x v="2"/>
    <n v="4400"/>
    <x v="2"/>
    <x v="0"/>
    <x v="22"/>
    <x v="2"/>
    <x v="0"/>
    <x v="0"/>
    <x v="2"/>
    <x v="0"/>
  </r>
  <r>
    <x v="0"/>
    <x v="0"/>
    <n v="2239314715"/>
    <x v="5"/>
    <n v="-5600"/>
    <x v="2"/>
    <x v="0"/>
    <x v="22"/>
    <x v="5"/>
    <x v="0"/>
    <x v="0"/>
    <x v="5"/>
    <x v="0"/>
  </r>
  <r>
    <x v="0"/>
    <x v="0"/>
    <n v="2239314715"/>
    <x v="4"/>
    <n v="10000"/>
    <x v="2"/>
    <x v="0"/>
    <x v="22"/>
    <x v="4"/>
    <x v="0"/>
    <x v="0"/>
    <x v="4"/>
    <x v="0"/>
  </r>
  <r>
    <x v="0"/>
    <x v="0"/>
    <n v="2239314716"/>
    <x v="2"/>
    <n v="12000"/>
    <x v="2"/>
    <x v="0"/>
    <x v="22"/>
    <x v="2"/>
    <x v="0"/>
    <x v="0"/>
    <x v="2"/>
    <x v="0"/>
  </r>
  <r>
    <x v="0"/>
    <x v="0"/>
    <n v="2239314717"/>
    <x v="2"/>
    <n v="31306"/>
    <x v="2"/>
    <x v="0"/>
    <x v="22"/>
    <x v="2"/>
    <x v="0"/>
    <x v="0"/>
    <x v="2"/>
    <x v="0"/>
  </r>
  <r>
    <x v="0"/>
    <x v="0"/>
    <n v="2239314718"/>
    <x v="5"/>
    <n v="-1500"/>
    <x v="2"/>
    <x v="0"/>
    <x v="22"/>
    <x v="5"/>
    <x v="0"/>
    <x v="0"/>
    <x v="5"/>
    <x v="0"/>
  </r>
  <r>
    <x v="0"/>
    <x v="0"/>
    <n v="2239314718"/>
    <x v="6"/>
    <n v="17000"/>
    <x v="2"/>
    <x v="0"/>
    <x v="22"/>
    <x v="6"/>
    <x v="0"/>
    <x v="0"/>
    <x v="5"/>
    <x v="0"/>
  </r>
  <r>
    <x v="0"/>
    <x v="0"/>
    <n v="2239314719"/>
    <x v="2"/>
    <n v="4500"/>
    <x v="2"/>
    <x v="0"/>
    <x v="22"/>
    <x v="2"/>
    <x v="0"/>
    <x v="0"/>
    <x v="2"/>
    <x v="0"/>
  </r>
  <r>
    <x v="0"/>
    <x v="0"/>
    <n v="2239314720"/>
    <x v="2"/>
    <n v="41690"/>
    <x v="2"/>
    <x v="0"/>
    <x v="22"/>
    <x v="2"/>
    <x v="0"/>
    <x v="0"/>
    <x v="2"/>
    <x v="0"/>
  </r>
  <r>
    <x v="0"/>
    <x v="0"/>
    <n v="2239314721"/>
    <x v="2"/>
    <n v="3800"/>
    <x v="2"/>
    <x v="0"/>
    <x v="22"/>
    <x v="2"/>
    <x v="0"/>
    <x v="0"/>
    <x v="2"/>
    <x v="0"/>
  </r>
  <r>
    <x v="0"/>
    <x v="0"/>
    <n v="2239314722"/>
    <x v="6"/>
    <n v="2000"/>
    <x v="2"/>
    <x v="0"/>
    <x v="22"/>
    <x v="6"/>
    <x v="0"/>
    <x v="0"/>
    <x v="5"/>
    <x v="0"/>
  </r>
  <r>
    <x v="0"/>
    <x v="0"/>
    <n v="2239314723"/>
    <x v="2"/>
    <n v="3000"/>
    <x v="2"/>
    <x v="0"/>
    <x v="22"/>
    <x v="2"/>
    <x v="0"/>
    <x v="0"/>
    <x v="2"/>
    <x v="0"/>
  </r>
  <r>
    <x v="0"/>
    <x v="0"/>
    <n v="2239314724"/>
    <x v="2"/>
    <n v="6600"/>
    <x v="2"/>
    <x v="0"/>
    <x v="22"/>
    <x v="2"/>
    <x v="0"/>
    <x v="0"/>
    <x v="2"/>
    <x v="0"/>
  </r>
  <r>
    <x v="0"/>
    <x v="0"/>
    <n v="2239314725"/>
    <x v="2"/>
    <n v="14000"/>
    <x v="2"/>
    <x v="0"/>
    <x v="22"/>
    <x v="2"/>
    <x v="0"/>
    <x v="0"/>
    <x v="2"/>
    <x v="0"/>
  </r>
  <r>
    <x v="0"/>
    <x v="0"/>
    <n v="2239314726"/>
    <x v="7"/>
    <n v="6500"/>
    <x v="2"/>
    <x v="0"/>
    <x v="22"/>
    <x v="7"/>
    <x v="0"/>
    <x v="0"/>
    <x v="1"/>
    <x v="0"/>
  </r>
  <r>
    <x v="0"/>
    <x v="0"/>
    <n v="2239314727"/>
    <x v="2"/>
    <n v="7900"/>
    <x v="2"/>
    <x v="0"/>
    <x v="22"/>
    <x v="2"/>
    <x v="0"/>
    <x v="0"/>
    <x v="2"/>
    <x v="0"/>
  </r>
  <r>
    <x v="0"/>
    <x v="0"/>
    <n v="2239314728"/>
    <x v="2"/>
    <n v="19140"/>
    <x v="2"/>
    <x v="0"/>
    <x v="22"/>
    <x v="2"/>
    <x v="0"/>
    <x v="0"/>
    <x v="2"/>
    <x v="0"/>
  </r>
  <r>
    <x v="0"/>
    <x v="0"/>
    <n v="2239314729"/>
    <x v="5"/>
    <n v="-400"/>
    <x v="2"/>
    <x v="0"/>
    <x v="22"/>
    <x v="5"/>
    <x v="0"/>
    <x v="0"/>
    <x v="5"/>
    <x v="0"/>
  </r>
  <r>
    <x v="0"/>
    <x v="0"/>
    <n v="2239314729"/>
    <x v="4"/>
    <n v="6000"/>
    <x v="2"/>
    <x v="0"/>
    <x v="22"/>
    <x v="4"/>
    <x v="0"/>
    <x v="0"/>
    <x v="4"/>
    <x v="0"/>
  </r>
  <r>
    <x v="0"/>
    <x v="0"/>
    <n v="2239314730"/>
    <x v="2"/>
    <n v="7500"/>
    <x v="2"/>
    <x v="0"/>
    <x v="22"/>
    <x v="2"/>
    <x v="0"/>
    <x v="0"/>
    <x v="2"/>
    <x v="0"/>
  </r>
  <r>
    <x v="0"/>
    <x v="0"/>
    <n v="2239314731"/>
    <x v="3"/>
    <n v="13900"/>
    <x v="2"/>
    <x v="0"/>
    <x v="22"/>
    <x v="3"/>
    <x v="0"/>
    <x v="0"/>
    <x v="3"/>
    <x v="0"/>
  </r>
  <r>
    <x v="0"/>
    <x v="0"/>
    <n v="2239314732"/>
    <x v="7"/>
    <n v="3000"/>
    <x v="2"/>
    <x v="0"/>
    <x v="22"/>
    <x v="7"/>
    <x v="0"/>
    <x v="0"/>
    <x v="1"/>
    <x v="0"/>
  </r>
  <r>
    <x v="0"/>
    <x v="0"/>
    <n v="2239314733"/>
    <x v="7"/>
    <n v="3000"/>
    <x v="2"/>
    <x v="0"/>
    <x v="22"/>
    <x v="7"/>
    <x v="0"/>
    <x v="0"/>
    <x v="1"/>
    <x v="0"/>
  </r>
  <r>
    <x v="0"/>
    <x v="0"/>
    <n v="2239314734"/>
    <x v="5"/>
    <n v="-2000"/>
    <x v="2"/>
    <x v="0"/>
    <x v="22"/>
    <x v="5"/>
    <x v="0"/>
    <x v="0"/>
    <x v="5"/>
    <x v="0"/>
  </r>
  <r>
    <x v="0"/>
    <x v="0"/>
    <n v="2239314734"/>
    <x v="6"/>
    <n v="5000"/>
    <x v="2"/>
    <x v="0"/>
    <x v="22"/>
    <x v="6"/>
    <x v="0"/>
    <x v="0"/>
    <x v="5"/>
    <x v="0"/>
  </r>
  <r>
    <x v="0"/>
    <x v="0"/>
    <n v="2239314735"/>
    <x v="5"/>
    <n v="-2500"/>
    <x v="2"/>
    <x v="0"/>
    <x v="22"/>
    <x v="5"/>
    <x v="0"/>
    <x v="0"/>
    <x v="5"/>
    <x v="0"/>
  </r>
  <r>
    <x v="0"/>
    <x v="0"/>
    <n v="2239314735"/>
    <x v="6"/>
    <n v="10000"/>
    <x v="2"/>
    <x v="0"/>
    <x v="22"/>
    <x v="6"/>
    <x v="0"/>
    <x v="0"/>
    <x v="5"/>
    <x v="0"/>
  </r>
  <r>
    <x v="0"/>
    <x v="0"/>
    <n v="2239314736"/>
    <x v="7"/>
    <n v="4500"/>
    <x v="2"/>
    <x v="0"/>
    <x v="22"/>
    <x v="7"/>
    <x v="0"/>
    <x v="0"/>
    <x v="1"/>
    <x v="0"/>
  </r>
  <r>
    <x v="0"/>
    <x v="0"/>
    <n v="2239314737"/>
    <x v="5"/>
    <n v="-8000"/>
    <x v="2"/>
    <x v="0"/>
    <x v="22"/>
    <x v="5"/>
    <x v="0"/>
    <x v="0"/>
    <x v="5"/>
    <x v="0"/>
  </r>
  <r>
    <x v="0"/>
    <x v="0"/>
    <n v="2239314737"/>
    <x v="6"/>
    <n v="20000"/>
    <x v="2"/>
    <x v="0"/>
    <x v="22"/>
    <x v="6"/>
    <x v="0"/>
    <x v="0"/>
    <x v="5"/>
    <x v="0"/>
  </r>
  <r>
    <x v="0"/>
    <x v="0"/>
    <n v="2239314738"/>
    <x v="7"/>
    <n v="7500"/>
    <x v="2"/>
    <x v="0"/>
    <x v="22"/>
    <x v="7"/>
    <x v="0"/>
    <x v="0"/>
    <x v="1"/>
    <x v="0"/>
  </r>
  <r>
    <x v="0"/>
    <x v="0"/>
    <n v="2239314739"/>
    <x v="5"/>
    <n v="-500"/>
    <x v="2"/>
    <x v="0"/>
    <x v="22"/>
    <x v="5"/>
    <x v="0"/>
    <x v="0"/>
    <x v="5"/>
    <x v="0"/>
  </r>
  <r>
    <x v="0"/>
    <x v="0"/>
    <n v="2239314739"/>
    <x v="6"/>
    <n v="6000"/>
    <x v="2"/>
    <x v="0"/>
    <x v="22"/>
    <x v="6"/>
    <x v="0"/>
    <x v="0"/>
    <x v="5"/>
    <x v="0"/>
  </r>
  <r>
    <x v="0"/>
    <x v="0"/>
    <n v="2239314740"/>
    <x v="2"/>
    <n v="12650"/>
    <x v="2"/>
    <x v="0"/>
    <x v="22"/>
    <x v="2"/>
    <x v="0"/>
    <x v="0"/>
    <x v="2"/>
    <x v="0"/>
  </r>
  <r>
    <x v="0"/>
    <x v="0"/>
    <n v="2239314741"/>
    <x v="2"/>
    <n v="71390"/>
    <x v="2"/>
    <x v="0"/>
    <x v="22"/>
    <x v="2"/>
    <x v="0"/>
    <x v="0"/>
    <x v="2"/>
    <x v="0"/>
  </r>
  <r>
    <x v="0"/>
    <x v="0"/>
    <n v="2239314742"/>
    <x v="2"/>
    <n v="7500"/>
    <x v="2"/>
    <x v="0"/>
    <x v="22"/>
    <x v="2"/>
    <x v="0"/>
    <x v="0"/>
    <x v="2"/>
    <x v="0"/>
  </r>
  <r>
    <x v="0"/>
    <x v="0"/>
    <n v="2239314743"/>
    <x v="2"/>
    <n v="6600"/>
    <x v="2"/>
    <x v="0"/>
    <x v="22"/>
    <x v="2"/>
    <x v="0"/>
    <x v="0"/>
    <x v="2"/>
    <x v="0"/>
  </r>
  <r>
    <x v="0"/>
    <x v="0"/>
    <n v="2239314744"/>
    <x v="7"/>
    <n v="6500"/>
    <x v="2"/>
    <x v="0"/>
    <x v="22"/>
    <x v="7"/>
    <x v="0"/>
    <x v="0"/>
    <x v="1"/>
    <x v="0"/>
  </r>
  <r>
    <x v="0"/>
    <x v="0"/>
    <n v="2239314745"/>
    <x v="7"/>
    <n v="7500"/>
    <x v="2"/>
    <x v="0"/>
    <x v="22"/>
    <x v="7"/>
    <x v="0"/>
    <x v="0"/>
    <x v="1"/>
    <x v="0"/>
  </r>
  <r>
    <x v="0"/>
    <x v="0"/>
    <n v="2239314746"/>
    <x v="5"/>
    <n v="-1000"/>
    <x v="2"/>
    <x v="0"/>
    <x v="22"/>
    <x v="5"/>
    <x v="0"/>
    <x v="0"/>
    <x v="5"/>
    <x v="0"/>
  </r>
  <r>
    <x v="0"/>
    <x v="0"/>
    <n v="2239314746"/>
    <x v="6"/>
    <n v="15000"/>
    <x v="2"/>
    <x v="0"/>
    <x v="22"/>
    <x v="6"/>
    <x v="0"/>
    <x v="0"/>
    <x v="5"/>
    <x v="0"/>
  </r>
  <r>
    <x v="0"/>
    <x v="0"/>
    <n v="2239314747"/>
    <x v="3"/>
    <n v="4950"/>
    <x v="2"/>
    <x v="0"/>
    <x v="22"/>
    <x v="3"/>
    <x v="0"/>
    <x v="0"/>
    <x v="3"/>
    <x v="0"/>
  </r>
  <r>
    <x v="0"/>
    <x v="0"/>
    <n v="2239314748"/>
    <x v="3"/>
    <n v="25600"/>
    <x v="2"/>
    <x v="0"/>
    <x v="22"/>
    <x v="3"/>
    <x v="0"/>
    <x v="0"/>
    <x v="3"/>
    <x v="0"/>
  </r>
  <r>
    <x v="0"/>
    <x v="0"/>
    <n v="2239314749"/>
    <x v="2"/>
    <n v="19690"/>
    <x v="2"/>
    <x v="0"/>
    <x v="22"/>
    <x v="2"/>
    <x v="0"/>
    <x v="0"/>
    <x v="2"/>
    <x v="0"/>
  </r>
  <r>
    <x v="0"/>
    <x v="0"/>
    <n v="2239314750"/>
    <x v="7"/>
    <n v="7500"/>
    <x v="2"/>
    <x v="0"/>
    <x v="22"/>
    <x v="7"/>
    <x v="0"/>
    <x v="0"/>
    <x v="1"/>
    <x v="0"/>
  </r>
  <r>
    <x v="0"/>
    <x v="0"/>
    <n v="2239314751"/>
    <x v="5"/>
    <n v="-500"/>
    <x v="2"/>
    <x v="0"/>
    <x v="22"/>
    <x v="5"/>
    <x v="0"/>
    <x v="0"/>
    <x v="5"/>
    <x v="0"/>
  </r>
  <r>
    <x v="0"/>
    <x v="0"/>
    <n v="2239314751"/>
    <x v="6"/>
    <n v="7000"/>
    <x v="2"/>
    <x v="0"/>
    <x v="22"/>
    <x v="6"/>
    <x v="0"/>
    <x v="0"/>
    <x v="5"/>
    <x v="0"/>
  </r>
  <r>
    <x v="0"/>
    <x v="0"/>
    <n v="2239314752"/>
    <x v="5"/>
    <n v="-2080"/>
    <x v="2"/>
    <x v="0"/>
    <x v="22"/>
    <x v="5"/>
    <x v="0"/>
    <x v="0"/>
    <x v="5"/>
    <x v="0"/>
  </r>
  <r>
    <x v="0"/>
    <x v="0"/>
    <n v="2239314752"/>
    <x v="6"/>
    <n v="10000"/>
    <x v="2"/>
    <x v="0"/>
    <x v="22"/>
    <x v="6"/>
    <x v="0"/>
    <x v="0"/>
    <x v="5"/>
    <x v="0"/>
  </r>
  <r>
    <x v="0"/>
    <x v="0"/>
    <n v="2239314753"/>
    <x v="7"/>
    <n v="6500"/>
    <x v="2"/>
    <x v="0"/>
    <x v="22"/>
    <x v="7"/>
    <x v="0"/>
    <x v="0"/>
    <x v="1"/>
    <x v="0"/>
  </r>
  <r>
    <x v="0"/>
    <x v="0"/>
    <n v="2239314754"/>
    <x v="0"/>
    <n v="2250"/>
    <x v="2"/>
    <x v="0"/>
    <x v="22"/>
    <x v="0"/>
    <x v="0"/>
    <x v="0"/>
    <x v="0"/>
    <x v="0"/>
  </r>
  <r>
    <x v="0"/>
    <x v="0"/>
    <n v="2239314755"/>
    <x v="5"/>
    <n v="-4000"/>
    <x v="2"/>
    <x v="0"/>
    <x v="22"/>
    <x v="5"/>
    <x v="0"/>
    <x v="0"/>
    <x v="5"/>
    <x v="0"/>
  </r>
  <r>
    <x v="0"/>
    <x v="0"/>
    <n v="2239314755"/>
    <x v="6"/>
    <n v="10650"/>
    <x v="2"/>
    <x v="0"/>
    <x v="22"/>
    <x v="6"/>
    <x v="0"/>
    <x v="0"/>
    <x v="5"/>
    <x v="0"/>
  </r>
  <r>
    <x v="0"/>
    <x v="0"/>
    <n v="2239314756"/>
    <x v="2"/>
    <n v="21890"/>
    <x v="2"/>
    <x v="0"/>
    <x v="22"/>
    <x v="2"/>
    <x v="0"/>
    <x v="0"/>
    <x v="2"/>
    <x v="0"/>
  </r>
  <r>
    <x v="0"/>
    <x v="0"/>
    <n v="2239314758"/>
    <x v="2"/>
    <n v="26180"/>
    <x v="2"/>
    <x v="0"/>
    <x v="22"/>
    <x v="2"/>
    <x v="0"/>
    <x v="0"/>
    <x v="2"/>
    <x v="0"/>
  </r>
  <r>
    <x v="0"/>
    <x v="0"/>
    <n v="2239314759"/>
    <x v="3"/>
    <n v="8250"/>
    <x v="2"/>
    <x v="0"/>
    <x v="22"/>
    <x v="3"/>
    <x v="0"/>
    <x v="0"/>
    <x v="3"/>
    <x v="0"/>
  </r>
  <r>
    <x v="0"/>
    <x v="0"/>
    <n v="2239314760"/>
    <x v="5"/>
    <n v="-1000"/>
    <x v="2"/>
    <x v="0"/>
    <x v="22"/>
    <x v="5"/>
    <x v="0"/>
    <x v="0"/>
    <x v="5"/>
    <x v="0"/>
  </r>
  <r>
    <x v="0"/>
    <x v="0"/>
    <n v="2239314760"/>
    <x v="4"/>
    <n v="5400"/>
    <x v="2"/>
    <x v="0"/>
    <x v="22"/>
    <x v="4"/>
    <x v="0"/>
    <x v="0"/>
    <x v="4"/>
    <x v="0"/>
  </r>
  <r>
    <x v="0"/>
    <x v="0"/>
    <n v="2239314761"/>
    <x v="2"/>
    <n v="9900"/>
    <x v="2"/>
    <x v="0"/>
    <x v="22"/>
    <x v="2"/>
    <x v="0"/>
    <x v="0"/>
    <x v="2"/>
    <x v="0"/>
  </r>
  <r>
    <x v="0"/>
    <x v="0"/>
    <n v="2239314763"/>
    <x v="6"/>
    <n v="7000"/>
    <x v="2"/>
    <x v="0"/>
    <x v="22"/>
    <x v="6"/>
    <x v="0"/>
    <x v="0"/>
    <x v="5"/>
    <x v="0"/>
  </r>
  <r>
    <x v="0"/>
    <x v="0"/>
    <n v="2239314764"/>
    <x v="7"/>
    <n v="6500"/>
    <x v="2"/>
    <x v="0"/>
    <x v="22"/>
    <x v="7"/>
    <x v="0"/>
    <x v="0"/>
    <x v="1"/>
    <x v="0"/>
  </r>
  <r>
    <x v="0"/>
    <x v="0"/>
    <n v="2239314765"/>
    <x v="2"/>
    <n v="40590"/>
    <x v="2"/>
    <x v="0"/>
    <x v="22"/>
    <x v="2"/>
    <x v="0"/>
    <x v="0"/>
    <x v="2"/>
    <x v="0"/>
  </r>
  <r>
    <x v="0"/>
    <x v="0"/>
    <n v="2239314766"/>
    <x v="6"/>
    <n v="6000"/>
    <x v="2"/>
    <x v="0"/>
    <x v="22"/>
    <x v="6"/>
    <x v="0"/>
    <x v="0"/>
    <x v="5"/>
    <x v="0"/>
  </r>
  <r>
    <x v="0"/>
    <x v="0"/>
    <n v="2239314767"/>
    <x v="7"/>
    <n v="4000"/>
    <x v="2"/>
    <x v="0"/>
    <x v="22"/>
    <x v="7"/>
    <x v="0"/>
    <x v="0"/>
    <x v="1"/>
    <x v="0"/>
  </r>
  <r>
    <x v="0"/>
    <x v="0"/>
    <n v="2239314768"/>
    <x v="7"/>
    <n v="8000"/>
    <x v="2"/>
    <x v="0"/>
    <x v="22"/>
    <x v="7"/>
    <x v="0"/>
    <x v="0"/>
    <x v="1"/>
    <x v="0"/>
  </r>
  <r>
    <x v="0"/>
    <x v="0"/>
    <n v="2239314769"/>
    <x v="7"/>
    <n v="7500"/>
    <x v="2"/>
    <x v="0"/>
    <x v="22"/>
    <x v="7"/>
    <x v="0"/>
    <x v="0"/>
    <x v="1"/>
    <x v="0"/>
  </r>
  <r>
    <x v="0"/>
    <x v="0"/>
    <n v="2239314770"/>
    <x v="3"/>
    <n v="4400"/>
    <x v="2"/>
    <x v="0"/>
    <x v="22"/>
    <x v="3"/>
    <x v="0"/>
    <x v="0"/>
    <x v="3"/>
    <x v="0"/>
  </r>
  <r>
    <x v="0"/>
    <x v="0"/>
    <n v="2239314771"/>
    <x v="2"/>
    <n v="14938"/>
    <x v="2"/>
    <x v="0"/>
    <x v="22"/>
    <x v="2"/>
    <x v="0"/>
    <x v="0"/>
    <x v="2"/>
    <x v="0"/>
  </r>
  <r>
    <x v="0"/>
    <x v="0"/>
    <n v="2239314772"/>
    <x v="0"/>
    <n v="4500"/>
    <x v="2"/>
    <x v="0"/>
    <x v="22"/>
    <x v="0"/>
    <x v="0"/>
    <x v="0"/>
    <x v="0"/>
    <x v="0"/>
  </r>
  <r>
    <x v="0"/>
    <x v="0"/>
    <n v="2239314773"/>
    <x v="2"/>
    <n v="12980"/>
    <x v="2"/>
    <x v="0"/>
    <x v="22"/>
    <x v="2"/>
    <x v="0"/>
    <x v="0"/>
    <x v="2"/>
    <x v="0"/>
  </r>
  <r>
    <x v="0"/>
    <x v="0"/>
    <n v="2239314774"/>
    <x v="3"/>
    <n v="6600"/>
    <x v="2"/>
    <x v="0"/>
    <x v="22"/>
    <x v="3"/>
    <x v="0"/>
    <x v="0"/>
    <x v="3"/>
    <x v="0"/>
  </r>
  <r>
    <x v="0"/>
    <x v="0"/>
    <n v="2239314775"/>
    <x v="5"/>
    <n v="-7760"/>
    <x v="2"/>
    <x v="0"/>
    <x v="22"/>
    <x v="5"/>
    <x v="0"/>
    <x v="0"/>
    <x v="5"/>
    <x v="0"/>
  </r>
  <r>
    <x v="0"/>
    <x v="0"/>
    <n v="2239314775"/>
    <x v="6"/>
    <n v="30000"/>
    <x v="2"/>
    <x v="0"/>
    <x v="22"/>
    <x v="6"/>
    <x v="0"/>
    <x v="0"/>
    <x v="5"/>
    <x v="0"/>
  </r>
  <r>
    <x v="0"/>
    <x v="0"/>
    <n v="2239314775"/>
    <x v="7"/>
    <n v="5560"/>
    <x v="2"/>
    <x v="0"/>
    <x v="22"/>
    <x v="7"/>
    <x v="0"/>
    <x v="0"/>
    <x v="1"/>
    <x v="0"/>
  </r>
  <r>
    <x v="0"/>
    <x v="0"/>
    <n v="2239314776"/>
    <x v="2"/>
    <n v="8250"/>
    <x v="2"/>
    <x v="0"/>
    <x v="22"/>
    <x v="2"/>
    <x v="0"/>
    <x v="0"/>
    <x v="2"/>
    <x v="0"/>
  </r>
  <r>
    <x v="0"/>
    <x v="0"/>
    <n v="2239314777"/>
    <x v="2"/>
    <n v="12100"/>
    <x v="2"/>
    <x v="0"/>
    <x v="22"/>
    <x v="2"/>
    <x v="0"/>
    <x v="0"/>
    <x v="2"/>
    <x v="0"/>
  </r>
  <r>
    <x v="0"/>
    <x v="0"/>
    <n v="2239314778"/>
    <x v="7"/>
    <n v="7500"/>
    <x v="2"/>
    <x v="0"/>
    <x v="22"/>
    <x v="7"/>
    <x v="0"/>
    <x v="0"/>
    <x v="1"/>
    <x v="0"/>
  </r>
  <r>
    <x v="0"/>
    <x v="0"/>
    <n v="2239314779"/>
    <x v="2"/>
    <n v="25190"/>
    <x v="2"/>
    <x v="0"/>
    <x v="22"/>
    <x v="2"/>
    <x v="0"/>
    <x v="0"/>
    <x v="2"/>
    <x v="0"/>
  </r>
  <r>
    <x v="0"/>
    <x v="0"/>
    <n v="2239314781"/>
    <x v="7"/>
    <n v="6500"/>
    <x v="2"/>
    <x v="0"/>
    <x v="22"/>
    <x v="7"/>
    <x v="0"/>
    <x v="0"/>
    <x v="1"/>
    <x v="0"/>
  </r>
  <r>
    <x v="0"/>
    <x v="0"/>
    <n v="2239314782"/>
    <x v="3"/>
    <n v="25600"/>
    <x v="2"/>
    <x v="0"/>
    <x v="22"/>
    <x v="3"/>
    <x v="0"/>
    <x v="0"/>
    <x v="3"/>
    <x v="0"/>
  </r>
  <r>
    <x v="0"/>
    <x v="0"/>
    <n v="2239314783"/>
    <x v="7"/>
    <n v="22500"/>
    <x v="2"/>
    <x v="0"/>
    <x v="22"/>
    <x v="7"/>
    <x v="0"/>
    <x v="0"/>
    <x v="1"/>
    <x v="0"/>
  </r>
  <r>
    <x v="0"/>
    <x v="0"/>
    <n v="2239314784"/>
    <x v="2"/>
    <n v="33440"/>
    <x v="2"/>
    <x v="0"/>
    <x v="22"/>
    <x v="2"/>
    <x v="0"/>
    <x v="0"/>
    <x v="2"/>
    <x v="0"/>
  </r>
  <r>
    <x v="0"/>
    <x v="0"/>
    <n v="2239314785"/>
    <x v="5"/>
    <n v="-400"/>
    <x v="2"/>
    <x v="0"/>
    <x v="22"/>
    <x v="5"/>
    <x v="0"/>
    <x v="0"/>
    <x v="5"/>
    <x v="0"/>
  </r>
  <r>
    <x v="0"/>
    <x v="0"/>
    <n v="2239314785"/>
    <x v="4"/>
    <n v="5000"/>
    <x v="2"/>
    <x v="0"/>
    <x v="22"/>
    <x v="4"/>
    <x v="0"/>
    <x v="0"/>
    <x v="4"/>
    <x v="0"/>
  </r>
  <r>
    <x v="0"/>
    <x v="0"/>
    <n v="2239314786"/>
    <x v="3"/>
    <n v="17600"/>
    <x v="2"/>
    <x v="0"/>
    <x v="22"/>
    <x v="3"/>
    <x v="0"/>
    <x v="0"/>
    <x v="3"/>
    <x v="0"/>
  </r>
  <r>
    <x v="0"/>
    <x v="0"/>
    <n v="2239314787"/>
    <x v="3"/>
    <n v="11550"/>
    <x v="2"/>
    <x v="0"/>
    <x v="22"/>
    <x v="3"/>
    <x v="0"/>
    <x v="0"/>
    <x v="3"/>
    <x v="0"/>
  </r>
  <r>
    <x v="0"/>
    <x v="0"/>
    <n v="2239314788"/>
    <x v="5"/>
    <n v="-4400"/>
    <x v="2"/>
    <x v="0"/>
    <x v="22"/>
    <x v="5"/>
    <x v="0"/>
    <x v="0"/>
    <x v="5"/>
    <x v="0"/>
  </r>
  <r>
    <x v="0"/>
    <x v="0"/>
    <n v="2239314788"/>
    <x v="4"/>
    <n v="10000"/>
    <x v="2"/>
    <x v="0"/>
    <x v="22"/>
    <x v="4"/>
    <x v="0"/>
    <x v="0"/>
    <x v="4"/>
    <x v="0"/>
  </r>
  <r>
    <x v="0"/>
    <x v="0"/>
    <n v="2239314790"/>
    <x v="2"/>
    <n v="7150"/>
    <x v="2"/>
    <x v="0"/>
    <x v="22"/>
    <x v="2"/>
    <x v="0"/>
    <x v="0"/>
    <x v="2"/>
    <x v="0"/>
  </r>
  <r>
    <x v="0"/>
    <x v="0"/>
    <n v="2239314791"/>
    <x v="3"/>
    <n v="4950"/>
    <x v="2"/>
    <x v="0"/>
    <x v="22"/>
    <x v="3"/>
    <x v="0"/>
    <x v="0"/>
    <x v="3"/>
    <x v="0"/>
  </r>
  <r>
    <x v="0"/>
    <x v="0"/>
    <n v="2239314792"/>
    <x v="5"/>
    <n v="-10500"/>
    <x v="2"/>
    <x v="0"/>
    <x v="22"/>
    <x v="5"/>
    <x v="0"/>
    <x v="0"/>
    <x v="5"/>
    <x v="0"/>
  </r>
  <r>
    <x v="0"/>
    <x v="0"/>
    <n v="2239314792"/>
    <x v="6"/>
    <n v="20000"/>
    <x v="2"/>
    <x v="0"/>
    <x v="22"/>
    <x v="6"/>
    <x v="0"/>
    <x v="0"/>
    <x v="5"/>
    <x v="0"/>
  </r>
  <r>
    <x v="0"/>
    <x v="0"/>
    <n v="2239314793"/>
    <x v="2"/>
    <n v="12000"/>
    <x v="2"/>
    <x v="0"/>
    <x v="22"/>
    <x v="2"/>
    <x v="0"/>
    <x v="0"/>
    <x v="2"/>
    <x v="0"/>
  </r>
  <r>
    <x v="0"/>
    <x v="0"/>
    <n v="2239314794"/>
    <x v="5"/>
    <n v="-1500"/>
    <x v="2"/>
    <x v="0"/>
    <x v="22"/>
    <x v="5"/>
    <x v="0"/>
    <x v="0"/>
    <x v="5"/>
    <x v="0"/>
  </r>
  <r>
    <x v="0"/>
    <x v="0"/>
    <n v="2239314794"/>
    <x v="6"/>
    <n v="5000"/>
    <x v="2"/>
    <x v="0"/>
    <x v="22"/>
    <x v="6"/>
    <x v="0"/>
    <x v="0"/>
    <x v="5"/>
    <x v="0"/>
  </r>
  <r>
    <x v="0"/>
    <x v="0"/>
    <n v="2239314795"/>
    <x v="5"/>
    <n v="-3250"/>
    <x v="2"/>
    <x v="0"/>
    <x v="22"/>
    <x v="5"/>
    <x v="0"/>
    <x v="0"/>
    <x v="5"/>
    <x v="0"/>
  </r>
  <r>
    <x v="0"/>
    <x v="0"/>
    <n v="2239314795"/>
    <x v="6"/>
    <n v="10000"/>
    <x v="2"/>
    <x v="0"/>
    <x v="22"/>
    <x v="6"/>
    <x v="0"/>
    <x v="0"/>
    <x v="5"/>
    <x v="0"/>
  </r>
  <r>
    <x v="0"/>
    <x v="0"/>
    <n v="2239314796"/>
    <x v="5"/>
    <n v="-200"/>
    <x v="2"/>
    <x v="0"/>
    <x v="22"/>
    <x v="5"/>
    <x v="0"/>
    <x v="0"/>
    <x v="5"/>
    <x v="0"/>
  </r>
  <r>
    <x v="0"/>
    <x v="0"/>
    <n v="2239314796"/>
    <x v="6"/>
    <n v="25000"/>
    <x v="2"/>
    <x v="0"/>
    <x v="22"/>
    <x v="6"/>
    <x v="0"/>
    <x v="0"/>
    <x v="5"/>
    <x v="0"/>
  </r>
  <r>
    <x v="0"/>
    <x v="0"/>
    <n v="2239314797"/>
    <x v="5"/>
    <n v="-4000"/>
    <x v="2"/>
    <x v="0"/>
    <x v="22"/>
    <x v="5"/>
    <x v="0"/>
    <x v="0"/>
    <x v="5"/>
    <x v="0"/>
  </r>
  <r>
    <x v="0"/>
    <x v="0"/>
    <n v="2239314797"/>
    <x v="6"/>
    <n v="10000"/>
    <x v="2"/>
    <x v="0"/>
    <x v="22"/>
    <x v="6"/>
    <x v="0"/>
    <x v="0"/>
    <x v="5"/>
    <x v="0"/>
  </r>
  <r>
    <x v="0"/>
    <x v="0"/>
    <n v="2239314799"/>
    <x v="7"/>
    <n v="6500"/>
    <x v="2"/>
    <x v="0"/>
    <x v="22"/>
    <x v="7"/>
    <x v="0"/>
    <x v="0"/>
    <x v="1"/>
    <x v="0"/>
  </r>
  <r>
    <x v="0"/>
    <x v="0"/>
    <n v="2239314800"/>
    <x v="7"/>
    <n v="7500"/>
    <x v="2"/>
    <x v="0"/>
    <x v="22"/>
    <x v="7"/>
    <x v="0"/>
    <x v="0"/>
    <x v="1"/>
    <x v="0"/>
  </r>
  <r>
    <x v="0"/>
    <x v="0"/>
    <n v="2239314802"/>
    <x v="6"/>
    <n v="6000"/>
    <x v="2"/>
    <x v="0"/>
    <x v="22"/>
    <x v="6"/>
    <x v="0"/>
    <x v="0"/>
    <x v="5"/>
    <x v="0"/>
  </r>
  <r>
    <x v="0"/>
    <x v="0"/>
    <n v="2239314803"/>
    <x v="2"/>
    <n v="6500"/>
    <x v="2"/>
    <x v="0"/>
    <x v="22"/>
    <x v="2"/>
    <x v="0"/>
    <x v="0"/>
    <x v="2"/>
    <x v="0"/>
  </r>
  <r>
    <x v="0"/>
    <x v="0"/>
    <n v="2239314804"/>
    <x v="7"/>
    <n v="6500"/>
    <x v="2"/>
    <x v="0"/>
    <x v="22"/>
    <x v="7"/>
    <x v="0"/>
    <x v="0"/>
    <x v="1"/>
    <x v="0"/>
  </r>
  <r>
    <x v="0"/>
    <x v="0"/>
    <n v="2239314805"/>
    <x v="2"/>
    <n v="7500"/>
    <x v="2"/>
    <x v="0"/>
    <x v="22"/>
    <x v="2"/>
    <x v="0"/>
    <x v="0"/>
    <x v="2"/>
    <x v="0"/>
  </r>
  <r>
    <x v="0"/>
    <x v="0"/>
    <n v="2239314806"/>
    <x v="3"/>
    <n v="60500"/>
    <x v="2"/>
    <x v="0"/>
    <x v="22"/>
    <x v="3"/>
    <x v="0"/>
    <x v="0"/>
    <x v="3"/>
    <x v="0"/>
  </r>
  <r>
    <x v="0"/>
    <x v="0"/>
    <n v="2239314807"/>
    <x v="7"/>
    <n v="6500"/>
    <x v="2"/>
    <x v="0"/>
    <x v="22"/>
    <x v="7"/>
    <x v="0"/>
    <x v="0"/>
    <x v="1"/>
    <x v="0"/>
  </r>
  <r>
    <x v="0"/>
    <x v="0"/>
    <n v="2239314808"/>
    <x v="7"/>
    <n v="6500"/>
    <x v="2"/>
    <x v="0"/>
    <x v="22"/>
    <x v="7"/>
    <x v="0"/>
    <x v="0"/>
    <x v="1"/>
    <x v="0"/>
  </r>
  <r>
    <x v="0"/>
    <x v="0"/>
    <n v="2239314809"/>
    <x v="2"/>
    <n v="91080"/>
    <x v="2"/>
    <x v="0"/>
    <x v="22"/>
    <x v="2"/>
    <x v="0"/>
    <x v="0"/>
    <x v="2"/>
    <x v="0"/>
  </r>
  <r>
    <x v="0"/>
    <x v="0"/>
    <n v="2239314810"/>
    <x v="3"/>
    <n v="10450"/>
    <x v="2"/>
    <x v="0"/>
    <x v="22"/>
    <x v="3"/>
    <x v="0"/>
    <x v="0"/>
    <x v="3"/>
    <x v="0"/>
  </r>
  <r>
    <x v="0"/>
    <x v="0"/>
    <n v="2239314811"/>
    <x v="5"/>
    <n v="-3500"/>
    <x v="2"/>
    <x v="0"/>
    <x v="22"/>
    <x v="5"/>
    <x v="0"/>
    <x v="0"/>
    <x v="5"/>
    <x v="0"/>
  </r>
  <r>
    <x v="0"/>
    <x v="0"/>
    <n v="2239314811"/>
    <x v="6"/>
    <n v="10000"/>
    <x v="2"/>
    <x v="0"/>
    <x v="22"/>
    <x v="6"/>
    <x v="0"/>
    <x v="0"/>
    <x v="5"/>
    <x v="0"/>
  </r>
  <r>
    <x v="0"/>
    <x v="0"/>
    <n v="2239314812"/>
    <x v="5"/>
    <n v="-14400"/>
    <x v="2"/>
    <x v="0"/>
    <x v="22"/>
    <x v="5"/>
    <x v="0"/>
    <x v="0"/>
    <x v="5"/>
    <x v="0"/>
  </r>
  <r>
    <x v="0"/>
    <x v="0"/>
    <n v="2239314812"/>
    <x v="4"/>
    <n v="20000"/>
    <x v="2"/>
    <x v="0"/>
    <x v="22"/>
    <x v="4"/>
    <x v="0"/>
    <x v="0"/>
    <x v="4"/>
    <x v="0"/>
  </r>
  <r>
    <x v="0"/>
    <x v="0"/>
    <n v="2239314813"/>
    <x v="7"/>
    <n v="7500"/>
    <x v="2"/>
    <x v="0"/>
    <x v="22"/>
    <x v="7"/>
    <x v="0"/>
    <x v="0"/>
    <x v="1"/>
    <x v="0"/>
  </r>
  <r>
    <x v="0"/>
    <x v="0"/>
    <n v="2239314814"/>
    <x v="2"/>
    <n v="12800"/>
    <x v="2"/>
    <x v="0"/>
    <x v="22"/>
    <x v="2"/>
    <x v="0"/>
    <x v="0"/>
    <x v="2"/>
    <x v="0"/>
  </r>
  <r>
    <x v="0"/>
    <x v="0"/>
    <n v="2239314816"/>
    <x v="2"/>
    <n v="16170"/>
    <x v="2"/>
    <x v="0"/>
    <x v="22"/>
    <x v="2"/>
    <x v="0"/>
    <x v="0"/>
    <x v="2"/>
    <x v="0"/>
  </r>
  <r>
    <x v="0"/>
    <x v="0"/>
    <n v="2239314817"/>
    <x v="3"/>
    <n v="23661"/>
    <x v="2"/>
    <x v="0"/>
    <x v="22"/>
    <x v="3"/>
    <x v="0"/>
    <x v="0"/>
    <x v="3"/>
    <x v="0"/>
  </r>
  <r>
    <x v="0"/>
    <x v="0"/>
    <n v="2239314818"/>
    <x v="6"/>
    <n v="6000"/>
    <x v="2"/>
    <x v="0"/>
    <x v="22"/>
    <x v="6"/>
    <x v="0"/>
    <x v="0"/>
    <x v="5"/>
    <x v="0"/>
  </r>
  <r>
    <x v="0"/>
    <x v="0"/>
    <n v="2239314819"/>
    <x v="7"/>
    <n v="7500"/>
    <x v="2"/>
    <x v="0"/>
    <x v="22"/>
    <x v="7"/>
    <x v="0"/>
    <x v="0"/>
    <x v="1"/>
    <x v="0"/>
  </r>
  <r>
    <x v="0"/>
    <x v="0"/>
    <n v="2239314820"/>
    <x v="5"/>
    <n v="-1600"/>
    <x v="2"/>
    <x v="0"/>
    <x v="22"/>
    <x v="5"/>
    <x v="0"/>
    <x v="0"/>
    <x v="5"/>
    <x v="0"/>
  </r>
  <r>
    <x v="0"/>
    <x v="0"/>
    <n v="2239314820"/>
    <x v="4"/>
    <n v="6000"/>
    <x v="2"/>
    <x v="0"/>
    <x v="22"/>
    <x v="4"/>
    <x v="0"/>
    <x v="0"/>
    <x v="4"/>
    <x v="0"/>
  </r>
  <r>
    <x v="0"/>
    <x v="0"/>
    <n v="2239314821"/>
    <x v="5"/>
    <n v="-5600"/>
    <x v="2"/>
    <x v="0"/>
    <x v="22"/>
    <x v="5"/>
    <x v="0"/>
    <x v="0"/>
    <x v="5"/>
    <x v="0"/>
  </r>
  <r>
    <x v="0"/>
    <x v="0"/>
    <n v="2239314821"/>
    <x v="4"/>
    <n v="10000"/>
    <x v="2"/>
    <x v="0"/>
    <x v="22"/>
    <x v="4"/>
    <x v="0"/>
    <x v="0"/>
    <x v="4"/>
    <x v="0"/>
  </r>
  <r>
    <x v="0"/>
    <x v="0"/>
    <n v="2239314822"/>
    <x v="2"/>
    <n v="15750"/>
    <x v="2"/>
    <x v="0"/>
    <x v="22"/>
    <x v="2"/>
    <x v="0"/>
    <x v="0"/>
    <x v="2"/>
    <x v="0"/>
  </r>
  <r>
    <x v="0"/>
    <x v="0"/>
    <n v="2239314823"/>
    <x v="3"/>
    <n v="13200"/>
    <x v="2"/>
    <x v="0"/>
    <x v="22"/>
    <x v="3"/>
    <x v="0"/>
    <x v="0"/>
    <x v="3"/>
    <x v="0"/>
  </r>
  <r>
    <x v="0"/>
    <x v="0"/>
    <n v="2239314824"/>
    <x v="2"/>
    <n v="13500"/>
    <x v="2"/>
    <x v="0"/>
    <x v="22"/>
    <x v="2"/>
    <x v="0"/>
    <x v="0"/>
    <x v="2"/>
    <x v="0"/>
  </r>
  <r>
    <x v="0"/>
    <x v="0"/>
    <n v="2239314825"/>
    <x v="6"/>
    <n v="17000"/>
    <x v="2"/>
    <x v="0"/>
    <x v="22"/>
    <x v="6"/>
    <x v="0"/>
    <x v="0"/>
    <x v="5"/>
    <x v="0"/>
  </r>
  <r>
    <x v="0"/>
    <x v="0"/>
    <n v="2239314826"/>
    <x v="5"/>
    <n v="-5000"/>
    <x v="2"/>
    <x v="0"/>
    <x v="22"/>
    <x v="5"/>
    <x v="0"/>
    <x v="0"/>
    <x v="5"/>
    <x v="0"/>
  </r>
  <r>
    <x v="0"/>
    <x v="0"/>
    <n v="2239314826"/>
    <x v="6"/>
    <n v="20000"/>
    <x v="2"/>
    <x v="0"/>
    <x v="22"/>
    <x v="6"/>
    <x v="0"/>
    <x v="0"/>
    <x v="5"/>
    <x v="0"/>
  </r>
  <r>
    <x v="0"/>
    <x v="0"/>
    <n v="2239314827"/>
    <x v="0"/>
    <n v="900"/>
    <x v="2"/>
    <x v="0"/>
    <x v="22"/>
    <x v="0"/>
    <x v="0"/>
    <x v="0"/>
    <x v="0"/>
    <x v="0"/>
  </r>
  <r>
    <x v="0"/>
    <x v="0"/>
    <n v="2239314828"/>
    <x v="0"/>
    <n v="1350"/>
    <x v="2"/>
    <x v="0"/>
    <x v="22"/>
    <x v="0"/>
    <x v="0"/>
    <x v="0"/>
    <x v="0"/>
    <x v="0"/>
  </r>
  <r>
    <x v="0"/>
    <x v="0"/>
    <n v="2239314829"/>
    <x v="5"/>
    <n v="-5400"/>
    <x v="2"/>
    <x v="0"/>
    <x v="22"/>
    <x v="5"/>
    <x v="0"/>
    <x v="0"/>
    <x v="5"/>
    <x v="0"/>
  </r>
  <r>
    <x v="0"/>
    <x v="0"/>
    <n v="2239314829"/>
    <x v="4"/>
    <n v="11000"/>
    <x v="2"/>
    <x v="0"/>
    <x v="22"/>
    <x v="4"/>
    <x v="0"/>
    <x v="0"/>
    <x v="4"/>
    <x v="0"/>
  </r>
  <r>
    <x v="0"/>
    <x v="0"/>
    <n v="2239314831"/>
    <x v="0"/>
    <n v="900"/>
    <x v="2"/>
    <x v="0"/>
    <x v="22"/>
    <x v="0"/>
    <x v="0"/>
    <x v="0"/>
    <x v="0"/>
    <x v="0"/>
  </r>
  <r>
    <x v="0"/>
    <x v="0"/>
    <n v="2239314832"/>
    <x v="2"/>
    <n v="6600"/>
    <x v="2"/>
    <x v="0"/>
    <x v="22"/>
    <x v="2"/>
    <x v="0"/>
    <x v="0"/>
    <x v="2"/>
    <x v="0"/>
  </r>
  <r>
    <x v="0"/>
    <x v="0"/>
    <n v="2239314833"/>
    <x v="5"/>
    <n v="-6500"/>
    <x v="2"/>
    <x v="0"/>
    <x v="22"/>
    <x v="5"/>
    <x v="0"/>
    <x v="0"/>
    <x v="5"/>
    <x v="0"/>
  </r>
  <r>
    <x v="0"/>
    <x v="0"/>
    <n v="2239314833"/>
    <x v="6"/>
    <n v="10000"/>
    <x v="2"/>
    <x v="0"/>
    <x v="22"/>
    <x v="6"/>
    <x v="0"/>
    <x v="0"/>
    <x v="5"/>
    <x v="0"/>
  </r>
  <r>
    <x v="0"/>
    <x v="0"/>
    <n v="2239314835"/>
    <x v="2"/>
    <n v="6000"/>
    <x v="2"/>
    <x v="0"/>
    <x v="22"/>
    <x v="2"/>
    <x v="0"/>
    <x v="0"/>
    <x v="2"/>
    <x v="0"/>
  </r>
  <r>
    <x v="0"/>
    <x v="0"/>
    <n v="2239314836"/>
    <x v="7"/>
    <n v="6500"/>
    <x v="2"/>
    <x v="0"/>
    <x v="22"/>
    <x v="7"/>
    <x v="0"/>
    <x v="0"/>
    <x v="1"/>
    <x v="0"/>
  </r>
  <r>
    <x v="0"/>
    <x v="0"/>
    <n v="2239314838"/>
    <x v="0"/>
    <n v="450"/>
    <x v="2"/>
    <x v="0"/>
    <x v="22"/>
    <x v="0"/>
    <x v="0"/>
    <x v="0"/>
    <x v="0"/>
    <x v="0"/>
  </r>
  <r>
    <x v="0"/>
    <x v="0"/>
    <n v="2239314839"/>
    <x v="7"/>
    <n v="12000"/>
    <x v="2"/>
    <x v="0"/>
    <x v="22"/>
    <x v="7"/>
    <x v="0"/>
    <x v="0"/>
    <x v="1"/>
    <x v="0"/>
  </r>
  <r>
    <x v="0"/>
    <x v="0"/>
    <n v="2239314840"/>
    <x v="2"/>
    <n v="11990"/>
    <x v="2"/>
    <x v="0"/>
    <x v="22"/>
    <x v="2"/>
    <x v="0"/>
    <x v="0"/>
    <x v="2"/>
    <x v="0"/>
  </r>
  <r>
    <x v="0"/>
    <x v="0"/>
    <n v="2239314841"/>
    <x v="2"/>
    <n v="6500"/>
    <x v="2"/>
    <x v="0"/>
    <x v="22"/>
    <x v="2"/>
    <x v="0"/>
    <x v="0"/>
    <x v="2"/>
    <x v="0"/>
  </r>
  <r>
    <x v="0"/>
    <x v="0"/>
    <n v="2239314842"/>
    <x v="2"/>
    <n v="30250"/>
    <x v="2"/>
    <x v="0"/>
    <x v="22"/>
    <x v="2"/>
    <x v="0"/>
    <x v="0"/>
    <x v="2"/>
    <x v="0"/>
  </r>
  <r>
    <x v="0"/>
    <x v="0"/>
    <n v="2239314843"/>
    <x v="2"/>
    <n v="7150"/>
    <x v="2"/>
    <x v="0"/>
    <x v="22"/>
    <x v="2"/>
    <x v="0"/>
    <x v="0"/>
    <x v="2"/>
    <x v="0"/>
  </r>
  <r>
    <x v="0"/>
    <x v="0"/>
    <n v="2239314844"/>
    <x v="0"/>
    <n v="1200"/>
    <x v="2"/>
    <x v="0"/>
    <x v="22"/>
    <x v="0"/>
    <x v="0"/>
    <x v="0"/>
    <x v="0"/>
    <x v="0"/>
  </r>
  <r>
    <x v="0"/>
    <x v="0"/>
    <n v="2239314845"/>
    <x v="7"/>
    <n v="7500"/>
    <x v="2"/>
    <x v="0"/>
    <x v="22"/>
    <x v="7"/>
    <x v="0"/>
    <x v="0"/>
    <x v="1"/>
    <x v="0"/>
  </r>
  <r>
    <x v="0"/>
    <x v="0"/>
    <n v="2239314846"/>
    <x v="2"/>
    <n v="17270"/>
    <x v="2"/>
    <x v="0"/>
    <x v="22"/>
    <x v="2"/>
    <x v="0"/>
    <x v="0"/>
    <x v="2"/>
    <x v="0"/>
  </r>
  <r>
    <x v="0"/>
    <x v="0"/>
    <n v="2239314848"/>
    <x v="5"/>
    <n v="-100"/>
    <x v="2"/>
    <x v="0"/>
    <x v="22"/>
    <x v="5"/>
    <x v="0"/>
    <x v="0"/>
    <x v="5"/>
    <x v="0"/>
  </r>
  <r>
    <x v="0"/>
    <x v="0"/>
    <n v="2239314848"/>
    <x v="6"/>
    <n v="22000"/>
    <x v="2"/>
    <x v="0"/>
    <x v="22"/>
    <x v="6"/>
    <x v="0"/>
    <x v="0"/>
    <x v="5"/>
    <x v="0"/>
  </r>
  <r>
    <x v="0"/>
    <x v="0"/>
    <n v="2239314849"/>
    <x v="2"/>
    <n v="20658"/>
    <x v="2"/>
    <x v="0"/>
    <x v="22"/>
    <x v="2"/>
    <x v="0"/>
    <x v="0"/>
    <x v="2"/>
    <x v="0"/>
  </r>
  <r>
    <x v="0"/>
    <x v="0"/>
    <n v="2239314850"/>
    <x v="7"/>
    <n v="10500"/>
    <x v="2"/>
    <x v="0"/>
    <x v="22"/>
    <x v="7"/>
    <x v="0"/>
    <x v="0"/>
    <x v="1"/>
    <x v="0"/>
  </r>
  <r>
    <x v="0"/>
    <x v="0"/>
    <n v="2239314851"/>
    <x v="7"/>
    <n v="7500"/>
    <x v="2"/>
    <x v="0"/>
    <x v="22"/>
    <x v="7"/>
    <x v="0"/>
    <x v="0"/>
    <x v="1"/>
    <x v="0"/>
  </r>
  <r>
    <x v="0"/>
    <x v="0"/>
    <n v="2239314853"/>
    <x v="7"/>
    <n v="7500"/>
    <x v="2"/>
    <x v="0"/>
    <x v="22"/>
    <x v="7"/>
    <x v="0"/>
    <x v="0"/>
    <x v="1"/>
    <x v="0"/>
  </r>
  <r>
    <x v="0"/>
    <x v="0"/>
    <n v="2239314854"/>
    <x v="2"/>
    <n v="21450"/>
    <x v="2"/>
    <x v="0"/>
    <x v="22"/>
    <x v="2"/>
    <x v="0"/>
    <x v="0"/>
    <x v="2"/>
    <x v="0"/>
  </r>
  <r>
    <x v="0"/>
    <x v="0"/>
    <n v="2239314855"/>
    <x v="7"/>
    <n v="7500"/>
    <x v="2"/>
    <x v="0"/>
    <x v="22"/>
    <x v="7"/>
    <x v="0"/>
    <x v="0"/>
    <x v="1"/>
    <x v="0"/>
  </r>
  <r>
    <x v="0"/>
    <x v="0"/>
    <n v="2239314856"/>
    <x v="5"/>
    <n v="-5400"/>
    <x v="2"/>
    <x v="0"/>
    <x v="22"/>
    <x v="5"/>
    <x v="0"/>
    <x v="0"/>
    <x v="5"/>
    <x v="0"/>
  </r>
  <r>
    <x v="0"/>
    <x v="0"/>
    <n v="2239314856"/>
    <x v="4"/>
    <n v="10000"/>
    <x v="2"/>
    <x v="0"/>
    <x v="22"/>
    <x v="4"/>
    <x v="0"/>
    <x v="0"/>
    <x v="4"/>
    <x v="0"/>
  </r>
  <r>
    <x v="0"/>
    <x v="0"/>
    <n v="2239314857"/>
    <x v="5"/>
    <n v="-500"/>
    <x v="2"/>
    <x v="0"/>
    <x v="22"/>
    <x v="5"/>
    <x v="0"/>
    <x v="0"/>
    <x v="5"/>
    <x v="0"/>
  </r>
  <r>
    <x v="0"/>
    <x v="0"/>
    <n v="2239314857"/>
    <x v="6"/>
    <n v="5000"/>
    <x v="2"/>
    <x v="0"/>
    <x v="22"/>
    <x v="6"/>
    <x v="0"/>
    <x v="0"/>
    <x v="5"/>
    <x v="0"/>
  </r>
  <r>
    <x v="0"/>
    <x v="0"/>
    <n v="2239314858"/>
    <x v="5"/>
    <n v="-2500"/>
    <x v="2"/>
    <x v="0"/>
    <x v="22"/>
    <x v="5"/>
    <x v="0"/>
    <x v="0"/>
    <x v="5"/>
    <x v="0"/>
  </r>
  <r>
    <x v="0"/>
    <x v="0"/>
    <n v="2239314858"/>
    <x v="6"/>
    <n v="10000"/>
    <x v="2"/>
    <x v="0"/>
    <x v="22"/>
    <x v="6"/>
    <x v="0"/>
    <x v="0"/>
    <x v="5"/>
    <x v="0"/>
  </r>
  <r>
    <x v="0"/>
    <x v="0"/>
    <n v="2239314859"/>
    <x v="2"/>
    <n v="7150"/>
    <x v="2"/>
    <x v="0"/>
    <x v="22"/>
    <x v="2"/>
    <x v="0"/>
    <x v="0"/>
    <x v="2"/>
    <x v="0"/>
  </r>
  <r>
    <x v="0"/>
    <x v="0"/>
    <n v="2239314860"/>
    <x v="2"/>
    <n v="19690"/>
    <x v="2"/>
    <x v="0"/>
    <x v="22"/>
    <x v="2"/>
    <x v="0"/>
    <x v="0"/>
    <x v="2"/>
    <x v="0"/>
  </r>
  <r>
    <x v="0"/>
    <x v="0"/>
    <n v="2239314861"/>
    <x v="7"/>
    <n v="6500"/>
    <x v="2"/>
    <x v="0"/>
    <x v="22"/>
    <x v="7"/>
    <x v="0"/>
    <x v="0"/>
    <x v="1"/>
    <x v="0"/>
  </r>
  <r>
    <x v="0"/>
    <x v="0"/>
    <n v="2239314862"/>
    <x v="7"/>
    <n v="6500"/>
    <x v="2"/>
    <x v="0"/>
    <x v="22"/>
    <x v="7"/>
    <x v="0"/>
    <x v="0"/>
    <x v="1"/>
    <x v="0"/>
  </r>
  <r>
    <x v="0"/>
    <x v="0"/>
    <n v="2239314863"/>
    <x v="2"/>
    <n v="6500"/>
    <x v="2"/>
    <x v="0"/>
    <x v="22"/>
    <x v="2"/>
    <x v="0"/>
    <x v="0"/>
    <x v="2"/>
    <x v="0"/>
  </r>
  <r>
    <x v="0"/>
    <x v="0"/>
    <n v="2239314864"/>
    <x v="6"/>
    <n v="55500"/>
    <x v="2"/>
    <x v="0"/>
    <x v="22"/>
    <x v="6"/>
    <x v="0"/>
    <x v="0"/>
    <x v="5"/>
    <x v="0"/>
  </r>
  <r>
    <x v="0"/>
    <x v="0"/>
    <n v="2239314865"/>
    <x v="5"/>
    <n v="-1660"/>
    <x v="2"/>
    <x v="0"/>
    <x v="22"/>
    <x v="5"/>
    <x v="0"/>
    <x v="0"/>
    <x v="5"/>
    <x v="0"/>
  </r>
  <r>
    <x v="0"/>
    <x v="0"/>
    <n v="2239314865"/>
    <x v="6"/>
    <n v="40000"/>
    <x v="2"/>
    <x v="0"/>
    <x v="22"/>
    <x v="6"/>
    <x v="0"/>
    <x v="0"/>
    <x v="5"/>
    <x v="0"/>
  </r>
  <r>
    <x v="0"/>
    <x v="0"/>
    <n v="2239314866"/>
    <x v="5"/>
    <n v="-400"/>
    <x v="2"/>
    <x v="0"/>
    <x v="22"/>
    <x v="5"/>
    <x v="0"/>
    <x v="0"/>
    <x v="5"/>
    <x v="0"/>
  </r>
  <r>
    <x v="0"/>
    <x v="0"/>
    <n v="2239314866"/>
    <x v="4"/>
    <n v="6000"/>
    <x v="2"/>
    <x v="0"/>
    <x v="22"/>
    <x v="4"/>
    <x v="0"/>
    <x v="0"/>
    <x v="4"/>
    <x v="0"/>
  </r>
  <r>
    <x v="0"/>
    <x v="0"/>
    <n v="2239314867"/>
    <x v="2"/>
    <n v="4500"/>
    <x v="2"/>
    <x v="0"/>
    <x v="22"/>
    <x v="2"/>
    <x v="0"/>
    <x v="0"/>
    <x v="2"/>
    <x v="0"/>
  </r>
  <r>
    <x v="0"/>
    <x v="0"/>
    <n v="2239314868"/>
    <x v="7"/>
    <n v="6000"/>
    <x v="2"/>
    <x v="0"/>
    <x v="22"/>
    <x v="7"/>
    <x v="0"/>
    <x v="0"/>
    <x v="1"/>
    <x v="0"/>
  </r>
  <r>
    <x v="0"/>
    <x v="0"/>
    <n v="2239314869"/>
    <x v="5"/>
    <n v="-2500"/>
    <x v="2"/>
    <x v="0"/>
    <x v="22"/>
    <x v="5"/>
    <x v="0"/>
    <x v="0"/>
    <x v="5"/>
    <x v="0"/>
  </r>
  <r>
    <x v="0"/>
    <x v="0"/>
    <n v="2239314869"/>
    <x v="6"/>
    <n v="10000"/>
    <x v="2"/>
    <x v="0"/>
    <x v="22"/>
    <x v="6"/>
    <x v="0"/>
    <x v="0"/>
    <x v="5"/>
    <x v="0"/>
  </r>
  <r>
    <x v="0"/>
    <x v="0"/>
    <n v="2239314870"/>
    <x v="5"/>
    <n v="-2500"/>
    <x v="2"/>
    <x v="0"/>
    <x v="22"/>
    <x v="5"/>
    <x v="0"/>
    <x v="0"/>
    <x v="5"/>
    <x v="0"/>
  </r>
  <r>
    <x v="0"/>
    <x v="0"/>
    <n v="2239314870"/>
    <x v="6"/>
    <n v="10000"/>
    <x v="2"/>
    <x v="0"/>
    <x v="22"/>
    <x v="6"/>
    <x v="0"/>
    <x v="0"/>
    <x v="5"/>
    <x v="0"/>
  </r>
  <r>
    <x v="0"/>
    <x v="0"/>
    <n v="2239314871"/>
    <x v="5"/>
    <n v="-1200"/>
    <x v="2"/>
    <x v="0"/>
    <x v="22"/>
    <x v="5"/>
    <x v="0"/>
    <x v="0"/>
    <x v="5"/>
    <x v="0"/>
  </r>
  <r>
    <x v="0"/>
    <x v="0"/>
    <n v="2239314871"/>
    <x v="6"/>
    <n v="5000"/>
    <x v="2"/>
    <x v="0"/>
    <x v="22"/>
    <x v="6"/>
    <x v="0"/>
    <x v="0"/>
    <x v="5"/>
    <x v="0"/>
  </r>
  <r>
    <x v="0"/>
    <x v="0"/>
    <n v="2239314872"/>
    <x v="5"/>
    <n v="-3500"/>
    <x v="2"/>
    <x v="0"/>
    <x v="22"/>
    <x v="5"/>
    <x v="0"/>
    <x v="0"/>
    <x v="5"/>
    <x v="0"/>
  </r>
  <r>
    <x v="0"/>
    <x v="0"/>
    <n v="2239314872"/>
    <x v="6"/>
    <n v="10000"/>
    <x v="2"/>
    <x v="0"/>
    <x v="22"/>
    <x v="6"/>
    <x v="0"/>
    <x v="0"/>
    <x v="5"/>
    <x v="0"/>
  </r>
  <r>
    <x v="0"/>
    <x v="0"/>
    <n v="2239317364"/>
    <x v="1"/>
    <n v="25310"/>
    <x v="2"/>
    <x v="0"/>
    <x v="23"/>
    <x v="1"/>
    <x v="0"/>
    <x v="0"/>
    <x v="1"/>
    <x v="0"/>
  </r>
  <r>
    <x v="0"/>
    <x v="0"/>
    <n v="2239317365"/>
    <x v="6"/>
    <n v="10800"/>
    <x v="2"/>
    <x v="0"/>
    <x v="23"/>
    <x v="6"/>
    <x v="0"/>
    <x v="0"/>
    <x v="5"/>
    <x v="0"/>
  </r>
  <r>
    <x v="0"/>
    <x v="0"/>
    <n v="2239317365"/>
    <x v="7"/>
    <n v="1200"/>
    <x v="2"/>
    <x v="0"/>
    <x v="23"/>
    <x v="7"/>
    <x v="0"/>
    <x v="0"/>
    <x v="1"/>
    <x v="0"/>
  </r>
  <r>
    <x v="0"/>
    <x v="0"/>
    <n v="2239317366"/>
    <x v="1"/>
    <n v="900"/>
    <x v="2"/>
    <x v="0"/>
    <x v="23"/>
    <x v="1"/>
    <x v="0"/>
    <x v="0"/>
    <x v="1"/>
    <x v="0"/>
  </r>
  <r>
    <x v="0"/>
    <x v="0"/>
    <n v="2239317367"/>
    <x v="6"/>
    <n v="2000"/>
    <x v="2"/>
    <x v="0"/>
    <x v="23"/>
    <x v="6"/>
    <x v="0"/>
    <x v="0"/>
    <x v="5"/>
    <x v="0"/>
  </r>
  <r>
    <x v="0"/>
    <x v="0"/>
    <n v="2239317368"/>
    <x v="1"/>
    <n v="2700"/>
    <x v="2"/>
    <x v="0"/>
    <x v="23"/>
    <x v="1"/>
    <x v="0"/>
    <x v="0"/>
    <x v="1"/>
    <x v="0"/>
  </r>
  <r>
    <x v="0"/>
    <x v="0"/>
    <n v="2239317369"/>
    <x v="6"/>
    <n v="13900"/>
    <x v="2"/>
    <x v="0"/>
    <x v="23"/>
    <x v="6"/>
    <x v="0"/>
    <x v="0"/>
    <x v="5"/>
    <x v="0"/>
  </r>
  <r>
    <x v="0"/>
    <x v="0"/>
    <n v="2239317370"/>
    <x v="6"/>
    <n v="2000"/>
    <x v="2"/>
    <x v="0"/>
    <x v="23"/>
    <x v="6"/>
    <x v="0"/>
    <x v="0"/>
    <x v="5"/>
    <x v="0"/>
  </r>
  <r>
    <x v="0"/>
    <x v="0"/>
    <n v="2239317371"/>
    <x v="1"/>
    <n v="4050"/>
    <x v="2"/>
    <x v="0"/>
    <x v="23"/>
    <x v="1"/>
    <x v="0"/>
    <x v="0"/>
    <x v="1"/>
    <x v="0"/>
  </r>
  <r>
    <x v="0"/>
    <x v="0"/>
    <n v="2239317373"/>
    <x v="6"/>
    <n v="6000"/>
    <x v="2"/>
    <x v="0"/>
    <x v="23"/>
    <x v="6"/>
    <x v="0"/>
    <x v="0"/>
    <x v="5"/>
    <x v="0"/>
  </r>
  <r>
    <x v="0"/>
    <x v="0"/>
    <n v="2239317375"/>
    <x v="2"/>
    <n v="5000"/>
    <x v="2"/>
    <x v="0"/>
    <x v="23"/>
    <x v="2"/>
    <x v="0"/>
    <x v="0"/>
    <x v="2"/>
    <x v="0"/>
  </r>
  <r>
    <x v="0"/>
    <x v="0"/>
    <n v="2239317376"/>
    <x v="5"/>
    <n v="-9570"/>
    <x v="2"/>
    <x v="0"/>
    <x v="23"/>
    <x v="5"/>
    <x v="0"/>
    <x v="0"/>
    <x v="5"/>
    <x v="0"/>
  </r>
  <r>
    <x v="0"/>
    <x v="0"/>
    <n v="2239317376"/>
    <x v="6"/>
    <n v="20000"/>
    <x v="2"/>
    <x v="0"/>
    <x v="23"/>
    <x v="6"/>
    <x v="0"/>
    <x v="0"/>
    <x v="5"/>
    <x v="0"/>
  </r>
  <r>
    <x v="0"/>
    <x v="0"/>
    <n v="2239317377"/>
    <x v="1"/>
    <n v="2880"/>
    <x v="2"/>
    <x v="0"/>
    <x v="23"/>
    <x v="1"/>
    <x v="0"/>
    <x v="0"/>
    <x v="1"/>
    <x v="0"/>
  </r>
  <r>
    <x v="0"/>
    <x v="0"/>
    <n v="2239317378"/>
    <x v="1"/>
    <n v="48520"/>
    <x v="2"/>
    <x v="0"/>
    <x v="23"/>
    <x v="1"/>
    <x v="0"/>
    <x v="0"/>
    <x v="1"/>
    <x v="0"/>
  </r>
  <r>
    <x v="0"/>
    <x v="0"/>
    <n v="2239317379"/>
    <x v="1"/>
    <n v="900"/>
    <x v="2"/>
    <x v="0"/>
    <x v="23"/>
    <x v="1"/>
    <x v="0"/>
    <x v="0"/>
    <x v="1"/>
    <x v="0"/>
  </r>
  <r>
    <x v="0"/>
    <x v="0"/>
    <n v="2239317380"/>
    <x v="2"/>
    <n v="7700"/>
    <x v="2"/>
    <x v="0"/>
    <x v="23"/>
    <x v="2"/>
    <x v="0"/>
    <x v="0"/>
    <x v="2"/>
    <x v="0"/>
  </r>
  <r>
    <x v="0"/>
    <x v="0"/>
    <n v="2239317381"/>
    <x v="1"/>
    <n v="1800"/>
    <x v="2"/>
    <x v="0"/>
    <x v="23"/>
    <x v="1"/>
    <x v="0"/>
    <x v="0"/>
    <x v="1"/>
    <x v="0"/>
  </r>
  <r>
    <x v="0"/>
    <x v="0"/>
    <n v="2239317382"/>
    <x v="1"/>
    <n v="11100"/>
    <x v="2"/>
    <x v="0"/>
    <x v="23"/>
    <x v="1"/>
    <x v="0"/>
    <x v="0"/>
    <x v="1"/>
    <x v="0"/>
  </r>
  <r>
    <x v="0"/>
    <x v="0"/>
    <n v="2239317383"/>
    <x v="7"/>
    <n v="7500"/>
    <x v="2"/>
    <x v="0"/>
    <x v="23"/>
    <x v="7"/>
    <x v="0"/>
    <x v="0"/>
    <x v="1"/>
    <x v="0"/>
  </r>
  <r>
    <x v="0"/>
    <x v="0"/>
    <n v="2239317384"/>
    <x v="5"/>
    <n v="-2000"/>
    <x v="2"/>
    <x v="0"/>
    <x v="23"/>
    <x v="5"/>
    <x v="0"/>
    <x v="0"/>
    <x v="5"/>
    <x v="0"/>
  </r>
  <r>
    <x v="0"/>
    <x v="0"/>
    <n v="2239317384"/>
    <x v="6"/>
    <n v="5000"/>
    <x v="2"/>
    <x v="0"/>
    <x v="23"/>
    <x v="6"/>
    <x v="0"/>
    <x v="0"/>
    <x v="5"/>
    <x v="0"/>
  </r>
  <r>
    <x v="0"/>
    <x v="0"/>
    <n v="2239317385"/>
    <x v="2"/>
    <n v="57400"/>
    <x v="2"/>
    <x v="0"/>
    <x v="23"/>
    <x v="2"/>
    <x v="0"/>
    <x v="0"/>
    <x v="2"/>
    <x v="0"/>
  </r>
  <r>
    <x v="0"/>
    <x v="0"/>
    <n v="2239317386"/>
    <x v="7"/>
    <n v="4500"/>
    <x v="2"/>
    <x v="0"/>
    <x v="23"/>
    <x v="7"/>
    <x v="0"/>
    <x v="0"/>
    <x v="1"/>
    <x v="0"/>
  </r>
  <r>
    <x v="0"/>
    <x v="0"/>
    <n v="2239317387"/>
    <x v="2"/>
    <n v="4400"/>
    <x v="2"/>
    <x v="0"/>
    <x v="23"/>
    <x v="2"/>
    <x v="0"/>
    <x v="0"/>
    <x v="2"/>
    <x v="0"/>
  </r>
  <r>
    <x v="0"/>
    <x v="0"/>
    <n v="2239317388"/>
    <x v="7"/>
    <n v="3000"/>
    <x v="2"/>
    <x v="0"/>
    <x v="23"/>
    <x v="7"/>
    <x v="0"/>
    <x v="0"/>
    <x v="1"/>
    <x v="0"/>
  </r>
  <r>
    <x v="0"/>
    <x v="0"/>
    <n v="2239317389"/>
    <x v="1"/>
    <n v="13840"/>
    <x v="2"/>
    <x v="0"/>
    <x v="23"/>
    <x v="1"/>
    <x v="0"/>
    <x v="0"/>
    <x v="1"/>
    <x v="0"/>
  </r>
  <r>
    <x v="0"/>
    <x v="0"/>
    <n v="2239317390"/>
    <x v="1"/>
    <n v="900"/>
    <x v="2"/>
    <x v="0"/>
    <x v="23"/>
    <x v="1"/>
    <x v="0"/>
    <x v="0"/>
    <x v="1"/>
    <x v="0"/>
  </r>
  <r>
    <x v="0"/>
    <x v="0"/>
    <n v="2239317391"/>
    <x v="2"/>
    <n v="8250"/>
    <x v="2"/>
    <x v="0"/>
    <x v="23"/>
    <x v="2"/>
    <x v="0"/>
    <x v="0"/>
    <x v="2"/>
    <x v="0"/>
  </r>
  <r>
    <x v="0"/>
    <x v="0"/>
    <n v="2239317392"/>
    <x v="1"/>
    <n v="900"/>
    <x v="2"/>
    <x v="0"/>
    <x v="23"/>
    <x v="1"/>
    <x v="0"/>
    <x v="0"/>
    <x v="1"/>
    <x v="0"/>
  </r>
  <r>
    <x v="0"/>
    <x v="0"/>
    <n v="2239317393"/>
    <x v="5"/>
    <n v="-5600"/>
    <x v="2"/>
    <x v="0"/>
    <x v="23"/>
    <x v="5"/>
    <x v="0"/>
    <x v="0"/>
    <x v="5"/>
    <x v="0"/>
  </r>
  <r>
    <x v="0"/>
    <x v="0"/>
    <n v="2239317393"/>
    <x v="6"/>
    <n v="20000"/>
    <x v="2"/>
    <x v="0"/>
    <x v="23"/>
    <x v="6"/>
    <x v="0"/>
    <x v="0"/>
    <x v="5"/>
    <x v="0"/>
  </r>
  <r>
    <x v="0"/>
    <x v="0"/>
    <n v="2239317394"/>
    <x v="1"/>
    <n v="6030"/>
    <x v="2"/>
    <x v="0"/>
    <x v="23"/>
    <x v="1"/>
    <x v="0"/>
    <x v="0"/>
    <x v="1"/>
    <x v="0"/>
  </r>
  <r>
    <x v="0"/>
    <x v="0"/>
    <n v="2239317395"/>
    <x v="2"/>
    <n v="19107"/>
    <x v="2"/>
    <x v="0"/>
    <x v="23"/>
    <x v="2"/>
    <x v="0"/>
    <x v="0"/>
    <x v="2"/>
    <x v="0"/>
  </r>
  <r>
    <x v="0"/>
    <x v="0"/>
    <n v="2239317396"/>
    <x v="2"/>
    <n v="13200"/>
    <x v="2"/>
    <x v="0"/>
    <x v="23"/>
    <x v="2"/>
    <x v="0"/>
    <x v="0"/>
    <x v="2"/>
    <x v="0"/>
  </r>
  <r>
    <x v="0"/>
    <x v="0"/>
    <n v="2239317397"/>
    <x v="3"/>
    <n v="48290"/>
    <x v="2"/>
    <x v="0"/>
    <x v="23"/>
    <x v="3"/>
    <x v="0"/>
    <x v="0"/>
    <x v="3"/>
    <x v="0"/>
  </r>
  <r>
    <x v="0"/>
    <x v="0"/>
    <n v="2239317398"/>
    <x v="6"/>
    <n v="3000"/>
    <x v="2"/>
    <x v="0"/>
    <x v="23"/>
    <x v="6"/>
    <x v="0"/>
    <x v="0"/>
    <x v="5"/>
    <x v="0"/>
  </r>
  <r>
    <x v="0"/>
    <x v="0"/>
    <n v="2239317399"/>
    <x v="7"/>
    <n v="3000"/>
    <x v="2"/>
    <x v="0"/>
    <x v="23"/>
    <x v="7"/>
    <x v="0"/>
    <x v="0"/>
    <x v="1"/>
    <x v="0"/>
  </r>
  <r>
    <x v="0"/>
    <x v="0"/>
    <n v="2239317400"/>
    <x v="4"/>
    <n v="5300"/>
    <x v="2"/>
    <x v="0"/>
    <x v="23"/>
    <x v="4"/>
    <x v="0"/>
    <x v="0"/>
    <x v="4"/>
    <x v="0"/>
  </r>
  <r>
    <x v="0"/>
    <x v="0"/>
    <n v="2239317401"/>
    <x v="5"/>
    <n v="-5000"/>
    <x v="2"/>
    <x v="0"/>
    <x v="23"/>
    <x v="5"/>
    <x v="0"/>
    <x v="0"/>
    <x v="5"/>
    <x v="0"/>
  </r>
  <r>
    <x v="0"/>
    <x v="0"/>
    <n v="2239317401"/>
    <x v="4"/>
    <n v="10300"/>
    <x v="2"/>
    <x v="0"/>
    <x v="23"/>
    <x v="4"/>
    <x v="0"/>
    <x v="0"/>
    <x v="4"/>
    <x v="0"/>
  </r>
  <r>
    <x v="0"/>
    <x v="0"/>
    <n v="2239317402"/>
    <x v="1"/>
    <n v="900"/>
    <x v="2"/>
    <x v="0"/>
    <x v="23"/>
    <x v="1"/>
    <x v="0"/>
    <x v="0"/>
    <x v="1"/>
    <x v="0"/>
  </r>
  <r>
    <x v="0"/>
    <x v="0"/>
    <n v="2239317403"/>
    <x v="6"/>
    <n v="2000"/>
    <x v="2"/>
    <x v="0"/>
    <x v="23"/>
    <x v="6"/>
    <x v="0"/>
    <x v="0"/>
    <x v="5"/>
    <x v="0"/>
  </r>
  <r>
    <x v="0"/>
    <x v="0"/>
    <n v="2239317404"/>
    <x v="6"/>
    <n v="4000"/>
    <x v="2"/>
    <x v="0"/>
    <x v="23"/>
    <x v="6"/>
    <x v="0"/>
    <x v="0"/>
    <x v="5"/>
    <x v="0"/>
  </r>
  <r>
    <x v="0"/>
    <x v="0"/>
    <n v="2239317405"/>
    <x v="6"/>
    <n v="2000"/>
    <x v="2"/>
    <x v="0"/>
    <x v="23"/>
    <x v="6"/>
    <x v="0"/>
    <x v="0"/>
    <x v="5"/>
    <x v="0"/>
  </r>
  <r>
    <x v="0"/>
    <x v="0"/>
    <n v="2239317406"/>
    <x v="6"/>
    <n v="8000"/>
    <x v="2"/>
    <x v="0"/>
    <x v="23"/>
    <x v="6"/>
    <x v="0"/>
    <x v="0"/>
    <x v="5"/>
    <x v="0"/>
  </r>
  <r>
    <x v="0"/>
    <x v="0"/>
    <n v="2239317407"/>
    <x v="1"/>
    <n v="1950"/>
    <x v="2"/>
    <x v="0"/>
    <x v="23"/>
    <x v="1"/>
    <x v="0"/>
    <x v="0"/>
    <x v="1"/>
    <x v="0"/>
  </r>
  <r>
    <x v="0"/>
    <x v="0"/>
    <n v="2239317408"/>
    <x v="1"/>
    <n v="5550"/>
    <x v="2"/>
    <x v="0"/>
    <x v="23"/>
    <x v="1"/>
    <x v="0"/>
    <x v="0"/>
    <x v="1"/>
    <x v="0"/>
  </r>
  <r>
    <x v="0"/>
    <x v="0"/>
    <n v="2239317409"/>
    <x v="1"/>
    <n v="1800"/>
    <x v="2"/>
    <x v="0"/>
    <x v="23"/>
    <x v="1"/>
    <x v="0"/>
    <x v="0"/>
    <x v="1"/>
    <x v="0"/>
  </r>
  <r>
    <x v="0"/>
    <x v="0"/>
    <n v="2239317410"/>
    <x v="5"/>
    <n v="-100"/>
    <x v="2"/>
    <x v="0"/>
    <x v="23"/>
    <x v="5"/>
    <x v="0"/>
    <x v="0"/>
    <x v="5"/>
    <x v="0"/>
  </r>
  <r>
    <x v="0"/>
    <x v="0"/>
    <n v="2239317410"/>
    <x v="6"/>
    <n v="20000"/>
    <x v="2"/>
    <x v="0"/>
    <x v="23"/>
    <x v="6"/>
    <x v="0"/>
    <x v="0"/>
    <x v="5"/>
    <x v="0"/>
  </r>
  <r>
    <x v="0"/>
    <x v="0"/>
    <n v="2239317411"/>
    <x v="1"/>
    <n v="2250"/>
    <x v="2"/>
    <x v="0"/>
    <x v="23"/>
    <x v="1"/>
    <x v="0"/>
    <x v="0"/>
    <x v="1"/>
    <x v="0"/>
  </r>
  <r>
    <x v="0"/>
    <x v="0"/>
    <n v="2239317412"/>
    <x v="2"/>
    <n v="2000"/>
    <x v="2"/>
    <x v="0"/>
    <x v="23"/>
    <x v="2"/>
    <x v="0"/>
    <x v="0"/>
    <x v="2"/>
    <x v="0"/>
  </r>
  <r>
    <x v="0"/>
    <x v="0"/>
    <n v="2239317413"/>
    <x v="1"/>
    <n v="5250"/>
    <x v="2"/>
    <x v="0"/>
    <x v="23"/>
    <x v="1"/>
    <x v="0"/>
    <x v="0"/>
    <x v="1"/>
    <x v="0"/>
  </r>
  <r>
    <x v="0"/>
    <x v="0"/>
    <n v="2239317415"/>
    <x v="5"/>
    <n v="-7000"/>
    <x v="2"/>
    <x v="0"/>
    <x v="23"/>
    <x v="5"/>
    <x v="0"/>
    <x v="0"/>
    <x v="5"/>
    <x v="0"/>
  </r>
  <r>
    <x v="0"/>
    <x v="0"/>
    <n v="2239317415"/>
    <x v="6"/>
    <n v="10000"/>
    <x v="2"/>
    <x v="0"/>
    <x v="23"/>
    <x v="6"/>
    <x v="0"/>
    <x v="0"/>
    <x v="5"/>
    <x v="0"/>
  </r>
  <r>
    <x v="0"/>
    <x v="0"/>
    <n v="2239317416"/>
    <x v="1"/>
    <n v="6300"/>
    <x v="2"/>
    <x v="0"/>
    <x v="23"/>
    <x v="1"/>
    <x v="0"/>
    <x v="0"/>
    <x v="1"/>
    <x v="0"/>
  </r>
  <r>
    <x v="0"/>
    <x v="0"/>
    <n v="2239317417"/>
    <x v="1"/>
    <n v="900"/>
    <x v="2"/>
    <x v="0"/>
    <x v="23"/>
    <x v="1"/>
    <x v="0"/>
    <x v="0"/>
    <x v="1"/>
    <x v="0"/>
  </r>
  <r>
    <x v="0"/>
    <x v="0"/>
    <n v="2239317418"/>
    <x v="2"/>
    <n v="2200"/>
    <x v="2"/>
    <x v="0"/>
    <x v="23"/>
    <x v="2"/>
    <x v="0"/>
    <x v="0"/>
    <x v="2"/>
    <x v="0"/>
  </r>
  <r>
    <x v="0"/>
    <x v="0"/>
    <n v="2239317419"/>
    <x v="2"/>
    <n v="4000"/>
    <x v="2"/>
    <x v="0"/>
    <x v="23"/>
    <x v="2"/>
    <x v="0"/>
    <x v="0"/>
    <x v="2"/>
    <x v="0"/>
  </r>
  <r>
    <x v="0"/>
    <x v="0"/>
    <n v="2239317420"/>
    <x v="2"/>
    <n v="4400"/>
    <x v="2"/>
    <x v="0"/>
    <x v="23"/>
    <x v="2"/>
    <x v="0"/>
    <x v="0"/>
    <x v="2"/>
    <x v="0"/>
  </r>
  <r>
    <x v="0"/>
    <x v="0"/>
    <n v="2239317422"/>
    <x v="6"/>
    <n v="2000"/>
    <x v="2"/>
    <x v="0"/>
    <x v="23"/>
    <x v="6"/>
    <x v="0"/>
    <x v="0"/>
    <x v="5"/>
    <x v="0"/>
  </r>
  <r>
    <x v="0"/>
    <x v="0"/>
    <n v="2239317423"/>
    <x v="3"/>
    <n v="6600"/>
    <x v="2"/>
    <x v="0"/>
    <x v="23"/>
    <x v="3"/>
    <x v="0"/>
    <x v="0"/>
    <x v="3"/>
    <x v="0"/>
  </r>
  <r>
    <x v="0"/>
    <x v="0"/>
    <n v="2239317424"/>
    <x v="6"/>
    <n v="3000"/>
    <x v="2"/>
    <x v="0"/>
    <x v="23"/>
    <x v="6"/>
    <x v="0"/>
    <x v="0"/>
    <x v="5"/>
    <x v="0"/>
  </r>
  <r>
    <x v="0"/>
    <x v="0"/>
    <n v="2239317426"/>
    <x v="6"/>
    <n v="3000"/>
    <x v="2"/>
    <x v="0"/>
    <x v="23"/>
    <x v="6"/>
    <x v="0"/>
    <x v="0"/>
    <x v="5"/>
    <x v="0"/>
  </r>
  <r>
    <x v="0"/>
    <x v="0"/>
    <n v="2239317427"/>
    <x v="5"/>
    <n v="-7000"/>
    <x v="2"/>
    <x v="0"/>
    <x v="23"/>
    <x v="5"/>
    <x v="0"/>
    <x v="0"/>
    <x v="5"/>
    <x v="0"/>
  </r>
  <r>
    <x v="0"/>
    <x v="0"/>
    <n v="2239317427"/>
    <x v="6"/>
    <n v="10500"/>
    <x v="2"/>
    <x v="0"/>
    <x v="23"/>
    <x v="6"/>
    <x v="0"/>
    <x v="0"/>
    <x v="5"/>
    <x v="0"/>
  </r>
  <r>
    <x v="0"/>
    <x v="0"/>
    <n v="2239317428"/>
    <x v="2"/>
    <n v="12100"/>
    <x v="2"/>
    <x v="0"/>
    <x v="23"/>
    <x v="2"/>
    <x v="0"/>
    <x v="0"/>
    <x v="2"/>
    <x v="0"/>
  </r>
  <r>
    <x v="0"/>
    <x v="0"/>
    <n v="2239317429"/>
    <x v="1"/>
    <n v="24950"/>
    <x v="2"/>
    <x v="0"/>
    <x v="23"/>
    <x v="1"/>
    <x v="0"/>
    <x v="0"/>
    <x v="1"/>
    <x v="0"/>
  </r>
  <r>
    <x v="0"/>
    <x v="0"/>
    <n v="2239317430"/>
    <x v="1"/>
    <n v="1140"/>
    <x v="2"/>
    <x v="0"/>
    <x v="23"/>
    <x v="1"/>
    <x v="0"/>
    <x v="0"/>
    <x v="1"/>
    <x v="0"/>
  </r>
  <r>
    <x v="0"/>
    <x v="0"/>
    <n v="2239317431"/>
    <x v="1"/>
    <n v="4170"/>
    <x v="2"/>
    <x v="0"/>
    <x v="23"/>
    <x v="1"/>
    <x v="0"/>
    <x v="0"/>
    <x v="1"/>
    <x v="0"/>
  </r>
  <r>
    <x v="0"/>
    <x v="0"/>
    <n v="2239317432"/>
    <x v="1"/>
    <n v="6300"/>
    <x v="2"/>
    <x v="0"/>
    <x v="23"/>
    <x v="1"/>
    <x v="0"/>
    <x v="0"/>
    <x v="1"/>
    <x v="0"/>
  </r>
  <r>
    <x v="0"/>
    <x v="0"/>
    <n v="2239317433"/>
    <x v="5"/>
    <n v="-3100"/>
    <x v="2"/>
    <x v="0"/>
    <x v="23"/>
    <x v="5"/>
    <x v="0"/>
    <x v="0"/>
    <x v="5"/>
    <x v="0"/>
  </r>
  <r>
    <x v="0"/>
    <x v="0"/>
    <n v="2239317433"/>
    <x v="6"/>
    <n v="25000"/>
    <x v="2"/>
    <x v="0"/>
    <x v="23"/>
    <x v="6"/>
    <x v="0"/>
    <x v="0"/>
    <x v="5"/>
    <x v="0"/>
  </r>
  <r>
    <x v="0"/>
    <x v="0"/>
    <n v="2239317434"/>
    <x v="1"/>
    <n v="7000"/>
    <x v="2"/>
    <x v="0"/>
    <x v="23"/>
    <x v="1"/>
    <x v="0"/>
    <x v="0"/>
    <x v="1"/>
    <x v="0"/>
  </r>
  <r>
    <x v="0"/>
    <x v="0"/>
    <n v="2239317435"/>
    <x v="1"/>
    <n v="26150"/>
    <x v="2"/>
    <x v="0"/>
    <x v="23"/>
    <x v="1"/>
    <x v="0"/>
    <x v="0"/>
    <x v="1"/>
    <x v="0"/>
  </r>
  <r>
    <x v="0"/>
    <x v="0"/>
    <n v="2239317436"/>
    <x v="5"/>
    <n v="-500"/>
    <x v="2"/>
    <x v="0"/>
    <x v="23"/>
    <x v="5"/>
    <x v="0"/>
    <x v="0"/>
    <x v="5"/>
    <x v="0"/>
  </r>
  <r>
    <x v="0"/>
    <x v="0"/>
    <n v="2239317436"/>
    <x v="6"/>
    <n v="7000"/>
    <x v="2"/>
    <x v="0"/>
    <x v="23"/>
    <x v="6"/>
    <x v="0"/>
    <x v="0"/>
    <x v="5"/>
    <x v="0"/>
  </r>
  <r>
    <x v="0"/>
    <x v="0"/>
    <n v="2239317437"/>
    <x v="1"/>
    <n v="6300"/>
    <x v="2"/>
    <x v="0"/>
    <x v="23"/>
    <x v="1"/>
    <x v="0"/>
    <x v="0"/>
    <x v="1"/>
    <x v="0"/>
  </r>
  <r>
    <x v="0"/>
    <x v="0"/>
    <n v="2239317438"/>
    <x v="5"/>
    <n v="-400"/>
    <x v="2"/>
    <x v="0"/>
    <x v="23"/>
    <x v="5"/>
    <x v="0"/>
    <x v="0"/>
    <x v="5"/>
    <x v="0"/>
  </r>
  <r>
    <x v="0"/>
    <x v="0"/>
    <n v="2239317438"/>
    <x v="4"/>
    <n v="6000"/>
    <x v="2"/>
    <x v="0"/>
    <x v="23"/>
    <x v="4"/>
    <x v="0"/>
    <x v="0"/>
    <x v="4"/>
    <x v="0"/>
  </r>
  <r>
    <x v="0"/>
    <x v="0"/>
    <n v="2239317439"/>
    <x v="5"/>
    <n v="-2200"/>
    <x v="2"/>
    <x v="0"/>
    <x v="23"/>
    <x v="5"/>
    <x v="0"/>
    <x v="0"/>
    <x v="5"/>
    <x v="0"/>
  </r>
  <r>
    <x v="0"/>
    <x v="0"/>
    <n v="2239317439"/>
    <x v="6"/>
    <n v="30000"/>
    <x v="2"/>
    <x v="0"/>
    <x v="23"/>
    <x v="6"/>
    <x v="0"/>
    <x v="0"/>
    <x v="5"/>
    <x v="0"/>
  </r>
  <r>
    <x v="0"/>
    <x v="0"/>
    <n v="2239317440"/>
    <x v="4"/>
    <n v="4400"/>
    <x v="2"/>
    <x v="0"/>
    <x v="23"/>
    <x v="4"/>
    <x v="0"/>
    <x v="0"/>
    <x v="4"/>
    <x v="0"/>
  </r>
  <r>
    <x v="0"/>
    <x v="0"/>
    <n v="2239317441"/>
    <x v="5"/>
    <n v="-600"/>
    <x v="2"/>
    <x v="0"/>
    <x v="23"/>
    <x v="5"/>
    <x v="0"/>
    <x v="0"/>
    <x v="5"/>
    <x v="0"/>
  </r>
  <r>
    <x v="0"/>
    <x v="0"/>
    <n v="2239317441"/>
    <x v="6"/>
    <n v="3000"/>
    <x v="2"/>
    <x v="0"/>
    <x v="23"/>
    <x v="6"/>
    <x v="0"/>
    <x v="0"/>
    <x v="5"/>
    <x v="0"/>
  </r>
  <r>
    <x v="0"/>
    <x v="0"/>
    <n v="2239317443"/>
    <x v="1"/>
    <n v="1350"/>
    <x v="2"/>
    <x v="0"/>
    <x v="23"/>
    <x v="1"/>
    <x v="0"/>
    <x v="0"/>
    <x v="1"/>
    <x v="0"/>
  </r>
  <r>
    <x v="0"/>
    <x v="0"/>
    <n v="2239317444"/>
    <x v="5"/>
    <n v="-5400"/>
    <x v="2"/>
    <x v="0"/>
    <x v="23"/>
    <x v="5"/>
    <x v="0"/>
    <x v="0"/>
    <x v="5"/>
    <x v="0"/>
  </r>
  <r>
    <x v="0"/>
    <x v="0"/>
    <n v="2239317444"/>
    <x v="4"/>
    <n v="10000"/>
    <x v="2"/>
    <x v="0"/>
    <x v="23"/>
    <x v="4"/>
    <x v="0"/>
    <x v="0"/>
    <x v="4"/>
    <x v="0"/>
  </r>
  <r>
    <x v="0"/>
    <x v="0"/>
    <n v="2239317445"/>
    <x v="5"/>
    <n v="-15000"/>
    <x v="2"/>
    <x v="0"/>
    <x v="23"/>
    <x v="5"/>
    <x v="0"/>
    <x v="0"/>
    <x v="5"/>
    <x v="0"/>
  </r>
  <r>
    <x v="0"/>
    <x v="0"/>
    <n v="2239317445"/>
    <x v="4"/>
    <n v="20600"/>
    <x v="2"/>
    <x v="0"/>
    <x v="23"/>
    <x v="4"/>
    <x v="0"/>
    <x v="0"/>
    <x v="4"/>
    <x v="0"/>
  </r>
  <r>
    <x v="0"/>
    <x v="0"/>
    <n v="2239317446"/>
    <x v="1"/>
    <n v="2280"/>
    <x v="2"/>
    <x v="0"/>
    <x v="23"/>
    <x v="1"/>
    <x v="0"/>
    <x v="0"/>
    <x v="1"/>
    <x v="0"/>
  </r>
  <r>
    <x v="0"/>
    <x v="0"/>
    <n v="2239317447"/>
    <x v="1"/>
    <n v="23300"/>
    <x v="2"/>
    <x v="0"/>
    <x v="23"/>
    <x v="1"/>
    <x v="0"/>
    <x v="0"/>
    <x v="1"/>
    <x v="0"/>
  </r>
  <r>
    <x v="0"/>
    <x v="0"/>
    <n v="2239317448"/>
    <x v="5"/>
    <n v="-15800"/>
    <x v="2"/>
    <x v="0"/>
    <x v="23"/>
    <x v="5"/>
    <x v="0"/>
    <x v="0"/>
    <x v="5"/>
    <x v="0"/>
  </r>
  <r>
    <x v="0"/>
    <x v="0"/>
    <n v="2239317448"/>
    <x v="6"/>
    <n v="20000"/>
    <x v="2"/>
    <x v="0"/>
    <x v="23"/>
    <x v="6"/>
    <x v="0"/>
    <x v="0"/>
    <x v="5"/>
    <x v="0"/>
  </r>
  <r>
    <x v="0"/>
    <x v="0"/>
    <n v="2239317449"/>
    <x v="5"/>
    <n v="-2000"/>
    <x v="2"/>
    <x v="0"/>
    <x v="23"/>
    <x v="5"/>
    <x v="0"/>
    <x v="0"/>
    <x v="5"/>
    <x v="0"/>
  </r>
  <r>
    <x v="0"/>
    <x v="0"/>
    <n v="2239317449"/>
    <x v="6"/>
    <n v="5000"/>
    <x v="2"/>
    <x v="0"/>
    <x v="23"/>
    <x v="6"/>
    <x v="0"/>
    <x v="0"/>
    <x v="5"/>
    <x v="0"/>
  </r>
  <r>
    <x v="0"/>
    <x v="0"/>
    <n v="2239317450"/>
    <x v="2"/>
    <n v="6600"/>
    <x v="2"/>
    <x v="0"/>
    <x v="23"/>
    <x v="2"/>
    <x v="0"/>
    <x v="0"/>
    <x v="2"/>
    <x v="0"/>
  </r>
  <r>
    <x v="0"/>
    <x v="0"/>
    <n v="2239317451"/>
    <x v="5"/>
    <n v="-18500"/>
    <x v="2"/>
    <x v="0"/>
    <x v="23"/>
    <x v="5"/>
    <x v="0"/>
    <x v="0"/>
    <x v="5"/>
    <x v="0"/>
  </r>
  <r>
    <x v="0"/>
    <x v="0"/>
    <n v="2239317451"/>
    <x v="6"/>
    <n v="25000"/>
    <x v="2"/>
    <x v="0"/>
    <x v="23"/>
    <x v="6"/>
    <x v="0"/>
    <x v="0"/>
    <x v="5"/>
    <x v="0"/>
  </r>
  <r>
    <x v="0"/>
    <x v="0"/>
    <n v="2239317452"/>
    <x v="2"/>
    <n v="6500"/>
    <x v="2"/>
    <x v="0"/>
    <x v="23"/>
    <x v="2"/>
    <x v="0"/>
    <x v="0"/>
    <x v="2"/>
    <x v="0"/>
  </r>
  <r>
    <x v="0"/>
    <x v="0"/>
    <n v="2239317453"/>
    <x v="1"/>
    <n v="6150"/>
    <x v="2"/>
    <x v="0"/>
    <x v="23"/>
    <x v="1"/>
    <x v="0"/>
    <x v="0"/>
    <x v="1"/>
    <x v="0"/>
  </r>
  <r>
    <x v="0"/>
    <x v="0"/>
    <n v="2239317454"/>
    <x v="2"/>
    <n v="3000"/>
    <x v="2"/>
    <x v="0"/>
    <x v="23"/>
    <x v="2"/>
    <x v="0"/>
    <x v="0"/>
    <x v="2"/>
    <x v="0"/>
  </r>
  <r>
    <x v="0"/>
    <x v="0"/>
    <n v="2239317455"/>
    <x v="1"/>
    <n v="900"/>
    <x v="2"/>
    <x v="0"/>
    <x v="23"/>
    <x v="1"/>
    <x v="0"/>
    <x v="0"/>
    <x v="1"/>
    <x v="0"/>
  </r>
  <r>
    <x v="0"/>
    <x v="0"/>
    <n v="2239317457"/>
    <x v="5"/>
    <n v="-5600"/>
    <x v="2"/>
    <x v="0"/>
    <x v="23"/>
    <x v="5"/>
    <x v="0"/>
    <x v="0"/>
    <x v="5"/>
    <x v="0"/>
  </r>
  <r>
    <x v="0"/>
    <x v="0"/>
    <n v="2239317457"/>
    <x v="4"/>
    <n v="10000"/>
    <x v="2"/>
    <x v="0"/>
    <x v="23"/>
    <x v="4"/>
    <x v="0"/>
    <x v="0"/>
    <x v="4"/>
    <x v="0"/>
  </r>
  <r>
    <x v="0"/>
    <x v="0"/>
    <n v="2239317458"/>
    <x v="5"/>
    <n v="-400"/>
    <x v="2"/>
    <x v="0"/>
    <x v="23"/>
    <x v="5"/>
    <x v="0"/>
    <x v="0"/>
    <x v="5"/>
    <x v="0"/>
  </r>
  <r>
    <x v="0"/>
    <x v="0"/>
    <n v="2239317458"/>
    <x v="4"/>
    <n v="5000"/>
    <x v="2"/>
    <x v="0"/>
    <x v="23"/>
    <x v="4"/>
    <x v="0"/>
    <x v="0"/>
    <x v="4"/>
    <x v="0"/>
  </r>
  <r>
    <x v="0"/>
    <x v="0"/>
    <n v="2239317459"/>
    <x v="5"/>
    <n v="-13500"/>
    <x v="2"/>
    <x v="0"/>
    <x v="23"/>
    <x v="5"/>
    <x v="0"/>
    <x v="0"/>
    <x v="5"/>
    <x v="0"/>
  </r>
  <r>
    <x v="0"/>
    <x v="0"/>
    <n v="2239317459"/>
    <x v="6"/>
    <n v="20000"/>
    <x v="2"/>
    <x v="0"/>
    <x v="23"/>
    <x v="6"/>
    <x v="0"/>
    <x v="0"/>
    <x v="5"/>
    <x v="0"/>
  </r>
  <r>
    <x v="0"/>
    <x v="0"/>
    <n v="2239317460"/>
    <x v="3"/>
    <n v="18830"/>
    <x v="2"/>
    <x v="0"/>
    <x v="23"/>
    <x v="3"/>
    <x v="0"/>
    <x v="0"/>
    <x v="3"/>
    <x v="0"/>
  </r>
  <r>
    <x v="0"/>
    <x v="0"/>
    <n v="2239317461"/>
    <x v="5"/>
    <n v="-3500"/>
    <x v="2"/>
    <x v="0"/>
    <x v="23"/>
    <x v="5"/>
    <x v="0"/>
    <x v="0"/>
    <x v="5"/>
    <x v="0"/>
  </r>
  <r>
    <x v="0"/>
    <x v="0"/>
    <n v="2239317461"/>
    <x v="6"/>
    <n v="10000"/>
    <x v="2"/>
    <x v="0"/>
    <x v="23"/>
    <x v="6"/>
    <x v="0"/>
    <x v="0"/>
    <x v="5"/>
    <x v="0"/>
  </r>
  <r>
    <x v="0"/>
    <x v="0"/>
    <n v="2239317462"/>
    <x v="3"/>
    <n v="41085"/>
    <x v="2"/>
    <x v="0"/>
    <x v="23"/>
    <x v="3"/>
    <x v="0"/>
    <x v="0"/>
    <x v="3"/>
    <x v="0"/>
  </r>
  <r>
    <x v="0"/>
    <x v="0"/>
    <n v="2239317464"/>
    <x v="3"/>
    <n v="39930"/>
    <x v="2"/>
    <x v="0"/>
    <x v="23"/>
    <x v="3"/>
    <x v="0"/>
    <x v="0"/>
    <x v="3"/>
    <x v="0"/>
  </r>
  <r>
    <x v="0"/>
    <x v="0"/>
    <n v="2239317465"/>
    <x v="5"/>
    <n v="-18500"/>
    <x v="2"/>
    <x v="0"/>
    <x v="23"/>
    <x v="5"/>
    <x v="0"/>
    <x v="0"/>
    <x v="5"/>
    <x v="0"/>
  </r>
  <r>
    <x v="0"/>
    <x v="0"/>
    <n v="2239317465"/>
    <x v="6"/>
    <n v="25000"/>
    <x v="2"/>
    <x v="0"/>
    <x v="23"/>
    <x v="6"/>
    <x v="0"/>
    <x v="0"/>
    <x v="5"/>
    <x v="0"/>
  </r>
  <r>
    <x v="0"/>
    <x v="0"/>
    <n v="2239317466"/>
    <x v="5"/>
    <n v="-2000"/>
    <x v="2"/>
    <x v="0"/>
    <x v="23"/>
    <x v="5"/>
    <x v="0"/>
    <x v="0"/>
    <x v="5"/>
    <x v="0"/>
  </r>
  <r>
    <x v="0"/>
    <x v="0"/>
    <n v="2239317466"/>
    <x v="6"/>
    <n v="5000"/>
    <x v="2"/>
    <x v="0"/>
    <x v="23"/>
    <x v="6"/>
    <x v="0"/>
    <x v="0"/>
    <x v="5"/>
    <x v="0"/>
  </r>
  <r>
    <x v="0"/>
    <x v="0"/>
    <n v="2239317467"/>
    <x v="5"/>
    <n v="-2280"/>
    <x v="2"/>
    <x v="0"/>
    <x v="23"/>
    <x v="5"/>
    <x v="0"/>
    <x v="0"/>
    <x v="5"/>
    <x v="0"/>
  </r>
  <r>
    <x v="0"/>
    <x v="0"/>
    <n v="2239317467"/>
    <x v="6"/>
    <n v="15000"/>
    <x v="2"/>
    <x v="0"/>
    <x v="23"/>
    <x v="6"/>
    <x v="0"/>
    <x v="0"/>
    <x v="5"/>
    <x v="0"/>
  </r>
  <r>
    <x v="0"/>
    <x v="0"/>
    <n v="2239317469"/>
    <x v="5"/>
    <n v="-4400"/>
    <x v="2"/>
    <x v="0"/>
    <x v="23"/>
    <x v="5"/>
    <x v="0"/>
    <x v="0"/>
    <x v="5"/>
    <x v="0"/>
  </r>
  <r>
    <x v="0"/>
    <x v="0"/>
    <n v="2239317469"/>
    <x v="4"/>
    <n v="10000"/>
    <x v="2"/>
    <x v="0"/>
    <x v="23"/>
    <x v="4"/>
    <x v="0"/>
    <x v="0"/>
    <x v="4"/>
    <x v="0"/>
  </r>
  <r>
    <x v="0"/>
    <x v="0"/>
    <n v="2239317470"/>
    <x v="6"/>
    <n v="3000"/>
    <x v="2"/>
    <x v="0"/>
    <x v="23"/>
    <x v="6"/>
    <x v="0"/>
    <x v="0"/>
    <x v="5"/>
    <x v="0"/>
  </r>
  <r>
    <x v="0"/>
    <x v="0"/>
    <n v="2239317471"/>
    <x v="2"/>
    <n v="10450"/>
    <x v="2"/>
    <x v="0"/>
    <x v="23"/>
    <x v="2"/>
    <x v="0"/>
    <x v="0"/>
    <x v="2"/>
    <x v="0"/>
  </r>
  <r>
    <x v="0"/>
    <x v="0"/>
    <n v="2239317473"/>
    <x v="5"/>
    <n v="-600"/>
    <x v="2"/>
    <x v="0"/>
    <x v="23"/>
    <x v="5"/>
    <x v="0"/>
    <x v="0"/>
    <x v="5"/>
    <x v="0"/>
  </r>
  <r>
    <x v="0"/>
    <x v="0"/>
    <n v="2239317473"/>
    <x v="4"/>
    <n v="5000"/>
    <x v="2"/>
    <x v="0"/>
    <x v="23"/>
    <x v="4"/>
    <x v="0"/>
    <x v="0"/>
    <x v="4"/>
    <x v="0"/>
  </r>
  <r>
    <x v="0"/>
    <x v="0"/>
    <n v="2239317474"/>
    <x v="5"/>
    <n v="-4400"/>
    <x v="2"/>
    <x v="0"/>
    <x v="23"/>
    <x v="5"/>
    <x v="0"/>
    <x v="0"/>
    <x v="5"/>
    <x v="0"/>
  </r>
  <r>
    <x v="0"/>
    <x v="0"/>
    <n v="2239317474"/>
    <x v="4"/>
    <n v="10000"/>
    <x v="2"/>
    <x v="0"/>
    <x v="23"/>
    <x v="4"/>
    <x v="0"/>
    <x v="0"/>
    <x v="4"/>
    <x v="0"/>
  </r>
  <r>
    <x v="0"/>
    <x v="0"/>
    <n v="2239317475"/>
    <x v="5"/>
    <n v="-7000"/>
    <x v="2"/>
    <x v="0"/>
    <x v="23"/>
    <x v="5"/>
    <x v="0"/>
    <x v="0"/>
    <x v="5"/>
    <x v="0"/>
  </r>
  <r>
    <x v="0"/>
    <x v="0"/>
    <n v="2239317475"/>
    <x v="6"/>
    <n v="10000"/>
    <x v="2"/>
    <x v="0"/>
    <x v="23"/>
    <x v="6"/>
    <x v="0"/>
    <x v="0"/>
    <x v="5"/>
    <x v="0"/>
  </r>
  <r>
    <x v="0"/>
    <x v="0"/>
    <n v="2239317476"/>
    <x v="5"/>
    <n v="-7000"/>
    <x v="2"/>
    <x v="0"/>
    <x v="23"/>
    <x v="5"/>
    <x v="0"/>
    <x v="0"/>
    <x v="5"/>
    <x v="0"/>
  </r>
  <r>
    <x v="0"/>
    <x v="0"/>
    <n v="2239317476"/>
    <x v="6"/>
    <n v="20000"/>
    <x v="2"/>
    <x v="0"/>
    <x v="23"/>
    <x v="6"/>
    <x v="0"/>
    <x v="0"/>
    <x v="5"/>
    <x v="0"/>
  </r>
  <r>
    <x v="0"/>
    <x v="0"/>
    <n v="2239317478"/>
    <x v="5"/>
    <n v="-11000"/>
    <x v="2"/>
    <x v="0"/>
    <x v="23"/>
    <x v="5"/>
    <x v="0"/>
    <x v="0"/>
    <x v="5"/>
    <x v="0"/>
  </r>
  <r>
    <x v="0"/>
    <x v="0"/>
    <n v="2239317478"/>
    <x v="6"/>
    <n v="25000"/>
    <x v="2"/>
    <x v="0"/>
    <x v="23"/>
    <x v="6"/>
    <x v="0"/>
    <x v="0"/>
    <x v="5"/>
    <x v="0"/>
  </r>
  <r>
    <x v="0"/>
    <x v="0"/>
    <n v="2239317480"/>
    <x v="1"/>
    <n v="26310"/>
    <x v="2"/>
    <x v="0"/>
    <x v="23"/>
    <x v="1"/>
    <x v="0"/>
    <x v="0"/>
    <x v="1"/>
    <x v="0"/>
  </r>
  <r>
    <x v="0"/>
    <x v="0"/>
    <n v="2239317481"/>
    <x v="1"/>
    <n v="29020"/>
    <x v="2"/>
    <x v="0"/>
    <x v="23"/>
    <x v="1"/>
    <x v="0"/>
    <x v="0"/>
    <x v="1"/>
    <x v="0"/>
  </r>
  <r>
    <x v="0"/>
    <x v="0"/>
    <n v="2239317482"/>
    <x v="1"/>
    <n v="2700"/>
    <x v="2"/>
    <x v="0"/>
    <x v="23"/>
    <x v="1"/>
    <x v="0"/>
    <x v="0"/>
    <x v="1"/>
    <x v="0"/>
  </r>
  <r>
    <x v="0"/>
    <x v="0"/>
    <n v="2239317483"/>
    <x v="1"/>
    <n v="9450"/>
    <x v="2"/>
    <x v="0"/>
    <x v="23"/>
    <x v="1"/>
    <x v="0"/>
    <x v="0"/>
    <x v="1"/>
    <x v="0"/>
  </r>
  <r>
    <x v="0"/>
    <x v="0"/>
    <n v="2239317484"/>
    <x v="1"/>
    <n v="34390"/>
    <x v="2"/>
    <x v="0"/>
    <x v="23"/>
    <x v="1"/>
    <x v="0"/>
    <x v="0"/>
    <x v="1"/>
    <x v="0"/>
  </r>
  <r>
    <x v="0"/>
    <x v="0"/>
    <n v="2239317485"/>
    <x v="1"/>
    <n v="4500"/>
    <x v="2"/>
    <x v="0"/>
    <x v="23"/>
    <x v="1"/>
    <x v="0"/>
    <x v="0"/>
    <x v="1"/>
    <x v="0"/>
  </r>
  <r>
    <x v="0"/>
    <x v="0"/>
    <n v="2239317486"/>
    <x v="1"/>
    <n v="1800"/>
    <x v="2"/>
    <x v="0"/>
    <x v="23"/>
    <x v="1"/>
    <x v="0"/>
    <x v="0"/>
    <x v="1"/>
    <x v="0"/>
  </r>
  <r>
    <x v="0"/>
    <x v="0"/>
    <n v="2239317487"/>
    <x v="1"/>
    <n v="10620"/>
    <x v="2"/>
    <x v="0"/>
    <x v="23"/>
    <x v="1"/>
    <x v="0"/>
    <x v="0"/>
    <x v="1"/>
    <x v="0"/>
  </r>
  <r>
    <x v="0"/>
    <x v="0"/>
    <n v="2239317488"/>
    <x v="1"/>
    <n v="5400"/>
    <x v="2"/>
    <x v="0"/>
    <x v="23"/>
    <x v="1"/>
    <x v="0"/>
    <x v="0"/>
    <x v="1"/>
    <x v="0"/>
  </r>
  <r>
    <x v="0"/>
    <x v="0"/>
    <n v="2239317489"/>
    <x v="1"/>
    <n v="900"/>
    <x v="2"/>
    <x v="0"/>
    <x v="23"/>
    <x v="1"/>
    <x v="0"/>
    <x v="0"/>
    <x v="1"/>
    <x v="0"/>
  </r>
  <r>
    <x v="0"/>
    <x v="0"/>
    <n v="2239317490"/>
    <x v="1"/>
    <n v="20970"/>
    <x v="2"/>
    <x v="0"/>
    <x v="23"/>
    <x v="1"/>
    <x v="0"/>
    <x v="0"/>
    <x v="1"/>
    <x v="0"/>
  </r>
  <r>
    <x v="0"/>
    <x v="0"/>
    <n v="2239317491"/>
    <x v="1"/>
    <n v="8400"/>
    <x v="2"/>
    <x v="0"/>
    <x v="23"/>
    <x v="1"/>
    <x v="0"/>
    <x v="0"/>
    <x v="1"/>
    <x v="0"/>
  </r>
  <r>
    <x v="0"/>
    <x v="0"/>
    <n v="2239317492"/>
    <x v="1"/>
    <n v="8820"/>
    <x v="2"/>
    <x v="0"/>
    <x v="23"/>
    <x v="1"/>
    <x v="0"/>
    <x v="0"/>
    <x v="1"/>
    <x v="0"/>
  </r>
  <r>
    <x v="0"/>
    <x v="0"/>
    <n v="2239317493"/>
    <x v="1"/>
    <n v="62200"/>
    <x v="2"/>
    <x v="0"/>
    <x v="23"/>
    <x v="1"/>
    <x v="0"/>
    <x v="0"/>
    <x v="1"/>
    <x v="0"/>
  </r>
  <r>
    <x v="0"/>
    <x v="0"/>
    <n v="2239317494"/>
    <x v="1"/>
    <n v="11790"/>
    <x v="2"/>
    <x v="0"/>
    <x v="23"/>
    <x v="1"/>
    <x v="0"/>
    <x v="0"/>
    <x v="1"/>
    <x v="0"/>
  </r>
  <r>
    <x v="0"/>
    <x v="0"/>
    <n v="2239317495"/>
    <x v="1"/>
    <n v="2250"/>
    <x v="2"/>
    <x v="0"/>
    <x v="23"/>
    <x v="1"/>
    <x v="0"/>
    <x v="0"/>
    <x v="1"/>
    <x v="0"/>
  </r>
  <r>
    <x v="0"/>
    <x v="0"/>
    <n v="2239317496"/>
    <x v="1"/>
    <n v="4500"/>
    <x v="2"/>
    <x v="0"/>
    <x v="23"/>
    <x v="1"/>
    <x v="0"/>
    <x v="0"/>
    <x v="1"/>
    <x v="0"/>
  </r>
  <r>
    <x v="0"/>
    <x v="0"/>
    <n v="2239317497"/>
    <x v="1"/>
    <n v="20840"/>
    <x v="2"/>
    <x v="0"/>
    <x v="23"/>
    <x v="1"/>
    <x v="0"/>
    <x v="0"/>
    <x v="1"/>
    <x v="0"/>
  </r>
  <r>
    <x v="0"/>
    <x v="0"/>
    <n v="2239317498"/>
    <x v="1"/>
    <n v="5400"/>
    <x v="2"/>
    <x v="0"/>
    <x v="23"/>
    <x v="1"/>
    <x v="0"/>
    <x v="0"/>
    <x v="1"/>
    <x v="0"/>
  </r>
  <r>
    <x v="0"/>
    <x v="0"/>
    <n v="2239317499"/>
    <x v="1"/>
    <n v="4500"/>
    <x v="2"/>
    <x v="0"/>
    <x v="23"/>
    <x v="1"/>
    <x v="0"/>
    <x v="0"/>
    <x v="1"/>
    <x v="0"/>
  </r>
  <r>
    <x v="0"/>
    <x v="0"/>
    <n v="2239317500"/>
    <x v="1"/>
    <n v="40800"/>
    <x v="2"/>
    <x v="0"/>
    <x v="23"/>
    <x v="1"/>
    <x v="0"/>
    <x v="0"/>
    <x v="1"/>
    <x v="0"/>
  </r>
  <r>
    <x v="0"/>
    <x v="0"/>
    <n v="2239317501"/>
    <x v="1"/>
    <n v="16000"/>
    <x v="2"/>
    <x v="0"/>
    <x v="23"/>
    <x v="1"/>
    <x v="0"/>
    <x v="0"/>
    <x v="1"/>
    <x v="0"/>
  </r>
  <r>
    <x v="0"/>
    <x v="0"/>
    <n v="2239319651"/>
    <x v="6"/>
    <n v="3000"/>
    <x v="2"/>
    <x v="0"/>
    <x v="21"/>
    <x v="6"/>
    <x v="0"/>
    <x v="0"/>
    <x v="5"/>
    <x v="0"/>
  </r>
  <r>
    <x v="0"/>
    <x v="0"/>
    <n v="2239319653"/>
    <x v="5"/>
    <n v="-150"/>
    <x v="2"/>
    <x v="0"/>
    <x v="21"/>
    <x v="5"/>
    <x v="0"/>
    <x v="0"/>
    <x v="5"/>
    <x v="0"/>
  </r>
  <r>
    <x v="0"/>
    <x v="0"/>
    <n v="2239319653"/>
    <x v="6"/>
    <n v="6000"/>
    <x v="2"/>
    <x v="0"/>
    <x v="21"/>
    <x v="6"/>
    <x v="0"/>
    <x v="0"/>
    <x v="5"/>
    <x v="0"/>
  </r>
  <r>
    <x v="0"/>
    <x v="0"/>
    <n v="2239319653"/>
    <x v="7"/>
    <n v="650"/>
    <x v="2"/>
    <x v="0"/>
    <x v="21"/>
    <x v="7"/>
    <x v="0"/>
    <x v="0"/>
    <x v="1"/>
    <x v="0"/>
  </r>
  <r>
    <x v="0"/>
    <x v="0"/>
    <n v="2239319656"/>
    <x v="2"/>
    <n v="6600"/>
    <x v="2"/>
    <x v="0"/>
    <x v="21"/>
    <x v="2"/>
    <x v="0"/>
    <x v="0"/>
    <x v="2"/>
    <x v="0"/>
  </r>
  <r>
    <x v="0"/>
    <x v="0"/>
    <n v="2239319657"/>
    <x v="6"/>
    <n v="13000"/>
    <x v="2"/>
    <x v="0"/>
    <x v="21"/>
    <x v="6"/>
    <x v="0"/>
    <x v="0"/>
    <x v="5"/>
    <x v="0"/>
  </r>
  <r>
    <x v="0"/>
    <x v="0"/>
    <n v="2239319658"/>
    <x v="5"/>
    <n v="-2600"/>
    <x v="2"/>
    <x v="0"/>
    <x v="21"/>
    <x v="5"/>
    <x v="0"/>
    <x v="0"/>
    <x v="5"/>
    <x v="0"/>
  </r>
  <r>
    <x v="0"/>
    <x v="0"/>
    <n v="2239319658"/>
    <x v="6"/>
    <n v="5000"/>
    <x v="2"/>
    <x v="0"/>
    <x v="21"/>
    <x v="6"/>
    <x v="0"/>
    <x v="0"/>
    <x v="5"/>
    <x v="0"/>
  </r>
  <r>
    <x v="0"/>
    <x v="0"/>
    <n v="2239319658"/>
    <x v="7"/>
    <n v="2400"/>
    <x v="2"/>
    <x v="0"/>
    <x v="21"/>
    <x v="7"/>
    <x v="0"/>
    <x v="0"/>
    <x v="1"/>
    <x v="0"/>
  </r>
  <r>
    <x v="0"/>
    <x v="0"/>
    <n v="2239319659"/>
    <x v="4"/>
    <n v="19700"/>
    <x v="2"/>
    <x v="0"/>
    <x v="21"/>
    <x v="4"/>
    <x v="0"/>
    <x v="0"/>
    <x v="4"/>
    <x v="0"/>
  </r>
  <r>
    <x v="0"/>
    <x v="0"/>
    <n v="2239319660"/>
    <x v="5"/>
    <n v="-5400"/>
    <x v="2"/>
    <x v="0"/>
    <x v="21"/>
    <x v="5"/>
    <x v="0"/>
    <x v="0"/>
    <x v="5"/>
    <x v="0"/>
  </r>
  <r>
    <x v="0"/>
    <x v="0"/>
    <n v="2239319660"/>
    <x v="4"/>
    <n v="10000"/>
    <x v="2"/>
    <x v="0"/>
    <x v="21"/>
    <x v="4"/>
    <x v="0"/>
    <x v="0"/>
    <x v="4"/>
    <x v="0"/>
  </r>
  <r>
    <x v="0"/>
    <x v="0"/>
    <n v="2239319662"/>
    <x v="2"/>
    <n v="1500"/>
    <x v="2"/>
    <x v="0"/>
    <x v="21"/>
    <x v="2"/>
    <x v="0"/>
    <x v="0"/>
    <x v="2"/>
    <x v="0"/>
  </r>
  <r>
    <x v="0"/>
    <x v="0"/>
    <n v="2239319663"/>
    <x v="5"/>
    <n v="-4400"/>
    <x v="2"/>
    <x v="0"/>
    <x v="21"/>
    <x v="5"/>
    <x v="0"/>
    <x v="0"/>
    <x v="5"/>
    <x v="0"/>
  </r>
  <r>
    <x v="0"/>
    <x v="0"/>
    <n v="2239319663"/>
    <x v="4"/>
    <n v="10000"/>
    <x v="2"/>
    <x v="0"/>
    <x v="21"/>
    <x v="4"/>
    <x v="0"/>
    <x v="0"/>
    <x v="4"/>
    <x v="0"/>
  </r>
  <r>
    <x v="0"/>
    <x v="0"/>
    <n v="2239319664"/>
    <x v="2"/>
    <n v="11000"/>
    <x v="2"/>
    <x v="0"/>
    <x v="21"/>
    <x v="2"/>
    <x v="0"/>
    <x v="0"/>
    <x v="2"/>
    <x v="0"/>
  </r>
  <r>
    <x v="0"/>
    <x v="0"/>
    <n v="2239319666"/>
    <x v="2"/>
    <n v="1500"/>
    <x v="2"/>
    <x v="0"/>
    <x v="21"/>
    <x v="2"/>
    <x v="0"/>
    <x v="0"/>
    <x v="2"/>
    <x v="0"/>
  </r>
  <r>
    <x v="0"/>
    <x v="0"/>
    <n v="2239319667"/>
    <x v="5"/>
    <n v="-7600"/>
    <x v="2"/>
    <x v="0"/>
    <x v="21"/>
    <x v="5"/>
    <x v="0"/>
    <x v="0"/>
    <x v="5"/>
    <x v="0"/>
  </r>
  <r>
    <x v="0"/>
    <x v="0"/>
    <n v="2239319667"/>
    <x v="6"/>
    <n v="10000"/>
    <x v="2"/>
    <x v="0"/>
    <x v="21"/>
    <x v="6"/>
    <x v="0"/>
    <x v="0"/>
    <x v="5"/>
    <x v="0"/>
  </r>
  <r>
    <x v="0"/>
    <x v="0"/>
    <n v="2239319667"/>
    <x v="7"/>
    <n v="2400"/>
    <x v="2"/>
    <x v="0"/>
    <x v="21"/>
    <x v="7"/>
    <x v="0"/>
    <x v="0"/>
    <x v="1"/>
    <x v="0"/>
  </r>
  <r>
    <x v="0"/>
    <x v="0"/>
    <n v="2239319668"/>
    <x v="5"/>
    <n v="-5600"/>
    <x v="2"/>
    <x v="0"/>
    <x v="21"/>
    <x v="5"/>
    <x v="0"/>
    <x v="0"/>
    <x v="5"/>
    <x v="0"/>
  </r>
  <r>
    <x v="0"/>
    <x v="0"/>
    <n v="2239319668"/>
    <x v="4"/>
    <n v="10000"/>
    <x v="2"/>
    <x v="0"/>
    <x v="21"/>
    <x v="4"/>
    <x v="0"/>
    <x v="0"/>
    <x v="4"/>
    <x v="0"/>
  </r>
  <r>
    <x v="0"/>
    <x v="0"/>
    <n v="2239319669"/>
    <x v="6"/>
    <n v="2000"/>
    <x v="2"/>
    <x v="0"/>
    <x v="21"/>
    <x v="6"/>
    <x v="0"/>
    <x v="0"/>
    <x v="5"/>
    <x v="0"/>
  </r>
  <r>
    <x v="0"/>
    <x v="0"/>
    <n v="2239319670"/>
    <x v="5"/>
    <n v="-300"/>
    <x v="2"/>
    <x v="0"/>
    <x v="21"/>
    <x v="5"/>
    <x v="0"/>
    <x v="0"/>
    <x v="5"/>
    <x v="0"/>
  </r>
  <r>
    <x v="0"/>
    <x v="0"/>
    <n v="2239319670"/>
    <x v="4"/>
    <n v="11500"/>
    <x v="2"/>
    <x v="0"/>
    <x v="21"/>
    <x v="4"/>
    <x v="0"/>
    <x v="0"/>
    <x v="4"/>
    <x v="0"/>
  </r>
  <r>
    <x v="0"/>
    <x v="0"/>
    <n v="2239319671"/>
    <x v="5"/>
    <n v="-1700"/>
    <x v="2"/>
    <x v="0"/>
    <x v="21"/>
    <x v="5"/>
    <x v="0"/>
    <x v="0"/>
    <x v="5"/>
    <x v="0"/>
  </r>
  <r>
    <x v="0"/>
    <x v="0"/>
    <n v="2239319671"/>
    <x v="4"/>
    <n v="7000"/>
    <x v="2"/>
    <x v="0"/>
    <x v="21"/>
    <x v="4"/>
    <x v="0"/>
    <x v="0"/>
    <x v="4"/>
    <x v="0"/>
  </r>
  <r>
    <x v="0"/>
    <x v="0"/>
    <n v="2239319672"/>
    <x v="2"/>
    <n v="15345"/>
    <x v="2"/>
    <x v="0"/>
    <x v="21"/>
    <x v="2"/>
    <x v="0"/>
    <x v="0"/>
    <x v="2"/>
    <x v="0"/>
  </r>
  <r>
    <x v="0"/>
    <x v="0"/>
    <n v="2239319673"/>
    <x v="5"/>
    <n v="-4250"/>
    <x v="2"/>
    <x v="0"/>
    <x v="21"/>
    <x v="5"/>
    <x v="0"/>
    <x v="0"/>
    <x v="5"/>
    <x v="0"/>
  </r>
  <r>
    <x v="0"/>
    <x v="0"/>
    <n v="2239319673"/>
    <x v="6"/>
    <n v="10000"/>
    <x v="2"/>
    <x v="0"/>
    <x v="21"/>
    <x v="6"/>
    <x v="0"/>
    <x v="0"/>
    <x v="5"/>
    <x v="0"/>
  </r>
  <r>
    <x v="0"/>
    <x v="0"/>
    <n v="2239319675"/>
    <x v="3"/>
    <n v="20240"/>
    <x v="2"/>
    <x v="0"/>
    <x v="21"/>
    <x v="3"/>
    <x v="0"/>
    <x v="0"/>
    <x v="3"/>
    <x v="0"/>
  </r>
  <r>
    <x v="0"/>
    <x v="0"/>
    <n v="2239319676"/>
    <x v="2"/>
    <n v="11495"/>
    <x v="2"/>
    <x v="0"/>
    <x v="21"/>
    <x v="2"/>
    <x v="0"/>
    <x v="0"/>
    <x v="2"/>
    <x v="0"/>
  </r>
  <r>
    <x v="0"/>
    <x v="0"/>
    <n v="2239319677"/>
    <x v="2"/>
    <n v="72215"/>
    <x v="2"/>
    <x v="0"/>
    <x v="21"/>
    <x v="2"/>
    <x v="0"/>
    <x v="0"/>
    <x v="2"/>
    <x v="0"/>
  </r>
  <r>
    <x v="0"/>
    <x v="0"/>
    <n v="2239319678"/>
    <x v="3"/>
    <n v="12595"/>
    <x v="2"/>
    <x v="0"/>
    <x v="21"/>
    <x v="3"/>
    <x v="0"/>
    <x v="0"/>
    <x v="3"/>
    <x v="0"/>
  </r>
  <r>
    <x v="0"/>
    <x v="0"/>
    <n v="2239319679"/>
    <x v="5"/>
    <n v="-200"/>
    <x v="2"/>
    <x v="0"/>
    <x v="21"/>
    <x v="5"/>
    <x v="0"/>
    <x v="0"/>
    <x v="5"/>
    <x v="0"/>
  </r>
  <r>
    <x v="0"/>
    <x v="0"/>
    <n v="2239319679"/>
    <x v="6"/>
    <n v="5000"/>
    <x v="2"/>
    <x v="0"/>
    <x v="21"/>
    <x v="6"/>
    <x v="0"/>
    <x v="0"/>
    <x v="5"/>
    <x v="0"/>
  </r>
  <r>
    <x v="0"/>
    <x v="0"/>
    <n v="2239319679"/>
    <x v="7"/>
    <n v="4800"/>
    <x v="2"/>
    <x v="0"/>
    <x v="21"/>
    <x v="7"/>
    <x v="0"/>
    <x v="0"/>
    <x v="1"/>
    <x v="0"/>
  </r>
  <r>
    <x v="0"/>
    <x v="0"/>
    <n v="2239319680"/>
    <x v="3"/>
    <n v="50400"/>
    <x v="2"/>
    <x v="0"/>
    <x v="21"/>
    <x v="3"/>
    <x v="0"/>
    <x v="0"/>
    <x v="3"/>
    <x v="0"/>
  </r>
  <r>
    <x v="0"/>
    <x v="0"/>
    <n v="2239319682"/>
    <x v="5"/>
    <n v="-5000"/>
    <x v="2"/>
    <x v="0"/>
    <x v="21"/>
    <x v="5"/>
    <x v="0"/>
    <x v="0"/>
    <x v="5"/>
    <x v="0"/>
  </r>
  <r>
    <x v="0"/>
    <x v="0"/>
    <n v="2239319682"/>
    <x v="4"/>
    <n v="10300"/>
    <x v="2"/>
    <x v="0"/>
    <x v="21"/>
    <x v="4"/>
    <x v="0"/>
    <x v="0"/>
    <x v="4"/>
    <x v="0"/>
  </r>
  <r>
    <x v="0"/>
    <x v="0"/>
    <n v="2239319683"/>
    <x v="2"/>
    <n v="6000"/>
    <x v="2"/>
    <x v="0"/>
    <x v="21"/>
    <x v="2"/>
    <x v="0"/>
    <x v="0"/>
    <x v="2"/>
    <x v="0"/>
  </r>
  <r>
    <x v="0"/>
    <x v="0"/>
    <n v="2239319684"/>
    <x v="2"/>
    <n v="29590"/>
    <x v="2"/>
    <x v="0"/>
    <x v="21"/>
    <x v="2"/>
    <x v="0"/>
    <x v="0"/>
    <x v="2"/>
    <x v="0"/>
  </r>
  <r>
    <x v="0"/>
    <x v="0"/>
    <n v="2239319684"/>
    <x v="7"/>
    <n v="8500"/>
    <x v="2"/>
    <x v="0"/>
    <x v="21"/>
    <x v="7"/>
    <x v="0"/>
    <x v="0"/>
    <x v="1"/>
    <x v="0"/>
  </r>
  <r>
    <x v="0"/>
    <x v="0"/>
    <n v="2239319685"/>
    <x v="2"/>
    <n v="24464"/>
    <x v="2"/>
    <x v="0"/>
    <x v="21"/>
    <x v="2"/>
    <x v="0"/>
    <x v="0"/>
    <x v="2"/>
    <x v="0"/>
  </r>
  <r>
    <x v="0"/>
    <x v="0"/>
    <n v="2239319685"/>
    <x v="7"/>
    <n v="4360"/>
    <x v="2"/>
    <x v="0"/>
    <x v="21"/>
    <x v="7"/>
    <x v="0"/>
    <x v="0"/>
    <x v="1"/>
    <x v="0"/>
  </r>
  <r>
    <x v="0"/>
    <x v="0"/>
    <n v="2239319686"/>
    <x v="2"/>
    <n v="8800"/>
    <x v="2"/>
    <x v="0"/>
    <x v="21"/>
    <x v="2"/>
    <x v="0"/>
    <x v="0"/>
    <x v="2"/>
    <x v="0"/>
  </r>
  <r>
    <x v="0"/>
    <x v="0"/>
    <n v="2239319687"/>
    <x v="5"/>
    <n v="-2000"/>
    <x v="2"/>
    <x v="0"/>
    <x v="21"/>
    <x v="5"/>
    <x v="0"/>
    <x v="0"/>
    <x v="5"/>
    <x v="0"/>
  </r>
  <r>
    <x v="0"/>
    <x v="0"/>
    <n v="2239319687"/>
    <x v="6"/>
    <n v="5000"/>
    <x v="2"/>
    <x v="0"/>
    <x v="21"/>
    <x v="6"/>
    <x v="0"/>
    <x v="0"/>
    <x v="5"/>
    <x v="0"/>
  </r>
  <r>
    <x v="0"/>
    <x v="0"/>
    <n v="2239319688"/>
    <x v="3"/>
    <n v="13750"/>
    <x v="2"/>
    <x v="0"/>
    <x v="21"/>
    <x v="3"/>
    <x v="0"/>
    <x v="0"/>
    <x v="3"/>
    <x v="0"/>
  </r>
  <r>
    <x v="0"/>
    <x v="0"/>
    <n v="2239319691"/>
    <x v="2"/>
    <n v="3000"/>
    <x v="2"/>
    <x v="0"/>
    <x v="21"/>
    <x v="2"/>
    <x v="0"/>
    <x v="0"/>
    <x v="2"/>
    <x v="0"/>
  </r>
  <r>
    <x v="0"/>
    <x v="0"/>
    <n v="2239319692"/>
    <x v="5"/>
    <n v="-500"/>
    <x v="2"/>
    <x v="0"/>
    <x v="21"/>
    <x v="5"/>
    <x v="0"/>
    <x v="0"/>
    <x v="5"/>
    <x v="0"/>
  </r>
  <r>
    <x v="0"/>
    <x v="0"/>
    <n v="2239319692"/>
    <x v="6"/>
    <n v="4000"/>
    <x v="2"/>
    <x v="0"/>
    <x v="21"/>
    <x v="6"/>
    <x v="0"/>
    <x v="0"/>
    <x v="5"/>
    <x v="0"/>
  </r>
  <r>
    <x v="0"/>
    <x v="0"/>
    <n v="2239319693"/>
    <x v="5"/>
    <n v="-10"/>
    <x v="2"/>
    <x v="0"/>
    <x v="21"/>
    <x v="5"/>
    <x v="0"/>
    <x v="0"/>
    <x v="5"/>
    <x v="0"/>
  </r>
  <r>
    <x v="0"/>
    <x v="0"/>
    <n v="2239319693"/>
    <x v="6"/>
    <n v="10"/>
    <x v="2"/>
    <x v="0"/>
    <x v="21"/>
    <x v="6"/>
    <x v="0"/>
    <x v="0"/>
    <x v="5"/>
    <x v="0"/>
  </r>
  <r>
    <x v="0"/>
    <x v="0"/>
    <n v="2239319696"/>
    <x v="5"/>
    <n v="-1860"/>
    <x v="2"/>
    <x v="0"/>
    <x v="21"/>
    <x v="5"/>
    <x v="0"/>
    <x v="0"/>
    <x v="5"/>
    <x v="0"/>
  </r>
  <r>
    <x v="0"/>
    <x v="0"/>
    <n v="2239319696"/>
    <x v="6"/>
    <n v="30000"/>
    <x v="2"/>
    <x v="0"/>
    <x v="21"/>
    <x v="6"/>
    <x v="0"/>
    <x v="0"/>
    <x v="5"/>
    <x v="0"/>
  </r>
  <r>
    <x v="0"/>
    <x v="0"/>
    <n v="2239319699"/>
    <x v="3"/>
    <n v="36740"/>
    <x v="2"/>
    <x v="0"/>
    <x v="21"/>
    <x v="3"/>
    <x v="0"/>
    <x v="0"/>
    <x v="3"/>
    <x v="0"/>
  </r>
  <r>
    <x v="0"/>
    <x v="0"/>
    <n v="2239319702"/>
    <x v="3"/>
    <n v="35200"/>
    <x v="2"/>
    <x v="0"/>
    <x v="21"/>
    <x v="3"/>
    <x v="0"/>
    <x v="0"/>
    <x v="3"/>
    <x v="0"/>
  </r>
  <r>
    <x v="0"/>
    <x v="0"/>
    <n v="2239319703"/>
    <x v="2"/>
    <n v="13000"/>
    <x v="2"/>
    <x v="0"/>
    <x v="21"/>
    <x v="2"/>
    <x v="0"/>
    <x v="0"/>
    <x v="2"/>
    <x v="0"/>
  </r>
  <r>
    <x v="0"/>
    <x v="0"/>
    <n v="2239319704"/>
    <x v="5"/>
    <n v="-6000"/>
    <x v="2"/>
    <x v="0"/>
    <x v="21"/>
    <x v="5"/>
    <x v="0"/>
    <x v="0"/>
    <x v="5"/>
    <x v="0"/>
  </r>
  <r>
    <x v="0"/>
    <x v="0"/>
    <n v="2239319704"/>
    <x v="6"/>
    <n v="10000"/>
    <x v="2"/>
    <x v="0"/>
    <x v="21"/>
    <x v="6"/>
    <x v="0"/>
    <x v="0"/>
    <x v="5"/>
    <x v="0"/>
  </r>
  <r>
    <x v="0"/>
    <x v="0"/>
    <n v="2239319706"/>
    <x v="5"/>
    <n v="-2000"/>
    <x v="2"/>
    <x v="0"/>
    <x v="21"/>
    <x v="5"/>
    <x v="0"/>
    <x v="0"/>
    <x v="5"/>
    <x v="0"/>
  </r>
  <r>
    <x v="0"/>
    <x v="0"/>
    <n v="2239319706"/>
    <x v="6"/>
    <n v="5500"/>
    <x v="2"/>
    <x v="0"/>
    <x v="21"/>
    <x v="6"/>
    <x v="0"/>
    <x v="0"/>
    <x v="5"/>
    <x v="0"/>
  </r>
  <r>
    <x v="0"/>
    <x v="0"/>
    <n v="2239319707"/>
    <x v="6"/>
    <n v="3000"/>
    <x v="2"/>
    <x v="0"/>
    <x v="21"/>
    <x v="6"/>
    <x v="0"/>
    <x v="0"/>
    <x v="5"/>
    <x v="0"/>
  </r>
  <r>
    <x v="0"/>
    <x v="0"/>
    <n v="2239319708"/>
    <x v="6"/>
    <n v="3000"/>
    <x v="2"/>
    <x v="0"/>
    <x v="21"/>
    <x v="6"/>
    <x v="0"/>
    <x v="0"/>
    <x v="5"/>
    <x v="0"/>
  </r>
  <r>
    <x v="0"/>
    <x v="0"/>
    <n v="2239319710"/>
    <x v="3"/>
    <n v="42240"/>
    <x v="2"/>
    <x v="0"/>
    <x v="21"/>
    <x v="3"/>
    <x v="0"/>
    <x v="0"/>
    <x v="3"/>
    <x v="0"/>
  </r>
  <r>
    <x v="0"/>
    <x v="0"/>
    <n v="2239319711"/>
    <x v="2"/>
    <n v="12100"/>
    <x v="2"/>
    <x v="0"/>
    <x v="21"/>
    <x v="2"/>
    <x v="0"/>
    <x v="0"/>
    <x v="2"/>
    <x v="0"/>
  </r>
  <r>
    <x v="0"/>
    <x v="0"/>
    <n v="2239319712"/>
    <x v="5"/>
    <n v="-15400"/>
    <x v="2"/>
    <x v="0"/>
    <x v="21"/>
    <x v="5"/>
    <x v="0"/>
    <x v="0"/>
    <x v="5"/>
    <x v="0"/>
  </r>
  <r>
    <x v="0"/>
    <x v="0"/>
    <n v="2239319712"/>
    <x v="4"/>
    <n v="20000"/>
    <x v="2"/>
    <x v="0"/>
    <x v="21"/>
    <x v="4"/>
    <x v="0"/>
    <x v="0"/>
    <x v="4"/>
    <x v="0"/>
  </r>
  <r>
    <x v="0"/>
    <x v="0"/>
    <n v="2239319713"/>
    <x v="2"/>
    <n v="6600"/>
    <x v="2"/>
    <x v="0"/>
    <x v="21"/>
    <x v="2"/>
    <x v="0"/>
    <x v="0"/>
    <x v="2"/>
    <x v="0"/>
  </r>
  <r>
    <x v="0"/>
    <x v="0"/>
    <n v="2239319715"/>
    <x v="5"/>
    <n v="-2000"/>
    <x v="2"/>
    <x v="0"/>
    <x v="21"/>
    <x v="5"/>
    <x v="0"/>
    <x v="0"/>
    <x v="5"/>
    <x v="0"/>
  </r>
  <r>
    <x v="0"/>
    <x v="0"/>
    <n v="2239319715"/>
    <x v="6"/>
    <n v="5000"/>
    <x v="2"/>
    <x v="0"/>
    <x v="21"/>
    <x v="6"/>
    <x v="0"/>
    <x v="0"/>
    <x v="5"/>
    <x v="0"/>
  </r>
  <r>
    <x v="0"/>
    <x v="0"/>
    <n v="2239319717"/>
    <x v="2"/>
    <n v="12100"/>
    <x v="2"/>
    <x v="0"/>
    <x v="21"/>
    <x v="2"/>
    <x v="0"/>
    <x v="0"/>
    <x v="2"/>
    <x v="0"/>
  </r>
  <r>
    <x v="0"/>
    <x v="0"/>
    <n v="2239319718"/>
    <x v="5"/>
    <n v="-2000"/>
    <x v="2"/>
    <x v="0"/>
    <x v="21"/>
    <x v="5"/>
    <x v="0"/>
    <x v="0"/>
    <x v="5"/>
    <x v="0"/>
  </r>
  <r>
    <x v="0"/>
    <x v="0"/>
    <n v="2239319718"/>
    <x v="6"/>
    <n v="5000"/>
    <x v="2"/>
    <x v="0"/>
    <x v="21"/>
    <x v="6"/>
    <x v="0"/>
    <x v="0"/>
    <x v="5"/>
    <x v="0"/>
  </r>
  <r>
    <x v="0"/>
    <x v="0"/>
    <n v="2239319719"/>
    <x v="2"/>
    <n v="41030"/>
    <x v="2"/>
    <x v="0"/>
    <x v="21"/>
    <x v="2"/>
    <x v="0"/>
    <x v="0"/>
    <x v="2"/>
    <x v="0"/>
  </r>
  <r>
    <x v="0"/>
    <x v="0"/>
    <n v="2239319720"/>
    <x v="5"/>
    <n v="-4400"/>
    <x v="2"/>
    <x v="0"/>
    <x v="21"/>
    <x v="5"/>
    <x v="0"/>
    <x v="0"/>
    <x v="5"/>
    <x v="0"/>
  </r>
  <r>
    <x v="0"/>
    <x v="0"/>
    <n v="2239319720"/>
    <x v="4"/>
    <n v="10000"/>
    <x v="2"/>
    <x v="0"/>
    <x v="21"/>
    <x v="4"/>
    <x v="0"/>
    <x v="0"/>
    <x v="4"/>
    <x v="0"/>
  </r>
  <r>
    <x v="0"/>
    <x v="0"/>
    <n v="2239319722"/>
    <x v="5"/>
    <n v="-620"/>
    <x v="2"/>
    <x v="0"/>
    <x v="21"/>
    <x v="5"/>
    <x v="0"/>
    <x v="0"/>
    <x v="5"/>
    <x v="0"/>
  </r>
  <r>
    <x v="0"/>
    <x v="0"/>
    <n v="2239319722"/>
    <x v="6"/>
    <n v="20000"/>
    <x v="2"/>
    <x v="0"/>
    <x v="21"/>
    <x v="6"/>
    <x v="0"/>
    <x v="0"/>
    <x v="5"/>
    <x v="0"/>
  </r>
  <r>
    <x v="0"/>
    <x v="0"/>
    <n v="2239319722"/>
    <x v="7"/>
    <n v="4360"/>
    <x v="2"/>
    <x v="0"/>
    <x v="21"/>
    <x v="7"/>
    <x v="0"/>
    <x v="0"/>
    <x v="1"/>
    <x v="0"/>
  </r>
  <r>
    <x v="0"/>
    <x v="0"/>
    <n v="2239319724"/>
    <x v="5"/>
    <n v="-1000"/>
    <x v="2"/>
    <x v="0"/>
    <x v="21"/>
    <x v="5"/>
    <x v="0"/>
    <x v="0"/>
    <x v="5"/>
    <x v="0"/>
  </r>
  <r>
    <x v="0"/>
    <x v="0"/>
    <n v="2239319724"/>
    <x v="6"/>
    <n v="5000"/>
    <x v="2"/>
    <x v="0"/>
    <x v="21"/>
    <x v="6"/>
    <x v="0"/>
    <x v="0"/>
    <x v="5"/>
    <x v="0"/>
  </r>
  <r>
    <x v="0"/>
    <x v="0"/>
    <n v="2239319725"/>
    <x v="2"/>
    <n v="20570"/>
    <x v="2"/>
    <x v="0"/>
    <x v="21"/>
    <x v="2"/>
    <x v="0"/>
    <x v="0"/>
    <x v="2"/>
    <x v="0"/>
  </r>
  <r>
    <x v="0"/>
    <x v="0"/>
    <n v="2239319726"/>
    <x v="2"/>
    <n v="53680"/>
    <x v="2"/>
    <x v="0"/>
    <x v="21"/>
    <x v="2"/>
    <x v="0"/>
    <x v="0"/>
    <x v="2"/>
    <x v="0"/>
  </r>
  <r>
    <x v="0"/>
    <x v="0"/>
    <n v="2239319727"/>
    <x v="5"/>
    <n v="-800"/>
    <x v="2"/>
    <x v="0"/>
    <x v="21"/>
    <x v="5"/>
    <x v="0"/>
    <x v="0"/>
    <x v="5"/>
    <x v="0"/>
  </r>
  <r>
    <x v="0"/>
    <x v="0"/>
    <n v="2239319727"/>
    <x v="6"/>
    <n v="40000"/>
    <x v="2"/>
    <x v="0"/>
    <x v="21"/>
    <x v="6"/>
    <x v="0"/>
    <x v="0"/>
    <x v="5"/>
    <x v="0"/>
  </r>
  <r>
    <x v="0"/>
    <x v="0"/>
    <n v="2239319728"/>
    <x v="5"/>
    <n v="-4700"/>
    <x v="2"/>
    <x v="0"/>
    <x v="21"/>
    <x v="5"/>
    <x v="0"/>
    <x v="0"/>
    <x v="5"/>
    <x v="0"/>
  </r>
  <r>
    <x v="0"/>
    <x v="0"/>
    <n v="2239319728"/>
    <x v="4"/>
    <n v="10000"/>
    <x v="2"/>
    <x v="0"/>
    <x v="21"/>
    <x v="4"/>
    <x v="0"/>
    <x v="0"/>
    <x v="4"/>
    <x v="0"/>
  </r>
  <r>
    <x v="0"/>
    <x v="0"/>
    <n v="2239319730"/>
    <x v="2"/>
    <n v="2500"/>
    <x v="2"/>
    <x v="0"/>
    <x v="21"/>
    <x v="2"/>
    <x v="0"/>
    <x v="0"/>
    <x v="2"/>
    <x v="0"/>
  </r>
  <r>
    <x v="0"/>
    <x v="0"/>
    <n v="2239322201"/>
    <x v="1"/>
    <n v="7500"/>
    <x v="2"/>
    <x v="0"/>
    <x v="59"/>
    <x v="1"/>
    <x v="0"/>
    <x v="0"/>
    <x v="1"/>
    <x v="0"/>
  </r>
  <r>
    <x v="0"/>
    <x v="0"/>
    <n v="2239322203"/>
    <x v="7"/>
    <n v="13500"/>
    <x v="2"/>
    <x v="0"/>
    <x v="59"/>
    <x v="7"/>
    <x v="0"/>
    <x v="0"/>
    <x v="1"/>
    <x v="0"/>
  </r>
  <r>
    <x v="0"/>
    <x v="0"/>
    <n v="2239322204"/>
    <x v="7"/>
    <n v="135000"/>
    <x v="2"/>
    <x v="0"/>
    <x v="59"/>
    <x v="7"/>
    <x v="0"/>
    <x v="0"/>
    <x v="1"/>
    <x v="0"/>
  </r>
  <r>
    <x v="0"/>
    <x v="0"/>
    <n v="2239322205"/>
    <x v="7"/>
    <n v="23500"/>
    <x v="2"/>
    <x v="0"/>
    <x v="59"/>
    <x v="7"/>
    <x v="0"/>
    <x v="0"/>
    <x v="1"/>
    <x v="0"/>
  </r>
  <r>
    <x v="0"/>
    <x v="0"/>
    <n v="2239322206"/>
    <x v="1"/>
    <n v="42600"/>
    <x v="2"/>
    <x v="0"/>
    <x v="59"/>
    <x v="1"/>
    <x v="0"/>
    <x v="0"/>
    <x v="1"/>
    <x v="0"/>
  </r>
  <r>
    <x v="0"/>
    <x v="0"/>
    <n v="2239322207"/>
    <x v="1"/>
    <n v="19270"/>
    <x v="2"/>
    <x v="0"/>
    <x v="59"/>
    <x v="1"/>
    <x v="0"/>
    <x v="0"/>
    <x v="1"/>
    <x v="0"/>
  </r>
  <r>
    <x v="0"/>
    <x v="0"/>
    <n v="2239322208"/>
    <x v="1"/>
    <n v="6900"/>
    <x v="2"/>
    <x v="0"/>
    <x v="59"/>
    <x v="1"/>
    <x v="0"/>
    <x v="0"/>
    <x v="1"/>
    <x v="0"/>
  </r>
  <r>
    <x v="0"/>
    <x v="0"/>
    <n v="2239322210"/>
    <x v="1"/>
    <n v="16450"/>
    <x v="2"/>
    <x v="0"/>
    <x v="59"/>
    <x v="1"/>
    <x v="0"/>
    <x v="0"/>
    <x v="1"/>
    <x v="0"/>
  </r>
  <r>
    <x v="0"/>
    <x v="0"/>
    <n v="2239322211"/>
    <x v="1"/>
    <n v="33590"/>
    <x v="2"/>
    <x v="0"/>
    <x v="59"/>
    <x v="1"/>
    <x v="0"/>
    <x v="0"/>
    <x v="1"/>
    <x v="0"/>
  </r>
  <r>
    <x v="0"/>
    <x v="0"/>
    <n v="2239322213"/>
    <x v="1"/>
    <n v="3720"/>
    <x v="2"/>
    <x v="0"/>
    <x v="59"/>
    <x v="1"/>
    <x v="0"/>
    <x v="0"/>
    <x v="1"/>
    <x v="0"/>
  </r>
  <r>
    <x v="0"/>
    <x v="0"/>
    <n v="2239322214"/>
    <x v="1"/>
    <n v="13950"/>
    <x v="2"/>
    <x v="0"/>
    <x v="59"/>
    <x v="1"/>
    <x v="0"/>
    <x v="0"/>
    <x v="1"/>
    <x v="0"/>
  </r>
  <r>
    <x v="0"/>
    <x v="0"/>
    <n v="2239322215"/>
    <x v="1"/>
    <n v="3150"/>
    <x v="2"/>
    <x v="0"/>
    <x v="59"/>
    <x v="1"/>
    <x v="0"/>
    <x v="0"/>
    <x v="1"/>
    <x v="0"/>
  </r>
  <r>
    <x v="0"/>
    <x v="0"/>
    <n v="2239322218"/>
    <x v="1"/>
    <n v="900"/>
    <x v="2"/>
    <x v="0"/>
    <x v="59"/>
    <x v="1"/>
    <x v="0"/>
    <x v="0"/>
    <x v="1"/>
    <x v="0"/>
  </r>
  <r>
    <x v="0"/>
    <x v="0"/>
    <n v="2239322219"/>
    <x v="1"/>
    <n v="2700"/>
    <x v="2"/>
    <x v="0"/>
    <x v="59"/>
    <x v="1"/>
    <x v="0"/>
    <x v="0"/>
    <x v="1"/>
    <x v="0"/>
  </r>
  <r>
    <x v="0"/>
    <x v="0"/>
    <n v="2239322220"/>
    <x v="1"/>
    <n v="8400"/>
    <x v="2"/>
    <x v="0"/>
    <x v="59"/>
    <x v="1"/>
    <x v="0"/>
    <x v="0"/>
    <x v="1"/>
    <x v="0"/>
  </r>
  <r>
    <x v="0"/>
    <x v="0"/>
    <n v="2239322221"/>
    <x v="1"/>
    <n v="1140"/>
    <x v="2"/>
    <x v="0"/>
    <x v="59"/>
    <x v="1"/>
    <x v="0"/>
    <x v="0"/>
    <x v="1"/>
    <x v="0"/>
  </r>
  <r>
    <x v="0"/>
    <x v="0"/>
    <n v="2239322222"/>
    <x v="7"/>
    <n v="4500"/>
    <x v="2"/>
    <x v="0"/>
    <x v="59"/>
    <x v="7"/>
    <x v="0"/>
    <x v="0"/>
    <x v="1"/>
    <x v="0"/>
  </r>
  <r>
    <x v="0"/>
    <x v="0"/>
    <n v="2239322223"/>
    <x v="7"/>
    <n v="3000"/>
    <x v="2"/>
    <x v="0"/>
    <x v="59"/>
    <x v="7"/>
    <x v="0"/>
    <x v="0"/>
    <x v="1"/>
    <x v="0"/>
  </r>
  <r>
    <x v="0"/>
    <x v="0"/>
    <n v="2239322224"/>
    <x v="7"/>
    <n v="3000"/>
    <x v="2"/>
    <x v="0"/>
    <x v="59"/>
    <x v="7"/>
    <x v="0"/>
    <x v="0"/>
    <x v="1"/>
    <x v="0"/>
  </r>
  <r>
    <x v="0"/>
    <x v="0"/>
    <n v="2239322225"/>
    <x v="1"/>
    <n v="2250"/>
    <x v="2"/>
    <x v="0"/>
    <x v="59"/>
    <x v="1"/>
    <x v="0"/>
    <x v="0"/>
    <x v="1"/>
    <x v="0"/>
  </r>
  <r>
    <x v="0"/>
    <x v="0"/>
    <n v="2239322226"/>
    <x v="1"/>
    <n v="6150"/>
    <x v="2"/>
    <x v="0"/>
    <x v="59"/>
    <x v="1"/>
    <x v="0"/>
    <x v="0"/>
    <x v="1"/>
    <x v="0"/>
  </r>
  <r>
    <x v="0"/>
    <x v="0"/>
    <n v="2239322227"/>
    <x v="7"/>
    <n v="2500"/>
    <x v="2"/>
    <x v="0"/>
    <x v="59"/>
    <x v="7"/>
    <x v="0"/>
    <x v="0"/>
    <x v="1"/>
    <x v="0"/>
  </r>
  <r>
    <x v="0"/>
    <x v="0"/>
    <n v="2239322228"/>
    <x v="1"/>
    <n v="35950"/>
    <x v="2"/>
    <x v="0"/>
    <x v="59"/>
    <x v="1"/>
    <x v="0"/>
    <x v="0"/>
    <x v="1"/>
    <x v="0"/>
  </r>
  <r>
    <x v="0"/>
    <x v="0"/>
    <n v="2239322229"/>
    <x v="1"/>
    <n v="900"/>
    <x v="2"/>
    <x v="0"/>
    <x v="59"/>
    <x v="1"/>
    <x v="0"/>
    <x v="0"/>
    <x v="1"/>
    <x v="0"/>
  </r>
  <r>
    <x v="0"/>
    <x v="0"/>
    <n v="2239322230"/>
    <x v="1"/>
    <n v="2040"/>
    <x v="2"/>
    <x v="0"/>
    <x v="59"/>
    <x v="1"/>
    <x v="0"/>
    <x v="0"/>
    <x v="1"/>
    <x v="0"/>
  </r>
  <r>
    <x v="0"/>
    <x v="0"/>
    <n v="2239322231"/>
    <x v="1"/>
    <n v="4650"/>
    <x v="2"/>
    <x v="0"/>
    <x v="59"/>
    <x v="1"/>
    <x v="0"/>
    <x v="0"/>
    <x v="1"/>
    <x v="0"/>
  </r>
  <r>
    <x v="0"/>
    <x v="0"/>
    <n v="2239322232"/>
    <x v="2"/>
    <n v="8184"/>
    <x v="2"/>
    <x v="0"/>
    <x v="59"/>
    <x v="2"/>
    <x v="0"/>
    <x v="0"/>
    <x v="2"/>
    <x v="0"/>
  </r>
  <r>
    <x v="0"/>
    <x v="0"/>
    <n v="2239322233"/>
    <x v="2"/>
    <n v="6440"/>
    <x v="2"/>
    <x v="0"/>
    <x v="59"/>
    <x v="2"/>
    <x v="0"/>
    <x v="0"/>
    <x v="2"/>
    <x v="0"/>
  </r>
  <r>
    <x v="0"/>
    <x v="0"/>
    <n v="2239322234"/>
    <x v="2"/>
    <n v="7084"/>
    <x v="2"/>
    <x v="0"/>
    <x v="59"/>
    <x v="2"/>
    <x v="0"/>
    <x v="0"/>
    <x v="2"/>
    <x v="0"/>
  </r>
  <r>
    <x v="0"/>
    <x v="0"/>
    <n v="2239322235"/>
    <x v="2"/>
    <n v="7084"/>
    <x v="2"/>
    <x v="0"/>
    <x v="59"/>
    <x v="2"/>
    <x v="0"/>
    <x v="0"/>
    <x v="2"/>
    <x v="0"/>
  </r>
  <r>
    <x v="0"/>
    <x v="0"/>
    <n v="2239322236"/>
    <x v="2"/>
    <n v="14168"/>
    <x v="2"/>
    <x v="0"/>
    <x v="59"/>
    <x v="2"/>
    <x v="0"/>
    <x v="0"/>
    <x v="2"/>
    <x v="0"/>
  </r>
  <r>
    <x v="0"/>
    <x v="0"/>
    <n v="2239322239"/>
    <x v="1"/>
    <n v="20700"/>
    <x v="2"/>
    <x v="0"/>
    <x v="59"/>
    <x v="1"/>
    <x v="0"/>
    <x v="0"/>
    <x v="1"/>
    <x v="0"/>
  </r>
  <r>
    <x v="0"/>
    <x v="0"/>
    <n v="2239322241"/>
    <x v="6"/>
    <n v="6800"/>
    <x v="2"/>
    <x v="0"/>
    <x v="59"/>
    <x v="6"/>
    <x v="0"/>
    <x v="0"/>
    <x v="5"/>
    <x v="0"/>
  </r>
  <r>
    <x v="0"/>
    <x v="0"/>
    <n v="2239322242"/>
    <x v="1"/>
    <n v="1800"/>
    <x v="2"/>
    <x v="0"/>
    <x v="59"/>
    <x v="1"/>
    <x v="0"/>
    <x v="0"/>
    <x v="1"/>
    <x v="0"/>
  </r>
  <r>
    <x v="0"/>
    <x v="0"/>
    <n v="2239322243"/>
    <x v="6"/>
    <n v="5850"/>
    <x v="2"/>
    <x v="0"/>
    <x v="59"/>
    <x v="6"/>
    <x v="0"/>
    <x v="0"/>
    <x v="5"/>
    <x v="0"/>
  </r>
  <r>
    <x v="0"/>
    <x v="0"/>
    <n v="2239322243"/>
    <x v="7"/>
    <n v="650"/>
    <x v="2"/>
    <x v="0"/>
    <x v="59"/>
    <x v="7"/>
    <x v="0"/>
    <x v="0"/>
    <x v="1"/>
    <x v="0"/>
  </r>
  <r>
    <x v="0"/>
    <x v="0"/>
    <n v="2239322244"/>
    <x v="1"/>
    <n v="19290"/>
    <x v="2"/>
    <x v="0"/>
    <x v="59"/>
    <x v="1"/>
    <x v="0"/>
    <x v="0"/>
    <x v="1"/>
    <x v="0"/>
  </r>
  <r>
    <x v="0"/>
    <x v="0"/>
    <n v="2239322245"/>
    <x v="2"/>
    <n v="6400"/>
    <x v="2"/>
    <x v="0"/>
    <x v="59"/>
    <x v="2"/>
    <x v="0"/>
    <x v="0"/>
    <x v="2"/>
    <x v="0"/>
  </r>
  <r>
    <x v="0"/>
    <x v="0"/>
    <n v="2239322245"/>
    <x v="7"/>
    <n v="1600"/>
    <x v="2"/>
    <x v="0"/>
    <x v="59"/>
    <x v="7"/>
    <x v="0"/>
    <x v="0"/>
    <x v="1"/>
    <x v="0"/>
  </r>
  <r>
    <x v="0"/>
    <x v="0"/>
    <n v="2239322247"/>
    <x v="2"/>
    <n v="5000"/>
    <x v="2"/>
    <x v="0"/>
    <x v="59"/>
    <x v="2"/>
    <x v="0"/>
    <x v="0"/>
    <x v="2"/>
    <x v="0"/>
  </r>
  <r>
    <x v="0"/>
    <x v="0"/>
    <n v="2239322248"/>
    <x v="6"/>
    <n v="3250"/>
    <x v="2"/>
    <x v="0"/>
    <x v="59"/>
    <x v="6"/>
    <x v="0"/>
    <x v="0"/>
    <x v="5"/>
    <x v="0"/>
  </r>
  <r>
    <x v="0"/>
    <x v="0"/>
    <n v="2239322249"/>
    <x v="2"/>
    <n v="25190"/>
    <x v="2"/>
    <x v="0"/>
    <x v="59"/>
    <x v="2"/>
    <x v="0"/>
    <x v="0"/>
    <x v="2"/>
    <x v="0"/>
  </r>
  <r>
    <x v="0"/>
    <x v="0"/>
    <n v="2239322250"/>
    <x v="7"/>
    <n v="7500"/>
    <x v="2"/>
    <x v="0"/>
    <x v="59"/>
    <x v="7"/>
    <x v="0"/>
    <x v="0"/>
    <x v="1"/>
    <x v="0"/>
  </r>
  <r>
    <x v="0"/>
    <x v="0"/>
    <n v="2239322251"/>
    <x v="7"/>
    <n v="66750"/>
    <x v="2"/>
    <x v="0"/>
    <x v="59"/>
    <x v="7"/>
    <x v="0"/>
    <x v="0"/>
    <x v="1"/>
    <x v="0"/>
  </r>
  <r>
    <x v="0"/>
    <x v="0"/>
    <n v="2239322253"/>
    <x v="6"/>
    <n v="1500"/>
    <x v="2"/>
    <x v="0"/>
    <x v="59"/>
    <x v="6"/>
    <x v="0"/>
    <x v="0"/>
    <x v="5"/>
    <x v="0"/>
  </r>
  <r>
    <x v="0"/>
    <x v="0"/>
    <n v="2239322254"/>
    <x v="6"/>
    <n v="3750"/>
    <x v="2"/>
    <x v="0"/>
    <x v="59"/>
    <x v="6"/>
    <x v="0"/>
    <x v="0"/>
    <x v="5"/>
    <x v="0"/>
  </r>
  <r>
    <x v="0"/>
    <x v="0"/>
    <n v="2239322255"/>
    <x v="2"/>
    <n v="1500"/>
    <x v="2"/>
    <x v="0"/>
    <x v="59"/>
    <x v="2"/>
    <x v="0"/>
    <x v="0"/>
    <x v="2"/>
    <x v="0"/>
  </r>
  <r>
    <x v="0"/>
    <x v="0"/>
    <n v="2239322256"/>
    <x v="2"/>
    <n v="14000"/>
    <x v="2"/>
    <x v="0"/>
    <x v="59"/>
    <x v="2"/>
    <x v="0"/>
    <x v="0"/>
    <x v="2"/>
    <x v="0"/>
  </r>
  <r>
    <x v="0"/>
    <x v="0"/>
    <n v="2239322257"/>
    <x v="2"/>
    <n v="22165"/>
    <x v="2"/>
    <x v="0"/>
    <x v="59"/>
    <x v="2"/>
    <x v="0"/>
    <x v="0"/>
    <x v="2"/>
    <x v="0"/>
  </r>
  <r>
    <x v="0"/>
    <x v="0"/>
    <n v="2239322258"/>
    <x v="2"/>
    <n v="16995"/>
    <x v="2"/>
    <x v="0"/>
    <x v="59"/>
    <x v="2"/>
    <x v="0"/>
    <x v="0"/>
    <x v="2"/>
    <x v="0"/>
  </r>
  <r>
    <x v="0"/>
    <x v="0"/>
    <n v="2239322259"/>
    <x v="7"/>
    <n v="7500"/>
    <x v="2"/>
    <x v="0"/>
    <x v="59"/>
    <x v="7"/>
    <x v="0"/>
    <x v="0"/>
    <x v="1"/>
    <x v="0"/>
  </r>
  <r>
    <x v="0"/>
    <x v="0"/>
    <n v="2239322260"/>
    <x v="6"/>
    <n v="6000"/>
    <x v="2"/>
    <x v="0"/>
    <x v="59"/>
    <x v="6"/>
    <x v="0"/>
    <x v="0"/>
    <x v="5"/>
    <x v="0"/>
  </r>
  <r>
    <x v="0"/>
    <x v="0"/>
    <n v="2239322261"/>
    <x v="2"/>
    <n v="3750"/>
    <x v="2"/>
    <x v="0"/>
    <x v="59"/>
    <x v="2"/>
    <x v="0"/>
    <x v="0"/>
    <x v="2"/>
    <x v="0"/>
  </r>
  <r>
    <x v="0"/>
    <x v="0"/>
    <n v="2239322263"/>
    <x v="2"/>
    <n v="11990"/>
    <x v="2"/>
    <x v="0"/>
    <x v="59"/>
    <x v="2"/>
    <x v="0"/>
    <x v="0"/>
    <x v="2"/>
    <x v="0"/>
  </r>
  <r>
    <x v="0"/>
    <x v="0"/>
    <n v="2239322264"/>
    <x v="7"/>
    <n v="3000"/>
    <x v="2"/>
    <x v="0"/>
    <x v="59"/>
    <x v="7"/>
    <x v="0"/>
    <x v="0"/>
    <x v="1"/>
    <x v="0"/>
  </r>
  <r>
    <x v="0"/>
    <x v="0"/>
    <n v="2239322265"/>
    <x v="7"/>
    <n v="9000"/>
    <x v="2"/>
    <x v="0"/>
    <x v="59"/>
    <x v="7"/>
    <x v="0"/>
    <x v="0"/>
    <x v="1"/>
    <x v="0"/>
  </r>
  <r>
    <x v="0"/>
    <x v="0"/>
    <n v="2239322266"/>
    <x v="2"/>
    <n v="5995"/>
    <x v="2"/>
    <x v="0"/>
    <x v="59"/>
    <x v="2"/>
    <x v="0"/>
    <x v="0"/>
    <x v="2"/>
    <x v="0"/>
  </r>
  <r>
    <x v="0"/>
    <x v="0"/>
    <n v="2239322267"/>
    <x v="7"/>
    <n v="7500"/>
    <x v="2"/>
    <x v="0"/>
    <x v="59"/>
    <x v="7"/>
    <x v="0"/>
    <x v="0"/>
    <x v="1"/>
    <x v="0"/>
  </r>
  <r>
    <x v="0"/>
    <x v="0"/>
    <n v="2239322268"/>
    <x v="2"/>
    <n v="33990"/>
    <x v="2"/>
    <x v="0"/>
    <x v="59"/>
    <x v="2"/>
    <x v="0"/>
    <x v="0"/>
    <x v="2"/>
    <x v="0"/>
  </r>
  <r>
    <x v="0"/>
    <x v="0"/>
    <n v="2239322269"/>
    <x v="2"/>
    <n v="25190"/>
    <x v="2"/>
    <x v="0"/>
    <x v="59"/>
    <x v="2"/>
    <x v="0"/>
    <x v="0"/>
    <x v="2"/>
    <x v="0"/>
  </r>
  <r>
    <x v="0"/>
    <x v="0"/>
    <n v="2239322270"/>
    <x v="5"/>
    <n v="-7900"/>
    <x v="2"/>
    <x v="0"/>
    <x v="59"/>
    <x v="5"/>
    <x v="0"/>
    <x v="0"/>
    <x v="5"/>
    <x v="0"/>
  </r>
  <r>
    <x v="0"/>
    <x v="0"/>
    <n v="2239322270"/>
    <x v="6"/>
    <n v="70000"/>
    <x v="2"/>
    <x v="0"/>
    <x v="59"/>
    <x v="6"/>
    <x v="0"/>
    <x v="0"/>
    <x v="5"/>
    <x v="0"/>
  </r>
  <r>
    <x v="0"/>
    <x v="0"/>
    <n v="2239322271"/>
    <x v="4"/>
    <n v="34100"/>
    <x v="2"/>
    <x v="0"/>
    <x v="59"/>
    <x v="4"/>
    <x v="0"/>
    <x v="0"/>
    <x v="4"/>
    <x v="0"/>
  </r>
  <r>
    <x v="0"/>
    <x v="0"/>
    <n v="2239322272"/>
    <x v="2"/>
    <n v="6050"/>
    <x v="2"/>
    <x v="0"/>
    <x v="59"/>
    <x v="2"/>
    <x v="0"/>
    <x v="0"/>
    <x v="2"/>
    <x v="0"/>
  </r>
  <r>
    <x v="0"/>
    <x v="0"/>
    <n v="2239322272"/>
    <x v="7"/>
    <n v="1500"/>
    <x v="2"/>
    <x v="0"/>
    <x v="59"/>
    <x v="7"/>
    <x v="0"/>
    <x v="0"/>
    <x v="1"/>
    <x v="0"/>
  </r>
  <r>
    <x v="0"/>
    <x v="0"/>
    <n v="2239322273"/>
    <x v="7"/>
    <n v="4400"/>
    <x v="2"/>
    <x v="0"/>
    <x v="59"/>
    <x v="7"/>
    <x v="0"/>
    <x v="0"/>
    <x v="1"/>
    <x v="0"/>
  </r>
  <r>
    <x v="0"/>
    <x v="0"/>
    <n v="2239322274"/>
    <x v="5"/>
    <n v="-7600"/>
    <x v="2"/>
    <x v="0"/>
    <x v="59"/>
    <x v="5"/>
    <x v="0"/>
    <x v="0"/>
    <x v="5"/>
    <x v="0"/>
  </r>
  <r>
    <x v="0"/>
    <x v="0"/>
    <n v="2239322274"/>
    <x v="6"/>
    <n v="10000"/>
    <x v="2"/>
    <x v="0"/>
    <x v="59"/>
    <x v="6"/>
    <x v="0"/>
    <x v="0"/>
    <x v="5"/>
    <x v="0"/>
  </r>
  <r>
    <x v="0"/>
    <x v="0"/>
    <n v="2239322274"/>
    <x v="7"/>
    <n v="2400"/>
    <x v="2"/>
    <x v="0"/>
    <x v="59"/>
    <x v="7"/>
    <x v="0"/>
    <x v="0"/>
    <x v="1"/>
    <x v="0"/>
  </r>
  <r>
    <x v="0"/>
    <x v="0"/>
    <n v="2239322275"/>
    <x v="2"/>
    <n v="14410"/>
    <x v="2"/>
    <x v="0"/>
    <x v="59"/>
    <x v="2"/>
    <x v="0"/>
    <x v="0"/>
    <x v="2"/>
    <x v="0"/>
  </r>
  <r>
    <x v="0"/>
    <x v="0"/>
    <n v="2239322276"/>
    <x v="7"/>
    <n v="7500"/>
    <x v="2"/>
    <x v="0"/>
    <x v="59"/>
    <x v="7"/>
    <x v="0"/>
    <x v="0"/>
    <x v="1"/>
    <x v="0"/>
  </r>
  <r>
    <x v="0"/>
    <x v="0"/>
    <n v="2239322277"/>
    <x v="2"/>
    <n v="27720"/>
    <x v="2"/>
    <x v="0"/>
    <x v="59"/>
    <x v="2"/>
    <x v="0"/>
    <x v="0"/>
    <x v="2"/>
    <x v="0"/>
  </r>
  <r>
    <x v="0"/>
    <x v="0"/>
    <n v="2239322278"/>
    <x v="7"/>
    <n v="7500"/>
    <x v="2"/>
    <x v="0"/>
    <x v="59"/>
    <x v="7"/>
    <x v="0"/>
    <x v="0"/>
    <x v="1"/>
    <x v="0"/>
  </r>
  <r>
    <x v="0"/>
    <x v="0"/>
    <n v="2239322279"/>
    <x v="5"/>
    <n v="-16000"/>
    <x v="2"/>
    <x v="0"/>
    <x v="59"/>
    <x v="5"/>
    <x v="0"/>
    <x v="0"/>
    <x v="5"/>
    <x v="0"/>
  </r>
  <r>
    <x v="0"/>
    <x v="0"/>
    <n v="2239322279"/>
    <x v="4"/>
    <n v="20400"/>
    <x v="2"/>
    <x v="0"/>
    <x v="59"/>
    <x v="4"/>
    <x v="0"/>
    <x v="0"/>
    <x v="4"/>
    <x v="0"/>
  </r>
  <r>
    <x v="0"/>
    <x v="0"/>
    <n v="2239322280"/>
    <x v="2"/>
    <n v="13000"/>
    <x v="2"/>
    <x v="0"/>
    <x v="59"/>
    <x v="2"/>
    <x v="0"/>
    <x v="0"/>
    <x v="2"/>
    <x v="0"/>
  </r>
  <r>
    <x v="0"/>
    <x v="0"/>
    <n v="2239322281"/>
    <x v="5"/>
    <n v="-3050"/>
    <x v="2"/>
    <x v="0"/>
    <x v="59"/>
    <x v="5"/>
    <x v="0"/>
    <x v="0"/>
    <x v="5"/>
    <x v="0"/>
  </r>
  <r>
    <x v="0"/>
    <x v="0"/>
    <n v="2239322281"/>
    <x v="6"/>
    <n v="10000"/>
    <x v="2"/>
    <x v="0"/>
    <x v="59"/>
    <x v="6"/>
    <x v="0"/>
    <x v="0"/>
    <x v="5"/>
    <x v="0"/>
  </r>
  <r>
    <x v="0"/>
    <x v="0"/>
    <n v="2239322282"/>
    <x v="2"/>
    <n v="4400"/>
    <x v="2"/>
    <x v="0"/>
    <x v="59"/>
    <x v="2"/>
    <x v="0"/>
    <x v="0"/>
    <x v="2"/>
    <x v="0"/>
  </r>
  <r>
    <x v="0"/>
    <x v="0"/>
    <n v="2239322283"/>
    <x v="5"/>
    <n v="-1000"/>
    <x v="2"/>
    <x v="0"/>
    <x v="59"/>
    <x v="5"/>
    <x v="0"/>
    <x v="0"/>
    <x v="5"/>
    <x v="0"/>
  </r>
  <r>
    <x v="0"/>
    <x v="0"/>
    <n v="2239322283"/>
    <x v="4"/>
    <n v="5600"/>
    <x v="2"/>
    <x v="0"/>
    <x v="59"/>
    <x v="4"/>
    <x v="0"/>
    <x v="0"/>
    <x v="4"/>
    <x v="0"/>
  </r>
  <r>
    <x v="0"/>
    <x v="0"/>
    <n v="2239322285"/>
    <x v="3"/>
    <n v="3500"/>
    <x v="2"/>
    <x v="0"/>
    <x v="59"/>
    <x v="3"/>
    <x v="0"/>
    <x v="0"/>
    <x v="3"/>
    <x v="0"/>
  </r>
  <r>
    <x v="0"/>
    <x v="0"/>
    <n v="2239322286"/>
    <x v="2"/>
    <n v="20000"/>
    <x v="2"/>
    <x v="0"/>
    <x v="59"/>
    <x v="2"/>
    <x v="0"/>
    <x v="0"/>
    <x v="2"/>
    <x v="0"/>
  </r>
  <r>
    <x v="0"/>
    <x v="0"/>
    <n v="2239322286"/>
    <x v="7"/>
    <n v="7450"/>
    <x v="2"/>
    <x v="0"/>
    <x v="59"/>
    <x v="7"/>
    <x v="0"/>
    <x v="0"/>
    <x v="1"/>
    <x v="0"/>
  </r>
  <r>
    <x v="0"/>
    <x v="0"/>
    <n v="2239322287"/>
    <x v="1"/>
    <n v="5670"/>
    <x v="2"/>
    <x v="0"/>
    <x v="59"/>
    <x v="1"/>
    <x v="0"/>
    <x v="0"/>
    <x v="1"/>
    <x v="0"/>
  </r>
  <r>
    <x v="0"/>
    <x v="0"/>
    <n v="2239322288"/>
    <x v="2"/>
    <n v="26290"/>
    <x v="2"/>
    <x v="0"/>
    <x v="59"/>
    <x v="2"/>
    <x v="0"/>
    <x v="0"/>
    <x v="2"/>
    <x v="0"/>
  </r>
  <r>
    <x v="0"/>
    <x v="0"/>
    <n v="2239322289"/>
    <x v="5"/>
    <n v="-700"/>
    <x v="2"/>
    <x v="0"/>
    <x v="59"/>
    <x v="5"/>
    <x v="0"/>
    <x v="0"/>
    <x v="5"/>
    <x v="0"/>
  </r>
  <r>
    <x v="0"/>
    <x v="0"/>
    <n v="2239322289"/>
    <x v="4"/>
    <n v="6000"/>
    <x v="2"/>
    <x v="0"/>
    <x v="59"/>
    <x v="4"/>
    <x v="0"/>
    <x v="0"/>
    <x v="4"/>
    <x v="0"/>
  </r>
  <r>
    <x v="0"/>
    <x v="0"/>
    <n v="2239322290"/>
    <x v="2"/>
    <n v="2000"/>
    <x v="2"/>
    <x v="0"/>
    <x v="59"/>
    <x v="2"/>
    <x v="0"/>
    <x v="0"/>
    <x v="2"/>
    <x v="0"/>
  </r>
  <r>
    <x v="0"/>
    <x v="0"/>
    <n v="2239322292"/>
    <x v="3"/>
    <n v="22990"/>
    <x v="2"/>
    <x v="0"/>
    <x v="59"/>
    <x v="3"/>
    <x v="0"/>
    <x v="0"/>
    <x v="3"/>
    <x v="0"/>
  </r>
  <r>
    <x v="0"/>
    <x v="0"/>
    <n v="2239322293"/>
    <x v="3"/>
    <n v="33220"/>
    <x v="2"/>
    <x v="0"/>
    <x v="59"/>
    <x v="3"/>
    <x v="0"/>
    <x v="0"/>
    <x v="3"/>
    <x v="0"/>
  </r>
  <r>
    <x v="0"/>
    <x v="0"/>
    <n v="2239322294"/>
    <x v="2"/>
    <n v="32950"/>
    <x v="2"/>
    <x v="0"/>
    <x v="59"/>
    <x v="2"/>
    <x v="0"/>
    <x v="0"/>
    <x v="2"/>
    <x v="0"/>
  </r>
  <r>
    <x v="0"/>
    <x v="0"/>
    <n v="2239322295"/>
    <x v="5"/>
    <n v="-15000"/>
    <x v="2"/>
    <x v="0"/>
    <x v="59"/>
    <x v="5"/>
    <x v="0"/>
    <x v="0"/>
    <x v="5"/>
    <x v="0"/>
  </r>
  <r>
    <x v="0"/>
    <x v="0"/>
    <n v="2239322295"/>
    <x v="4"/>
    <n v="20300"/>
    <x v="2"/>
    <x v="0"/>
    <x v="59"/>
    <x v="4"/>
    <x v="0"/>
    <x v="0"/>
    <x v="4"/>
    <x v="0"/>
  </r>
  <r>
    <x v="0"/>
    <x v="0"/>
    <n v="2239322296"/>
    <x v="6"/>
    <n v="13000"/>
    <x v="2"/>
    <x v="0"/>
    <x v="59"/>
    <x v="6"/>
    <x v="0"/>
    <x v="0"/>
    <x v="5"/>
    <x v="0"/>
  </r>
  <r>
    <x v="0"/>
    <x v="0"/>
    <n v="2239322297"/>
    <x v="2"/>
    <n v="33770"/>
    <x v="2"/>
    <x v="0"/>
    <x v="59"/>
    <x v="2"/>
    <x v="0"/>
    <x v="0"/>
    <x v="2"/>
    <x v="0"/>
  </r>
  <r>
    <x v="0"/>
    <x v="0"/>
    <n v="2239322297"/>
    <x v="7"/>
    <n v="12750"/>
    <x v="2"/>
    <x v="0"/>
    <x v="59"/>
    <x v="7"/>
    <x v="0"/>
    <x v="0"/>
    <x v="1"/>
    <x v="0"/>
  </r>
  <r>
    <x v="0"/>
    <x v="0"/>
    <n v="2239322298"/>
    <x v="2"/>
    <n v="6500"/>
    <x v="2"/>
    <x v="0"/>
    <x v="59"/>
    <x v="2"/>
    <x v="0"/>
    <x v="0"/>
    <x v="2"/>
    <x v="0"/>
  </r>
  <r>
    <x v="0"/>
    <x v="0"/>
    <n v="2239322299"/>
    <x v="2"/>
    <n v="3000"/>
    <x v="2"/>
    <x v="0"/>
    <x v="59"/>
    <x v="2"/>
    <x v="0"/>
    <x v="0"/>
    <x v="2"/>
    <x v="0"/>
  </r>
  <r>
    <x v="0"/>
    <x v="0"/>
    <n v="2239322300"/>
    <x v="5"/>
    <n v="-50"/>
    <x v="2"/>
    <x v="0"/>
    <x v="59"/>
    <x v="5"/>
    <x v="0"/>
    <x v="0"/>
    <x v="5"/>
    <x v="0"/>
  </r>
  <r>
    <x v="0"/>
    <x v="0"/>
    <n v="2239322300"/>
    <x v="6"/>
    <n v="8000"/>
    <x v="2"/>
    <x v="0"/>
    <x v="59"/>
    <x v="6"/>
    <x v="0"/>
    <x v="0"/>
    <x v="5"/>
    <x v="0"/>
  </r>
  <r>
    <x v="0"/>
    <x v="0"/>
    <n v="2239322301"/>
    <x v="5"/>
    <n v="-14700"/>
    <x v="2"/>
    <x v="0"/>
    <x v="59"/>
    <x v="5"/>
    <x v="0"/>
    <x v="0"/>
    <x v="5"/>
    <x v="0"/>
  </r>
  <r>
    <x v="0"/>
    <x v="0"/>
    <n v="2239322301"/>
    <x v="4"/>
    <n v="20000"/>
    <x v="2"/>
    <x v="0"/>
    <x v="59"/>
    <x v="4"/>
    <x v="0"/>
    <x v="0"/>
    <x v="4"/>
    <x v="0"/>
  </r>
  <r>
    <x v="0"/>
    <x v="0"/>
    <n v="2239322302"/>
    <x v="2"/>
    <n v="5250"/>
    <x v="2"/>
    <x v="0"/>
    <x v="59"/>
    <x v="2"/>
    <x v="0"/>
    <x v="0"/>
    <x v="2"/>
    <x v="0"/>
  </r>
  <r>
    <x v="0"/>
    <x v="0"/>
    <n v="2239322305"/>
    <x v="3"/>
    <n v="35024"/>
    <x v="2"/>
    <x v="0"/>
    <x v="59"/>
    <x v="3"/>
    <x v="0"/>
    <x v="0"/>
    <x v="3"/>
    <x v="0"/>
  </r>
  <r>
    <x v="0"/>
    <x v="0"/>
    <n v="2239322305"/>
    <x v="7"/>
    <n v="7960"/>
    <x v="2"/>
    <x v="0"/>
    <x v="59"/>
    <x v="7"/>
    <x v="0"/>
    <x v="0"/>
    <x v="1"/>
    <x v="0"/>
  </r>
  <r>
    <x v="0"/>
    <x v="0"/>
    <n v="2239322306"/>
    <x v="2"/>
    <n v="16390"/>
    <x v="2"/>
    <x v="0"/>
    <x v="59"/>
    <x v="2"/>
    <x v="0"/>
    <x v="0"/>
    <x v="2"/>
    <x v="0"/>
  </r>
  <r>
    <x v="0"/>
    <x v="0"/>
    <n v="2239322307"/>
    <x v="2"/>
    <n v="4400"/>
    <x v="2"/>
    <x v="0"/>
    <x v="59"/>
    <x v="2"/>
    <x v="0"/>
    <x v="0"/>
    <x v="2"/>
    <x v="0"/>
  </r>
  <r>
    <x v="0"/>
    <x v="0"/>
    <n v="2239322308"/>
    <x v="2"/>
    <n v="19690"/>
    <x v="2"/>
    <x v="0"/>
    <x v="59"/>
    <x v="2"/>
    <x v="0"/>
    <x v="0"/>
    <x v="2"/>
    <x v="0"/>
  </r>
  <r>
    <x v="0"/>
    <x v="0"/>
    <n v="2239322309"/>
    <x v="5"/>
    <n v="-700"/>
    <x v="2"/>
    <x v="0"/>
    <x v="59"/>
    <x v="5"/>
    <x v="0"/>
    <x v="0"/>
    <x v="5"/>
    <x v="0"/>
  </r>
  <r>
    <x v="0"/>
    <x v="0"/>
    <n v="2239322309"/>
    <x v="4"/>
    <n v="6000"/>
    <x v="2"/>
    <x v="0"/>
    <x v="59"/>
    <x v="4"/>
    <x v="0"/>
    <x v="0"/>
    <x v="4"/>
    <x v="0"/>
  </r>
  <r>
    <x v="0"/>
    <x v="0"/>
    <n v="2239322310"/>
    <x v="5"/>
    <n v="-4640"/>
    <x v="2"/>
    <x v="0"/>
    <x v="59"/>
    <x v="5"/>
    <x v="0"/>
    <x v="0"/>
    <x v="5"/>
    <x v="0"/>
  </r>
  <r>
    <x v="0"/>
    <x v="0"/>
    <n v="2239322310"/>
    <x v="6"/>
    <n v="10590"/>
    <x v="2"/>
    <x v="0"/>
    <x v="59"/>
    <x v="6"/>
    <x v="0"/>
    <x v="0"/>
    <x v="5"/>
    <x v="0"/>
  </r>
  <r>
    <x v="0"/>
    <x v="0"/>
    <n v="2239322312"/>
    <x v="2"/>
    <n v="4000"/>
    <x v="2"/>
    <x v="0"/>
    <x v="59"/>
    <x v="2"/>
    <x v="0"/>
    <x v="0"/>
    <x v="2"/>
    <x v="0"/>
  </r>
  <r>
    <x v="0"/>
    <x v="0"/>
    <n v="2239322313"/>
    <x v="6"/>
    <n v="8000"/>
    <x v="2"/>
    <x v="0"/>
    <x v="59"/>
    <x v="6"/>
    <x v="0"/>
    <x v="0"/>
    <x v="5"/>
    <x v="0"/>
  </r>
  <r>
    <x v="0"/>
    <x v="0"/>
    <n v="2239322315"/>
    <x v="2"/>
    <n v="21450"/>
    <x v="2"/>
    <x v="0"/>
    <x v="59"/>
    <x v="2"/>
    <x v="0"/>
    <x v="0"/>
    <x v="2"/>
    <x v="0"/>
  </r>
  <r>
    <x v="0"/>
    <x v="0"/>
    <n v="2239322317"/>
    <x v="5"/>
    <n v="-15400"/>
    <x v="2"/>
    <x v="0"/>
    <x v="59"/>
    <x v="5"/>
    <x v="0"/>
    <x v="0"/>
    <x v="5"/>
    <x v="0"/>
  </r>
  <r>
    <x v="0"/>
    <x v="0"/>
    <n v="2239322317"/>
    <x v="4"/>
    <n v="20000"/>
    <x v="2"/>
    <x v="0"/>
    <x v="59"/>
    <x v="4"/>
    <x v="0"/>
    <x v="0"/>
    <x v="4"/>
    <x v="0"/>
  </r>
  <r>
    <x v="0"/>
    <x v="0"/>
    <n v="2239322318"/>
    <x v="2"/>
    <n v="7194"/>
    <x v="2"/>
    <x v="0"/>
    <x v="59"/>
    <x v="2"/>
    <x v="0"/>
    <x v="0"/>
    <x v="2"/>
    <x v="0"/>
  </r>
  <r>
    <x v="0"/>
    <x v="0"/>
    <n v="2239322318"/>
    <x v="7"/>
    <n v="4360"/>
    <x v="2"/>
    <x v="0"/>
    <x v="59"/>
    <x v="7"/>
    <x v="0"/>
    <x v="0"/>
    <x v="1"/>
    <x v="0"/>
  </r>
  <r>
    <x v="0"/>
    <x v="0"/>
    <n v="2239322319"/>
    <x v="5"/>
    <n v="-4700"/>
    <x v="2"/>
    <x v="0"/>
    <x v="59"/>
    <x v="5"/>
    <x v="0"/>
    <x v="0"/>
    <x v="5"/>
    <x v="0"/>
  </r>
  <r>
    <x v="0"/>
    <x v="0"/>
    <n v="2239322319"/>
    <x v="4"/>
    <n v="10000"/>
    <x v="2"/>
    <x v="0"/>
    <x v="59"/>
    <x v="4"/>
    <x v="0"/>
    <x v="0"/>
    <x v="4"/>
    <x v="0"/>
  </r>
  <r>
    <x v="0"/>
    <x v="0"/>
    <n v="2239322320"/>
    <x v="2"/>
    <n v="24717"/>
    <x v="2"/>
    <x v="0"/>
    <x v="59"/>
    <x v="2"/>
    <x v="0"/>
    <x v="0"/>
    <x v="2"/>
    <x v="0"/>
  </r>
  <r>
    <x v="0"/>
    <x v="0"/>
    <n v="2239322320"/>
    <x v="7"/>
    <n v="9630"/>
    <x v="2"/>
    <x v="0"/>
    <x v="59"/>
    <x v="7"/>
    <x v="0"/>
    <x v="0"/>
    <x v="1"/>
    <x v="0"/>
  </r>
  <r>
    <x v="0"/>
    <x v="0"/>
    <n v="2239322321"/>
    <x v="2"/>
    <n v="11880"/>
    <x v="2"/>
    <x v="0"/>
    <x v="59"/>
    <x v="2"/>
    <x v="0"/>
    <x v="0"/>
    <x v="2"/>
    <x v="0"/>
  </r>
  <r>
    <x v="0"/>
    <x v="0"/>
    <n v="2239322322"/>
    <x v="5"/>
    <n v="-4000"/>
    <x v="2"/>
    <x v="0"/>
    <x v="59"/>
    <x v="5"/>
    <x v="0"/>
    <x v="0"/>
    <x v="5"/>
    <x v="0"/>
  </r>
  <r>
    <x v="0"/>
    <x v="0"/>
    <n v="2239322322"/>
    <x v="6"/>
    <n v="10000"/>
    <x v="2"/>
    <x v="0"/>
    <x v="59"/>
    <x v="6"/>
    <x v="0"/>
    <x v="0"/>
    <x v="5"/>
    <x v="0"/>
  </r>
  <r>
    <x v="0"/>
    <x v="0"/>
    <n v="2239322323"/>
    <x v="5"/>
    <n v="-5000"/>
    <x v="2"/>
    <x v="0"/>
    <x v="59"/>
    <x v="5"/>
    <x v="0"/>
    <x v="0"/>
    <x v="5"/>
    <x v="0"/>
  </r>
  <r>
    <x v="0"/>
    <x v="0"/>
    <n v="2239322323"/>
    <x v="4"/>
    <n v="10600"/>
    <x v="2"/>
    <x v="0"/>
    <x v="59"/>
    <x v="4"/>
    <x v="0"/>
    <x v="0"/>
    <x v="4"/>
    <x v="0"/>
  </r>
  <r>
    <x v="0"/>
    <x v="0"/>
    <n v="2239322325"/>
    <x v="2"/>
    <n v="3000"/>
    <x v="2"/>
    <x v="0"/>
    <x v="59"/>
    <x v="2"/>
    <x v="0"/>
    <x v="0"/>
    <x v="2"/>
    <x v="0"/>
  </r>
  <r>
    <x v="0"/>
    <x v="0"/>
    <n v="2239322326"/>
    <x v="2"/>
    <n v="31790"/>
    <x v="2"/>
    <x v="0"/>
    <x v="59"/>
    <x v="2"/>
    <x v="0"/>
    <x v="0"/>
    <x v="2"/>
    <x v="0"/>
  </r>
  <r>
    <x v="0"/>
    <x v="0"/>
    <n v="2239322327"/>
    <x v="5"/>
    <n v="-4700"/>
    <x v="2"/>
    <x v="0"/>
    <x v="59"/>
    <x v="5"/>
    <x v="0"/>
    <x v="0"/>
    <x v="5"/>
    <x v="0"/>
  </r>
  <r>
    <x v="0"/>
    <x v="0"/>
    <n v="2239322327"/>
    <x v="4"/>
    <n v="10000"/>
    <x v="2"/>
    <x v="0"/>
    <x v="59"/>
    <x v="4"/>
    <x v="0"/>
    <x v="0"/>
    <x v="4"/>
    <x v="0"/>
  </r>
  <r>
    <x v="0"/>
    <x v="0"/>
    <n v="2239322328"/>
    <x v="5"/>
    <n v="-8000"/>
    <x v="2"/>
    <x v="0"/>
    <x v="59"/>
    <x v="5"/>
    <x v="0"/>
    <x v="0"/>
    <x v="5"/>
    <x v="0"/>
  </r>
  <r>
    <x v="0"/>
    <x v="0"/>
    <n v="2239322328"/>
    <x v="6"/>
    <n v="20000"/>
    <x v="2"/>
    <x v="0"/>
    <x v="59"/>
    <x v="6"/>
    <x v="0"/>
    <x v="0"/>
    <x v="5"/>
    <x v="0"/>
  </r>
  <r>
    <x v="0"/>
    <x v="0"/>
    <n v="2239322329"/>
    <x v="2"/>
    <n v="16500"/>
    <x v="2"/>
    <x v="0"/>
    <x v="59"/>
    <x v="2"/>
    <x v="0"/>
    <x v="0"/>
    <x v="2"/>
    <x v="0"/>
  </r>
  <r>
    <x v="0"/>
    <x v="0"/>
    <n v="2239322330"/>
    <x v="5"/>
    <n v="-2500"/>
    <x v="2"/>
    <x v="0"/>
    <x v="59"/>
    <x v="5"/>
    <x v="0"/>
    <x v="0"/>
    <x v="5"/>
    <x v="0"/>
  </r>
  <r>
    <x v="0"/>
    <x v="0"/>
    <n v="2239322330"/>
    <x v="6"/>
    <n v="10000"/>
    <x v="2"/>
    <x v="0"/>
    <x v="59"/>
    <x v="6"/>
    <x v="0"/>
    <x v="0"/>
    <x v="5"/>
    <x v="0"/>
  </r>
  <r>
    <x v="0"/>
    <x v="0"/>
    <n v="2239322331"/>
    <x v="2"/>
    <n v="7150"/>
    <x v="2"/>
    <x v="0"/>
    <x v="59"/>
    <x v="2"/>
    <x v="0"/>
    <x v="0"/>
    <x v="2"/>
    <x v="0"/>
  </r>
  <r>
    <x v="0"/>
    <x v="0"/>
    <n v="2239322332"/>
    <x v="5"/>
    <n v="-1500"/>
    <x v="2"/>
    <x v="0"/>
    <x v="59"/>
    <x v="5"/>
    <x v="0"/>
    <x v="0"/>
    <x v="5"/>
    <x v="0"/>
  </r>
  <r>
    <x v="0"/>
    <x v="0"/>
    <n v="2239322332"/>
    <x v="6"/>
    <n v="15000"/>
    <x v="2"/>
    <x v="0"/>
    <x v="59"/>
    <x v="6"/>
    <x v="0"/>
    <x v="0"/>
    <x v="5"/>
    <x v="0"/>
  </r>
  <r>
    <x v="0"/>
    <x v="0"/>
    <n v="2239322333"/>
    <x v="7"/>
    <n v="1350"/>
    <x v="2"/>
    <x v="0"/>
    <x v="59"/>
    <x v="7"/>
    <x v="0"/>
    <x v="0"/>
    <x v="1"/>
    <x v="0"/>
  </r>
  <r>
    <x v="0"/>
    <x v="0"/>
    <n v="2239322334"/>
    <x v="2"/>
    <n v="58590"/>
    <x v="2"/>
    <x v="0"/>
    <x v="59"/>
    <x v="2"/>
    <x v="0"/>
    <x v="0"/>
    <x v="2"/>
    <x v="0"/>
  </r>
  <r>
    <x v="0"/>
    <x v="0"/>
    <n v="2239322335"/>
    <x v="2"/>
    <n v="7000"/>
    <x v="2"/>
    <x v="0"/>
    <x v="59"/>
    <x v="2"/>
    <x v="0"/>
    <x v="0"/>
    <x v="2"/>
    <x v="0"/>
  </r>
  <r>
    <x v="0"/>
    <x v="0"/>
    <n v="2239322336"/>
    <x v="5"/>
    <n v="-400"/>
    <x v="2"/>
    <x v="0"/>
    <x v="59"/>
    <x v="5"/>
    <x v="0"/>
    <x v="0"/>
    <x v="5"/>
    <x v="0"/>
  </r>
  <r>
    <x v="0"/>
    <x v="0"/>
    <n v="2239322336"/>
    <x v="4"/>
    <n v="6000"/>
    <x v="2"/>
    <x v="0"/>
    <x v="59"/>
    <x v="4"/>
    <x v="0"/>
    <x v="0"/>
    <x v="4"/>
    <x v="0"/>
  </r>
  <r>
    <x v="0"/>
    <x v="0"/>
    <n v="2239322337"/>
    <x v="2"/>
    <n v="7150"/>
    <x v="2"/>
    <x v="0"/>
    <x v="59"/>
    <x v="2"/>
    <x v="0"/>
    <x v="0"/>
    <x v="2"/>
    <x v="0"/>
  </r>
  <r>
    <x v="0"/>
    <x v="0"/>
    <n v="2239322338"/>
    <x v="5"/>
    <n v="-2000"/>
    <x v="2"/>
    <x v="0"/>
    <x v="59"/>
    <x v="5"/>
    <x v="0"/>
    <x v="0"/>
    <x v="5"/>
    <x v="0"/>
  </r>
  <r>
    <x v="0"/>
    <x v="0"/>
    <n v="2239322338"/>
    <x v="6"/>
    <n v="20000"/>
    <x v="2"/>
    <x v="0"/>
    <x v="59"/>
    <x v="6"/>
    <x v="0"/>
    <x v="0"/>
    <x v="5"/>
    <x v="0"/>
  </r>
  <r>
    <x v="0"/>
    <x v="0"/>
    <n v="2239322339"/>
    <x v="2"/>
    <n v="6500"/>
    <x v="2"/>
    <x v="0"/>
    <x v="59"/>
    <x v="2"/>
    <x v="0"/>
    <x v="0"/>
    <x v="2"/>
    <x v="0"/>
  </r>
  <r>
    <x v="0"/>
    <x v="0"/>
    <n v="2239322340"/>
    <x v="2"/>
    <n v="5000"/>
    <x v="2"/>
    <x v="0"/>
    <x v="59"/>
    <x v="2"/>
    <x v="0"/>
    <x v="0"/>
    <x v="2"/>
    <x v="0"/>
  </r>
  <r>
    <x v="0"/>
    <x v="0"/>
    <n v="2239322342"/>
    <x v="2"/>
    <n v="20900"/>
    <x v="2"/>
    <x v="0"/>
    <x v="59"/>
    <x v="2"/>
    <x v="0"/>
    <x v="0"/>
    <x v="2"/>
    <x v="0"/>
  </r>
  <r>
    <x v="0"/>
    <x v="0"/>
    <n v="2239322343"/>
    <x v="2"/>
    <n v="7150"/>
    <x v="2"/>
    <x v="0"/>
    <x v="59"/>
    <x v="2"/>
    <x v="0"/>
    <x v="0"/>
    <x v="2"/>
    <x v="0"/>
  </r>
  <r>
    <x v="0"/>
    <x v="0"/>
    <n v="2239322344"/>
    <x v="3"/>
    <n v="20900"/>
    <x v="2"/>
    <x v="0"/>
    <x v="59"/>
    <x v="3"/>
    <x v="0"/>
    <x v="0"/>
    <x v="3"/>
    <x v="0"/>
  </r>
  <r>
    <x v="0"/>
    <x v="0"/>
    <n v="2239322345"/>
    <x v="2"/>
    <n v="7150"/>
    <x v="2"/>
    <x v="0"/>
    <x v="59"/>
    <x v="2"/>
    <x v="0"/>
    <x v="0"/>
    <x v="2"/>
    <x v="0"/>
  </r>
  <r>
    <x v="0"/>
    <x v="0"/>
    <n v="2239322346"/>
    <x v="2"/>
    <n v="8250"/>
    <x v="2"/>
    <x v="0"/>
    <x v="59"/>
    <x v="2"/>
    <x v="0"/>
    <x v="0"/>
    <x v="2"/>
    <x v="0"/>
  </r>
  <r>
    <x v="0"/>
    <x v="0"/>
    <n v="2239322347"/>
    <x v="2"/>
    <n v="5830"/>
    <x v="2"/>
    <x v="0"/>
    <x v="59"/>
    <x v="2"/>
    <x v="0"/>
    <x v="0"/>
    <x v="2"/>
    <x v="0"/>
  </r>
  <r>
    <x v="0"/>
    <x v="0"/>
    <n v="2239322348"/>
    <x v="2"/>
    <n v="7150"/>
    <x v="2"/>
    <x v="0"/>
    <x v="59"/>
    <x v="2"/>
    <x v="0"/>
    <x v="0"/>
    <x v="2"/>
    <x v="0"/>
  </r>
  <r>
    <x v="0"/>
    <x v="0"/>
    <n v="2239322349"/>
    <x v="5"/>
    <n v="-400"/>
    <x v="2"/>
    <x v="0"/>
    <x v="59"/>
    <x v="5"/>
    <x v="0"/>
    <x v="0"/>
    <x v="5"/>
    <x v="0"/>
  </r>
  <r>
    <x v="0"/>
    <x v="0"/>
    <n v="2239322349"/>
    <x v="4"/>
    <n v="5000"/>
    <x v="2"/>
    <x v="0"/>
    <x v="59"/>
    <x v="4"/>
    <x v="0"/>
    <x v="0"/>
    <x v="4"/>
    <x v="0"/>
  </r>
  <r>
    <x v="0"/>
    <x v="0"/>
    <n v="2239322350"/>
    <x v="2"/>
    <n v="5500"/>
    <x v="2"/>
    <x v="0"/>
    <x v="59"/>
    <x v="2"/>
    <x v="0"/>
    <x v="0"/>
    <x v="2"/>
    <x v="0"/>
  </r>
  <r>
    <x v="0"/>
    <x v="0"/>
    <n v="2239322351"/>
    <x v="5"/>
    <n v="-500"/>
    <x v="2"/>
    <x v="0"/>
    <x v="59"/>
    <x v="5"/>
    <x v="0"/>
    <x v="0"/>
    <x v="5"/>
    <x v="0"/>
  </r>
  <r>
    <x v="0"/>
    <x v="0"/>
    <n v="2239322351"/>
    <x v="6"/>
    <n v="10000"/>
    <x v="2"/>
    <x v="0"/>
    <x v="59"/>
    <x v="6"/>
    <x v="0"/>
    <x v="0"/>
    <x v="5"/>
    <x v="0"/>
  </r>
  <r>
    <x v="0"/>
    <x v="0"/>
    <n v="2239322352"/>
    <x v="2"/>
    <n v="4180"/>
    <x v="2"/>
    <x v="0"/>
    <x v="59"/>
    <x v="2"/>
    <x v="0"/>
    <x v="0"/>
    <x v="2"/>
    <x v="0"/>
  </r>
  <r>
    <x v="0"/>
    <x v="0"/>
    <n v="2239322353"/>
    <x v="2"/>
    <n v="8550"/>
    <x v="2"/>
    <x v="0"/>
    <x v="59"/>
    <x v="2"/>
    <x v="0"/>
    <x v="0"/>
    <x v="2"/>
    <x v="0"/>
  </r>
  <r>
    <x v="0"/>
    <x v="0"/>
    <n v="2239322354"/>
    <x v="2"/>
    <n v="7150"/>
    <x v="2"/>
    <x v="0"/>
    <x v="59"/>
    <x v="2"/>
    <x v="0"/>
    <x v="0"/>
    <x v="2"/>
    <x v="0"/>
  </r>
  <r>
    <x v="0"/>
    <x v="0"/>
    <n v="2239322355"/>
    <x v="2"/>
    <n v="8250"/>
    <x v="2"/>
    <x v="0"/>
    <x v="59"/>
    <x v="2"/>
    <x v="0"/>
    <x v="0"/>
    <x v="2"/>
    <x v="0"/>
  </r>
  <r>
    <x v="0"/>
    <x v="0"/>
    <n v="2239322356"/>
    <x v="2"/>
    <n v="20790"/>
    <x v="2"/>
    <x v="0"/>
    <x v="59"/>
    <x v="2"/>
    <x v="0"/>
    <x v="0"/>
    <x v="2"/>
    <x v="0"/>
  </r>
  <r>
    <x v="0"/>
    <x v="0"/>
    <n v="2239322357"/>
    <x v="2"/>
    <n v="6500"/>
    <x v="2"/>
    <x v="0"/>
    <x v="59"/>
    <x v="2"/>
    <x v="0"/>
    <x v="0"/>
    <x v="2"/>
    <x v="0"/>
  </r>
  <r>
    <x v="0"/>
    <x v="0"/>
    <n v="2239322358"/>
    <x v="2"/>
    <n v="2000"/>
    <x v="2"/>
    <x v="0"/>
    <x v="59"/>
    <x v="2"/>
    <x v="0"/>
    <x v="0"/>
    <x v="2"/>
    <x v="0"/>
  </r>
  <r>
    <x v="0"/>
    <x v="0"/>
    <n v="2239322361"/>
    <x v="6"/>
    <n v="37300"/>
    <x v="2"/>
    <x v="0"/>
    <x v="59"/>
    <x v="6"/>
    <x v="0"/>
    <x v="0"/>
    <x v="5"/>
    <x v="0"/>
  </r>
  <r>
    <x v="0"/>
    <x v="0"/>
    <n v="2239322364"/>
    <x v="1"/>
    <n v="30450"/>
    <x v="2"/>
    <x v="0"/>
    <x v="59"/>
    <x v="1"/>
    <x v="0"/>
    <x v="0"/>
    <x v="1"/>
    <x v="0"/>
  </r>
  <r>
    <x v="0"/>
    <x v="0"/>
    <n v="2239322371"/>
    <x v="1"/>
    <n v="1140"/>
    <x v="2"/>
    <x v="0"/>
    <x v="59"/>
    <x v="1"/>
    <x v="0"/>
    <x v="0"/>
    <x v="1"/>
    <x v="0"/>
  </r>
  <r>
    <x v="0"/>
    <x v="0"/>
    <n v="2239322372"/>
    <x v="1"/>
    <n v="2700"/>
    <x v="2"/>
    <x v="0"/>
    <x v="59"/>
    <x v="1"/>
    <x v="0"/>
    <x v="0"/>
    <x v="1"/>
    <x v="0"/>
  </r>
  <r>
    <x v="0"/>
    <x v="0"/>
    <n v="2239322373"/>
    <x v="1"/>
    <n v="11700"/>
    <x v="2"/>
    <x v="0"/>
    <x v="59"/>
    <x v="1"/>
    <x v="0"/>
    <x v="0"/>
    <x v="1"/>
    <x v="0"/>
  </r>
  <r>
    <x v="0"/>
    <x v="0"/>
    <n v="2239322374"/>
    <x v="1"/>
    <n v="900"/>
    <x v="2"/>
    <x v="0"/>
    <x v="59"/>
    <x v="1"/>
    <x v="0"/>
    <x v="0"/>
    <x v="1"/>
    <x v="0"/>
  </r>
  <r>
    <x v="0"/>
    <x v="0"/>
    <n v="2239322375"/>
    <x v="1"/>
    <n v="9480"/>
    <x v="2"/>
    <x v="0"/>
    <x v="59"/>
    <x v="1"/>
    <x v="0"/>
    <x v="0"/>
    <x v="1"/>
    <x v="0"/>
  </r>
  <r>
    <x v="0"/>
    <x v="0"/>
    <n v="2239322376"/>
    <x v="1"/>
    <n v="2850"/>
    <x v="2"/>
    <x v="0"/>
    <x v="59"/>
    <x v="1"/>
    <x v="0"/>
    <x v="0"/>
    <x v="1"/>
    <x v="0"/>
  </r>
  <r>
    <x v="0"/>
    <x v="0"/>
    <n v="2239322378"/>
    <x v="1"/>
    <n v="18070"/>
    <x v="2"/>
    <x v="0"/>
    <x v="59"/>
    <x v="1"/>
    <x v="0"/>
    <x v="0"/>
    <x v="1"/>
    <x v="0"/>
  </r>
  <r>
    <x v="0"/>
    <x v="0"/>
    <n v="2239322379"/>
    <x v="1"/>
    <n v="5520"/>
    <x v="2"/>
    <x v="0"/>
    <x v="59"/>
    <x v="1"/>
    <x v="0"/>
    <x v="0"/>
    <x v="1"/>
    <x v="0"/>
  </r>
  <r>
    <x v="0"/>
    <x v="0"/>
    <n v="2239322380"/>
    <x v="1"/>
    <n v="4200"/>
    <x v="2"/>
    <x v="0"/>
    <x v="59"/>
    <x v="1"/>
    <x v="0"/>
    <x v="0"/>
    <x v="1"/>
    <x v="0"/>
  </r>
  <r>
    <x v="0"/>
    <x v="0"/>
    <n v="2239322382"/>
    <x v="1"/>
    <n v="18050"/>
    <x v="2"/>
    <x v="0"/>
    <x v="59"/>
    <x v="1"/>
    <x v="0"/>
    <x v="0"/>
    <x v="1"/>
    <x v="0"/>
  </r>
  <r>
    <x v="0"/>
    <x v="0"/>
    <n v="2239322384"/>
    <x v="1"/>
    <n v="37650"/>
    <x v="2"/>
    <x v="0"/>
    <x v="59"/>
    <x v="1"/>
    <x v="0"/>
    <x v="0"/>
    <x v="1"/>
    <x v="0"/>
  </r>
  <r>
    <x v="0"/>
    <x v="0"/>
    <n v="2239322387"/>
    <x v="1"/>
    <n v="1350"/>
    <x v="2"/>
    <x v="0"/>
    <x v="59"/>
    <x v="1"/>
    <x v="0"/>
    <x v="0"/>
    <x v="1"/>
    <x v="0"/>
  </r>
  <r>
    <x v="0"/>
    <x v="0"/>
    <n v="2239322389"/>
    <x v="1"/>
    <n v="2700"/>
    <x v="2"/>
    <x v="0"/>
    <x v="59"/>
    <x v="1"/>
    <x v="0"/>
    <x v="0"/>
    <x v="1"/>
    <x v="0"/>
  </r>
  <r>
    <x v="0"/>
    <x v="0"/>
    <n v="2239322390"/>
    <x v="1"/>
    <n v="6500"/>
    <x v="2"/>
    <x v="0"/>
    <x v="59"/>
    <x v="1"/>
    <x v="0"/>
    <x v="0"/>
    <x v="1"/>
    <x v="0"/>
  </r>
  <r>
    <x v="0"/>
    <x v="0"/>
    <n v="2239325174"/>
    <x v="0"/>
    <n v="7170"/>
    <x v="2"/>
    <x v="0"/>
    <x v="17"/>
    <x v="0"/>
    <x v="0"/>
    <x v="0"/>
    <x v="0"/>
    <x v="0"/>
  </r>
  <r>
    <x v="0"/>
    <x v="0"/>
    <n v="2239325175"/>
    <x v="1"/>
    <n v="11370"/>
    <x v="2"/>
    <x v="0"/>
    <x v="17"/>
    <x v="1"/>
    <x v="0"/>
    <x v="0"/>
    <x v="1"/>
    <x v="0"/>
  </r>
  <r>
    <x v="0"/>
    <x v="0"/>
    <n v="2239325176"/>
    <x v="0"/>
    <n v="3000"/>
    <x v="2"/>
    <x v="0"/>
    <x v="17"/>
    <x v="0"/>
    <x v="0"/>
    <x v="0"/>
    <x v="0"/>
    <x v="0"/>
  </r>
  <r>
    <x v="0"/>
    <x v="0"/>
    <n v="2239325177"/>
    <x v="0"/>
    <n v="5400"/>
    <x v="2"/>
    <x v="0"/>
    <x v="17"/>
    <x v="0"/>
    <x v="0"/>
    <x v="0"/>
    <x v="0"/>
    <x v="0"/>
  </r>
  <r>
    <x v="0"/>
    <x v="0"/>
    <n v="2239325178"/>
    <x v="0"/>
    <n v="3150"/>
    <x v="2"/>
    <x v="0"/>
    <x v="17"/>
    <x v="0"/>
    <x v="0"/>
    <x v="0"/>
    <x v="0"/>
    <x v="0"/>
  </r>
  <r>
    <x v="0"/>
    <x v="0"/>
    <n v="2239325179"/>
    <x v="1"/>
    <n v="5670"/>
    <x v="2"/>
    <x v="0"/>
    <x v="17"/>
    <x v="1"/>
    <x v="0"/>
    <x v="0"/>
    <x v="1"/>
    <x v="0"/>
  </r>
  <r>
    <x v="0"/>
    <x v="0"/>
    <n v="2239325180"/>
    <x v="1"/>
    <n v="30490"/>
    <x v="2"/>
    <x v="0"/>
    <x v="17"/>
    <x v="1"/>
    <x v="0"/>
    <x v="0"/>
    <x v="1"/>
    <x v="0"/>
  </r>
  <r>
    <x v="0"/>
    <x v="0"/>
    <n v="2239325181"/>
    <x v="1"/>
    <n v="900"/>
    <x v="2"/>
    <x v="0"/>
    <x v="17"/>
    <x v="1"/>
    <x v="0"/>
    <x v="0"/>
    <x v="1"/>
    <x v="0"/>
  </r>
  <r>
    <x v="0"/>
    <x v="0"/>
    <n v="2239325182"/>
    <x v="0"/>
    <n v="5400"/>
    <x v="2"/>
    <x v="0"/>
    <x v="17"/>
    <x v="0"/>
    <x v="0"/>
    <x v="0"/>
    <x v="0"/>
    <x v="0"/>
  </r>
  <r>
    <x v="0"/>
    <x v="0"/>
    <n v="2239325183"/>
    <x v="1"/>
    <n v="18820"/>
    <x v="2"/>
    <x v="0"/>
    <x v="17"/>
    <x v="1"/>
    <x v="0"/>
    <x v="0"/>
    <x v="1"/>
    <x v="0"/>
  </r>
  <r>
    <x v="0"/>
    <x v="0"/>
    <n v="2239325184"/>
    <x v="1"/>
    <n v="10200"/>
    <x v="2"/>
    <x v="0"/>
    <x v="17"/>
    <x v="1"/>
    <x v="0"/>
    <x v="0"/>
    <x v="1"/>
    <x v="0"/>
  </r>
  <r>
    <x v="0"/>
    <x v="0"/>
    <n v="2239325185"/>
    <x v="1"/>
    <n v="900"/>
    <x v="2"/>
    <x v="0"/>
    <x v="17"/>
    <x v="1"/>
    <x v="0"/>
    <x v="0"/>
    <x v="1"/>
    <x v="0"/>
  </r>
  <r>
    <x v="0"/>
    <x v="0"/>
    <n v="2239325186"/>
    <x v="1"/>
    <n v="900"/>
    <x v="2"/>
    <x v="0"/>
    <x v="17"/>
    <x v="1"/>
    <x v="0"/>
    <x v="0"/>
    <x v="1"/>
    <x v="0"/>
  </r>
  <r>
    <x v="0"/>
    <x v="0"/>
    <n v="2239325187"/>
    <x v="1"/>
    <n v="1350"/>
    <x v="2"/>
    <x v="0"/>
    <x v="17"/>
    <x v="1"/>
    <x v="0"/>
    <x v="0"/>
    <x v="1"/>
    <x v="0"/>
  </r>
  <r>
    <x v="0"/>
    <x v="0"/>
    <n v="2239325188"/>
    <x v="1"/>
    <n v="8310"/>
    <x v="2"/>
    <x v="0"/>
    <x v="17"/>
    <x v="1"/>
    <x v="0"/>
    <x v="0"/>
    <x v="1"/>
    <x v="0"/>
  </r>
  <r>
    <x v="0"/>
    <x v="0"/>
    <n v="2239325189"/>
    <x v="1"/>
    <n v="2940"/>
    <x v="2"/>
    <x v="0"/>
    <x v="17"/>
    <x v="1"/>
    <x v="0"/>
    <x v="0"/>
    <x v="1"/>
    <x v="0"/>
  </r>
  <r>
    <x v="0"/>
    <x v="0"/>
    <n v="2239325190"/>
    <x v="1"/>
    <n v="900"/>
    <x v="2"/>
    <x v="0"/>
    <x v="17"/>
    <x v="1"/>
    <x v="0"/>
    <x v="0"/>
    <x v="1"/>
    <x v="0"/>
  </r>
  <r>
    <x v="0"/>
    <x v="0"/>
    <n v="2239325191"/>
    <x v="1"/>
    <n v="39990"/>
    <x v="2"/>
    <x v="0"/>
    <x v="17"/>
    <x v="1"/>
    <x v="0"/>
    <x v="0"/>
    <x v="1"/>
    <x v="0"/>
  </r>
  <r>
    <x v="0"/>
    <x v="0"/>
    <n v="2239325192"/>
    <x v="1"/>
    <n v="2040"/>
    <x v="2"/>
    <x v="0"/>
    <x v="17"/>
    <x v="1"/>
    <x v="0"/>
    <x v="0"/>
    <x v="1"/>
    <x v="0"/>
  </r>
  <r>
    <x v="0"/>
    <x v="0"/>
    <n v="2239325193"/>
    <x v="0"/>
    <n v="14300"/>
    <x v="2"/>
    <x v="0"/>
    <x v="17"/>
    <x v="0"/>
    <x v="0"/>
    <x v="0"/>
    <x v="0"/>
    <x v="0"/>
  </r>
  <r>
    <x v="0"/>
    <x v="0"/>
    <n v="2239325194"/>
    <x v="1"/>
    <n v="600"/>
    <x v="2"/>
    <x v="0"/>
    <x v="17"/>
    <x v="1"/>
    <x v="0"/>
    <x v="0"/>
    <x v="1"/>
    <x v="0"/>
  </r>
  <r>
    <x v="0"/>
    <x v="0"/>
    <n v="2239325195"/>
    <x v="1"/>
    <n v="1140"/>
    <x v="2"/>
    <x v="0"/>
    <x v="17"/>
    <x v="1"/>
    <x v="0"/>
    <x v="0"/>
    <x v="1"/>
    <x v="0"/>
  </r>
  <r>
    <x v="0"/>
    <x v="0"/>
    <n v="2239325196"/>
    <x v="1"/>
    <n v="17170"/>
    <x v="2"/>
    <x v="0"/>
    <x v="17"/>
    <x v="1"/>
    <x v="0"/>
    <x v="0"/>
    <x v="1"/>
    <x v="0"/>
  </r>
  <r>
    <x v="0"/>
    <x v="0"/>
    <n v="2239325197"/>
    <x v="1"/>
    <n v="63620"/>
    <x v="2"/>
    <x v="0"/>
    <x v="17"/>
    <x v="1"/>
    <x v="0"/>
    <x v="0"/>
    <x v="1"/>
    <x v="0"/>
  </r>
  <r>
    <x v="0"/>
    <x v="0"/>
    <n v="2239325198"/>
    <x v="1"/>
    <n v="51960"/>
    <x v="2"/>
    <x v="0"/>
    <x v="17"/>
    <x v="1"/>
    <x v="0"/>
    <x v="0"/>
    <x v="1"/>
    <x v="0"/>
  </r>
  <r>
    <x v="0"/>
    <x v="0"/>
    <n v="2239325199"/>
    <x v="1"/>
    <n v="3900"/>
    <x v="2"/>
    <x v="0"/>
    <x v="17"/>
    <x v="1"/>
    <x v="0"/>
    <x v="0"/>
    <x v="1"/>
    <x v="0"/>
  </r>
  <r>
    <x v="0"/>
    <x v="0"/>
    <n v="2239325200"/>
    <x v="1"/>
    <n v="26650"/>
    <x v="2"/>
    <x v="0"/>
    <x v="17"/>
    <x v="1"/>
    <x v="0"/>
    <x v="0"/>
    <x v="1"/>
    <x v="0"/>
  </r>
  <r>
    <x v="0"/>
    <x v="0"/>
    <n v="2239325201"/>
    <x v="1"/>
    <n v="12600"/>
    <x v="2"/>
    <x v="0"/>
    <x v="17"/>
    <x v="1"/>
    <x v="0"/>
    <x v="0"/>
    <x v="1"/>
    <x v="0"/>
  </r>
  <r>
    <x v="0"/>
    <x v="0"/>
    <n v="2239325202"/>
    <x v="1"/>
    <n v="900"/>
    <x v="2"/>
    <x v="0"/>
    <x v="17"/>
    <x v="1"/>
    <x v="0"/>
    <x v="0"/>
    <x v="1"/>
    <x v="0"/>
  </r>
  <r>
    <x v="0"/>
    <x v="0"/>
    <n v="2239325203"/>
    <x v="0"/>
    <n v="1140"/>
    <x v="2"/>
    <x v="0"/>
    <x v="17"/>
    <x v="0"/>
    <x v="0"/>
    <x v="0"/>
    <x v="0"/>
    <x v="0"/>
  </r>
  <r>
    <x v="0"/>
    <x v="0"/>
    <n v="2239325204"/>
    <x v="1"/>
    <n v="5670"/>
    <x v="2"/>
    <x v="0"/>
    <x v="17"/>
    <x v="1"/>
    <x v="0"/>
    <x v="0"/>
    <x v="1"/>
    <x v="0"/>
  </r>
  <r>
    <x v="0"/>
    <x v="0"/>
    <n v="2239325205"/>
    <x v="0"/>
    <n v="8100"/>
    <x v="2"/>
    <x v="0"/>
    <x v="17"/>
    <x v="0"/>
    <x v="0"/>
    <x v="0"/>
    <x v="0"/>
    <x v="0"/>
  </r>
  <r>
    <x v="0"/>
    <x v="0"/>
    <n v="2239325206"/>
    <x v="0"/>
    <n v="3000"/>
    <x v="2"/>
    <x v="0"/>
    <x v="17"/>
    <x v="0"/>
    <x v="0"/>
    <x v="0"/>
    <x v="0"/>
    <x v="0"/>
  </r>
  <r>
    <x v="0"/>
    <x v="0"/>
    <n v="2239325207"/>
    <x v="1"/>
    <n v="25500"/>
    <x v="2"/>
    <x v="0"/>
    <x v="17"/>
    <x v="1"/>
    <x v="0"/>
    <x v="0"/>
    <x v="1"/>
    <x v="0"/>
  </r>
  <r>
    <x v="0"/>
    <x v="0"/>
    <n v="2239325208"/>
    <x v="0"/>
    <n v="5400"/>
    <x v="2"/>
    <x v="0"/>
    <x v="17"/>
    <x v="0"/>
    <x v="0"/>
    <x v="0"/>
    <x v="0"/>
    <x v="0"/>
  </r>
  <r>
    <x v="0"/>
    <x v="0"/>
    <n v="2239325210"/>
    <x v="1"/>
    <n v="9450"/>
    <x v="2"/>
    <x v="0"/>
    <x v="17"/>
    <x v="1"/>
    <x v="0"/>
    <x v="0"/>
    <x v="1"/>
    <x v="0"/>
  </r>
  <r>
    <x v="0"/>
    <x v="0"/>
    <n v="2239325211"/>
    <x v="0"/>
    <n v="4950"/>
    <x v="2"/>
    <x v="0"/>
    <x v="17"/>
    <x v="0"/>
    <x v="0"/>
    <x v="0"/>
    <x v="0"/>
    <x v="0"/>
  </r>
  <r>
    <x v="0"/>
    <x v="0"/>
    <n v="2239325212"/>
    <x v="0"/>
    <n v="3600"/>
    <x v="2"/>
    <x v="0"/>
    <x v="17"/>
    <x v="0"/>
    <x v="0"/>
    <x v="0"/>
    <x v="0"/>
    <x v="0"/>
  </r>
  <r>
    <x v="0"/>
    <x v="0"/>
    <n v="2239325213"/>
    <x v="1"/>
    <n v="900"/>
    <x v="2"/>
    <x v="0"/>
    <x v="17"/>
    <x v="1"/>
    <x v="0"/>
    <x v="0"/>
    <x v="1"/>
    <x v="0"/>
  </r>
  <r>
    <x v="0"/>
    <x v="0"/>
    <n v="2239325214"/>
    <x v="0"/>
    <n v="900"/>
    <x v="2"/>
    <x v="0"/>
    <x v="17"/>
    <x v="0"/>
    <x v="0"/>
    <x v="0"/>
    <x v="0"/>
    <x v="0"/>
  </r>
  <r>
    <x v="0"/>
    <x v="0"/>
    <n v="2239325215"/>
    <x v="1"/>
    <n v="1800"/>
    <x v="2"/>
    <x v="0"/>
    <x v="17"/>
    <x v="1"/>
    <x v="0"/>
    <x v="0"/>
    <x v="1"/>
    <x v="0"/>
  </r>
  <r>
    <x v="0"/>
    <x v="0"/>
    <n v="2239325216"/>
    <x v="1"/>
    <n v="2040"/>
    <x v="2"/>
    <x v="0"/>
    <x v="17"/>
    <x v="1"/>
    <x v="0"/>
    <x v="0"/>
    <x v="1"/>
    <x v="0"/>
  </r>
  <r>
    <x v="0"/>
    <x v="0"/>
    <n v="2239325217"/>
    <x v="0"/>
    <n v="1140"/>
    <x v="2"/>
    <x v="0"/>
    <x v="17"/>
    <x v="0"/>
    <x v="0"/>
    <x v="0"/>
    <x v="0"/>
    <x v="0"/>
  </r>
  <r>
    <x v="0"/>
    <x v="0"/>
    <n v="2239325218"/>
    <x v="3"/>
    <n v="15268"/>
    <x v="2"/>
    <x v="0"/>
    <x v="17"/>
    <x v="3"/>
    <x v="0"/>
    <x v="0"/>
    <x v="3"/>
    <x v="0"/>
  </r>
  <r>
    <x v="0"/>
    <x v="0"/>
    <n v="2239325219"/>
    <x v="0"/>
    <n v="900"/>
    <x v="2"/>
    <x v="0"/>
    <x v="17"/>
    <x v="0"/>
    <x v="0"/>
    <x v="0"/>
    <x v="0"/>
    <x v="0"/>
  </r>
  <r>
    <x v="0"/>
    <x v="0"/>
    <n v="2239325220"/>
    <x v="2"/>
    <n v="14168"/>
    <x v="2"/>
    <x v="0"/>
    <x v="17"/>
    <x v="2"/>
    <x v="0"/>
    <x v="0"/>
    <x v="2"/>
    <x v="0"/>
  </r>
  <r>
    <x v="0"/>
    <x v="0"/>
    <n v="2239325221"/>
    <x v="2"/>
    <n v="28336"/>
    <x v="2"/>
    <x v="0"/>
    <x v="17"/>
    <x v="2"/>
    <x v="0"/>
    <x v="0"/>
    <x v="2"/>
    <x v="0"/>
  </r>
  <r>
    <x v="0"/>
    <x v="0"/>
    <n v="2239325222"/>
    <x v="3"/>
    <n v="21252"/>
    <x v="2"/>
    <x v="0"/>
    <x v="17"/>
    <x v="3"/>
    <x v="0"/>
    <x v="0"/>
    <x v="3"/>
    <x v="0"/>
  </r>
  <r>
    <x v="0"/>
    <x v="0"/>
    <n v="2239325224"/>
    <x v="1"/>
    <n v="20680"/>
    <x v="2"/>
    <x v="0"/>
    <x v="17"/>
    <x v="1"/>
    <x v="0"/>
    <x v="0"/>
    <x v="1"/>
    <x v="0"/>
  </r>
  <r>
    <x v="0"/>
    <x v="0"/>
    <n v="2239325225"/>
    <x v="0"/>
    <n v="2700"/>
    <x v="2"/>
    <x v="0"/>
    <x v="17"/>
    <x v="0"/>
    <x v="0"/>
    <x v="0"/>
    <x v="0"/>
    <x v="0"/>
  </r>
  <r>
    <x v="0"/>
    <x v="0"/>
    <n v="2239325226"/>
    <x v="0"/>
    <n v="4500"/>
    <x v="2"/>
    <x v="0"/>
    <x v="17"/>
    <x v="0"/>
    <x v="0"/>
    <x v="0"/>
    <x v="0"/>
    <x v="0"/>
  </r>
  <r>
    <x v="0"/>
    <x v="0"/>
    <n v="2239325227"/>
    <x v="0"/>
    <n v="900"/>
    <x v="2"/>
    <x v="0"/>
    <x v="17"/>
    <x v="0"/>
    <x v="0"/>
    <x v="0"/>
    <x v="0"/>
    <x v="0"/>
  </r>
  <r>
    <x v="0"/>
    <x v="0"/>
    <n v="2239325229"/>
    <x v="0"/>
    <n v="2250"/>
    <x v="2"/>
    <x v="0"/>
    <x v="17"/>
    <x v="0"/>
    <x v="0"/>
    <x v="0"/>
    <x v="0"/>
    <x v="0"/>
  </r>
  <r>
    <x v="0"/>
    <x v="0"/>
    <n v="2239325230"/>
    <x v="1"/>
    <n v="900"/>
    <x v="2"/>
    <x v="0"/>
    <x v="17"/>
    <x v="1"/>
    <x v="0"/>
    <x v="0"/>
    <x v="1"/>
    <x v="0"/>
  </r>
  <r>
    <x v="0"/>
    <x v="0"/>
    <n v="2239325231"/>
    <x v="2"/>
    <n v="3000"/>
    <x v="2"/>
    <x v="0"/>
    <x v="17"/>
    <x v="2"/>
    <x v="0"/>
    <x v="0"/>
    <x v="2"/>
    <x v="0"/>
  </r>
  <r>
    <x v="0"/>
    <x v="0"/>
    <n v="2239325232"/>
    <x v="0"/>
    <n v="750"/>
    <x v="2"/>
    <x v="0"/>
    <x v="17"/>
    <x v="0"/>
    <x v="0"/>
    <x v="0"/>
    <x v="0"/>
    <x v="0"/>
  </r>
  <r>
    <x v="0"/>
    <x v="0"/>
    <n v="2239325233"/>
    <x v="0"/>
    <n v="900"/>
    <x v="2"/>
    <x v="0"/>
    <x v="17"/>
    <x v="0"/>
    <x v="0"/>
    <x v="0"/>
    <x v="0"/>
    <x v="0"/>
  </r>
  <r>
    <x v="0"/>
    <x v="0"/>
    <n v="2239325234"/>
    <x v="0"/>
    <n v="1350"/>
    <x v="2"/>
    <x v="0"/>
    <x v="17"/>
    <x v="0"/>
    <x v="0"/>
    <x v="0"/>
    <x v="0"/>
    <x v="0"/>
  </r>
  <r>
    <x v="0"/>
    <x v="0"/>
    <n v="2239325235"/>
    <x v="0"/>
    <n v="750"/>
    <x v="2"/>
    <x v="0"/>
    <x v="17"/>
    <x v="0"/>
    <x v="0"/>
    <x v="0"/>
    <x v="0"/>
    <x v="0"/>
  </r>
  <r>
    <x v="0"/>
    <x v="0"/>
    <n v="2239325236"/>
    <x v="0"/>
    <n v="13250"/>
    <x v="2"/>
    <x v="0"/>
    <x v="17"/>
    <x v="0"/>
    <x v="0"/>
    <x v="0"/>
    <x v="0"/>
    <x v="0"/>
  </r>
  <r>
    <x v="0"/>
    <x v="0"/>
    <n v="2239325237"/>
    <x v="0"/>
    <n v="2250"/>
    <x v="2"/>
    <x v="0"/>
    <x v="17"/>
    <x v="0"/>
    <x v="0"/>
    <x v="0"/>
    <x v="0"/>
    <x v="0"/>
  </r>
  <r>
    <x v="0"/>
    <x v="0"/>
    <n v="2239325238"/>
    <x v="0"/>
    <n v="2400"/>
    <x v="2"/>
    <x v="0"/>
    <x v="17"/>
    <x v="0"/>
    <x v="0"/>
    <x v="0"/>
    <x v="0"/>
    <x v="0"/>
  </r>
  <r>
    <x v="0"/>
    <x v="0"/>
    <n v="2239325240"/>
    <x v="0"/>
    <n v="6150"/>
    <x v="2"/>
    <x v="0"/>
    <x v="17"/>
    <x v="0"/>
    <x v="0"/>
    <x v="0"/>
    <x v="0"/>
    <x v="0"/>
  </r>
  <r>
    <x v="0"/>
    <x v="0"/>
    <n v="2239325241"/>
    <x v="0"/>
    <n v="900"/>
    <x v="2"/>
    <x v="0"/>
    <x v="17"/>
    <x v="0"/>
    <x v="0"/>
    <x v="0"/>
    <x v="0"/>
    <x v="0"/>
  </r>
  <r>
    <x v="0"/>
    <x v="0"/>
    <n v="2239325242"/>
    <x v="1"/>
    <n v="2940"/>
    <x v="2"/>
    <x v="0"/>
    <x v="17"/>
    <x v="1"/>
    <x v="0"/>
    <x v="0"/>
    <x v="1"/>
    <x v="0"/>
  </r>
  <r>
    <x v="0"/>
    <x v="0"/>
    <n v="2239325243"/>
    <x v="1"/>
    <n v="1140"/>
    <x v="2"/>
    <x v="0"/>
    <x v="17"/>
    <x v="1"/>
    <x v="0"/>
    <x v="0"/>
    <x v="1"/>
    <x v="0"/>
  </r>
  <r>
    <x v="0"/>
    <x v="0"/>
    <n v="2239325244"/>
    <x v="2"/>
    <n v="27445"/>
    <x v="2"/>
    <x v="0"/>
    <x v="17"/>
    <x v="2"/>
    <x v="0"/>
    <x v="0"/>
    <x v="2"/>
    <x v="0"/>
  </r>
  <r>
    <x v="0"/>
    <x v="0"/>
    <n v="2239325245"/>
    <x v="6"/>
    <n v="6000"/>
    <x v="2"/>
    <x v="0"/>
    <x v="17"/>
    <x v="6"/>
    <x v="0"/>
    <x v="0"/>
    <x v="5"/>
    <x v="0"/>
  </r>
  <r>
    <x v="0"/>
    <x v="0"/>
    <n v="2239325246"/>
    <x v="0"/>
    <n v="750"/>
    <x v="2"/>
    <x v="0"/>
    <x v="17"/>
    <x v="0"/>
    <x v="0"/>
    <x v="0"/>
    <x v="0"/>
    <x v="0"/>
  </r>
  <r>
    <x v="0"/>
    <x v="0"/>
    <n v="2239325247"/>
    <x v="0"/>
    <n v="2250"/>
    <x v="2"/>
    <x v="0"/>
    <x v="17"/>
    <x v="0"/>
    <x v="0"/>
    <x v="0"/>
    <x v="0"/>
    <x v="0"/>
  </r>
  <r>
    <x v="0"/>
    <x v="0"/>
    <n v="2239325249"/>
    <x v="1"/>
    <n v="1500"/>
    <x v="2"/>
    <x v="0"/>
    <x v="17"/>
    <x v="1"/>
    <x v="0"/>
    <x v="0"/>
    <x v="1"/>
    <x v="0"/>
  </r>
  <r>
    <x v="0"/>
    <x v="0"/>
    <n v="2239325250"/>
    <x v="6"/>
    <n v="1750"/>
    <x v="2"/>
    <x v="0"/>
    <x v="17"/>
    <x v="6"/>
    <x v="0"/>
    <x v="0"/>
    <x v="5"/>
    <x v="0"/>
  </r>
  <r>
    <x v="0"/>
    <x v="0"/>
    <n v="2239325251"/>
    <x v="0"/>
    <n v="2250"/>
    <x v="2"/>
    <x v="0"/>
    <x v="17"/>
    <x v="0"/>
    <x v="0"/>
    <x v="0"/>
    <x v="0"/>
    <x v="0"/>
  </r>
  <r>
    <x v="0"/>
    <x v="0"/>
    <n v="2239325252"/>
    <x v="2"/>
    <n v="4345"/>
    <x v="2"/>
    <x v="0"/>
    <x v="17"/>
    <x v="2"/>
    <x v="0"/>
    <x v="0"/>
    <x v="2"/>
    <x v="0"/>
  </r>
  <r>
    <x v="0"/>
    <x v="0"/>
    <n v="2239325252"/>
    <x v="7"/>
    <n v="3950"/>
    <x v="2"/>
    <x v="0"/>
    <x v="17"/>
    <x v="7"/>
    <x v="0"/>
    <x v="0"/>
    <x v="1"/>
    <x v="0"/>
  </r>
  <r>
    <x v="0"/>
    <x v="0"/>
    <n v="2239325253"/>
    <x v="1"/>
    <n v="2040"/>
    <x v="2"/>
    <x v="0"/>
    <x v="17"/>
    <x v="1"/>
    <x v="0"/>
    <x v="0"/>
    <x v="1"/>
    <x v="0"/>
  </r>
  <r>
    <x v="0"/>
    <x v="0"/>
    <n v="2239325254"/>
    <x v="1"/>
    <n v="2250"/>
    <x v="2"/>
    <x v="0"/>
    <x v="17"/>
    <x v="1"/>
    <x v="0"/>
    <x v="0"/>
    <x v="1"/>
    <x v="0"/>
  </r>
  <r>
    <x v="0"/>
    <x v="0"/>
    <n v="2239325255"/>
    <x v="1"/>
    <n v="24450"/>
    <x v="2"/>
    <x v="0"/>
    <x v="17"/>
    <x v="1"/>
    <x v="0"/>
    <x v="0"/>
    <x v="1"/>
    <x v="0"/>
  </r>
  <r>
    <x v="0"/>
    <x v="0"/>
    <n v="2239325256"/>
    <x v="2"/>
    <n v="9295"/>
    <x v="2"/>
    <x v="0"/>
    <x v="17"/>
    <x v="2"/>
    <x v="0"/>
    <x v="0"/>
    <x v="2"/>
    <x v="0"/>
  </r>
  <r>
    <x v="0"/>
    <x v="0"/>
    <n v="2239325257"/>
    <x v="2"/>
    <n v="66550"/>
    <x v="2"/>
    <x v="0"/>
    <x v="17"/>
    <x v="2"/>
    <x v="0"/>
    <x v="0"/>
    <x v="2"/>
    <x v="0"/>
  </r>
  <r>
    <x v="0"/>
    <x v="0"/>
    <n v="2239325259"/>
    <x v="1"/>
    <n v="3000"/>
    <x v="2"/>
    <x v="0"/>
    <x v="17"/>
    <x v="1"/>
    <x v="0"/>
    <x v="0"/>
    <x v="1"/>
    <x v="0"/>
  </r>
  <r>
    <x v="0"/>
    <x v="0"/>
    <n v="2239325261"/>
    <x v="1"/>
    <n v="13500"/>
    <x v="2"/>
    <x v="0"/>
    <x v="17"/>
    <x v="1"/>
    <x v="0"/>
    <x v="0"/>
    <x v="1"/>
    <x v="0"/>
  </r>
  <r>
    <x v="0"/>
    <x v="0"/>
    <n v="2239325262"/>
    <x v="1"/>
    <n v="900"/>
    <x v="2"/>
    <x v="0"/>
    <x v="17"/>
    <x v="1"/>
    <x v="0"/>
    <x v="0"/>
    <x v="1"/>
    <x v="0"/>
  </r>
  <r>
    <x v="0"/>
    <x v="0"/>
    <n v="2239325263"/>
    <x v="3"/>
    <n v="47465"/>
    <x v="2"/>
    <x v="0"/>
    <x v="17"/>
    <x v="3"/>
    <x v="0"/>
    <x v="0"/>
    <x v="3"/>
    <x v="0"/>
  </r>
  <r>
    <x v="0"/>
    <x v="0"/>
    <n v="2239325264"/>
    <x v="4"/>
    <n v="13600"/>
    <x v="2"/>
    <x v="0"/>
    <x v="17"/>
    <x v="4"/>
    <x v="0"/>
    <x v="0"/>
    <x v="4"/>
    <x v="0"/>
  </r>
  <r>
    <x v="0"/>
    <x v="0"/>
    <n v="2239325265"/>
    <x v="5"/>
    <n v="-50"/>
    <x v="2"/>
    <x v="0"/>
    <x v="17"/>
    <x v="5"/>
    <x v="0"/>
    <x v="0"/>
    <x v="5"/>
    <x v="0"/>
  </r>
  <r>
    <x v="0"/>
    <x v="0"/>
    <n v="2239325265"/>
    <x v="6"/>
    <n v="8000"/>
    <x v="2"/>
    <x v="0"/>
    <x v="17"/>
    <x v="6"/>
    <x v="0"/>
    <x v="0"/>
    <x v="5"/>
    <x v="0"/>
  </r>
  <r>
    <x v="0"/>
    <x v="0"/>
    <n v="2239325265"/>
    <x v="2"/>
    <n v="3000"/>
    <x v="2"/>
    <x v="0"/>
    <x v="17"/>
    <x v="2"/>
    <x v="0"/>
    <x v="0"/>
    <x v="2"/>
    <x v="0"/>
  </r>
  <r>
    <x v="0"/>
    <x v="0"/>
    <n v="2239325266"/>
    <x v="0"/>
    <n v="1800"/>
    <x v="2"/>
    <x v="0"/>
    <x v="17"/>
    <x v="0"/>
    <x v="0"/>
    <x v="0"/>
    <x v="0"/>
    <x v="0"/>
  </r>
  <r>
    <x v="0"/>
    <x v="0"/>
    <n v="2239325267"/>
    <x v="5"/>
    <n v="-5000"/>
    <x v="2"/>
    <x v="0"/>
    <x v="17"/>
    <x v="5"/>
    <x v="0"/>
    <x v="0"/>
    <x v="5"/>
    <x v="0"/>
  </r>
  <r>
    <x v="0"/>
    <x v="0"/>
    <n v="2239325267"/>
    <x v="4"/>
    <n v="10300"/>
    <x v="2"/>
    <x v="0"/>
    <x v="17"/>
    <x v="4"/>
    <x v="0"/>
    <x v="0"/>
    <x v="4"/>
    <x v="0"/>
  </r>
  <r>
    <x v="0"/>
    <x v="0"/>
    <n v="2239325268"/>
    <x v="2"/>
    <n v="43000"/>
    <x v="2"/>
    <x v="0"/>
    <x v="17"/>
    <x v="2"/>
    <x v="0"/>
    <x v="0"/>
    <x v="2"/>
    <x v="0"/>
  </r>
  <r>
    <x v="0"/>
    <x v="0"/>
    <n v="2239325269"/>
    <x v="4"/>
    <n v="5700"/>
    <x v="2"/>
    <x v="0"/>
    <x v="17"/>
    <x v="4"/>
    <x v="0"/>
    <x v="0"/>
    <x v="4"/>
    <x v="0"/>
  </r>
  <r>
    <x v="0"/>
    <x v="0"/>
    <n v="2239325270"/>
    <x v="2"/>
    <n v="16995"/>
    <x v="2"/>
    <x v="0"/>
    <x v="17"/>
    <x v="2"/>
    <x v="0"/>
    <x v="0"/>
    <x v="2"/>
    <x v="0"/>
  </r>
  <r>
    <x v="0"/>
    <x v="0"/>
    <n v="2239325271"/>
    <x v="5"/>
    <n v="-5050"/>
    <x v="2"/>
    <x v="0"/>
    <x v="17"/>
    <x v="5"/>
    <x v="0"/>
    <x v="0"/>
    <x v="5"/>
    <x v="0"/>
  </r>
  <r>
    <x v="0"/>
    <x v="0"/>
    <n v="2239325271"/>
    <x v="6"/>
    <n v="10000"/>
    <x v="2"/>
    <x v="0"/>
    <x v="17"/>
    <x v="6"/>
    <x v="0"/>
    <x v="0"/>
    <x v="5"/>
    <x v="0"/>
  </r>
  <r>
    <x v="0"/>
    <x v="0"/>
    <n v="2239325272"/>
    <x v="5"/>
    <n v="-600"/>
    <x v="2"/>
    <x v="0"/>
    <x v="17"/>
    <x v="5"/>
    <x v="0"/>
    <x v="0"/>
    <x v="5"/>
    <x v="0"/>
  </r>
  <r>
    <x v="0"/>
    <x v="0"/>
    <n v="2239325272"/>
    <x v="4"/>
    <n v="5000"/>
    <x v="2"/>
    <x v="0"/>
    <x v="17"/>
    <x v="4"/>
    <x v="0"/>
    <x v="0"/>
    <x v="4"/>
    <x v="0"/>
  </r>
  <r>
    <x v="0"/>
    <x v="0"/>
    <n v="2239325273"/>
    <x v="5"/>
    <n v="-5400"/>
    <x v="2"/>
    <x v="0"/>
    <x v="17"/>
    <x v="5"/>
    <x v="0"/>
    <x v="0"/>
    <x v="5"/>
    <x v="0"/>
  </r>
  <r>
    <x v="0"/>
    <x v="0"/>
    <n v="2239325273"/>
    <x v="4"/>
    <n v="10000"/>
    <x v="2"/>
    <x v="0"/>
    <x v="17"/>
    <x v="4"/>
    <x v="0"/>
    <x v="0"/>
    <x v="4"/>
    <x v="0"/>
  </r>
  <r>
    <x v="0"/>
    <x v="0"/>
    <n v="2239325274"/>
    <x v="0"/>
    <n v="64350"/>
    <x v="2"/>
    <x v="0"/>
    <x v="17"/>
    <x v="0"/>
    <x v="0"/>
    <x v="0"/>
    <x v="0"/>
    <x v="0"/>
  </r>
  <r>
    <x v="0"/>
    <x v="0"/>
    <n v="2239325275"/>
    <x v="5"/>
    <n v="-5000"/>
    <x v="2"/>
    <x v="0"/>
    <x v="17"/>
    <x v="5"/>
    <x v="0"/>
    <x v="0"/>
    <x v="5"/>
    <x v="0"/>
  </r>
  <r>
    <x v="0"/>
    <x v="0"/>
    <n v="2239325275"/>
    <x v="4"/>
    <n v="10300"/>
    <x v="2"/>
    <x v="0"/>
    <x v="17"/>
    <x v="4"/>
    <x v="0"/>
    <x v="0"/>
    <x v="4"/>
    <x v="0"/>
  </r>
  <r>
    <x v="0"/>
    <x v="0"/>
    <n v="2239325276"/>
    <x v="0"/>
    <n v="1950"/>
    <x v="2"/>
    <x v="0"/>
    <x v="17"/>
    <x v="0"/>
    <x v="0"/>
    <x v="0"/>
    <x v="0"/>
    <x v="0"/>
  </r>
  <r>
    <x v="0"/>
    <x v="0"/>
    <n v="2239325277"/>
    <x v="5"/>
    <n v="-1240"/>
    <x v="2"/>
    <x v="0"/>
    <x v="17"/>
    <x v="5"/>
    <x v="0"/>
    <x v="0"/>
    <x v="5"/>
    <x v="0"/>
  </r>
  <r>
    <x v="0"/>
    <x v="0"/>
    <n v="2239325277"/>
    <x v="6"/>
    <n v="10000"/>
    <x v="2"/>
    <x v="0"/>
    <x v="17"/>
    <x v="6"/>
    <x v="0"/>
    <x v="0"/>
    <x v="5"/>
    <x v="0"/>
  </r>
  <r>
    <x v="0"/>
    <x v="0"/>
    <n v="2239325278"/>
    <x v="2"/>
    <n v="13420"/>
    <x v="2"/>
    <x v="0"/>
    <x v="17"/>
    <x v="2"/>
    <x v="0"/>
    <x v="0"/>
    <x v="2"/>
    <x v="0"/>
  </r>
  <r>
    <x v="0"/>
    <x v="0"/>
    <n v="2239325279"/>
    <x v="1"/>
    <n v="1500"/>
    <x v="2"/>
    <x v="0"/>
    <x v="17"/>
    <x v="1"/>
    <x v="0"/>
    <x v="0"/>
    <x v="1"/>
    <x v="0"/>
  </r>
  <r>
    <x v="0"/>
    <x v="0"/>
    <n v="2239325280"/>
    <x v="2"/>
    <n v="11990"/>
    <x v="2"/>
    <x v="0"/>
    <x v="17"/>
    <x v="2"/>
    <x v="0"/>
    <x v="0"/>
    <x v="2"/>
    <x v="0"/>
  </r>
  <r>
    <x v="0"/>
    <x v="0"/>
    <n v="2239325280"/>
    <x v="7"/>
    <n v="5450"/>
    <x v="2"/>
    <x v="0"/>
    <x v="17"/>
    <x v="7"/>
    <x v="0"/>
    <x v="0"/>
    <x v="1"/>
    <x v="0"/>
  </r>
  <r>
    <x v="0"/>
    <x v="0"/>
    <n v="2239325281"/>
    <x v="5"/>
    <n v="-6100"/>
    <x v="2"/>
    <x v="0"/>
    <x v="17"/>
    <x v="5"/>
    <x v="0"/>
    <x v="0"/>
    <x v="5"/>
    <x v="0"/>
  </r>
  <r>
    <x v="0"/>
    <x v="0"/>
    <n v="2239325281"/>
    <x v="4"/>
    <n v="10500"/>
    <x v="2"/>
    <x v="0"/>
    <x v="17"/>
    <x v="4"/>
    <x v="0"/>
    <x v="0"/>
    <x v="4"/>
    <x v="0"/>
  </r>
  <r>
    <x v="0"/>
    <x v="0"/>
    <n v="2239325282"/>
    <x v="3"/>
    <n v="52700"/>
    <x v="2"/>
    <x v="0"/>
    <x v="17"/>
    <x v="3"/>
    <x v="0"/>
    <x v="0"/>
    <x v="3"/>
    <x v="0"/>
  </r>
  <r>
    <x v="0"/>
    <x v="0"/>
    <n v="2239325282"/>
    <x v="7"/>
    <n v="7900"/>
    <x v="2"/>
    <x v="0"/>
    <x v="17"/>
    <x v="7"/>
    <x v="0"/>
    <x v="0"/>
    <x v="1"/>
    <x v="0"/>
  </r>
  <r>
    <x v="0"/>
    <x v="0"/>
    <n v="2239325283"/>
    <x v="5"/>
    <n v="-300"/>
    <x v="2"/>
    <x v="0"/>
    <x v="17"/>
    <x v="5"/>
    <x v="0"/>
    <x v="0"/>
    <x v="5"/>
    <x v="0"/>
  </r>
  <r>
    <x v="0"/>
    <x v="0"/>
    <n v="2239325283"/>
    <x v="4"/>
    <n v="6000"/>
    <x v="2"/>
    <x v="0"/>
    <x v="17"/>
    <x v="4"/>
    <x v="0"/>
    <x v="0"/>
    <x v="4"/>
    <x v="0"/>
  </r>
  <r>
    <x v="0"/>
    <x v="0"/>
    <n v="2239325284"/>
    <x v="2"/>
    <n v="23111"/>
    <x v="2"/>
    <x v="0"/>
    <x v="17"/>
    <x v="2"/>
    <x v="0"/>
    <x v="0"/>
    <x v="2"/>
    <x v="0"/>
  </r>
  <r>
    <x v="0"/>
    <x v="0"/>
    <n v="2239325285"/>
    <x v="5"/>
    <n v="-5000"/>
    <x v="2"/>
    <x v="0"/>
    <x v="17"/>
    <x v="5"/>
    <x v="0"/>
    <x v="0"/>
    <x v="5"/>
    <x v="0"/>
  </r>
  <r>
    <x v="0"/>
    <x v="0"/>
    <n v="2239325285"/>
    <x v="4"/>
    <n v="10000"/>
    <x v="2"/>
    <x v="0"/>
    <x v="17"/>
    <x v="4"/>
    <x v="0"/>
    <x v="0"/>
    <x v="4"/>
    <x v="0"/>
  </r>
  <r>
    <x v="0"/>
    <x v="0"/>
    <n v="2239325286"/>
    <x v="1"/>
    <n v="17470"/>
    <x v="2"/>
    <x v="0"/>
    <x v="17"/>
    <x v="1"/>
    <x v="0"/>
    <x v="0"/>
    <x v="1"/>
    <x v="0"/>
  </r>
  <r>
    <x v="0"/>
    <x v="0"/>
    <n v="2239325287"/>
    <x v="2"/>
    <n v="11550"/>
    <x v="2"/>
    <x v="0"/>
    <x v="17"/>
    <x v="2"/>
    <x v="0"/>
    <x v="0"/>
    <x v="2"/>
    <x v="0"/>
  </r>
  <r>
    <x v="0"/>
    <x v="0"/>
    <n v="2239325288"/>
    <x v="2"/>
    <n v="2500"/>
    <x v="2"/>
    <x v="0"/>
    <x v="17"/>
    <x v="2"/>
    <x v="0"/>
    <x v="0"/>
    <x v="2"/>
    <x v="0"/>
  </r>
  <r>
    <x v="0"/>
    <x v="0"/>
    <n v="2239325289"/>
    <x v="4"/>
    <n v="4400"/>
    <x v="2"/>
    <x v="0"/>
    <x v="17"/>
    <x v="4"/>
    <x v="0"/>
    <x v="0"/>
    <x v="4"/>
    <x v="0"/>
  </r>
  <r>
    <x v="0"/>
    <x v="0"/>
    <n v="2239325290"/>
    <x v="3"/>
    <n v="8750"/>
    <x v="2"/>
    <x v="0"/>
    <x v="17"/>
    <x v="3"/>
    <x v="0"/>
    <x v="0"/>
    <x v="3"/>
    <x v="0"/>
  </r>
  <r>
    <x v="0"/>
    <x v="0"/>
    <n v="2239325291"/>
    <x v="5"/>
    <n v="-6250"/>
    <x v="2"/>
    <x v="0"/>
    <x v="17"/>
    <x v="5"/>
    <x v="0"/>
    <x v="0"/>
    <x v="5"/>
    <x v="0"/>
  </r>
  <r>
    <x v="0"/>
    <x v="0"/>
    <n v="2239325291"/>
    <x v="6"/>
    <n v="10000"/>
    <x v="2"/>
    <x v="0"/>
    <x v="17"/>
    <x v="6"/>
    <x v="0"/>
    <x v="0"/>
    <x v="5"/>
    <x v="0"/>
  </r>
  <r>
    <x v="0"/>
    <x v="0"/>
    <n v="2239325291"/>
    <x v="7"/>
    <n v="750"/>
    <x v="2"/>
    <x v="0"/>
    <x v="17"/>
    <x v="7"/>
    <x v="0"/>
    <x v="0"/>
    <x v="1"/>
    <x v="0"/>
  </r>
  <r>
    <x v="0"/>
    <x v="0"/>
    <n v="2239325293"/>
    <x v="5"/>
    <n v="-5900"/>
    <x v="2"/>
    <x v="0"/>
    <x v="17"/>
    <x v="5"/>
    <x v="0"/>
    <x v="0"/>
    <x v="5"/>
    <x v="0"/>
  </r>
  <r>
    <x v="0"/>
    <x v="0"/>
    <n v="2239325293"/>
    <x v="6"/>
    <n v="263000"/>
    <x v="2"/>
    <x v="0"/>
    <x v="17"/>
    <x v="6"/>
    <x v="0"/>
    <x v="0"/>
    <x v="5"/>
    <x v="0"/>
  </r>
  <r>
    <x v="0"/>
    <x v="0"/>
    <n v="2239325294"/>
    <x v="5"/>
    <n v="-9400"/>
    <x v="2"/>
    <x v="0"/>
    <x v="17"/>
    <x v="5"/>
    <x v="0"/>
    <x v="0"/>
    <x v="5"/>
    <x v="0"/>
  </r>
  <r>
    <x v="0"/>
    <x v="0"/>
    <n v="2239325294"/>
    <x v="4"/>
    <n v="20000"/>
    <x v="2"/>
    <x v="0"/>
    <x v="17"/>
    <x v="4"/>
    <x v="0"/>
    <x v="0"/>
    <x v="4"/>
    <x v="0"/>
  </r>
  <r>
    <x v="0"/>
    <x v="0"/>
    <n v="2239325295"/>
    <x v="3"/>
    <n v="114565"/>
    <x v="2"/>
    <x v="0"/>
    <x v="17"/>
    <x v="3"/>
    <x v="0"/>
    <x v="0"/>
    <x v="3"/>
    <x v="0"/>
  </r>
  <r>
    <x v="0"/>
    <x v="0"/>
    <n v="2239325296"/>
    <x v="2"/>
    <n v="44990"/>
    <x v="2"/>
    <x v="0"/>
    <x v="17"/>
    <x v="2"/>
    <x v="0"/>
    <x v="0"/>
    <x v="2"/>
    <x v="0"/>
  </r>
  <r>
    <x v="0"/>
    <x v="0"/>
    <n v="2239325297"/>
    <x v="4"/>
    <n v="4400"/>
    <x v="2"/>
    <x v="0"/>
    <x v="17"/>
    <x v="4"/>
    <x v="0"/>
    <x v="0"/>
    <x v="4"/>
    <x v="0"/>
  </r>
  <r>
    <x v="0"/>
    <x v="0"/>
    <n v="2239325298"/>
    <x v="5"/>
    <n v="-400"/>
    <x v="2"/>
    <x v="0"/>
    <x v="17"/>
    <x v="5"/>
    <x v="0"/>
    <x v="0"/>
    <x v="5"/>
    <x v="0"/>
  </r>
  <r>
    <x v="0"/>
    <x v="0"/>
    <n v="2239325298"/>
    <x v="4"/>
    <n v="5000"/>
    <x v="2"/>
    <x v="0"/>
    <x v="17"/>
    <x v="4"/>
    <x v="0"/>
    <x v="0"/>
    <x v="4"/>
    <x v="0"/>
  </r>
  <r>
    <x v="0"/>
    <x v="0"/>
    <n v="2239325299"/>
    <x v="2"/>
    <n v="43450"/>
    <x v="2"/>
    <x v="0"/>
    <x v="17"/>
    <x v="2"/>
    <x v="0"/>
    <x v="0"/>
    <x v="2"/>
    <x v="0"/>
  </r>
  <r>
    <x v="0"/>
    <x v="0"/>
    <n v="2239325300"/>
    <x v="3"/>
    <n v="53790"/>
    <x v="2"/>
    <x v="0"/>
    <x v="17"/>
    <x v="3"/>
    <x v="0"/>
    <x v="0"/>
    <x v="3"/>
    <x v="0"/>
  </r>
  <r>
    <x v="0"/>
    <x v="0"/>
    <n v="2239325300"/>
    <x v="7"/>
    <n v="500"/>
    <x v="2"/>
    <x v="0"/>
    <x v="17"/>
    <x v="7"/>
    <x v="0"/>
    <x v="0"/>
    <x v="1"/>
    <x v="0"/>
  </r>
  <r>
    <x v="0"/>
    <x v="0"/>
    <n v="2239325301"/>
    <x v="3"/>
    <n v="58740"/>
    <x v="2"/>
    <x v="0"/>
    <x v="17"/>
    <x v="3"/>
    <x v="0"/>
    <x v="0"/>
    <x v="3"/>
    <x v="0"/>
  </r>
  <r>
    <x v="0"/>
    <x v="0"/>
    <n v="2239325302"/>
    <x v="2"/>
    <n v="41470"/>
    <x v="2"/>
    <x v="0"/>
    <x v="17"/>
    <x v="2"/>
    <x v="0"/>
    <x v="0"/>
    <x v="2"/>
    <x v="0"/>
  </r>
  <r>
    <x v="0"/>
    <x v="0"/>
    <n v="2239325303"/>
    <x v="2"/>
    <n v="10890"/>
    <x v="2"/>
    <x v="0"/>
    <x v="17"/>
    <x v="2"/>
    <x v="0"/>
    <x v="0"/>
    <x v="2"/>
    <x v="0"/>
  </r>
  <r>
    <x v="0"/>
    <x v="0"/>
    <n v="2239325304"/>
    <x v="2"/>
    <n v="24640"/>
    <x v="2"/>
    <x v="0"/>
    <x v="17"/>
    <x v="2"/>
    <x v="0"/>
    <x v="0"/>
    <x v="2"/>
    <x v="0"/>
  </r>
  <r>
    <x v="0"/>
    <x v="0"/>
    <n v="2239325305"/>
    <x v="2"/>
    <n v="32340"/>
    <x v="2"/>
    <x v="0"/>
    <x v="17"/>
    <x v="2"/>
    <x v="0"/>
    <x v="0"/>
    <x v="2"/>
    <x v="0"/>
  </r>
  <r>
    <x v="0"/>
    <x v="0"/>
    <n v="2239325306"/>
    <x v="0"/>
    <n v="2250"/>
    <x v="2"/>
    <x v="0"/>
    <x v="17"/>
    <x v="0"/>
    <x v="0"/>
    <x v="0"/>
    <x v="0"/>
    <x v="0"/>
  </r>
  <r>
    <x v="0"/>
    <x v="0"/>
    <n v="2239325307"/>
    <x v="2"/>
    <n v="5500"/>
    <x v="2"/>
    <x v="0"/>
    <x v="17"/>
    <x v="2"/>
    <x v="0"/>
    <x v="0"/>
    <x v="2"/>
    <x v="0"/>
  </r>
  <r>
    <x v="0"/>
    <x v="0"/>
    <n v="2239325308"/>
    <x v="2"/>
    <n v="6160"/>
    <x v="2"/>
    <x v="0"/>
    <x v="17"/>
    <x v="2"/>
    <x v="0"/>
    <x v="0"/>
    <x v="2"/>
    <x v="0"/>
  </r>
  <r>
    <x v="0"/>
    <x v="0"/>
    <n v="2239325309"/>
    <x v="2"/>
    <n v="4000"/>
    <x v="2"/>
    <x v="0"/>
    <x v="17"/>
    <x v="2"/>
    <x v="0"/>
    <x v="0"/>
    <x v="2"/>
    <x v="0"/>
  </r>
  <r>
    <x v="0"/>
    <x v="0"/>
    <n v="2239325311"/>
    <x v="2"/>
    <n v="80630"/>
    <x v="2"/>
    <x v="0"/>
    <x v="17"/>
    <x v="2"/>
    <x v="0"/>
    <x v="0"/>
    <x v="2"/>
    <x v="0"/>
  </r>
  <r>
    <x v="0"/>
    <x v="0"/>
    <n v="2239325312"/>
    <x v="1"/>
    <n v="2550"/>
    <x v="2"/>
    <x v="0"/>
    <x v="17"/>
    <x v="1"/>
    <x v="0"/>
    <x v="0"/>
    <x v="1"/>
    <x v="0"/>
  </r>
  <r>
    <x v="0"/>
    <x v="0"/>
    <n v="2239325313"/>
    <x v="5"/>
    <n v="-12000"/>
    <x v="2"/>
    <x v="0"/>
    <x v="17"/>
    <x v="5"/>
    <x v="0"/>
    <x v="0"/>
    <x v="5"/>
    <x v="0"/>
  </r>
  <r>
    <x v="0"/>
    <x v="0"/>
    <n v="2239325313"/>
    <x v="6"/>
    <n v="20000"/>
    <x v="2"/>
    <x v="0"/>
    <x v="17"/>
    <x v="6"/>
    <x v="0"/>
    <x v="0"/>
    <x v="5"/>
    <x v="0"/>
  </r>
  <r>
    <x v="0"/>
    <x v="0"/>
    <n v="2239325314"/>
    <x v="4"/>
    <n v="5600"/>
    <x v="2"/>
    <x v="0"/>
    <x v="17"/>
    <x v="4"/>
    <x v="0"/>
    <x v="0"/>
    <x v="4"/>
    <x v="0"/>
  </r>
  <r>
    <x v="0"/>
    <x v="0"/>
    <n v="2239325315"/>
    <x v="5"/>
    <n v="-400"/>
    <x v="2"/>
    <x v="0"/>
    <x v="17"/>
    <x v="5"/>
    <x v="0"/>
    <x v="0"/>
    <x v="5"/>
    <x v="0"/>
  </r>
  <r>
    <x v="0"/>
    <x v="0"/>
    <n v="2239325315"/>
    <x v="4"/>
    <n v="5000"/>
    <x v="2"/>
    <x v="0"/>
    <x v="17"/>
    <x v="4"/>
    <x v="0"/>
    <x v="0"/>
    <x v="4"/>
    <x v="0"/>
  </r>
  <r>
    <x v="0"/>
    <x v="0"/>
    <n v="2239325316"/>
    <x v="2"/>
    <n v="41800"/>
    <x v="2"/>
    <x v="0"/>
    <x v="17"/>
    <x v="2"/>
    <x v="0"/>
    <x v="0"/>
    <x v="2"/>
    <x v="0"/>
  </r>
  <r>
    <x v="0"/>
    <x v="0"/>
    <n v="2239325317"/>
    <x v="2"/>
    <n v="47850"/>
    <x v="2"/>
    <x v="0"/>
    <x v="17"/>
    <x v="2"/>
    <x v="0"/>
    <x v="0"/>
    <x v="2"/>
    <x v="0"/>
  </r>
  <r>
    <x v="0"/>
    <x v="0"/>
    <n v="2239325318"/>
    <x v="5"/>
    <n v="-14150"/>
    <x v="2"/>
    <x v="0"/>
    <x v="17"/>
    <x v="5"/>
    <x v="0"/>
    <x v="0"/>
    <x v="5"/>
    <x v="0"/>
  </r>
  <r>
    <x v="0"/>
    <x v="0"/>
    <n v="2239325318"/>
    <x v="6"/>
    <n v="40000"/>
    <x v="2"/>
    <x v="0"/>
    <x v="17"/>
    <x v="6"/>
    <x v="0"/>
    <x v="0"/>
    <x v="5"/>
    <x v="0"/>
  </r>
  <r>
    <x v="0"/>
    <x v="0"/>
    <n v="2239325318"/>
    <x v="8"/>
    <n v="15950"/>
    <x v="2"/>
    <x v="0"/>
    <x v="17"/>
    <x v="8"/>
    <x v="0"/>
    <x v="0"/>
    <x v="3"/>
    <x v="0"/>
  </r>
  <r>
    <x v="0"/>
    <x v="0"/>
    <n v="2239325319"/>
    <x v="3"/>
    <n v="48290"/>
    <x v="2"/>
    <x v="0"/>
    <x v="17"/>
    <x v="3"/>
    <x v="0"/>
    <x v="0"/>
    <x v="3"/>
    <x v="0"/>
  </r>
  <r>
    <x v="0"/>
    <x v="0"/>
    <n v="2239325320"/>
    <x v="5"/>
    <n v="-2100"/>
    <x v="2"/>
    <x v="0"/>
    <x v="17"/>
    <x v="5"/>
    <x v="0"/>
    <x v="0"/>
    <x v="5"/>
    <x v="0"/>
  </r>
  <r>
    <x v="0"/>
    <x v="0"/>
    <n v="2239325320"/>
    <x v="6"/>
    <n v="20000"/>
    <x v="2"/>
    <x v="0"/>
    <x v="17"/>
    <x v="6"/>
    <x v="0"/>
    <x v="0"/>
    <x v="5"/>
    <x v="0"/>
  </r>
  <r>
    <x v="0"/>
    <x v="0"/>
    <n v="2239325321"/>
    <x v="1"/>
    <n v="600"/>
    <x v="2"/>
    <x v="0"/>
    <x v="17"/>
    <x v="1"/>
    <x v="0"/>
    <x v="0"/>
    <x v="1"/>
    <x v="0"/>
  </r>
  <r>
    <x v="0"/>
    <x v="0"/>
    <n v="2239325322"/>
    <x v="2"/>
    <n v="14300"/>
    <x v="2"/>
    <x v="0"/>
    <x v="17"/>
    <x v="2"/>
    <x v="0"/>
    <x v="0"/>
    <x v="2"/>
    <x v="0"/>
  </r>
  <r>
    <x v="0"/>
    <x v="0"/>
    <n v="2239325323"/>
    <x v="2"/>
    <n v="18040"/>
    <x v="2"/>
    <x v="0"/>
    <x v="17"/>
    <x v="2"/>
    <x v="0"/>
    <x v="0"/>
    <x v="2"/>
    <x v="0"/>
  </r>
  <r>
    <x v="0"/>
    <x v="0"/>
    <n v="2239325324"/>
    <x v="5"/>
    <n v="-6850"/>
    <x v="2"/>
    <x v="0"/>
    <x v="17"/>
    <x v="5"/>
    <x v="0"/>
    <x v="0"/>
    <x v="5"/>
    <x v="0"/>
  </r>
  <r>
    <x v="0"/>
    <x v="0"/>
    <n v="2239325324"/>
    <x v="6"/>
    <n v="10000"/>
    <x v="2"/>
    <x v="0"/>
    <x v="17"/>
    <x v="6"/>
    <x v="0"/>
    <x v="0"/>
    <x v="5"/>
    <x v="0"/>
  </r>
  <r>
    <x v="0"/>
    <x v="0"/>
    <n v="2239325325"/>
    <x v="2"/>
    <n v="10000"/>
    <x v="2"/>
    <x v="0"/>
    <x v="17"/>
    <x v="2"/>
    <x v="0"/>
    <x v="0"/>
    <x v="2"/>
    <x v="0"/>
  </r>
  <r>
    <x v="0"/>
    <x v="0"/>
    <n v="2239325327"/>
    <x v="2"/>
    <n v="4000"/>
    <x v="2"/>
    <x v="0"/>
    <x v="17"/>
    <x v="2"/>
    <x v="0"/>
    <x v="0"/>
    <x v="2"/>
    <x v="0"/>
  </r>
  <r>
    <x v="0"/>
    <x v="0"/>
    <n v="2239325328"/>
    <x v="2"/>
    <n v="6500"/>
    <x v="2"/>
    <x v="0"/>
    <x v="17"/>
    <x v="2"/>
    <x v="0"/>
    <x v="0"/>
    <x v="2"/>
    <x v="0"/>
  </r>
  <r>
    <x v="0"/>
    <x v="0"/>
    <n v="2239325329"/>
    <x v="0"/>
    <n v="2250"/>
    <x v="2"/>
    <x v="0"/>
    <x v="17"/>
    <x v="0"/>
    <x v="0"/>
    <x v="0"/>
    <x v="0"/>
    <x v="0"/>
  </r>
  <r>
    <x v="0"/>
    <x v="0"/>
    <n v="2239325330"/>
    <x v="3"/>
    <n v="15400"/>
    <x v="2"/>
    <x v="0"/>
    <x v="17"/>
    <x v="3"/>
    <x v="0"/>
    <x v="0"/>
    <x v="3"/>
    <x v="0"/>
  </r>
  <r>
    <x v="0"/>
    <x v="0"/>
    <n v="2239325332"/>
    <x v="5"/>
    <n v="-1800"/>
    <x v="2"/>
    <x v="0"/>
    <x v="17"/>
    <x v="5"/>
    <x v="0"/>
    <x v="0"/>
    <x v="5"/>
    <x v="0"/>
  </r>
  <r>
    <x v="0"/>
    <x v="0"/>
    <n v="2239325332"/>
    <x v="6"/>
    <n v="5000"/>
    <x v="2"/>
    <x v="0"/>
    <x v="17"/>
    <x v="6"/>
    <x v="0"/>
    <x v="0"/>
    <x v="5"/>
    <x v="0"/>
  </r>
  <r>
    <x v="0"/>
    <x v="0"/>
    <n v="2239325334"/>
    <x v="5"/>
    <n v="-2700"/>
    <x v="2"/>
    <x v="0"/>
    <x v="17"/>
    <x v="5"/>
    <x v="0"/>
    <x v="0"/>
    <x v="5"/>
    <x v="0"/>
  </r>
  <r>
    <x v="0"/>
    <x v="0"/>
    <n v="2239325334"/>
    <x v="6"/>
    <n v="30000"/>
    <x v="2"/>
    <x v="0"/>
    <x v="17"/>
    <x v="6"/>
    <x v="0"/>
    <x v="0"/>
    <x v="5"/>
    <x v="0"/>
  </r>
  <r>
    <x v="0"/>
    <x v="0"/>
    <n v="2239325335"/>
    <x v="1"/>
    <n v="30900"/>
    <x v="2"/>
    <x v="0"/>
    <x v="17"/>
    <x v="1"/>
    <x v="0"/>
    <x v="0"/>
    <x v="1"/>
    <x v="0"/>
  </r>
  <r>
    <x v="0"/>
    <x v="0"/>
    <n v="2239325336"/>
    <x v="5"/>
    <n v="-2300"/>
    <x v="2"/>
    <x v="0"/>
    <x v="17"/>
    <x v="5"/>
    <x v="0"/>
    <x v="0"/>
    <x v="5"/>
    <x v="0"/>
  </r>
  <r>
    <x v="0"/>
    <x v="0"/>
    <n v="2239325336"/>
    <x v="6"/>
    <n v="10000"/>
    <x v="2"/>
    <x v="0"/>
    <x v="17"/>
    <x v="6"/>
    <x v="0"/>
    <x v="0"/>
    <x v="5"/>
    <x v="0"/>
  </r>
  <r>
    <x v="0"/>
    <x v="0"/>
    <n v="2239325337"/>
    <x v="2"/>
    <n v="15950"/>
    <x v="2"/>
    <x v="0"/>
    <x v="17"/>
    <x v="2"/>
    <x v="0"/>
    <x v="0"/>
    <x v="2"/>
    <x v="0"/>
  </r>
  <r>
    <x v="0"/>
    <x v="0"/>
    <n v="2239325338"/>
    <x v="2"/>
    <n v="5000"/>
    <x v="2"/>
    <x v="0"/>
    <x v="17"/>
    <x v="2"/>
    <x v="0"/>
    <x v="0"/>
    <x v="2"/>
    <x v="0"/>
  </r>
  <r>
    <x v="0"/>
    <x v="0"/>
    <n v="2239325340"/>
    <x v="2"/>
    <n v="12000"/>
    <x v="2"/>
    <x v="0"/>
    <x v="17"/>
    <x v="2"/>
    <x v="0"/>
    <x v="0"/>
    <x v="2"/>
    <x v="0"/>
  </r>
  <r>
    <x v="0"/>
    <x v="0"/>
    <n v="2239325341"/>
    <x v="3"/>
    <n v="6000"/>
    <x v="2"/>
    <x v="0"/>
    <x v="17"/>
    <x v="3"/>
    <x v="0"/>
    <x v="0"/>
    <x v="3"/>
    <x v="0"/>
  </r>
  <r>
    <x v="0"/>
    <x v="0"/>
    <n v="2239325342"/>
    <x v="1"/>
    <n v="1350"/>
    <x v="2"/>
    <x v="0"/>
    <x v="17"/>
    <x v="1"/>
    <x v="0"/>
    <x v="0"/>
    <x v="1"/>
    <x v="0"/>
  </r>
  <r>
    <x v="0"/>
    <x v="0"/>
    <n v="2239325343"/>
    <x v="5"/>
    <n v="-21800"/>
    <x v="2"/>
    <x v="0"/>
    <x v="17"/>
    <x v="5"/>
    <x v="0"/>
    <x v="0"/>
    <x v="5"/>
    <x v="0"/>
  </r>
  <r>
    <x v="0"/>
    <x v="0"/>
    <n v="2239325343"/>
    <x v="6"/>
    <n v="25000"/>
    <x v="2"/>
    <x v="0"/>
    <x v="17"/>
    <x v="6"/>
    <x v="0"/>
    <x v="0"/>
    <x v="5"/>
    <x v="0"/>
  </r>
  <r>
    <x v="0"/>
    <x v="0"/>
    <n v="2239325344"/>
    <x v="2"/>
    <n v="9500"/>
    <x v="2"/>
    <x v="0"/>
    <x v="17"/>
    <x v="2"/>
    <x v="0"/>
    <x v="0"/>
    <x v="2"/>
    <x v="0"/>
  </r>
  <r>
    <x v="0"/>
    <x v="0"/>
    <n v="2239325345"/>
    <x v="2"/>
    <n v="9350"/>
    <x v="2"/>
    <x v="0"/>
    <x v="17"/>
    <x v="2"/>
    <x v="0"/>
    <x v="0"/>
    <x v="2"/>
    <x v="0"/>
  </r>
  <r>
    <x v="0"/>
    <x v="0"/>
    <n v="2239325346"/>
    <x v="5"/>
    <n v="-4400"/>
    <x v="2"/>
    <x v="0"/>
    <x v="17"/>
    <x v="5"/>
    <x v="0"/>
    <x v="0"/>
    <x v="5"/>
    <x v="0"/>
  </r>
  <r>
    <x v="0"/>
    <x v="0"/>
    <n v="2239325346"/>
    <x v="4"/>
    <n v="10000"/>
    <x v="2"/>
    <x v="0"/>
    <x v="17"/>
    <x v="4"/>
    <x v="0"/>
    <x v="0"/>
    <x v="4"/>
    <x v="0"/>
  </r>
  <r>
    <x v="0"/>
    <x v="0"/>
    <n v="2239325347"/>
    <x v="2"/>
    <n v="11000"/>
    <x v="2"/>
    <x v="0"/>
    <x v="17"/>
    <x v="2"/>
    <x v="0"/>
    <x v="0"/>
    <x v="2"/>
    <x v="0"/>
  </r>
  <r>
    <x v="0"/>
    <x v="0"/>
    <n v="2239325348"/>
    <x v="2"/>
    <n v="6500"/>
    <x v="2"/>
    <x v="0"/>
    <x v="17"/>
    <x v="2"/>
    <x v="0"/>
    <x v="0"/>
    <x v="2"/>
    <x v="0"/>
  </r>
  <r>
    <x v="0"/>
    <x v="0"/>
    <n v="2239325349"/>
    <x v="2"/>
    <n v="3000"/>
    <x v="2"/>
    <x v="0"/>
    <x v="17"/>
    <x v="2"/>
    <x v="0"/>
    <x v="0"/>
    <x v="2"/>
    <x v="0"/>
  </r>
  <r>
    <x v="0"/>
    <x v="0"/>
    <n v="2239325351"/>
    <x v="2"/>
    <n v="25500"/>
    <x v="2"/>
    <x v="0"/>
    <x v="17"/>
    <x v="2"/>
    <x v="0"/>
    <x v="0"/>
    <x v="2"/>
    <x v="0"/>
  </r>
  <r>
    <x v="0"/>
    <x v="0"/>
    <n v="2239325352"/>
    <x v="2"/>
    <n v="30250"/>
    <x v="2"/>
    <x v="0"/>
    <x v="17"/>
    <x v="2"/>
    <x v="0"/>
    <x v="0"/>
    <x v="2"/>
    <x v="0"/>
  </r>
  <r>
    <x v="0"/>
    <x v="0"/>
    <n v="2239325353"/>
    <x v="2"/>
    <n v="24090"/>
    <x v="2"/>
    <x v="0"/>
    <x v="17"/>
    <x v="2"/>
    <x v="0"/>
    <x v="0"/>
    <x v="2"/>
    <x v="0"/>
  </r>
  <r>
    <x v="0"/>
    <x v="0"/>
    <n v="2239325354"/>
    <x v="2"/>
    <n v="11500"/>
    <x v="2"/>
    <x v="0"/>
    <x v="17"/>
    <x v="2"/>
    <x v="0"/>
    <x v="0"/>
    <x v="2"/>
    <x v="0"/>
  </r>
  <r>
    <x v="0"/>
    <x v="0"/>
    <n v="2239325355"/>
    <x v="5"/>
    <n v="-600"/>
    <x v="2"/>
    <x v="0"/>
    <x v="17"/>
    <x v="5"/>
    <x v="0"/>
    <x v="0"/>
    <x v="5"/>
    <x v="0"/>
  </r>
  <r>
    <x v="0"/>
    <x v="0"/>
    <n v="2239325355"/>
    <x v="4"/>
    <n v="5000"/>
    <x v="2"/>
    <x v="0"/>
    <x v="17"/>
    <x v="4"/>
    <x v="0"/>
    <x v="0"/>
    <x v="4"/>
    <x v="0"/>
  </r>
  <r>
    <x v="0"/>
    <x v="0"/>
    <n v="2239325356"/>
    <x v="2"/>
    <n v="7000"/>
    <x v="2"/>
    <x v="0"/>
    <x v="17"/>
    <x v="2"/>
    <x v="0"/>
    <x v="0"/>
    <x v="2"/>
    <x v="0"/>
  </r>
  <r>
    <x v="0"/>
    <x v="0"/>
    <n v="2239325357"/>
    <x v="5"/>
    <n v="-1000"/>
    <x v="2"/>
    <x v="0"/>
    <x v="17"/>
    <x v="5"/>
    <x v="0"/>
    <x v="0"/>
    <x v="5"/>
    <x v="0"/>
  </r>
  <r>
    <x v="0"/>
    <x v="0"/>
    <n v="2239325357"/>
    <x v="6"/>
    <n v="5000"/>
    <x v="2"/>
    <x v="0"/>
    <x v="17"/>
    <x v="6"/>
    <x v="0"/>
    <x v="0"/>
    <x v="5"/>
    <x v="0"/>
  </r>
  <r>
    <x v="0"/>
    <x v="0"/>
    <n v="2239325358"/>
    <x v="5"/>
    <n v="-400"/>
    <x v="2"/>
    <x v="0"/>
    <x v="17"/>
    <x v="5"/>
    <x v="0"/>
    <x v="0"/>
    <x v="5"/>
    <x v="0"/>
  </r>
  <r>
    <x v="0"/>
    <x v="0"/>
    <n v="2239325358"/>
    <x v="4"/>
    <n v="6000"/>
    <x v="2"/>
    <x v="0"/>
    <x v="17"/>
    <x v="4"/>
    <x v="0"/>
    <x v="0"/>
    <x v="4"/>
    <x v="0"/>
  </r>
  <r>
    <x v="0"/>
    <x v="0"/>
    <n v="2239325359"/>
    <x v="2"/>
    <n v="35500"/>
    <x v="2"/>
    <x v="0"/>
    <x v="17"/>
    <x v="2"/>
    <x v="0"/>
    <x v="0"/>
    <x v="2"/>
    <x v="0"/>
  </r>
  <r>
    <x v="0"/>
    <x v="0"/>
    <n v="2239325360"/>
    <x v="3"/>
    <n v="15500"/>
    <x v="2"/>
    <x v="0"/>
    <x v="17"/>
    <x v="3"/>
    <x v="0"/>
    <x v="0"/>
    <x v="3"/>
    <x v="0"/>
  </r>
  <r>
    <x v="0"/>
    <x v="0"/>
    <n v="2239325361"/>
    <x v="2"/>
    <n v="11000"/>
    <x v="2"/>
    <x v="0"/>
    <x v="17"/>
    <x v="2"/>
    <x v="0"/>
    <x v="0"/>
    <x v="2"/>
    <x v="0"/>
  </r>
  <r>
    <x v="0"/>
    <x v="0"/>
    <n v="2239325362"/>
    <x v="2"/>
    <n v="16500"/>
    <x v="2"/>
    <x v="0"/>
    <x v="17"/>
    <x v="2"/>
    <x v="0"/>
    <x v="0"/>
    <x v="2"/>
    <x v="0"/>
  </r>
  <r>
    <x v="0"/>
    <x v="0"/>
    <n v="2239325363"/>
    <x v="2"/>
    <n v="4500"/>
    <x v="2"/>
    <x v="0"/>
    <x v="17"/>
    <x v="2"/>
    <x v="0"/>
    <x v="0"/>
    <x v="2"/>
    <x v="0"/>
  </r>
  <r>
    <x v="0"/>
    <x v="0"/>
    <n v="2239325364"/>
    <x v="2"/>
    <n v="9900"/>
    <x v="2"/>
    <x v="0"/>
    <x v="17"/>
    <x v="2"/>
    <x v="0"/>
    <x v="0"/>
    <x v="2"/>
    <x v="0"/>
  </r>
  <r>
    <x v="0"/>
    <x v="0"/>
    <n v="2239325365"/>
    <x v="3"/>
    <n v="4500"/>
    <x v="2"/>
    <x v="0"/>
    <x v="17"/>
    <x v="3"/>
    <x v="0"/>
    <x v="0"/>
    <x v="3"/>
    <x v="0"/>
  </r>
  <r>
    <x v="0"/>
    <x v="0"/>
    <n v="2239325366"/>
    <x v="2"/>
    <n v="8000"/>
    <x v="2"/>
    <x v="0"/>
    <x v="17"/>
    <x v="2"/>
    <x v="0"/>
    <x v="0"/>
    <x v="2"/>
    <x v="0"/>
  </r>
  <r>
    <x v="0"/>
    <x v="0"/>
    <n v="2239325367"/>
    <x v="2"/>
    <n v="7000"/>
    <x v="2"/>
    <x v="0"/>
    <x v="17"/>
    <x v="2"/>
    <x v="0"/>
    <x v="0"/>
    <x v="2"/>
    <x v="0"/>
  </r>
  <r>
    <x v="0"/>
    <x v="0"/>
    <n v="2239325368"/>
    <x v="3"/>
    <n v="8500"/>
    <x v="2"/>
    <x v="0"/>
    <x v="17"/>
    <x v="3"/>
    <x v="0"/>
    <x v="0"/>
    <x v="3"/>
    <x v="0"/>
  </r>
  <r>
    <x v="0"/>
    <x v="0"/>
    <n v="2239325369"/>
    <x v="5"/>
    <n v="-4700"/>
    <x v="2"/>
    <x v="0"/>
    <x v="17"/>
    <x v="5"/>
    <x v="0"/>
    <x v="0"/>
    <x v="5"/>
    <x v="0"/>
  </r>
  <r>
    <x v="0"/>
    <x v="0"/>
    <n v="2239325369"/>
    <x v="4"/>
    <n v="10000"/>
    <x v="2"/>
    <x v="0"/>
    <x v="17"/>
    <x v="4"/>
    <x v="0"/>
    <x v="0"/>
    <x v="4"/>
    <x v="0"/>
  </r>
  <r>
    <x v="0"/>
    <x v="0"/>
    <n v="2239325370"/>
    <x v="5"/>
    <n v="-700"/>
    <x v="2"/>
    <x v="0"/>
    <x v="17"/>
    <x v="5"/>
    <x v="0"/>
    <x v="0"/>
    <x v="5"/>
    <x v="0"/>
  </r>
  <r>
    <x v="0"/>
    <x v="0"/>
    <n v="2239325370"/>
    <x v="6"/>
    <n v="4700"/>
    <x v="2"/>
    <x v="0"/>
    <x v="17"/>
    <x v="6"/>
    <x v="0"/>
    <x v="0"/>
    <x v="5"/>
    <x v="0"/>
  </r>
  <r>
    <x v="0"/>
    <x v="0"/>
    <n v="2239325371"/>
    <x v="2"/>
    <n v="6500"/>
    <x v="2"/>
    <x v="0"/>
    <x v="17"/>
    <x v="2"/>
    <x v="0"/>
    <x v="0"/>
    <x v="2"/>
    <x v="0"/>
  </r>
  <r>
    <x v="0"/>
    <x v="0"/>
    <n v="2239325372"/>
    <x v="2"/>
    <n v="5000"/>
    <x v="2"/>
    <x v="0"/>
    <x v="17"/>
    <x v="2"/>
    <x v="0"/>
    <x v="0"/>
    <x v="2"/>
    <x v="0"/>
  </r>
  <r>
    <x v="0"/>
    <x v="0"/>
    <n v="2239325373"/>
    <x v="5"/>
    <n v="-600"/>
    <x v="2"/>
    <x v="0"/>
    <x v="17"/>
    <x v="5"/>
    <x v="0"/>
    <x v="0"/>
    <x v="5"/>
    <x v="0"/>
  </r>
  <r>
    <x v="0"/>
    <x v="0"/>
    <n v="2239325373"/>
    <x v="6"/>
    <n v="3000"/>
    <x v="2"/>
    <x v="0"/>
    <x v="17"/>
    <x v="6"/>
    <x v="0"/>
    <x v="0"/>
    <x v="5"/>
    <x v="0"/>
  </r>
  <r>
    <x v="0"/>
    <x v="0"/>
    <n v="2239325374"/>
    <x v="5"/>
    <n v="-300"/>
    <x v="2"/>
    <x v="0"/>
    <x v="17"/>
    <x v="5"/>
    <x v="0"/>
    <x v="0"/>
    <x v="5"/>
    <x v="0"/>
  </r>
  <r>
    <x v="0"/>
    <x v="0"/>
    <n v="2239325374"/>
    <x v="4"/>
    <n v="6000"/>
    <x v="2"/>
    <x v="0"/>
    <x v="17"/>
    <x v="4"/>
    <x v="0"/>
    <x v="0"/>
    <x v="4"/>
    <x v="0"/>
  </r>
  <r>
    <x v="0"/>
    <x v="0"/>
    <n v="2239325375"/>
    <x v="5"/>
    <n v="-2500"/>
    <x v="2"/>
    <x v="0"/>
    <x v="17"/>
    <x v="5"/>
    <x v="0"/>
    <x v="0"/>
    <x v="5"/>
    <x v="0"/>
  </r>
  <r>
    <x v="0"/>
    <x v="0"/>
    <n v="2239325375"/>
    <x v="6"/>
    <n v="10000"/>
    <x v="2"/>
    <x v="0"/>
    <x v="17"/>
    <x v="6"/>
    <x v="0"/>
    <x v="0"/>
    <x v="5"/>
    <x v="0"/>
  </r>
  <r>
    <x v="0"/>
    <x v="0"/>
    <n v="2239325376"/>
    <x v="2"/>
    <n v="8250"/>
    <x v="2"/>
    <x v="0"/>
    <x v="17"/>
    <x v="2"/>
    <x v="0"/>
    <x v="0"/>
    <x v="2"/>
    <x v="0"/>
  </r>
  <r>
    <x v="0"/>
    <x v="0"/>
    <n v="2239325377"/>
    <x v="5"/>
    <n v="-700"/>
    <x v="2"/>
    <x v="0"/>
    <x v="17"/>
    <x v="5"/>
    <x v="0"/>
    <x v="0"/>
    <x v="5"/>
    <x v="0"/>
  </r>
  <r>
    <x v="0"/>
    <x v="0"/>
    <n v="2239325377"/>
    <x v="4"/>
    <n v="6000"/>
    <x v="2"/>
    <x v="0"/>
    <x v="17"/>
    <x v="4"/>
    <x v="0"/>
    <x v="0"/>
    <x v="4"/>
    <x v="0"/>
  </r>
  <r>
    <x v="0"/>
    <x v="0"/>
    <n v="2239325379"/>
    <x v="2"/>
    <n v="73700"/>
    <x v="2"/>
    <x v="0"/>
    <x v="17"/>
    <x v="2"/>
    <x v="0"/>
    <x v="0"/>
    <x v="2"/>
    <x v="0"/>
  </r>
  <r>
    <x v="0"/>
    <x v="0"/>
    <n v="2239325381"/>
    <x v="2"/>
    <n v="3000"/>
    <x v="2"/>
    <x v="0"/>
    <x v="17"/>
    <x v="2"/>
    <x v="0"/>
    <x v="0"/>
    <x v="2"/>
    <x v="0"/>
  </r>
  <r>
    <x v="0"/>
    <x v="0"/>
    <n v="2239325382"/>
    <x v="2"/>
    <n v="4000"/>
    <x v="2"/>
    <x v="0"/>
    <x v="17"/>
    <x v="2"/>
    <x v="0"/>
    <x v="0"/>
    <x v="2"/>
    <x v="0"/>
  </r>
  <r>
    <x v="0"/>
    <x v="0"/>
    <n v="2239325383"/>
    <x v="2"/>
    <n v="4500"/>
    <x v="2"/>
    <x v="0"/>
    <x v="17"/>
    <x v="2"/>
    <x v="0"/>
    <x v="0"/>
    <x v="2"/>
    <x v="0"/>
  </r>
  <r>
    <x v="0"/>
    <x v="0"/>
    <n v="2239325386"/>
    <x v="5"/>
    <n v="-7050"/>
    <x v="2"/>
    <x v="0"/>
    <x v="17"/>
    <x v="5"/>
    <x v="0"/>
    <x v="0"/>
    <x v="5"/>
    <x v="0"/>
  </r>
  <r>
    <x v="0"/>
    <x v="0"/>
    <n v="2239325386"/>
    <x v="6"/>
    <n v="10200"/>
    <x v="2"/>
    <x v="0"/>
    <x v="17"/>
    <x v="6"/>
    <x v="0"/>
    <x v="0"/>
    <x v="5"/>
    <x v="0"/>
  </r>
  <r>
    <x v="0"/>
    <x v="0"/>
    <n v="2239325387"/>
    <x v="3"/>
    <n v="11550"/>
    <x v="2"/>
    <x v="0"/>
    <x v="17"/>
    <x v="3"/>
    <x v="0"/>
    <x v="0"/>
    <x v="3"/>
    <x v="0"/>
  </r>
  <r>
    <x v="0"/>
    <x v="0"/>
    <n v="2239325388"/>
    <x v="5"/>
    <n v="-600"/>
    <x v="2"/>
    <x v="0"/>
    <x v="17"/>
    <x v="5"/>
    <x v="0"/>
    <x v="0"/>
    <x v="5"/>
    <x v="0"/>
  </r>
  <r>
    <x v="0"/>
    <x v="0"/>
    <n v="2239325388"/>
    <x v="6"/>
    <n v="3000"/>
    <x v="2"/>
    <x v="0"/>
    <x v="17"/>
    <x v="6"/>
    <x v="0"/>
    <x v="0"/>
    <x v="5"/>
    <x v="0"/>
  </r>
  <r>
    <x v="0"/>
    <x v="0"/>
    <n v="2239325389"/>
    <x v="2"/>
    <n v="31460"/>
    <x v="2"/>
    <x v="0"/>
    <x v="17"/>
    <x v="2"/>
    <x v="0"/>
    <x v="0"/>
    <x v="2"/>
    <x v="0"/>
  </r>
  <r>
    <x v="0"/>
    <x v="0"/>
    <n v="2239325390"/>
    <x v="5"/>
    <n v="-2100"/>
    <x v="2"/>
    <x v="0"/>
    <x v="17"/>
    <x v="5"/>
    <x v="0"/>
    <x v="0"/>
    <x v="5"/>
    <x v="0"/>
  </r>
  <r>
    <x v="0"/>
    <x v="0"/>
    <n v="2239325390"/>
    <x v="6"/>
    <n v="25000"/>
    <x v="2"/>
    <x v="0"/>
    <x v="17"/>
    <x v="6"/>
    <x v="0"/>
    <x v="0"/>
    <x v="5"/>
    <x v="0"/>
  </r>
  <r>
    <x v="0"/>
    <x v="0"/>
    <n v="2239325391"/>
    <x v="3"/>
    <n v="8250"/>
    <x v="2"/>
    <x v="0"/>
    <x v="17"/>
    <x v="3"/>
    <x v="0"/>
    <x v="0"/>
    <x v="3"/>
    <x v="0"/>
  </r>
  <r>
    <x v="0"/>
    <x v="0"/>
    <n v="2239325392"/>
    <x v="2"/>
    <n v="4180"/>
    <x v="2"/>
    <x v="0"/>
    <x v="17"/>
    <x v="2"/>
    <x v="0"/>
    <x v="0"/>
    <x v="2"/>
    <x v="0"/>
  </r>
  <r>
    <x v="0"/>
    <x v="0"/>
    <n v="2239325393"/>
    <x v="2"/>
    <n v="46090"/>
    <x v="2"/>
    <x v="0"/>
    <x v="17"/>
    <x v="2"/>
    <x v="0"/>
    <x v="0"/>
    <x v="2"/>
    <x v="0"/>
  </r>
  <r>
    <x v="0"/>
    <x v="0"/>
    <n v="2239325394"/>
    <x v="3"/>
    <n v="8250"/>
    <x v="2"/>
    <x v="0"/>
    <x v="17"/>
    <x v="3"/>
    <x v="0"/>
    <x v="0"/>
    <x v="3"/>
    <x v="0"/>
  </r>
  <r>
    <x v="0"/>
    <x v="0"/>
    <n v="2239325395"/>
    <x v="2"/>
    <n v="2000"/>
    <x v="2"/>
    <x v="0"/>
    <x v="17"/>
    <x v="2"/>
    <x v="0"/>
    <x v="0"/>
    <x v="2"/>
    <x v="0"/>
  </r>
  <r>
    <x v="0"/>
    <x v="0"/>
    <n v="2239325396"/>
    <x v="2"/>
    <n v="7150"/>
    <x v="2"/>
    <x v="0"/>
    <x v="17"/>
    <x v="2"/>
    <x v="0"/>
    <x v="0"/>
    <x v="2"/>
    <x v="0"/>
  </r>
  <r>
    <x v="0"/>
    <x v="0"/>
    <n v="2239325397"/>
    <x v="5"/>
    <n v="-1000"/>
    <x v="2"/>
    <x v="0"/>
    <x v="17"/>
    <x v="5"/>
    <x v="0"/>
    <x v="0"/>
    <x v="5"/>
    <x v="0"/>
  </r>
  <r>
    <x v="0"/>
    <x v="0"/>
    <n v="2239325397"/>
    <x v="6"/>
    <n v="5000"/>
    <x v="2"/>
    <x v="0"/>
    <x v="17"/>
    <x v="6"/>
    <x v="0"/>
    <x v="0"/>
    <x v="5"/>
    <x v="0"/>
  </r>
  <r>
    <x v="0"/>
    <x v="0"/>
    <n v="2239325399"/>
    <x v="6"/>
    <n v="218600"/>
    <x v="2"/>
    <x v="0"/>
    <x v="17"/>
    <x v="6"/>
    <x v="0"/>
    <x v="0"/>
    <x v="5"/>
    <x v="0"/>
  </r>
  <r>
    <x v="0"/>
    <x v="0"/>
    <n v="2239325400"/>
    <x v="2"/>
    <n v="13750"/>
    <x v="2"/>
    <x v="0"/>
    <x v="17"/>
    <x v="2"/>
    <x v="0"/>
    <x v="0"/>
    <x v="2"/>
    <x v="0"/>
  </r>
  <r>
    <x v="0"/>
    <x v="0"/>
    <n v="2239325401"/>
    <x v="1"/>
    <n v="1140"/>
    <x v="2"/>
    <x v="0"/>
    <x v="17"/>
    <x v="1"/>
    <x v="0"/>
    <x v="0"/>
    <x v="1"/>
    <x v="0"/>
  </r>
  <r>
    <x v="0"/>
    <x v="0"/>
    <n v="2239325403"/>
    <x v="6"/>
    <n v="6320"/>
    <x v="2"/>
    <x v="0"/>
    <x v="17"/>
    <x v="6"/>
    <x v="0"/>
    <x v="0"/>
    <x v="5"/>
    <x v="0"/>
  </r>
  <r>
    <x v="0"/>
    <x v="0"/>
    <n v="2239325403"/>
    <x v="7"/>
    <n v="1580"/>
    <x v="2"/>
    <x v="0"/>
    <x v="17"/>
    <x v="7"/>
    <x v="0"/>
    <x v="0"/>
    <x v="1"/>
    <x v="0"/>
  </r>
  <r>
    <x v="0"/>
    <x v="0"/>
    <n v="2239325405"/>
    <x v="2"/>
    <n v="4000"/>
    <x v="2"/>
    <x v="0"/>
    <x v="17"/>
    <x v="2"/>
    <x v="0"/>
    <x v="0"/>
    <x v="2"/>
    <x v="0"/>
  </r>
  <r>
    <x v="0"/>
    <x v="0"/>
    <n v="2239325406"/>
    <x v="5"/>
    <n v="-2000"/>
    <x v="2"/>
    <x v="0"/>
    <x v="17"/>
    <x v="5"/>
    <x v="0"/>
    <x v="0"/>
    <x v="5"/>
    <x v="0"/>
  </r>
  <r>
    <x v="0"/>
    <x v="0"/>
    <n v="2239325406"/>
    <x v="6"/>
    <n v="10000"/>
    <x v="2"/>
    <x v="0"/>
    <x v="17"/>
    <x v="6"/>
    <x v="0"/>
    <x v="0"/>
    <x v="5"/>
    <x v="0"/>
  </r>
  <r>
    <x v="0"/>
    <x v="0"/>
    <n v="2239325407"/>
    <x v="3"/>
    <n v="15500"/>
    <x v="2"/>
    <x v="0"/>
    <x v="17"/>
    <x v="3"/>
    <x v="0"/>
    <x v="0"/>
    <x v="3"/>
    <x v="0"/>
  </r>
  <r>
    <x v="0"/>
    <x v="0"/>
    <n v="2239325409"/>
    <x v="2"/>
    <n v="16500"/>
    <x v="2"/>
    <x v="0"/>
    <x v="17"/>
    <x v="2"/>
    <x v="0"/>
    <x v="0"/>
    <x v="2"/>
    <x v="0"/>
  </r>
  <r>
    <x v="0"/>
    <x v="0"/>
    <n v="2239325410"/>
    <x v="5"/>
    <n v="-1600"/>
    <x v="2"/>
    <x v="0"/>
    <x v="17"/>
    <x v="5"/>
    <x v="0"/>
    <x v="0"/>
    <x v="5"/>
    <x v="0"/>
  </r>
  <r>
    <x v="0"/>
    <x v="0"/>
    <n v="2239325410"/>
    <x v="6"/>
    <n v="10000"/>
    <x v="2"/>
    <x v="0"/>
    <x v="17"/>
    <x v="6"/>
    <x v="0"/>
    <x v="0"/>
    <x v="5"/>
    <x v="0"/>
  </r>
  <r>
    <x v="0"/>
    <x v="0"/>
    <n v="2239325410"/>
    <x v="7"/>
    <n v="2100"/>
    <x v="2"/>
    <x v="0"/>
    <x v="17"/>
    <x v="7"/>
    <x v="0"/>
    <x v="0"/>
    <x v="1"/>
    <x v="0"/>
  </r>
  <r>
    <x v="0"/>
    <x v="0"/>
    <n v="2239325411"/>
    <x v="2"/>
    <n v="7150"/>
    <x v="2"/>
    <x v="0"/>
    <x v="17"/>
    <x v="2"/>
    <x v="0"/>
    <x v="0"/>
    <x v="2"/>
    <x v="0"/>
  </r>
  <r>
    <x v="0"/>
    <x v="0"/>
    <n v="2239325412"/>
    <x v="4"/>
    <n v="2000"/>
    <x v="2"/>
    <x v="0"/>
    <x v="17"/>
    <x v="4"/>
    <x v="0"/>
    <x v="0"/>
    <x v="4"/>
    <x v="0"/>
  </r>
  <r>
    <x v="0"/>
    <x v="0"/>
    <n v="2239325413"/>
    <x v="5"/>
    <n v="-15400"/>
    <x v="2"/>
    <x v="0"/>
    <x v="17"/>
    <x v="5"/>
    <x v="0"/>
    <x v="0"/>
    <x v="5"/>
    <x v="0"/>
  </r>
  <r>
    <x v="0"/>
    <x v="0"/>
    <n v="2239325413"/>
    <x v="4"/>
    <n v="20000"/>
    <x v="2"/>
    <x v="0"/>
    <x v="17"/>
    <x v="4"/>
    <x v="0"/>
    <x v="0"/>
    <x v="4"/>
    <x v="0"/>
  </r>
  <r>
    <x v="0"/>
    <x v="0"/>
    <n v="2239325414"/>
    <x v="5"/>
    <n v="-400"/>
    <x v="2"/>
    <x v="0"/>
    <x v="17"/>
    <x v="5"/>
    <x v="0"/>
    <x v="0"/>
    <x v="5"/>
    <x v="0"/>
  </r>
  <r>
    <x v="0"/>
    <x v="0"/>
    <n v="2239325414"/>
    <x v="4"/>
    <n v="5000"/>
    <x v="2"/>
    <x v="0"/>
    <x v="17"/>
    <x v="4"/>
    <x v="0"/>
    <x v="0"/>
    <x v="4"/>
    <x v="0"/>
  </r>
  <r>
    <x v="0"/>
    <x v="0"/>
    <n v="2239325416"/>
    <x v="2"/>
    <n v="6500"/>
    <x v="2"/>
    <x v="0"/>
    <x v="17"/>
    <x v="2"/>
    <x v="0"/>
    <x v="0"/>
    <x v="2"/>
    <x v="0"/>
  </r>
  <r>
    <x v="0"/>
    <x v="0"/>
    <n v="2239325417"/>
    <x v="2"/>
    <n v="3000"/>
    <x v="2"/>
    <x v="0"/>
    <x v="17"/>
    <x v="2"/>
    <x v="0"/>
    <x v="0"/>
    <x v="2"/>
    <x v="0"/>
  </r>
  <r>
    <x v="0"/>
    <x v="0"/>
    <n v="2239325418"/>
    <x v="3"/>
    <n v="9000"/>
    <x v="2"/>
    <x v="0"/>
    <x v="17"/>
    <x v="3"/>
    <x v="0"/>
    <x v="0"/>
    <x v="3"/>
    <x v="0"/>
  </r>
  <r>
    <x v="0"/>
    <x v="0"/>
    <n v="2239325419"/>
    <x v="3"/>
    <n v="49170"/>
    <x v="2"/>
    <x v="0"/>
    <x v="17"/>
    <x v="3"/>
    <x v="0"/>
    <x v="0"/>
    <x v="3"/>
    <x v="0"/>
  </r>
  <r>
    <x v="0"/>
    <x v="0"/>
    <n v="2239325419"/>
    <x v="7"/>
    <n v="28600"/>
    <x v="2"/>
    <x v="0"/>
    <x v="17"/>
    <x v="7"/>
    <x v="0"/>
    <x v="0"/>
    <x v="1"/>
    <x v="0"/>
  </r>
  <r>
    <x v="0"/>
    <x v="0"/>
    <n v="2239325420"/>
    <x v="5"/>
    <n v="-3000"/>
    <x v="2"/>
    <x v="0"/>
    <x v="17"/>
    <x v="5"/>
    <x v="0"/>
    <x v="0"/>
    <x v="5"/>
    <x v="0"/>
  </r>
  <r>
    <x v="0"/>
    <x v="0"/>
    <n v="2239325420"/>
    <x v="6"/>
    <n v="5000"/>
    <x v="2"/>
    <x v="0"/>
    <x v="17"/>
    <x v="6"/>
    <x v="0"/>
    <x v="0"/>
    <x v="5"/>
    <x v="0"/>
  </r>
  <r>
    <x v="0"/>
    <x v="0"/>
    <n v="2239325421"/>
    <x v="2"/>
    <n v="14520"/>
    <x v="2"/>
    <x v="0"/>
    <x v="17"/>
    <x v="2"/>
    <x v="0"/>
    <x v="0"/>
    <x v="2"/>
    <x v="0"/>
  </r>
  <r>
    <x v="0"/>
    <x v="0"/>
    <n v="2239325422"/>
    <x v="2"/>
    <n v="52900"/>
    <x v="2"/>
    <x v="0"/>
    <x v="17"/>
    <x v="2"/>
    <x v="0"/>
    <x v="0"/>
    <x v="2"/>
    <x v="0"/>
  </r>
  <r>
    <x v="0"/>
    <x v="0"/>
    <n v="2239325423"/>
    <x v="5"/>
    <n v="-19300"/>
    <x v="2"/>
    <x v="0"/>
    <x v="17"/>
    <x v="5"/>
    <x v="0"/>
    <x v="0"/>
    <x v="5"/>
    <x v="0"/>
  </r>
  <r>
    <x v="0"/>
    <x v="0"/>
    <n v="2239325423"/>
    <x v="4"/>
    <n v="25000"/>
    <x v="2"/>
    <x v="0"/>
    <x v="17"/>
    <x v="4"/>
    <x v="0"/>
    <x v="0"/>
    <x v="4"/>
    <x v="0"/>
  </r>
  <r>
    <x v="0"/>
    <x v="0"/>
    <n v="2239325425"/>
    <x v="0"/>
    <n v="2280"/>
    <x v="2"/>
    <x v="0"/>
    <x v="17"/>
    <x v="0"/>
    <x v="0"/>
    <x v="0"/>
    <x v="0"/>
    <x v="0"/>
  </r>
  <r>
    <x v="0"/>
    <x v="0"/>
    <n v="2239325426"/>
    <x v="7"/>
    <n v="2100"/>
    <x v="2"/>
    <x v="0"/>
    <x v="17"/>
    <x v="7"/>
    <x v="0"/>
    <x v="0"/>
    <x v="1"/>
    <x v="0"/>
  </r>
  <r>
    <x v="0"/>
    <x v="0"/>
    <n v="2239325427"/>
    <x v="5"/>
    <n v="-16200"/>
    <x v="2"/>
    <x v="0"/>
    <x v="17"/>
    <x v="5"/>
    <x v="0"/>
    <x v="0"/>
    <x v="5"/>
    <x v="0"/>
  </r>
  <r>
    <x v="0"/>
    <x v="0"/>
    <n v="2239325427"/>
    <x v="6"/>
    <n v="20000"/>
    <x v="2"/>
    <x v="0"/>
    <x v="17"/>
    <x v="6"/>
    <x v="0"/>
    <x v="0"/>
    <x v="5"/>
    <x v="0"/>
  </r>
  <r>
    <x v="0"/>
    <x v="0"/>
    <n v="2239325428"/>
    <x v="5"/>
    <n v="-2500"/>
    <x v="2"/>
    <x v="0"/>
    <x v="17"/>
    <x v="5"/>
    <x v="0"/>
    <x v="0"/>
    <x v="5"/>
    <x v="0"/>
  </r>
  <r>
    <x v="0"/>
    <x v="0"/>
    <n v="2239325428"/>
    <x v="6"/>
    <n v="10000"/>
    <x v="2"/>
    <x v="0"/>
    <x v="17"/>
    <x v="6"/>
    <x v="0"/>
    <x v="0"/>
    <x v="5"/>
    <x v="0"/>
  </r>
  <r>
    <x v="0"/>
    <x v="0"/>
    <n v="2239325429"/>
    <x v="5"/>
    <n v="-11700"/>
    <x v="2"/>
    <x v="0"/>
    <x v="17"/>
    <x v="5"/>
    <x v="0"/>
    <x v="0"/>
    <x v="5"/>
    <x v="0"/>
  </r>
  <r>
    <x v="0"/>
    <x v="0"/>
    <n v="2239325429"/>
    <x v="6"/>
    <n v="20000"/>
    <x v="2"/>
    <x v="0"/>
    <x v="17"/>
    <x v="6"/>
    <x v="0"/>
    <x v="0"/>
    <x v="5"/>
    <x v="0"/>
  </r>
  <r>
    <x v="0"/>
    <x v="0"/>
    <n v="2239325430"/>
    <x v="2"/>
    <n v="7500"/>
    <x v="2"/>
    <x v="0"/>
    <x v="17"/>
    <x v="2"/>
    <x v="0"/>
    <x v="0"/>
    <x v="2"/>
    <x v="0"/>
  </r>
  <r>
    <x v="0"/>
    <x v="0"/>
    <n v="2239325431"/>
    <x v="2"/>
    <n v="13700"/>
    <x v="2"/>
    <x v="0"/>
    <x v="17"/>
    <x v="2"/>
    <x v="0"/>
    <x v="0"/>
    <x v="2"/>
    <x v="0"/>
  </r>
  <r>
    <x v="0"/>
    <x v="0"/>
    <n v="2239325432"/>
    <x v="5"/>
    <n v="-1000"/>
    <x v="2"/>
    <x v="0"/>
    <x v="17"/>
    <x v="5"/>
    <x v="0"/>
    <x v="0"/>
    <x v="5"/>
    <x v="0"/>
  </r>
  <r>
    <x v="0"/>
    <x v="0"/>
    <n v="2239325432"/>
    <x v="6"/>
    <n v="5000"/>
    <x v="2"/>
    <x v="0"/>
    <x v="17"/>
    <x v="6"/>
    <x v="0"/>
    <x v="0"/>
    <x v="5"/>
    <x v="0"/>
  </r>
  <r>
    <x v="0"/>
    <x v="0"/>
    <n v="2239325433"/>
    <x v="5"/>
    <n v="-4700"/>
    <x v="2"/>
    <x v="0"/>
    <x v="17"/>
    <x v="5"/>
    <x v="0"/>
    <x v="0"/>
    <x v="5"/>
    <x v="0"/>
  </r>
  <r>
    <x v="0"/>
    <x v="0"/>
    <n v="2239325433"/>
    <x v="4"/>
    <n v="10000"/>
    <x v="2"/>
    <x v="0"/>
    <x v="17"/>
    <x v="4"/>
    <x v="0"/>
    <x v="0"/>
    <x v="4"/>
    <x v="0"/>
  </r>
  <r>
    <x v="0"/>
    <x v="0"/>
    <n v="2239325434"/>
    <x v="2"/>
    <n v="7600"/>
    <x v="2"/>
    <x v="0"/>
    <x v="17"/>
    <x v="2"/>
    <x v="0"/>
    <x v="0"/>
    <x v="2"/>
    <x v="0"/>
  </r>
  <r>
    <x v="0"/>
    <x v="0"/>
    <n v="2239325434"/>
    <x v="7"/>
    <n v="1300"/>
    <x v="2"/>
    <x v="0"/>
    <x v="17"/>
    <x v="7"/>
    <x v="0"/>
    <x v="0"/>
    <x v="1"/>
    <x v="0"/>
  </r>
  <r>
    <x v="0"/>
    <x v="0"/>
    <n v="2239325435"/>
    <x v="5"/>
    <n v="-4400"/>
    <x v="2"/>
    <x v="0"/>
    <x v="17"/>
    <x v="5"/>
    <x v="0"/>
    <x v="0"/>
    <x v="5"/>
    <x v="0"/>
  </r>
  <r>
    <x v="0"/>
    <x v="0"/>
    <n v="2239325435"/>
    <x v="4"/>
    <n v="10000"/>
    <x v="2"/>
    <x v="0"/>
    <x v="17"/>
    <x v="4"/>
    <x v="0"/>
    <x v="0"/>
    <x v="4"/>
    <x v="0"/>
  </r>
  <r>
    <x v="0"/>
    <x v="0"/>
    <n v="2239325437"/>
    <x v="5"/>
    <n v="-6000"/>
    <x v="2"/>
    <x v="0"/>
    <x v="17"/>
    <x v="5"/>
    <x v="0"/>
    <x v="0"/>
    <x v="5"/>
    <x v="0"/>
  </r>
  <r>
    <x v="0"/>
    <x v="0"/>
    <n v="2239325437"/>
    <x v="6"/>
    <n v="10000"/>
    <x v="2"/>
    <x v="0"/>
    <x v="17"/>
    <x v="6"/>
    <x v="0"/>
    <x v="0"/>
    <x v="5"/>
    <x v="0"/>
  </r>
  <r>
    <x v="0"/>
    <x v="0"/>
    <n v="2239325438"/>
    <x v="2"/>
    <n v="9500"/>
    <x v="2"/>
    <x v="0"/>
    <x v="17"/>
    <x v="2"/>
    <x v="0"/>
    <x v="0"/>
    <x v="2"/>
    <x v="0"/>
  </r>
  <r>
    <x v="0"/>
    <x v="0"/>
    <n v="2239325439"/>
    <x v="1"/>
    <n v="16770"/>
    <x v="2"/>
    <x v="0"/>
    <x v="17"/>
    <x v="1"/>
    <x v="0"/>
    <x v="0"/>
    <x v="1"/>
    <x v="0"/>
  </r>
  <r>
    <x v="0"/>
    <x v="0"/>
    <n v="2239325440"/>
    <x v="1"/>
    <n v="5400"/>
    <x v="2"/>
    <x v="0"/>
    <x v="17"/>
    <x v="1"/>
    <x v="0"/>
    <x v="0"/>
    <x v="1"/>
    <x v="0"/>
  </r>
  <r>
    <x v="0"/>
    <x v="0"/>
    <n v="2239325441"/>
    <x v="1"/>
    <n v="1140"/>
    <x v="2"/>
    <x v="0"/>
    <x v="17"/>
    <x v="1"/>
    <x v="0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5-01-01T00:00:00"/>
    <x v="0"/>
    <x v="0"/>
    <x v="0"/>
    <n v="158375351.12745106"/>
    <n v="776942.06480000005"/>
    <n v="3884710.324"/>
  </r>
  <r>
    <d v="2025-01-02T00:00:00"/>
    <x v="0"/>
    <x v="1"/>
    <x v="1"/>
    <n v="263451138.75137946"/>
    <n v="5008531.2778000003"/>
    <n v="25042656.388799999"/>
  </r>
  <r>
    <d v="2025-01-03T00:00:00"/>
    <x v="0"/>
    <x v="2"/>
    <x v="2"/>
    <n v="316355549.66833103"/>
    <n v="7446206.7374"/>
    <n v="37231033.687100001"/>
  </r>
  <r>
    <d v="2025-01-04T00:00:00"/>
    <x v="0"/>
    <x v="3"/>
    <x v="3"/>
    <n v="326678432.33654386"/>
    <n v="7563418.1511000004"/>
    <n v="37817090.7553"/>
  </r>
  <r>
    <d v="2025-01-05T00:00:00"/>
    <x v="0"/>
    <x v="4"/>
    <x v="4"/>
    <n v="169918409.26130742"/>
    <n v="4183427.4427999998"/>
    <n v="20917137.214000002"/>
  </r>
  <r>
    <d v="2025-01-06T00:00:00"/>
    <x v="0"/>
    <x v="5"/>
    <x v="5"/>
    <n v="161788283.45833778"/>
    <n v="2269383.3036000002"/>
    <n v="11346916.517999999"/>
  </r>
  <r>
    <d v="2025-01-07T00:00:00"/>
    <x v="0"/>
    <x v="6"/>
    <x v="6"/>
    <n v="185523065.17994708"/>
    <n v="4442784.9116000002"/>
    <n v="22213924.558200002"/>
  </r>
  <r>
    <d v="2025-01-08T00:00:00"/>
    <x v="0"/>
    <x v="7"/>
    <x v="7"/>
    <n v="217931163.28898045"/>
    <n v="5857542.9248000002"/>
    <n v="29287714.623799998"/>
  </r>
  <r>
    <d v="2025-01-09T00:00:00"/>
    <x v="0"/>
    <x v="8"/>
    <x v="1"/>
    <n v="263451138.75137946"/>
    <n v="5008531.2778000003"/>
    <n v="25042656.388799999"/>
  </r>
  <r>
    <d v="2025-01-10T00:00:00"/>
    <x v="0"/>
    <x v="9"/>
    <x v="2"/>
    <n v="316355549.66833103"/>
    <n v="7446206.7374"/>
    <n v="37231033.687100001"/>
  </r>
  <r>
    <d v="2025-01-11T00:00:00"/>
    <x v="0"/>
    <x v="10"/>
    <x v="3"/>
    <n v="326678432.33654386"/>
    <n v="7563418.1511000004"/>
    <n v="37817090.7553"/>
  </r>
  <r>
    <d v="2025-01-12T00:00:00"/>
    <x v="0"/>
    <x v="11"/>
    <x v="4"/>
    <n v="169918409.26130742"/>
    <n v="4183427.4427999998"/>
    <n v="20917137.214000002"/>
  </r>
  <r>
    <d v="2025-01-13T00:00:00"/>
    <x v="0"/>
    <x v="12"/>
    <x v="5"/>
    <n v="161788283.45833778"/>
    <n v="2269383.3036000002"/>
    <n v="11346916.517999999"/>
  </r>
  <r>
    <d v="2025-01-14T00:00:00"/>
    <x v="0"/>
    <x v="13"/>
    <x v="6"/>
    <n v="185523065.17994708"/>
    <n v="4442784.9116000002"/>
    <n v="22213924.558200002"/>
  </r>
  <r>
    <d v="2025-01-15T00:00:00"/>
    <x v="0"/>
    <x v="14"/>
    <x v="7"/>
    <n v="217931163.28898045"/>
    <n v="5857542.9248000002"/>
    <n v="29287714.623799998"/>
  </r>
  <r>
    <d v="2025-01-16T00:00:00"/>
    <x v="0"/>
    <x v="15"/>
    <x v="1"/>
    <n v="263451138.75137946"/>
    <n v="5008531.2778000003"/>
    <n v="25042656.388799999"/>
  </r>
  <r>
    <d v="2025-01-17T00:00:00"/>
    <x v="0"/>
    <x v="16"/>
    <x v="2"/>
    <n v="316355549.66833103"/>
    <n v="7446206.7374"/>
    <n v="37231033.687100001"/>
  </r>
  <r>
    <d v="2025-01-18T00:00:00"/>
    <x v="0"/>
    <x v="17"/>
    <x v="3"/>
    <n v="326678432.33654386"/>
    <n v="7563418.1511000004"/>
    <n v="37817090.7553"/>
  </r>
  <r>
    <d v="2025-01-19T00:00:00"/>
    <x v="0"/>
    <x v="18"/>
    <x v="4"/>
    <n v="169918409.26130742"/>
    <n v="4183427.4427999998"/>
    <n v="20917137.214000002"/>
  </r>
  <r>
    <d v="2025-01-20T00:00:00"/>
    <x v="0"/>
    <x v="19"/>
    <x v="5"/>
    <n v="161788283.45833778"/>
    <n v="2269383.3036000002"/>
    <n v="11346916.517999999"/>
  </r>
  <r>
    <d v="2025-01-21T00:00:00"/>
    <x v="0"/>
    <x v="20"/>
    <x v="6"/>
    <n v="185523065.17994708"/>
    <n v="4442784.9116000002"/>
    <n v="22213924.558200002"/>
  </r>
  <r>
    <d v="2025-01-22T00:00:00"/>
    <x v="0"/>
    <x v="21"/>
    <x v="7"/>
    <n v="217931163.28898045"/>
    <n v="5857542.9248000002"/>
    <n v="29287714.623799998"/>
  </r>
  <r>
    <d v="2025-01-23T00:00:00"/>
    <x v="0"/>
    <x v="22"/>
    <x v="1"/>
    <n v="263451138.75137946"/>
    <n v="5008531.2778000003"/>
    <n v="25042656.388799999"/>
  </r>
  <r>
    <d v="2025-01-24T00:00:00"/>
    <x v="0"/>
    <x v="23"/>
    <x v="2"/>
    <n v="316355549.66833103"/>
    <n v="7446206.7374"/>
    <n v="37231033.687100001"/>
  </r>
  <r>
    <d v="2025-01-25T00:00:00"/>
    <x v="0"/>
    <x v="24"/>
    <x v="3"/>
    <n v="326678432.33654386"/>
    <n v="7563418.1511000004"/>
    <n v="37817090.7553"/>
  </r>
  <r>
    <d v="2025-01-26T00:00:00"/>
    <x v="0"/>
    <x v="25"/>
    <x v="4"/>
    <n v="169918409.26130742"/>
    <n v="4183427.4427999998"/>
    <n v="20917137.214000002"/>
  </r>
  <r>
    <d v="2025-01-27T00:00:00"/>
    <x v="0"/>
    <x v="26"/>
    <x v="5"/>
    <n v="161788283.45833778"/>
    <n v="2269383.3036000002"/>
    <n v="11346916.517999999"/>
  </r>
  <r>
    <d v="2025-01-28T00:00:00"/>
    <x v="0"/>
    <x v="27"/>
    <x v="6"/>
    <n v="185523065.17994708"/>
    <n v="4442784.9116000002"/>
    <n v="22213924.558200002"/>
  </r>
  <r>
    <d v="2025-01-29T00:00:00"/>
    <x v="0"/>
    <x v="28"/>
    <x v="7"/>
    <n v="217931163.28898045"/>
    <n v="5857542.9248000002"/>
    <n v="29287714.623799998"/>
  </r>
  <r>
    <d v="2025-01-30T00:00:00"/>
    <x v="0"/>
    <x v="29"/>
    <x v="1"/>
    <n v="263451138.75137946"/>
    <n v="5008531.2778000003"/>
    <n v="25042656.388799999"/>
  </r>
  <r>
    <d v="2025-01-31T00:00:00"/>
    <x v="0"/>
    <x v="30"/>
    <x v="2"/>
    <n v="316355549.66833103"/>
    <n v="7446206.7374"/>
    <n v="37231033.687100001"/>
  </r>
  <r>
    <d v="2025-02-01T00:00:00"/>
    <x v="1"/>
    <x v="0"/>
    <x v="8"/>
    <n v="373551442.68734848"/>
    <n v="8332453.3787000002"/>
    <n v="41662266.8935"/>
  </r>
  <r>
    <d v="2025-02-02T00:00:00"/>
    <x v="1"/>
    <x v="1"/>
    <x v="9"/>
    <n v="191178977.89192599"/>
    <n v="3876941.9190000002"/>
    <n v="19384709.594900001"/>
  </r>
  <r>
    <d v="2025-02-03T00:00:00"/>
    <x v="1"/>
    <x v="2"/>
    <x v="10"/>
    <n v="161629533.07397991"/>
    <n v="2691017.7217999999"/>
    <n v="13455088.609200001"/>
  </r>
  <r>
    <d v="2025-02-04T00:00:00"/>
    <x v="1"/>
    <x v="3"/>
    <x v="11"/>
    <n v="215029662.99724525"/>
    <n v="4533882.8356999997"/>
    <n v="22669414.1787"/>
  </r>
  <r>
    <d v="2025-02-05T00:00:00"/>
    <x v="1"/>
    <x v="4"/>
    <x v="12"/>
    <n v="285600353.76860261"/>
    <n v="7577252.767"/>
    <n v="37886263.834899999"/>
  </r>
  <r>
    <d v="2025-02-06T00:00:00"/>
    <x v="1"/>
    <x v="5"/>
    <x v="13"/>
    <n v="277797987.02598083"/>
    <n v="6334208.0809000004"/>
    <n v="31671040.404300001"/>
  </r>
  <r>
    <d v="2025-02-07T00:00:00"/>
    <x v="1"/>
    <x v="6"/>
    <x v="14"/>
    <n v="292422398.23626417"/>
    <n v="8497776.1147000007"/>
    <n v="42488880.5735"/>
  </r>
  <r>
    <d v="2025-02-08T00:00:00"/>
    <x v="1"/>
    <x v="7"/>
    <x v="8"/>
    <n v="373551442.68734848"/>
    <n v="8332453.3787000002"/>
    <n v="41662266.8935"/>
  </r>
  <r>
    <d v="2025-02-09T00:00:00"/>
    <x v="1"/>
    <x v="8"/>
    <x v="15"/>
    <n v="227491749.94816887"/>
    <n v="3876941.9190000002"/>
    <n v="19384709.594900001"/>
  </r>
  <r>
    <d v="2025-02-10T00:00:00"/>
    <x v="1"/>
    <x v="9"/>
    <x v="10"/>
    <n v="161629533.07397991"/>
    <n v="2691017.7217999999"/>
    <n v="13455088.609200001"/>
  </r>
  <r>
    <d v="2025-02-11T00:00:00"/>
    <x v="1"/>
    <x v="10"/>
    <x v="11"/>
    <n v="215029662.99724525"/>
    <n v="4533882.8356999997"/>
    <n v="22669414.1787"/>
  </r>
  <r>
    <d v="2025-02-12T00:00:00"/>
    <x v="1"/>
    <x v="11"/>
    <x v="12"/>
    <n v="285600353.76860261"/>
    <n v="7577252.767"/>
    <n v="37886263.834899999"/>
  </r>
  <r>
    <d v="2025-02-13T00:00:00"/>
    <x v="1"/>
    <x v="12"/>
    <x v="13"/>
    <n v="277797987.02598083"/>
    <n v="6334208.0809000004"/>
    <n v="31671040.404300001"/>
  </r>
  <r>
    <d v="2025-02-14T00:00:00"/>
    <x v="1"/>
    <x v="13"/>
    <x v="14"/>
    <n v="292422398.23626417"/>
    <n v="8497776.1147000007"/>
    <n v="42488880.5735"/>
  </r>
  <r>
    <d v="2025-02-15T00:00:00"/>
    <x v="1"/>
    <x v="14"/>
    <x v="8"/>
    <n v="373551442.68734848"/>
    <n v="8332453.3787000002"/>
    <n v="41662266.8935"/>
  </r>
  <r>
    <d v="2025-02-16T00:00:00"/>
    <x v="1"/>
    <x v="15"/>
    <x v="15"/>
    <n v="227491749.94816887"/>
    <n v="3876941.9190000002"/>
    <n v="19384709.594900001"/>
  </r>
  <r>
    <d v="2025-02-17T00:00:00"/>
    <x v="1"/>
    <x v="16"/>
    <x v="10"/>
    <n v="161629533.07397991"/>
    <n v="2691017.7217999999"/>
    <n v="13455088.609200001"/>
  </r>
  <r>
    <d v="2025-02-18T00:00:00"/>
    <x v="1"/>
    <x v="17"/>
    <x v="11"/>
    <n v="215029662.99724525"/>
    <n v="4533882.8356999997"/>
    <n v="22669414.1787"/>
  </r>
  <r>
    <d v="2025-02-19T00:00:00"/>
    <x v="1"/>
    <x v="18"/>
    <x v="12"/>
    <n v="285600353.76860261"/>
    <n v="7577252.767"/>
    <n v="37886263.834899999"/>
  </r>
  <r>
    <d v="2025-02-20T00:00:00"/>
    <x v="1"/>
    <x v="19"/>
    <x v="13"/>
    <n v="277797987.02598083"/>
    <n v="6334208.0809000004"/>
    <n v="31671040.404300001"/>
  </r>
  <r>
    <d v="2025-02-21T00:00:00"/>
    <x v="1"/>
    <x v="20"/>
    <x v="14"/>
    <n v="292422398.23626417"/>
    <n v="8497776.1147000007"/>
    <n v="42488880.5735"/>
  </r>
  <r>
    <d v="2025-02-22T00:00:00"/>
    <x v="1"/>
    <x v="21"/>
    <x v="8"/>
    <n v="373551442.68734848"/>
    <n v="8332453.3787000002"/>
    <n v="41662266.8935"/>
  </r>
  <r>
    <d v="2025-02-23T00:00:00"/>
    <x v="1"/>
    <x v="22"/>
    <x v="15"/>
    <n v="227491749.94816887"/>
    <n v="3876941.9190000002"/>
    <n v="19384709.594900001"/>
  </r>
  <r>
    <d v="2025-02-24T00:00:00"/>
    <x v="1"/>
    <x v="23"/>
    <x v="10"/>
    <n v="161629533.07397991"/>
    <n v="2691017.7217999999"/>
    <n v="13455088.609200001"/>
  </r>
  <r>
    <d v="2025-02-25T00:00:00"/>
    <x v="1"/>
    <x v="24"/>
    <x v="11"/>
    <n v="215029662.99724525"/>
    <n v="4533882.8356999997"/>
    <n v="22669414.1787"/>
  </r>
  <r>
    <d v="2025-02-26T00:00:00"/>
    <x v="1"/>
    <x v="25"/>
    <x v="12"/>
    <n v="285600353.76860261"/>
    <n v="7577252.767"/>
    <n v="37886263.834899999"/>
  </r>
  <r>
    <d v="2025-02-27T00:00:00"/>
    <x v="1"/>
    <x v="26"/>
    <x v="13"/>
    <n v="277797987.02598083"/>
    <n v="6334208.0809000004"/>
    <n v="31671040.404300001"/>
  </r>
  <r>
    <d v="2025-02-28T00:00:00"/>
    <x v="1"/>
    <x v="27"/>
    <x v="14"/>
    <n v="292422398.23626417"/>
    <n v="8497776.1147000007"/>
    <n v="42488880.5735"/>
  </r>
  <r>
    <d v="2025-03-01T00:00:00"/>
    <x v="2"/>
    <x v="0"/>
    <x v="16"/>
    <n v="320173080.10959125"/>
    <n v="7891421.2244999995"/>
    <n v="39457106.122500002"/>
  </r>
  <r>
    <d v="2025-03-02T00:00:00"/>
    <x v="2"/>
    <x v="1"/>
    <x v="17"/>
    <n v="181753257.18637317"/>
    <n v="3414048.2428000001"/>
    <n v="17070241.214000002"/>
  </r>
  <r>
    <d v="2025-03-03T00:00:00"/>
    <x v="2"/>
    <x v="2"/>
    <x v="18"/>
    <n v="162403836.91322097"/>
    <n v="2151913.4778"/>
    <n v="10759567.388800001"/>
  </r>
  <r>
    <d v="2025-03-04T00:00:00"/>
    <x v="2"/>
    <x v="3"/>
    <x v="19"/>
    <n v="144064051.45950055"/>
    <n v="5107270.2248"/>
    <n v="25536351.1241"/>
  </r>
  <r>
    <d v="2025-03-05T00:00:00"/>
    <x v="2"/>
    <x v="4"/>
    <x v="20"/>
    <n v="257245222.81874543"/>
    <n v="6491500.6275000004"/>
    <n v="32457503.137400001"/>
  </r>
  <r>
    <d v="2025-03-06T00:00:00"/>
    <x v="2"/>
    <x v="5"/>
    <x v="21"/>
    <n v="296138667.83249938"/>
    <n v="5183059.0746999998"/>
    <n v="25915295.373500001"/>
  </r>
  <r>
    <d v="2025-03-07T00:00:00"/>
    <x v="2"/>
    <x v="6"/>
    <x v="22"/>
    <n v="298084186.26233172"/>
    <n v="6620653.6683999998"/>
    <n v="33103268.341899998"/>
  </r>
  <r>
    <d v="2025-03-08T00:00:00"/>
    <x v="2"/>
    <x v="7"/>
    <x v="16"/>
    <n v="320173080.10959125"/>
    <n v="7891421.2244999995"/>
    <n v="39457106.122500002"/>
  </r>
  <r>
    <d v="2025-03-09T00:00:00"/>
    <x v="2"/>
    <x v="8"/>
    <x v="17"/>
    <n v="181753257.18637317"/>
    <n v="3414048.2428000001"/>
    <n v="17070241.214000002"/>
  </r>
  <r>
    <d v="2025-03-10T00:00:00"/>
    <x v="2"/>
    <x v="9"/>
    <x v="18"/>
    <n v="162403836.91322097"/>
    <n v="2151913.4778"/>
    <n v="10759567.388800001"/>
  </r>
  <r>
    <d v="2025-03-11T00:00:00"/>
    <x v="2"/>
    <x v="10"/>
    <x v="19"/>
    <n v="144064051.45950055"/>
    <n v="5107270.2248"/>
    <n v="25536351.1241"/>
  </r>
  <r>
    <d v="2025-03-12T00:00:00"/>
    <x v="2"/>
    <x v="11"/>
    <x v="20"/>
    <n v="257245222.81874543"/>
    <n v="6491500.6275000004"/>
    <n v="32457503.137400001"/>
  </r>
  <r>
    <d v="2025-03-13T00:00:00"/>
    <x v="2"/>
    <x v="12"/>
    <x v="21"/>
    <n v="296138667.83249938"/>
    <n v="5183059.0746999998"/>
    <n v="25915295.373500001"/>
  </r>
  <r>
    <d v="2025-03-14T00:00:00"/>
    <x v="2"/>
    <x v="13"/>
    <x v="22"/>
    <n v="298084186.26233172"/>
    <n v="6620653.6683999998"/>
    <n v="33103268.341899998"/>
  </r>
  <r>
    <d v="2025-03-15T00:00:00"/>
    <x v="2"/>
    <x v="14"/>
    <x v="16"/>
    <n v="320173080.10959125"/>
    <n v="7891421.2244999995"/>
    <n v="39457106.122500002"/>
  </r>
  <r>
    <d v="2025-03-16T00:00:00"/>
    <x v="2"/>
    <x v="15"/>
    <x v="17"/>
    <n v="181753257.18637317"/>
    <n v="3414048.2428000001"/>
    <n v="17070241.214000002"/>
  </r>
  <r>
    <d v="2025-03-17T00:00:00"/>
    <x v="2"/>
    <x v="16"/>
    <x v="18"/>
    <n v="162403836.91322097"/>
    <n v="2151913.4778"/>
    <n v="10759567.388800001"/>
  </r>
  <r>
    <d v="2025-03-18T00:00:00"/>
    <x v="2"/>
    <x v="17"/>
    <x v="19"/>
    <n v="144064051.45950055"/>
    <n v="5107270.2248"/>
    <n v="25536351.1241"/>
  </r>
  <r>
    <d v="2025-03-19T00:00:00"/>
    <x v="2"/>
    <x v="18"/>
    <x v="20"/>
    <n v="257245222.81874543"/>
    <n v="6491500.6275000004"/>
    <n v="32457503.137400001"/>
  </r>
  <r>
    <d v="2025-03-20T00:00:00"/>
    <x v="2"/>
    <x v="19"/>
    <x v="21"/>
    <n v="296138667.83249938"/>
    <n v="5183059.0746999998"/>
    <n v="25915295.373500001"/>
  </r>
  <r>
    <d v="2025-03-21T00:00:00"/>
    <x v="2"/>
    <x v="20"/>
    <x v="22"/>
    <n v="298084186.26233172"/>
    <n v="6620653.6683999998"/>
    <n v="33103268.341899998"/>
  </r>
  <r>
    <d v="2025-03-22T00:00:00"/>
    <x v="2"/>
    <x v="21"/>
    <x v="16"/>
    <n v="320173080.10959125"/>
    <n v="7891421.2244999995"/>
    <n v="39457106.122500002"/>
  </r>
  <r>
    <d v="2025-03-23T00:00:00"/>
    <x v="2"/>
    <x v="22"/>
    <x v="17"/>
    <n v="181753257.18637317"/>
    <n v="3414048.2428000001"/>
    <n v="17070241.214000002"/>
  </r>
  <r>
    <d v="2025-03-24T00:00:00"/>
    <x v="2"/>
    <x v="23"/>
    <x v="18"/>
    <n v="162403836.91322097"/>
    <n v="2151913.4778"/>
    <n v="10759567.388800001"/>
  </r>
  <r>
    <d v="2025-03-25T00:00:00"/>
    <x v="2"/>
    <x v="24"/>
    <x v="19"/>
    <n v="144064051.45950055"/>
    <n v="5107270.2248"/>
    <n v="25536351.1241"/>
  </r>
  <r>
    <d v="2025-03-26T00:00:00"/>
    <x v="2"/>
    <x v="25"/>
    <x v="20"/>
    <n v="257245222.81874543"/>
    <n v="6491500.6275000004"/>
    <n v="32457503.137400001"/>
  </r>
  <r>
    <d v="2025-03-27T00:00:00"/>
    <x v="2"/>
    <x v="26"/>
    <x v="21"/>
    <n v="296138667.83249938"/>
    <n v="5183059.0746999998"/>
    <n v="25915295.373500001"/>
  </r>
  <r>
    <d v="2025-03-28T00:00:00"/>
    <x v="2"/>
    <x v="27"/>
    <x v="22"/>
    <n v="298084186.26233172"/>
    <n v="6620653.6683999998"/>
    <n v="33103268.341899998"/>
  </r>
  <r>
    <d v="2025-03-29T00:00:00"/>
    <x v="2"/>
    <x v="28"/>
    <x v="16"/>
    <n v="320173080.10959125"/>
    <n v="7891421.2244999995"/>
    <n v="39457106.122500002"/>
  </r>
  <r>
    <d v="2025-03-30T00:00:00"/>
    <x v="2"/>
    <x v="29"/>
    <x v="17"/>
    <n v="181753257.18637317"/>
    <n v="3414048.2428000001"/>
    <n v="17070241.214000002"/>
  </r>
  <r>
    <d v="2025-03-31T00:00:00"/>
    <x v="2"/>
    <x v="30"/>
    <x v="18"/>
    <n v="162403836.91322097"/>
    <n v="2151913.4778"/>
    <n v="10759567.388800001"/>
  </r>
  <r>
    <d v="2025-04-01T00:00:00"/>
    <x v="3"/>
    <x v="0"/>
    <x v="23"/>
    <n v="209642188.06097397"/>
    <n v="3398819.5913999998"/>
    <n v="16994097.956900001"/>
  </r>
  <r>
    <d v="2025-04-02T00:00:00"/>
    <x v="3"/>
    <x v="1"/>
    <x v="24"/>
    <n v="248624858.95699626"/>
    <n v="5389591.5902000004"/>
    <n v="26947957.9509"/>
  </r>
  <r>
    <d v="2025-04-03T00:00:00"/>
    <x v="3"/>
    <x v="2"/>
    <x v="25"/>
    <n v="204030906.43968424"/>
    <n v="5251768.1650999999"/>
    <n v="26258840.825399999"/>
  </r>
  <r>
    <d v="2025-04-04T00:00:00"/>
    <x v="3"/>
    <x v="3"/>
    <x v="26"/>
    <n v="306623613.80384278"/>
    <n v="5673106.3658999996"/>
    <n v="28365531.829399999"/>
  </r>
  <r>
    <d v="2025-04-05T00:00:00"/>
    <x v="3"/>
    <x v="4"/>
    <x v="27"/>
    <n v="321080111.43039918"/>
    <n v="7271613.4611"/>
    <n v="36358067.305699997"/>
  </r>
  <r>
    <d v="2025-04-06T00:00:00"/>
    <x v="3"/>
    <x v="5"/>
    <x v="28"/>
    <n v="194981929.35835207"/>
    <n v="3336576.8503999999"/>
    <n v="16682884.2521"/>
  </r>
  <r>
    <d v="2025-04-07T00:00:00"/>
    <x v="3"/>
    <x v="6"/>
    <x v="29"/>
    <n v="179709877.04720885"/>
    <n v="3579276.6305"/>
    <n v="17896383.152600002"/>
  </r>
  <r>
    <d v="2025-04-08T00:00:00"/>
    <x v="3"/>
    <x v="7"/>
    <x v="23"/>
    <n v="209642188.06097397"/>
    <n v="3398819.5913999998"/>
    <n v="16994097.956900001"/>
  </r>
  <r>
    <d v="2025-04-09T00:00:00"/>
    <x v="3"/>
    <x v="8"/>
    <x v="24"/>
    <n v="248624858.95699626"/>
    <n v="5389591.5902000004"/>
    <n v="26947957.9509"/>
  </r>
  <r>
    <d v="2025-04-10T00:00:00"/>
    <x v="3"/>
    <x v="9"/>
    <x v="25"/>
    <n v="204030906.43968424"/>
    <n v="5251768.1650999999"/>
    <n v="26258840.825399999"/>
  </r>
  <r>
    <d v="2025-04-11T00:00:00"/>
    <x v="3"/>
    <x v="10"/>
    <x v="26"/>
    <n v="306623613.80384278"/>
    <n v="5673106.3658999996"/>
    <n v="28365531.829399999"/>
  </r>
  <r>
    <d v="2025-04-12T00:00:00"/>
    <x v="3"/>
    <x v="11"/>
    <x v="27"/>
    <n v="321080111.43039918"/>
    <n v="7271613.4611"/>
    <n v="36358067.305699997"/>
  </r>
  <r>
    <d v="2025-04-13T00:00:00"/>
    <x v="3"/>
    <x v="12"/>
    <x v="28"/>
    <n v="194981929.35835207"/>
    <n v="3336576.8503999999"/>
    <n v="16682884.2521"/>
  </r>
  <r>
    <d v="2025-04-14T00:00:00"/>
    <x v="3"/>
    <x v="13"/>
    <x v="29"/>
    <n v="179709877.04720885"/>
    <n v="3579276.6305"/>
    <n v="17896383.152600002"/>
  </r>
  <r>
    <d v="2025-04-15T00:00:00"/>
    <x v="3"/>
    <x v="14"/>
    <x v="23"/>
    <n v="209642188.06097397"/>
    <n v="3398819.5913999998"/>
    <n v="16994097.956900001"/>
  </r>
  <r>
    <d v="2025-04-16T00:00:00"/>
    <x v="3"/>
    <x v="15"/>
    <x v="24"/>
    <n v="248624858.95699626"/>
    <n v="5389591.5902000004"/>
    <n v="26947957.9509"/>
  </r>
  <r>
    <d v="2025-04-17T00:00:00"/>
    <x v="3"/>
    <x v="16"/>
    <x v="30"/>
    <n v="275716167.81946921"/>
    <n v="6662267.2582999999"/>
    <n v="33311336.291700002"/>
  </r>
  <r>
    <d v="2025-04-18T00:00:00"/>
    <x v="3"/>
    <x v="17"/>
    <x v="31"/>
    <n v="413564033.79506707"/>
    <n v="7196766.8043"/>
    <n v="35983834.021600001"/>
  </r>
  <r>
    <d v="2025-04-19T00:00:00"/>
    <x v="3"/>
    <x v="18"/>
    <x v="32"/>
    <n v="443201270.83785224"/>
    <n v="9224594.6041000001"/>
    <n v="46122973.020400003"/>
  </r>
  <r>
    <d v="2025-04-20T00:00:00"/>
    <x v="3"/>
    <x v="19"/>
    <x v="33"/>
    <n v="264652922.17323744"/>
    <n v="4232701.4457999999"/>
    <n v="21163507.229200002"/>
  </r>
  <r>
    <d v="2025-04-21T00:00:00"/>
    <x v="3"/>
    <x v="20"/>
    <x v="29"/>
    <n v="179709877.04720885"/>
    <n v="3579276.6305"/>
    <n v="17896383.152600002"/>
  </r>
  <r>
    <d v="2025-04-22T00:00:00"/>
    <x v="3"/>
    <x v="21"/>
    <x v="23"/>
    <n v="209642188.06097397"/>
    <n v="3398819.5913999998"/>
    <n v="16994097.956900001"/>
  </r>
  <r>
    <d v="2025-04-23T00:00:00"/>
    <x v="3"/>
    <x v="22"/>
    <x v="24"/>
    <n v="248624858.95699626"/>
    <n v="5389591.5902000004"/>
    <n v="26947957.9509"/>
  </r>
  <r>
    <d v="2025-04-24T00:00:00"/>
    <x v="3"/>
    <x v="23"/>
    <x v="25"/>
    <n v="204030906.43968424"/>
    <n v="5251768.1650999999"/>
    <n v="26258840.825399999"/>
  </r>
  <r>
    <d v="2025-04-25T00:00:00"/>
    <x v="3"/>
    <x v="24"/>
    <x v="26"/>
    <n v="306623613.80384278"/>
    <n v="5673106.3658999996"/>
    <n v="28365531.829399999"/>
  </r>
  <r>
    <d v="2025-04-26T00:00:00"/>
    <x v="3"/>
    <x v="25"/>
    <x v="27"/>
    <n v="321080111.43039918"/>
    <n v="7271613.4611"/>
    <n v="36358067.305699997"/>
  </r>
  <r>
    <d v="2025-04-27T00:00:00"/>
    <x v="3"/>
    <x v="26"/>
    <x v="28"/>
    <n v="194981929.35835207"/>
    <n v="3336576.8503999999"/>
    <n v="16682884.2521"/>
  </r>
  <r>
    <d v="2025-04-28T00:00:00"/>
    <x v="3"/>
    <x v="27"/>
    <x v="29"/>
    <n v="179709877.04720885"/>
    <n v="3579276.6305"/>
    <n v="17896383.152600002"/>
  </r>
  <r>
    <d v="2025-04-29T00:00:00"/>
    <x v="3"/>
    <x v="28"/>
    <x v="23"/>
    <n v="209642188.06097397"/>
    <n v="3398819.5913999998"/>
    <n v="16994097.956900001"/>
  </r>
  <r>
    <d v="2025-04-30T00:00:00"/>
    <x v="3"/>
    <x v="29"/>
    <x v="34"/>
    <n v="286711282.25878972"/>
    <n v="6837106.7531000003"/>
    <n v="34185533.7654"/>
  </r>
  <r>
    <d v="2025-05-01T00:00:00"/>
    <x v="4"/>
    <x v="0"/>
    <x v="35"/>
    <n v="270254306.68398035"/>
    <n v="6160696.5569000002"/>
    <n v="30803482.784600001"/>
  </r>
  <r>
    <d v="2025-05-02T00:00:00"/>
    <x v="4"/>
    <x v="1"/>
    <x v="36"/>
    <n v="238608054.59598568"/>
    <n v="7197506.5153000001"/>
    <n v="35987532.576499999"/>
  </r>
  <r>
    <d v="2025-05-03T00:00:00"/>
    <x v="4"/>
    <x v="2"/>
    <x v="37"/>
    <n v="262639541.85751405"/>
    <n v="7817448.6552999998"/>
    <n v="39087243.276600003"/>
  </r>
  <r>
    <d v="2025-05-04T00:00:00"/>
    <x v="4"/>
    <x v="3"/>
    <x v="38"/>
    <n v="139866710.95692652"/>
    <n v="3945416.8015999999"/>
    <n v="19727084.008200001"/>
  </r>
  <r>
    <d v="2025-05-05T00:00:00"/>
    <x v="4"/>
    <x v="4"/>
    <x v="39"/>
    <n v="215126179.56898129"/>
    <n v="2881860.3184000002"/>
    <n v="14409301.5921"/>
  </r>
  <r>
    <d v="2025-05-06T00:00:00"/>
    <x v="4"/>
    <x v="5"/>
    <x v="40"/>
    <n v="182419050.56210536"/>
    <n v="2581431.3347"/>
    <n v="12907156.673699999"/>
  </r>
  <r>
    <d v="2025-05-07T00:00:00"/>
    <x v="4"/>
    <x v="6"/>
    <x v="41"/>
    <n v="219316724.63290471"/>
    <n v="4052247.2146999999"/>
    <n v="20261236.0735"/>
  </r>
  <r>
    <d v="2025-05-08T00:00:00"/>
    <x v="4"/>
    <x v="7"/>
    <x v="42"/>
    <n v="273651585.88583267"/>
    <n v="4962224.2155999998"/>
    <n v="24811121.078200001"/>
  </r>
  <r>
    <d v="2025-05-09T00:00:00"/>
    <x v="4"/>
    <x v="8"/>
    <x v="43"/>
    <n v="308829264.71895611"/>
    <n v="7197506.5153000001"/>
    <n v="35987532.576499999"/>
  </r>
  <r>
    <d v="2025-05-10T00:00:00"/>
    <x v="4"/>
    <x v="9"/>
    <x v="37"/>
    <n v="262639541.85751405"/>
    <n v="7817448.6552999998"/>
    <n v="39087243.276600003"/>
  </r>
  <r>
    <d v="2025-05-11T00:00:00"/>
    <x v="4"/>
    <x v="10"/>
    <x v="38"/>
    <n v="139866710.95692652"/>
    <n v="3945416.8015999999"/>
    <n v="19727084.008200001"/>
  </r>
  <r>
    <d v="2025-05-12T00:00:00"/>
    <x v="4"/>
    <x v="11"/>
    <x v="39"/>
    <n v="215126179.56898129"/>
    <n v="2881860.3184000002"/>
    <n v="14409301.5921"/>
  </r>
  <r>
    <d v="2025-05-13T00:00:00"/>
    <x v="4"/>
    <x v="12"/>
    <x v="40"/>
    <n v="182419050.56210536"/>
    <n v="2581431.3347"/>
    <n v="12907156.673699999"/>
  </r>
  <r>
    <d v="2025-05-14T00:00:00"/>
    <x v="4"/>
    <x v="13"/>
    <x v="41"/>
    <n v="219316724.63290471"/>
    <n v="4052247.2146999999"/>
    <n v="20261236.0735"/>
  </r>
  <r>
    <d v="2025-05-15T00:00:00"/>
    <x v="4"/>
    <x v="14"/>
    <x v="42"/>
    <n v="273651585.88583267"/>
    <n v="4962224.2155999998"/>
    <n v="24811121.078200001"/>
  </r>
  <r>
    <d v="2025-05-16T00:00:00"/>
    <x v="4"/>
    <x v="15"/>
    <x v="43"/>
    <n v="308829264.71895611"/>
    <n v="7197506.5153000001"/>
    <n v="35987532.576499999"/>
  </r>
  <r>
    <d v="2025-05-17T00:00:00"/>
    <x v="4"/>
    <x v="16"/>
    <x v="37"/>
    <n v="262639541.85751405"/>
    <n v="7817448.6552999998"/>
    <n v="39087243.276600003"/>
  </r>
  <r>
    <d v="2025-05-18T00:00:00"/>
    <x v="4"/>
    <x v="17"/>
    <x v="38"/>
    <n v="139866710.95692652"/>
    <n v="3945416.8015999999"/>
    <n v="19727084.008200001"/>
  </r>
  <r>
    <d v="2025-05-19T00:00:00"/>
    <x v="4"/>
    <x v="18"/>
    <x v="39"/>
    <n v="215126179.56898129"/>
    <n v="2881860.3184000002"/>
    <n v="14409301.5921"/>
  </r>
  <r>
    <d v="2025-05-20T00:00:00"/>
    <x v="4"/>
    <x v="19"/>
    <x v="44"/>
    <n v="232981626.71136224"/>
    <n v="5063647.1189999999"/>
    <n v="25318235.595199998"/>
  </r>
  <r>
    <d v="2025-05-21T00:00:00"/>
    <x v="4"/>
    <x v="20"/>
    <x v="45"/>
    <n v="289226945.87798941"/>
    <n v="5513981.0208000001"/>
    <n v="27569905.1039"/>
  </r>
  <r>
    <d v="2025-05-22T00:00:00"/>
    <x v="4"/>
    <x v="21"/>
    <x v="42"/>
    <n v="273651585.88583267"/>
    <n v="4962224.2155999998"/>
    <n v="24811121.078200001"/>
  </r>
  <r>
    <d v="2025-05-23T00:00:00"/>
    <x v="4"/>
    <x v="22"/>
    <x v="43"/>
    <n v="308829264.71895611"/>
    <n v="7197506.5153000001"/>
    <n v="35987532.576499999"/>
  </r>
  <r>
    <d v="2025-05-24T00:00:00"/>
    <x v="4"/>
    <x v="23"/>
    <x v="37"/>
    <n v="262639541.85751405"/>
    <n v="7817448.6552999998"/>
    <n v="39087243.276600003"/>
  </r>
  <r>
    <d v="2025-05-25T00:00:00"/>
    <x v="4"/>
    <x v="24"/>
    <x v="38"/>
    <n v="139866710.95692652"/>
    <n v="3945416.8015999999"/>
    <n v="19727084.008200001"/>
  </r>
  <r>
    <d v="2025-05-26T00:00:00"/>
    <x v="4"/>
    <x v="25"/>
    <x v="39"/>
    <n v="215126179.56898129"/>
    <n v="2881860.3184000002"/>
    <n v="14409301.5921"/>
  </r>
  <r>
    <d v="2025-05-27T00:00:00"/>
    <x v="4"/>
    <x v="26"/>
    <x v="40"/>
    <n v="182419050.56210536"/>
    <n v="2581431.3347"/>
    <n v="12907156.673699999"/>
  </r>
  <r>
    <d v="2025-05-28T00:00:00"/>
    <x v="4"/>
    <x v="27"/>
    <x v="41"/>
    <n v="219316724.63290471"/>
    <n v="4052247.2146999999"/>
    <n v="20261236.0735"/>
  </r>
  <r>
    <d v="2025-05-29T00:00:00"/>
    <x v="4"/>
    <x v="28"/>
    <x v="42"/>
    <n v="273651585.88583267"/>
    <n v="4962224.2155999998"/>
    <n v="24811121.078200001"/>
  </r>
  <r>
    <d v="2025-05-30T00:00:00"/>
    <x v="4"/>
    <x v="29"/>
    <x v="43"/>
    <n v="308829264.71895611"/>
    <n v="7197506.5153000001"/>
    <n v="35987532.576499999"/>
  </r>
  <r>
    <d v="2025-05-31T00:00:00"/>
    <x v="4"/>
    <x v="30"/>
    <x v="37"/>
    <n v="262639541.85751405"/>
    <n v="7817448.6552999998"/>
    <n v="39087243.276600003"/>
  </r>
  <r>
    <d v="2025-06-01T00:00:00"/>
    <x v="5"/>
    <x v="0"/>
    <x v="46"/>
    <n v="220541141.03101367"/>
    <n v="3422169.0249000001"/>
    <n v="17110845.124400001"/>
  </r>
  <r>
    <d v="2025-06-02T00:00:00"/>
    <x v="5"/>
    <x v="1"/>
    <x v="47"/>
    <n v="177885687.57872295"/>
    <n v="2893003.4835000001"/>
    <n v="14465017.4175"/>
  </r>
  <r>
    <d v="2025-06-03T00:00:00"/>
    <x v="5"/>
    <x v="2"/>
    <x v="48"/>
    <n v="178906668.3034234"/>
    <n v="3581375.1006999998"/>
    <n v="17906875.5035"/>
  </r>
  <r>
    <d v="2025-06-04T00:00:00"/>
    <x v="5"/>
    <x v="3"/>
    <x v="49"/>
    <n v="291389579.58436877"/>
    <n v="4520715.5669999998"/>
    <n v="22603577.834800001"/>
  </r>
  <r>
    <d v="2025-06-05T00:00:00"/>
    <x v="5"/>
    <x v="4"/>
    <x v="50"/>
    <n v="249390665.50638849"/>
    <n v="4284666.352"/>
    <n v="21423331.7599"/>
  </r>
  <r>
    <d v="2025-06-06T00:00:00"/>
    <x v="5"/>
    <x v="5"/>
    <x v="51"/>
    <n v="345988790.52012527"/>
    <n v="8267639.1681000004"/>
    <n v="41338195.840300001"/>
  </r>
  <r>
    <d v="2025-06-07T00:00:00"/>
    <x v="5"/>
    <x v="6"/>
    <x v="52"/>
    <n v="322871796.21505362"/>
    <n v="9651073.9868999999"/>
    <n v="48255369.934699997"/>
  </r>
  <r>
    <d v="2025-06-08T00:00:00"/>
    <x v="5"/>
    <x v="7"/>
    <x v="46"/>
    <n v="220541141.03101367"/>
    <n v="3422169.0249000001"/>
    <n v="17110845.124400001"/>
  </r>
  <r>
    <d v="2025-06-09T00:00:00"/>
    <x v="5"/>
    <x v="8"/>
    <x v="47"/>
    <n v="177885687.57872295"/>
    <n v="2893003.4835000001"/>
    <n v="14465017.4175"/>
  </r>
  <r>
    <d v="2025-06-10T00:00:00"/>
    <x v="5"/>
    <x v="9"/>
    <x v="48"/>
    <n v="178906668.3034234"/>
    <n v="3581375.1006999998"/>
    <n v="17906875.5035"/>
  </r>
  <r>
    <d v="2025-06-11T00:00:00"/>
    <x v="5"/>
    <x v="10"/>
    <x v="49"/>
    <n v="291389579.58436877"/>
    <n v="4520715.5669999998"/>
    <n v="22603577.834800001"/>
  </r>
  <r>
    <d v="2025-06-12T00:00:00"/>
    <x v="5"/>
    <x v="11"/>
    <x v="50"/>
    <n v="249390665.50638849"/>
    <n v="4284666.352"/>
    <n v="21423331.7599"/>
  </r>
  <r>
    <d v="2025-06-13T00:00:00"/>
    <x v="5"/>
    <x v="12"/>
    <x v="51"/>
    <n v="345988790.52012527"/>
    <n v="8267639.1681000004"/>
    <n v="41338195.840300001"/>
  </r>
  <r>
    <d v="2025-06-14T00:00:00"/>
    <x v="5"/>
    <x v="13"/>
    <x v="52"/>
    <n v="322871796.21505362"/>
    <n v="9651073.9868999999"/>
    <n v="48255369.934699997"/>
  </r>
  <r>
    <d v="2025-06-15T00:00:00"/>
    <x v="5"/>
    <x v="14"/>
    <x v="46"/>
    <n v="220541141.03101367"/>
    <n v="3422169.0249000001"/>
    <n v="17110845.124400001"/>
  </r>
  <r>
    <d v="2025-06-16T00:00:00"/>
    <x v="5"/>
    <x v="15"/>
    <x v="47"/>
    <n v="177885687.57872295"/>
    <n v="2893003.4835000001"/>
    <n v="14465017.4175"/>
  </r>
  <r>
    <d v="2025-06-17T00:00:00"/>
    <x v="5"/>
    <x v="16"/>
    <x v="48"/>
    <n v="178906668.3034234"/>
    <n v="3581375.1006999998"/>
    <n v="17906875.5035"/>
  </r>
  <r>
    <d v="2025-06-18T00:00:00"/>
    <x v="5"/>
    <x v="17"/>
    <x v="49"/>
    <n v="291389579.58436877"/>
    <n v="4520715.5669999998"/>
    <n v="22603577.834800001"/>
  </r>
  <r>
    <d v="2025-06-19T00:00:00"/>
    <x v="5"/>
    <x v="18"/>
    <x v="53"/>
    <n v="306156585.29890925"/>
    <n v="5218021.3051000005"/>
    <n v="26090106.5253"/>
  </r>
  <r>
    <d v="2025-06-20T00:00:00"/>
    <x v="5"/>
    <x v="19"/>
    <x v="54"/>
    <n v="368783196.58527058"/>
    <n v="10068629.334799999"/>
    <n v="50343146.674199998"/>
  </r>
  <r>
    <d v="2025-06-21T00:00:00"/>
    <x v="5"/>
    <x v="20"/>
    <x v="52"/>
    <n v="322871796.21505362"/>
    <n v="9651073.9868999999"/>
    <n v="48255369.934699997"/>
  </r>
  <r>
    <d v="2025-06-22T00:00:00"/>
    <x v="5"/>
    <x v="21"/>
    <x v="46"/>
    <n v="220541141.03101367"/>
    <n v="3422169.0249000001"/>
    <n v="17110845.124400001"/>
  </r>
  <r>
    <d v="2025-06-23T00:00:00"/>
    <x v="5"/>
    <x v="22"/>
    <x v="47"/>
    <n v="177885687.57872295"/>
    <n v="2893003.4835000001"/>
    <n v="14465017.4175"/>
  </r>
  <r>
    <d v="2025-06-24T00:00:00"/>
    <x v="5"/>
    <x v="23"/>
    <x v="48"/>
    <n v="178906668.3034234"/>
    <n v="3581375.1006999998"/>
    <n v="17906875.5035"/>
  </r>
  <r>
    <d v="2025-06-25T00:00:00"/>
    <x v="5"/>
    <x v="24"/>
    <x v="49"/>
    <n v="291389579.58436877"/>
    <n v="4520715.5669999998"/>
    <n v="22603577.834800001"/>
  </r>
  <r>
    <d v="2025-06-26T00:00:00"/>
    <x v="5"/>
    <x v="25"/>
    <x v="50"/>
    <n v="249390665.50638849"/>
    <n v="4284666.352"/>
    <n v="21423331.7599"/>
  </r>
  <r>
    <d v="2025-06-27T00:00:00"/>
    <x v="5"/>
    <x v="26"/>
    <x v="51"/>
    <n v="345988790.52012527"/>
    <n v="8267639.1681000004"/>
    <n v="41338195.840300001"/>
  </r>
  <r>
    <d v="2025-06-28T00:00:00"/>
    <x v="5"/>
    <x v="27"/>
    <x v="55"/>
    <n v="337561178.24914742"/>
    <n v="11753426.181500001"/>
    <n v="58767130.907700002"/>
  </r>
  <r>
    <d v="2025-06-29T00:00:00"/>
    <x v="5"/>
    <x v="28"/>
    <x v="56"/>
    <n v="218858925.74372089"/>
    <n v="4167640.9350000001"/>
    <n v="20838204.675000001"/>
  </r>
  <r>
    <d v="2025-06-30T00:00:00"/>
    <x v="5"/>
    <x v="29"/>
    <x v="47"/>
    <n v="177885687.57872295"/>
    <n v="2893003.4835000001"/>
    <n v="14465017.4175"/>
  </r>
  <r>
    <d v="2025-07-01T00:00:00"/>
    <x v="6"/>
    <x v="0"/>
    <x v="57"/>
    <n v="176098331.28485599"/>
    <n v="3026333.7815"/>
    <n v="15131668.907400001"/>
  </r>
  <r>
    <d v="2025-07-02T00:00:00"/>
    <x v="6"/>
    <x v="1"/>
    <x v="58"/>
    <n v="224815392.94084585"/>
    <n v="4229174.8119999999"/>
    <n v="21145874.060199998"/>
  </r>
  <r>
    <d v="2025-07-03T00:00:00"/>
    <x v="6"/>
    <x v="2"/>
    <x v="59"/>
    <n v="229811357.36173218"/>
    <n v="6638809.0066999998"/>
    <n v="33194045.033500001"/>
  </r>
  <r>
    <d v="2025-07-04T00:00:00"/>
    <x v="6"/>
    <x v="3"/>
    <x v="60"/>
    <n v="315844672.12980026"/>
    <n v="6194799.8125999998"/>
    <n v="30973999.062899999"/>
  </r>
  <r>
    <d v="2025-07-05T00:00:00"/>
    <x v="6"/>
    <x v="4"/>
    <x v="61"/>
    <n v="344607141.54294378"/>
    <n v="7697467.6896000002"/>
    <n v="38487338.447800003"/>
  </r>
  <r>
    <d v="2025-07-06T00:00:00"/>
    <x v="6"/>
    <x v="5"/>
    <x v="62"/>
    <n v="197806889.45342556"/>
    <n v="3155833.3966999999"/>
    <n v="15779166.9836"/>
  </r>
  <r>
    <d v="2025-07-07T00:00:00"/>
    <x v="6"/>
    <x v="6"/>
    <x v="63"/>
    <n v="161854009.40294603"/>
    <n v="1942169.3668"/>
    <n v="9710846.8341000006"/>
  </r>
  <r>
    <d v="2025-07-08T00:00:00"/>
    <x v="6"/>
    <x v="7"/>
    <x v="57"/>
    <n v="176098331.28485599"/>
    <n v="3026333.7815"/>
    <n v="15131668.907400001"/>
  </r>
  <r>
    <d v="2025-07-09T00:00:00"/>
    <x v="6"/>
    <x v="8"/>
    <x v="58"/>
    <n v="224815392.94084585"/>
    <n v="4229174.8119999999"/>
    <n v="21145874.060199998"/>
  </r>
  <r>
    <d v="2025-07-10T00:00:00"/>
    <x v="6"/>
    <x v="9"/>
    <x v="59"/>
    <n v="229811357.36173218"/>
    <n v="6638809.0066999998"/>
    <n v="33194045.033500001"/>
  </r>
  <r>
    <d v="2025-07-11T00:00:00"/>
    <x v="6"/>
    <x v="10"/>
    <x v="60"/>
    <n v="315844672.12980026"/>
    <n v="6194799.8125999998"/>
    <n v="30973999.062899999"/>
  </r>
  <r>
    <d v="2025-07-12T00:00:00"/>
    <x v="6"/>
    <x v="11"/>
    <x v="61"/>
    <n v="344607141.54294378"/>
    <n v="7697467.6896000002"/>
    <n v="38487338.447800003"/>
  </r>
  <r>
    <d v="2025-07-13T00:00:00"/>
    <x v="6"/>
    <x v="12"/>
    <x v="62"/>
    <n v="197806889.45342556"/>
    <n v="3155833.3966999999"/>
    <n v="15779166.9836"/>
  </r>
  <r>
    <d v="2025-07-14T00:00:00"/>
    <x v="6"/>
    <x v="13"/>
    <x v="63"/>
    <n v="161854009.40294603"/>
    <n v="1942169.3668"/>
    <n v="9710846.8341000006"/>
  </r>
  <r>
    <d v="2025-07-15T00:00:00"/>
    <x v="6"/>
    <x v="14"/>
    <x v="64"/>
    <n v="230834065.9697395"/>
    <n v="5909902.9507999998"/>
    <n v="29549514.753899999"/>
  </r>
  <r>
    <d v="2025-07-16T00:00:00"/>
    <x v="6"/>
    <x v="15"/>
    <x v="65"/>
    <n v="276959734.22291887"/>
    <n v="5388854.3021"/>
    <n v="26944271.510600001"/>
  </r>
  <r>
    <d v="2025-07-17T00:00:00"/>
    <x v="6"/>
    <x v="16"/>
    <x v="59"/>
    <n v="229811357.36173218"/>
    <n v="6638809.0066999998"/>
    <n v="33194045.033500001"/>
  </r>
  <r>
    <d v="2025-07-18T00:00:00"/>
    <x v="6"/>
    <x v="17"/>
    <x v="60"/>
    <n v="315844672.12980026"/>
    <n v="6194799.8125999998"/>
    <n v="30973999.062899999"/>
  </r>
  <r>
    <d v="2025-07-19T00:00:00"/>
    <x v="6"/>
    <x v="18"/>
    <x v="61"/>
    <n v="344607141.54294378"/>
    <n v="7697467.6896000002"/>
    <n v="38487338.447800003"/>
  </r>
  <r>
    <d v="2025-07-20T00:00:00"/>
    <x v="6"/>
    <x v="19"/>
    <x v="62"/>
    <n v="197806889.45342556"/>
    <n v="3155833.3966999999"/>
    <n v="15779166.9836"/>
  </r>
  <r>
    <d v="2025-07-21T00:00:00"/>
    <x v="6"/>
    <x v="20"/>
    <x v="63"/>
    <n v="161854009.40294603"/>
    <n v="1942169.3668"/>
    <n v="9710846.8341000006"/>
  </r>
  <r>
    <d v="2025-07-22T00:00:00"/>
    <x v="6"/>
    <x v="21"/>
    <x v="57"/>
    <n v="176098331.28485599"/>
    <n v="3026333.7815"/>
    <n v="15131668.907400001"/>
  </r>
  <r>
    <d v="2025-07-23T00:00:00"/>
    <x v="6"/>
    <x v="22"/>
    <x v="58"/>
    <n v="224815392.94084585"/>
    <n v="4229174.8119999999"/>
    <n v="21145874.060199998"/>
  </r>
  <r>
    <d v="2025-07-24T00:00:00"/>
    <x v="6"/>
    <x v="23"/>
    <x v="59"/>
    <n v="229811357.36173218"/>
    <n v="6638809.0066999998"/>
    <n v="33194045.033500001"/>
  </r>
  <r>
    <d v="2025-07-25T00:00:00"/>
    <x v="6"/>
    <x v="24"/>
    <x v="60"/>
    <n v="315844672.12980026"/>
    <n v="6194799.8125999998"/>
    <n v="30973999.062899999"/>
  </r>
  <r>
    <d v="2025-07-26T00:00:00"/>
    <x v="6"/>
    <x v="25"/>
    <x v="61"/>
    <n v="344607141.54294378"/>
    <n v="7697467.6896000002"/>
    <n v="38487338.447800003"/>
  </r>
  <r>
    <d v="2025-07-27T00:00:00"/>
    <x v="6"/>
    <x v="26"/>
    <x v="62"/>
    <n v="197806889.45342556"/>
    <n v="3155833.3966999999"/>
    <n v="15779166.9836"/>
  </r>
  <r>
    <d v="2025-07-28T00:00:00"/>
    <x v="6"/>
    <x v="27"/>
    <x v="63"/>
    <n v="161854009.40294603"/>
    <n v="1942169.3668"/>
    <n v="9710846.8341000006"/>
  </r>
  <r>
    <d v="2025-07-29T00:00:00"/>
    <x v="6"/>
    <x v="28"/>
    <x v="57"/>
    <n v="176098331.28485599"/>
    <n v="3026333.7815"/>
    <n v="15131668.907400001"/>
  </r>
  <r>
    <d v="2025-07-30T00:00:00"/>
    <x v="6"/>
    <x v="29"/>
    <x v="58"/>
    <n v="224815392.94084585"/>
    <n v="4229174.8119999999"/>
    <n v="21145874.060199998"/>
  </r>
  <r>
    <d v="2025-07-31T00:00:00"/>
    <x v="6"/>
    <x v="30"/>
    <x v="59"/>
    <n v="229811357.36173218"/>
    <n v="6638809.0066999998"/>
    <n v="33194045.033500001"/>
  </r>
  <r>
    <d v="2025-08-01T00:00:00"/>
    <x v="7"/>
    <x v="0"/>
    <x v="66"/>
    <n v="318349063.88125825"/>
    <n v="6508454.8947000001"/>
    <n v="32542274.473299999"/>
  </r>
  <r>
    <d v="2025-08-02T00:00:00"/>
    <x v="7"/>
    <x v="1"/>
    <x v="67"/>
    <n v="288879660.56508261"/>
    <n v="7944098.4192000004"/>
    <n v="39720492.095899999"/>
  </r>
  <r>
    <d v="2025-08-03T00:00:00"/>
    <x v="7"/>
    <x v="2"/>
    <x v="68"/>
    <n v="202181684.06911349"/>
    <n v="2302995.0082999999"/>
    <n v="11514975.041300001"/>
  </r>
  <r>
    <d v="2025-08-04T00:00:00"/>
    <x v="7"/>
    <x v="3"/>
    <x v="69"/>
    <n v="180662820.79919338"/>
    <n v="2781226.2440999998"/>
    <n v="13906131.220699999"/>
  </r>
  <r>
    <d v="2025-08-05T00:00:00"/>
    <x v="7"/>
    <x v="4"/>
    <x v="70"/>
    <n v="181306549.32560945"/>
    <n v="3332867.3343000002"/>
    <n v="16664336.671399999"/>
  </r>
  <r>
    <d v="2025-08-06T00:00:00"/>
    <x v="7"/>
    <x v="5"/>
    <x v="71"/>
    <n v="185869467.30435675"/>
    <n v="5799958.6073000003"/>
    <n v="28999793.0363"/>
  </r>
  <r>
    <d v="2025-08-07T00:00:00"/>
    <x v="7"/>
    <x v="6"/>
    <x v="72"/>
    <n v="236909731.27159017"/>
    <n v="5372496.8064000001"/>
    <n v="26862484.0319"/>
  </r>
  <r>
    <d v="2025-08-08T00:00:00"/>
    <x v="7"/>
    <x v="7"/>
    <x v="66"/>
    <n v="318349063.88125825"/>
    <n v="6508454.8947000001"/>
    <n v="32542274.473299999"/>
  </r>
  <r>
    <d v="2025-08-09T00:00:00"/>
    <x v="7"/>
    <x v="8"/>
    <x v="67"/>
    <n v="288879660.56508261"/>
    <n v="7944098.4192000004"/>
    <n v="39720492.095899999"/>
  </r>
  <r>
    <d v="2025-08-10T00:00:00"/>
    <x v="7"/>
    <x v="9"/>
    <x v="68"/>
    <n v="202181684.06911349"/>
    <n v="2302995.0082999999"/>
    <n v="11514975.041300001"/>
  </r>
  <r>
    <d v="2025-08-11T00:00:00"/>
    <x v="7"/>
    <x v="10"/>
    <x v="69"/>
    <n v="180662820.79919338"/>
    <n v="2781226.2440999998"/>
    <n v="13906131.220699999"/>
  </r>
  <r>
    <d v="2025-08-12T00:00:00"/>
    <x v="7"/>
    <x v="11"/>
    <x v="70"/>
    <n v="181306549.32560945"/>
    <n v="3332867.3343000002"/>
    <n v="16664336.671399999"/>
  </r>
  <r>
    <d v="2025-08-13T00:00:00"/>
    <x v="7"/>
    <x v="12"/>
    <x v="71"/>
    <n v="185869467.30435675"/>
    <n v="5799958.6073000003"/>
    <n v="28999793.0363"/>
  </r>
  <r>
    <d v="2025-08-14T00:00:00"/>
    <x v="7"/>
    <x v="13"/>
    <x v="73"/>
    <n v="259896610.46167019"/>
    <n v="6430850.7949999999"/>
    <n v="32154253.975000001"/>
  </r>
  <r>
    <d v="2025-08-15T00:00:00"/>
    <x v="7"/>
    <x v="14"/>
    <x v="74"/>
    <n v="437495350.68149388"/>
    <n v="7790586.7313000001"/>
    <n v="38952933.656400003"/>
  </r>
  <r>
    <d v="2025-08-16T00:00:00"/>
    <x v="7"/>
    <x v="15"/>
    <x v="67"/>
    <n v="288879660.56508261"/>
    <n v="7944098.4192000004"/>
    <n v="39720492.095899999"/>
  </r>
  <r>
    <d v="2025-08-17T00:00:00"/>
    <x v="7"/>
    <x v="16"/>
    <x v="68"/>
    <n v="202181684.06911349"/>
    <n v="2302995.0082999999"/>
    <n v="11514975.041300001"/>
  </r>
  <r>
    <d v="2025-08-18T00:00:00"/>
    <x v="7"/>
    <x v="17"/>
    <x v="69"/>
    <n v="180662820.79919338"/>
    <n v="2781226.2440999998"/>
    <n v="13906131.220699999"/>
  </r>
  <r>
    <d v="2025-08-19T00:00:00"/>
    <x v="7"/>
    <x v="18"/>
    <x v="70"/>
    <n v="181306549.32560945"/>
    <n v="3332867.3343000002"/>
    <n v="16664336.671399999"/>
  </r>
  <r>
    <d v="2025-08-20T00:00:00"/>
    <x v="7"/>
    <x v="19"/>
    <x v="71"/>
    <n v="185869467.30435675"/>
    <n v="5799958.6073000003"/>
    <n v="28999793.0363"/>
  </r>
  <r>
    <d v="2025-08-21T00:00:00"/>
    <x v="7"/>
    <x v="20"/>
    <x v="72"/>
    <n v="236909731.27159017"/>
    <n v="5372496.8064000001"/>
    <n v="26862484.0319"/>
  </r>
  <r>
    <d v="2025-08-22T00:00:00"/>
    <x v="7"/>
    <x v="21"/>
    <x v="66"/>
    <n v="318349063.88125825"/>
    <n v="6508454.8947000001"/>
    <n v="32542274.473299999"/>
  </r>
  <r>
    <d v="2025-08-23T00:00:00"/>
    <x v="7"/>
    <x v="22"/>
    <x v="67"/>
    <n v="288879660.56508261"/>
    <n v="7944098.4192000004"/>
    <n v="39720492.095899999"/>
  </r>
  <r>
    <d v="2025-08-24T00:00:00"/>
    <x v="7"/>
    <x v="23"/>
    <x v="68"/>
    <n v="202181684.06911349"/>
    <n v="2302995.0082999999"/>
    <n v="11514975.041300001"/>
  </r>
  <r>
    <d v="2025-08-25T00:00:00"/>
    <x v="7"/>
    <x v="24"/>
    <x v="69"/>
    <n v="180662820.79919338"/>
    <n v="2781226.2440999998"/>
    <n v="13906131.220699999"/>
  </r>
  <r>
    <d v="2025-08-26T00:00:00"/>
    <x v="7"/>
    <x v="25"/>
    <x v="70"/>
    <n v="181306549.32560945"/>
    <n v="3332867.3343000002"/>
    <n v="16664336.671399999"/>
  </r>
  <r>
    <d v="2025-08-27T00:00:00"/>
    <x v="7"/>
    <x v="26"/>
    <x v="71"/>
    <n v="185869467.30435675"/>
    <n v="5799958.6073000003"/>
    <n v="28999793.0363"/>
  </r>
  <r>
    <d v="2025-08-28T00:00:00"/>
    <x v="7"/>
    <x v="27"/>
    <x v="72"/>
    <n v="236909731.27159017"/>
    <n v="5372496.8064000001"/>
    <n v="26862484.0319"/>
  </r>
  <r>
    <d v="2025-08-29T00:00:00"/>
    <x v="7"/>
    <x v="28"/>
    <x v="66"/>
    <n v="318349063.88125825"/>
    <n v="6508454.8947000001"/>
    <n v="32542274.473299999"/>
  </r>
  <r>
    <d v="2025-08-30T00:00:00"/>
    <x v="7"/>
    <x v="29"/>
    <x v="67"/>
    <n v="288879660.56508261"/>
    <n v="7944098.4192000004"/>
    <n v="39720492.095899999"/>
  </r>
  <r>
    <d v="2025-08-31T00:00:00"/>
    <x v="7"/>
    <x v="30"/>
    <x v="68"/>
    <n v="202181684.06911349"/>
    <n v="2302995.0082999999"/>
    <n v="11514975.041300001"/>
  </r>
  <r>
    <d v="2025-09-01T00:00:00"/>
    <x v="8"/>
    <x v="0"/>
    <x v="75"/>
    <n v="148600847.8451544"/>
    <n v="2866879.6381000001"/>
    <n v="14334398.1906"/>
  </r>
  <r>
    <d v="2025-09-02T00:00:00"/>
    <x v="8"/>
    <x v="1"/>
    <x v="76"/>
    <n v="192184282.09486619"/>
    <n v="2838879.1808000002"/>
    <n v="14194395.903999999"/>
  </r>
  <r>
    <d v="2025-09-03T00:00:00"/>
    <x v="8"/>
    <x v="2"/>
    <x v="77"/>
    <n v="143561885.09255421"/>
    <n v="3463775.0177000002"/>
    <n v="17318875.088500001"/>
  </r>
  <r>
    <d v="2025-09-04T00:00:00"/>
    <x v="8"/>
    <x v="3"/>
    <x v="78"/>
    <n v="253007245.71108851"/>
    <n v="4128333.9339000001"/>
    <n v="20641669.669300001"/>
  </r>
  <r>
    <d v="2025-09-05T00:00:00"/>
    <x v="8"/>
    <x v="4"/>
    <x v="79"/>
    <n v="271804244.62970382"/>
    <n v="5409437.3453000002"/>
    <n v="27047186.726599999"/>
  </r>
  <r>
    <d v="2025-09-06T00:00:00"/>
    <x v="8"/>
    <x v="5"/>
    <x v="80"/>
    <n v="336102925.06277925"/>
    <n v="7160190.7517999997"/>
    <n v="35800953.759199999"/>
  </r>
  <r>
    <d v="2025-09-07T00:00:00"/>
    <x v="8"/>
    <x v="6"/>
    <x v="81"/>
    <n v="212320614.35311729"/>
    <n v="3140193.9741000002"/>
    <n v="15700969.870300001"/>
  </r>
  <r>
    <d v="2025-09-08T00:00:00"/>
    <x v="8"/>
    <x v="7"/>
    <x v="75"/>
    <n v="148600847.8451544"/>
    <n v="2866879.6381000001"/>
    <n v="14334398.1906"/>
  </r>
  <r>
    <d v="2025-09-09T00:00:00"/>
    <x v="8"/>
    <x v="8"/>
    <x v="76"/>
    <n v="192184282.09486619"/>
    <n v="2838879.1808000002"/>
    <n v="14194395.903999999"/>
  </r>
  <r>
    <d v="2025-09-10T00:00:00"/>
    <x v="8"/>
    <x v="9"/>
    <x v="77"/>
    <n v="143561885.09255421"/>
    <n v="3463775.0177000002"/>
    <n v="17318875.088500001"/>
  </r>
  <r>
    <d v="2025-09-11T00:00:00"/>
    <x v="8"/>
    <x v="10"/>
    <x v="78"/>
    <n v="253007245.71108851"/>
    <n v="4128333.9339000001"/>
    <n v="20641669.669300001"/>
  </r>
  <r>
    <d v="2025-09-12T00:00:00"/>
    <x v="8"/>
    <x v="11"/>
    <x v="79"/>
    <n v="271804244.62970382"/>
    <n v="5409437.3453000002"/>
    <n v="27047186.726599999"/>
  </r>
  <r>
    <d v="2025-09-13T00:00:00"/>
    <x v="8"/>
    <x v="12"/>
    <x v="80"/>
    <n v="336102925.06277925"/>
    <n v="7160190.7517999997"/>
    <n v="35800953.759199999"/>
  </r>
  <r>
    <d v="2025-09-14T00:00:00"/>
    <x v="8"/>
    <x v="13"/>
    <x v="81"/>
    <n v="212320614.35311729"/>
    <n v="3140193.9741000002"/>
    <n v="15700969.870300001"/>
  </r>
  <r>
    <d v="2025-09-15T00:00:00"/>
    <x v="8"/>
    <x v="14"/>
    <x v="75"/>
    <n v="148600847.8451544"/>
    <n v="2866879.6381000001"/>
    <n v="14334398.1906"/>
  </r>
  <r>
    <d v="2025-09-16T00:00:00"/>
    <x v="8"/>
    <x v="15"/>
    <x v="76"/>
    <n v="192184282.09486619"/>
    <n v="2838879.1808000002"/>
    <n v="14194395.903999999"/>
  </r>
  <r>
    <d v="2025-09-17T00:00:00"/>
    <x v="8"/>
    <x v="16"/>
    <x v="82"/>
    <n v="208984565.82200915"/>
    <n v="6687245.6984999999"/>
    <n v="33436228.492699999"/>
  </r>
  <r>
    <d v="2025-09-18T00:00:00"/>
    <x v="8"/>
    <x v="17"/>
    <x v="83"/>
    <n v="266787776.56258768"/>
    <n v="7970258.8073000005"/>
    <n v="39851294.036499999"/>
  </r>
  <r>
    <d v="2025-09-19T00:00:00"/>
    <x v="8"/>
    <x v="18"/>
    <x v="84"/>
    <n v="317876306.360497"/>
    <n v="10443587.2521"/>
    <n v="52217936.260499999"/>
  </r>
  <r>
    <d v="2025-09-20T00:00:00"/>
    <x v="8"/>
    <x v="19"/>
    <x v="80"/>
    <n v="336102925.06277925"/>
    <n v="7160190.7517999997"/>
    <n v="35800953.759199999"/>
  </r>
  <r>
    <d v="2025-09-21T00:00:00"/>
    <x v="8"/>
    <x v="20"/>
    <x v="81"/>
    <n v="212320614.35311729"/>
    <n v="3140193.9741000002"/>
    <n v="15700969.870300001"/>
  </r>
  <r>
    <d v="2025-09-22T00:00:00"/>
    <x v="8"/>
    <x v="21"/>
    <x v="75"/>
    <n v="148600847.8451544"/>
    <n v="2866879.6381000001"/>
    <n v="14334398.1906"/>
  </r>
  <r>
    <d v="2025-09-23T00:00:00"/>
    <x v="8"/>
    <x v="22"/>
    <x v="76"/>
    <n v="192184282.09486619"/>
    <n v="2838879.1808000002"/>
    <n v="14194395.903999999"/>
  </r>
  <r>
    <d v="2025-09-24T00:00:00"/>
    <x v="8"/>
    <x v="23"/>
    <x v="77"/>
    <n v="143561885.09255421"/>
    <n v="3463775.0177000002"/>
    <n v="17318875.088500001"/>
  </r>
  <r>
    <d v="2025-09-25T00:00:00"/>
    <x v="8"/>
    <x v="24"/>
    <x v="78"/>
    <n v="253007245.71108851"/>
    <n v="4128333.9339000001"/>
    <n v="20641669.669300001"/>
  </r>
  <r>
    <d v="2025-09-26T00:00:00"/>
    <x v="8"/>
    <x v="25"/>
    <x v="79"/>
    <n v="271804244.62970382"/>
    <n v="5409437.3453000002"/>
    <n v="27047186.726599999"/>
  </r>
  <r>
    <d v="2025-09-27T00:00:00"/>
    <x v="8"/>
    <x v="26"/>
    <x v="80"/>
    <n v="336102925.06277925"/>
    <n v="7160190.7517999997"/>
    <n v="35800953.759199999"/>
  </r>
  <r>
    <d v="2025-09-28T00:00:00"/>
    <x v="8"/>
    <x v="27"/>
    <x v="81"/>
    <n v="212320614.35311729"/>
    <n v="3140193.9741000002"/>
    <n v="15700969.870300001"/>
  </r>
  <r>
    <d v="2025-09-29T00:00:00"/>
    <x v="8"/>
    <x v="28"/>
    <x v="75"/>
    <n v="148600847.8451544"/>
    <n v="2866879.6381000001"/>
    <n v="14334398.1906"/>
  </r>
  <r>
    <d v="2025-09-30T00:00:00"/>
    <x v="8"/>
    <x v="29"/>
    <x v="76"/>
    <n v="192184282.09486619"/>
    <n v="2838879.1808000002"/>
    <n v="14194395.903999999"/>
  </r>
  <r>
    <d v="2025-10-01T00:00:00"/>
    <x v="9"/>
    <x v="0"/>
    <x v="85"/>
    <n v="212085466.96134102"/>
    <n v="3242072.1708999998"/>
    <n v="16210360.854499999"/>
  </r>
  <r>
    <d v="2025-10-02T00:00:00"/>
    <x v="9"/>
    <x v="1"/>
    <x v="86"/>
    <n v="204449949.86516646"/>
    <n v="5490331.0376000004"/>
    <n v="27451655.188200001"/>
  </r>
  <r>
    <d v="2025-10-03T00:00:00"/>
    <x v="9"/>
    <x v="2"/>
    <x v="87"/>
    <n v="296438967.38304734"/>
    <n v="5632703.8150000004"/>
    <n v="28163519.074900001"/>
  </r>
  <r>
    <d v="2025-10-04T00:00:00"/>
    <x v="9"/>
    <x v="3"/>
    <x v="88"/>
    <n v="248024303.40357375"/>
    <n v="7488136.6805999996"/>
    <n v="37440683.402800001"/>
  </r>
  <r>
    <d v="2025-10-05T00:00:00"/>
    <x v="9"/>
    <x v="4"/>
    <x v="89"/>
    <n v="171864364.32446301"/>
    <n v="3079680.9378999998"/>
    <n v="15398404.6896"/>
  </r>
  <r>
    <d v="2025-10-06T00:00:00"/>
    <x v="9"/>
    <x v="5"/>
    <x v="90"/>
    <n v="131748647.7432929"/>
    <n v="1703676.2678"/>
    <n v="8518381.3391999993"/>
  </r>
  <r>
    <d v="2025-10-07T00:00:00"/>
    <x v="9"/>
    <x v="6"/>
    <x v="91"/>
    <n v="154273031.20105842"/>
    <n v="2889766.5654000002"/>
    <n v="14448832.827099999"/>
  </r>
  <r>
    <d v="2025-10-08T00:00:00"/>
    <x v="9"/>
    <x v="7"/>
    <x v="85"/>
    <n v="212085466.96134102"/>
    <n v="3242072.1708999998"/>
    <n v="16210360.854499999"/>
  </r>
  <r>
    <d v="2025-10-09T00:00:00"/>
    <x v="9"/>
    <x v="8"/>
    <x v="86"/>
    <n v="204449949.86516646"/>
    <n v="5490331.0376000004"/>
    <n v="27451655.188200001"/>
  </r>
  <r>
    <d v="2025-10-10T00:00:00"/>
    <x v="9"/>
    <x v="9"/>
    <x v="92"/>
    <n v="277445222.63868034"/>
    <n v="5632703.8150000004"/>
    <n v="28163519.074900001"/>
  </r>
  <r>
    <d v="2025-10-11T00:00:00"/>
    <x v="9"/>
    <x v="10"/>
    <x v="93"/>
    <n v="262775798.65186912"/>
    <n v="10304403.1401"/>
    <n v="51522015.700400002"/>
  </r>
  <r>
    <d v="2025-10-12T00:00:00"/>
    <x v="9"/>
    <x v="11"/>
    <x v="94"/>
    <n v="218652331.07123542"/>
    <n v="4237939.9950999999"/>
    <n v="21189699.975400001"/>
  </r>
  <r>
    <d v="2025-10-13T00:00:00"/>
    <x v="9"/>
    <x v="12"/>
    <x v="90"/>
    <n v="131748647.7432929"/>
    <n v="1703676.2678"/>
    <n v="8518381.3391999993"/>
  </r>
  <r>
    <d v="2025-10-14T00:00:00"/>
    <x v="9"/>
    <x v="13"/>
    <x v="91"/>
    <n v="154273031.20105842"/>
    <n v="2889766.5654000002"/>
    <n v="14448832.827099999"/>
  </r>
  <r>
    <d v="2025-10-15T00:00:00"/>
    <x v="9"/>
    <x v="14"/>
    <x v="85"/>
    <n v="212085466.96134102"/>
    <n v="3242072.1708999998"/>
    <n v="16210360.854499999"/>
  </r>
  <r>
    <d v="2025-10-16T00:00:00"/>
    <x v="9"/>
    <x v="15"/>
    <x v="86"/>
    <n v="204449949.86516646"/>
    <n v="5490331.0376000004"/>
    <n v="27451655.188200001"/>
  </r>
  <r>
    <d v="2025-10-17T00:00:00"/>
    <x v="9"/>
    <x v="16"/>
    <x v="92"/>
    <n v="277445222.63868034"/>
    <n v="5632703.8150000004"/>
    <n v="28163519.074900001"/>
  </r>
  <r>
    <d v="2025-10-18T00:00:00"/>
    <x v="9"/>
    <x v="17"/>
    <x v="88"/>
    <n v="248024303.40357375"/>
    <n v="7488136.6805999996"/>
    <n v="37440683.402800001"/>
  </r>
  <r>
    <d v="2025-10-19T00:00:00"/>
    <x v="9"/>
    <x v="18"/>
    <x v="89"/>
    <n v="171864364.32446301"/>
    <n v="3079680.9378999998"/>
    <n v="15398404.6896"/>
  </r>
  <r>
    <d v="2025-10-20T00:00:00"/>
    <x v="9"/>
    <x v="19"/>
    <x v="90"/>
    <n v="131748647.7432929"/>
    <n v="1703676.2678"/>
    <n v="8518381.3391999993"/>
  </r>
  <r>
    <d v="2025-10-21T00:00:00"/>
    <x v="9"/>
    <x v="20"/>
    <x v="91"/>
    <n v="154273031.20105842"/>
    <n v="2889766.5654000002"/>
    <n v="14448832.827099999"/>
  </r>
  <r>
    <d v="2025-10-22T00:00:00"/>
    <x v="9"/>
    <x v="21"/>
    <x v="85"/>
    <n v="212085466.96134102"/>
    <n v="3242072.1708999998"/>
    <n v="16210360.854499999"/>
  </r>
  <r>
    <d v="2025-10-23T00:00:00"/>
    <x v="9"/>
    <x v="22"/>
    <x v="86"/>
    <n v="204449949.86516646"/>
    <n v="5490331.0376000004"/>
    <n v="27451655.188200001"/>
  </r>
  <r>
    <d v="2025-10-24T00:00:00"/>
    <x v="9"/>
    <x v="23"/>
    <x v="92"/>
    <n v="277445222.63868034"/>
    <n v="5632703.8150000004"/>
    <n v="28163519.074900001"/>
  </r>
  <r>
    <d v="2025-10-25T00:00:00"/>
    <x v="9"/>
    <x v="24"/>
    <x v="88"/>
    <n v="248024303.40357375"/>
    <n v="7488136.6805999996"/>
    <n v="37440683.402800001"/>
  </r>
  <r>
    <d v="2025-10-26T00:00:00"/>
    <x v="9"/>
    <x v="25"/>
    <x v="89"/>
    <n v="171864364.32446301"/>
    <n v="3079680.9378999998"/>
    <n v="15398404.6896"/>
  </r>
  <r>
    <d v="2025-10-27T00:00:00"/>
    <x v="9"/>
    <x v="26"/>
    <x v="90"/>
    <n v="131748647.7432929"/>
    <n v="1703676.2678"/>
    <n v="8518381.3391999993"/>
  </r>
  <r>
    <d v="2025-10-28T00:00:00"/>
    <x v="9"/>
    <x v="27"/>
    <x v="91"/>
    <n v="154273031.20105842"/>
    <n v="2889766.5654000002"/>
    <n v="14448832.827099999"/>
  </r>
  <r>
    <d v="2025-10-29T00:00:00"/>
    <x v="9"/>
    <x v="28"/>
    <x v="85"/>
    <n v="212085466.96134102"/>
    <n v="3242072.1708999998"/>
    <n v="16210360.854499999"/>
  </r>
  <r>
    <d v="2025-10-30T00:00:00"/>
    <x v="9"/>
    <x v="29"/>
    <x v="95"/>
    <n v="260123559.35273117"/>
    <n v="7555228.5965999998"/>
    <n v="37776142.983099997"/>
  </r>
  <r>
    <d v="2025-10-31T00:00:00"/>
    <x v="9"/>
    <x v="30"/>
    <x v="96"/>
    <n v="331589621.27118468"/>
    <n v="7751147.3619999997"/>
    <n v="38755736.810199998"/>
  </r>
  <r>
    <d v="2025-11-01T00:00:00"/>
    <x v="10"/>
    <x v="0"/>
    <x v="97"/>
    <n v="317068393.0409717"/>
    <n v="7757151.0919000003"/>
    <n v="38785755.4595"/>
  </r>
  <r>
    <d v="2025-11-02T00:00:00"/>
    <x v="10"/>
    <x v="1"/>
    <x v="98"/>
    <n v="184551856.12457618"/>
    <n v="3357127.5088999998"/>
    <n v="16785637.5447"/>
  </r>
  <r>
    <d v="2025-11-03T00:00:00"/>
    <x v="10"/>
    <x v="2"/>
    <x v="99"/>
    <n v="138017628.21702939"/>
    <n v="3310176.0512000001"/>
    <n v="16550880.255999999"/>
  </r>
  <r>
    <d v="2025-11-04T00:00:00"/>
    <x v="10"/>
    <x v="3"/>
    <x v="100"/>
    <n v="151207861.96784177"/>
    <n v="1796829.5784"/>
    <n v="8984147.8922000006"/>
  </r>
  <r>
    <d v="2025-11-05T00:00:00"/>
    <x v="10"/>
    <x v="4"/>
    <x v="101"/>
    <n v="186263284.11703032"/>
    <n v="2931803.3895"/>
    <n v="14659016.9475"/>
  </r>
  <r>
    <d v="2025-11-06T00:00:00"/>
    <x v="10"/>
    <x v="5"/>
    <x v="102"/>
    <n v="224329704.11245513"/>
    <n v="5080756.6528000003"/>
    <n v="25403783.264199998"/>
  </r>
  <r>
    <d v="2025-11-07T00:00:00"/>
    <x v="10"/>
    <x v="6"/>
    <x v="103"/>
    <n v="284928585.85887575"/>
    <n v="4912230.3032999998"/>
    <n v="24561151.516600002"/>
  </r>
  <r>
    <d v="2025-11-08T00:00:00"/>
    <x v="10"/>
    <x v="7"/>
    <x v="104"/>
    <n v="262506172.31043664"/>
    <n v="6171037.2412999999"/>
    <n v="30855186.2064"/>
  </r>
  <r>
    <d v="2025-11-09T00:00:00"/>
    <x v="10"/>
    <x v="8"/>
    <x v="98"/>
    <n v="184551856.12457618"/>
    <n v="3357127.5088999998"/>
    <n v="16785637.5447"/>
  </r>
  <r>
    <d v="2025-11-10T00:00:00"/>
    <x v="10"/>
    <x v="9"/>
    <x v="99"/>
    <n v="138017628.21702939"/>
    <n v="3310176.0512000001"/>
    <n v="16550880.255999999"/>
  </r>
  <r>
    <d v="2025-11-11T00:00:00"/>
    <x v="10"/>
    <x v="10"/>
    <x v="100"/>
    <n v="151207861.96784177"/>
    <n v="1796829.5784"/>
    <n v="8984147.8922000006"/>
  </r>
  <r>
    <d v="2025-11-12T00:00:00"/>
    <x v="10"/>
    <x v="11"/>
    <x v="101"/>
    <n v="186263284.11703032"/>
    <n v="2931803.3895"/>
    <n v="14659016.9475"/>
  </r>
  <r>
    <d v="2025-11-13T00:00:00"/>
    <x v="10"/>
    <x v="12"/>
    <x v="102"/>
    <n v="224329704.11245513"/>
    <n v="5080756.6528000003"/>
    <n v="25403783.264199998"/>
  </r>
  <r>
    <d v="2025-11-14T00:00:00"/>
    <x v="10"/>
    <x v="13"/>
    <x v="103"/>
    <n v="284928585.85887575"/>
    <n v="4912230.3032999998"/>
    <n v="24561151.516600002"/>
  </r>
  <r>
    <d v="2025-11-15T00:00:00"/>
    <x v="10"/>
    <x v="14"/>
    <x v="104"/>
    <n v="262506172.31043664"/>
    <n v="6171037.2412999999"/>
    <n v="30855186.2064"/>
  </r>
  <r>
    <d v="2025-11-16T00:00:00"/>
    <x v="10"/>
    <x v="15"/>
    <x v="98"/>
    <n v="184551856.12457618"/>
    <n v="3357127.5088999998"/>
    <n v="16785637.5447"/>
  </r>
  <r>
    <d v="2025-11-17T00:00:00"/>
    <x v="10"/>
    <x v="16"/>
    <x v="99"/>
    <n v="138017628.21702939"/>
    <n v="3310176.0512000001"/>
    <n v="16550880.255999999"/>
  </r>
  <r>
    <d v="2025-11-18T00:00:00"/>
    <x v="10"/>
    <x v="17"/>
    <x v="100"/>
    <n v="151207861.96784177"/>
    <n v="1796829.5784"/>
    <n v="8984147.8922000006"/>
  </r>
  <r>
    <d v="2025-11-19T00:00:00"/>
    <x v="10"/>
    <x v="18"/>
    <x v="101"/>
    <n v="186263284.11703032"/>
    <n v="2931803.3895"/>
    <n v="14659016.9475"/>
  </r>
  <r>
    <d v="2025-11-20T00:00:00"/>
    <x v="10"/>
    <x v="19"/>
    <x v="102"/>
    <n v="224329704.11245513"/>
    <n v="5080756.6528000003"/>
    <n v="25403783.264199998"/>
  </r>
  <r>
    <d v="2025-11-21T00:00:00"/>
    <x v="10"/>
    <x v="20"/>
    <x v="103"/>
    <n v="284928585.85887575"/>
    <n v="4912230.3032999998"/>
    <n v="24561151.516600002"/>
  </r>
  <r>
    <d v="2025-11-22T00:00:00"/>
    <x v="10"/>
    <x v="21"/>
    <x v="104"/>
    <n v="262506172.31043664"/>
    <n v="6171037.2412999999"/>
    <n v="30855186.2064"/>
  </r>
  <r>
    <d v="2025-11-23T00:00:00"/>
    <x v="10"/>
    <x v="22"/>
    <x v="98"/>
    <n v="184551856.12457618"/>
    <n v="3357127.5088999998"/>
    <n v="16785637.5447"/>
  </r>
  <r>
    <d v="2025-11-24T00:00:00"/>
    <x v="10"/>
    <x v="23"/>
    <x v="99"/>
    <n v="138017628.21702939"/>
    <n v="3310176.0512000001"/>
    <n v="16550880.255999999"/>
  </r>
  <r>
    <d v="2025-11-25T00:00:00"/>
    <x v="10"/>
    <x v="24"/>
    <x v="100"/>
    <n v="151207861.96784177"/>
    <n v="1796829.5784"/>
    <n v="8984147.8922000006"/>
  </r>
  <r>
    <d v="2025-11-26T00:00:00"/>
    <x v="10"/>
    <x v="25"/>
    <x v="101"/>
    <n v="186263284.11703032"/>
    <n v="2931803.3895"/>
    <n v="14659016.9475"/>
  </r>
  <r>
    <d v="2025-11-27T00:00:00"/>
    <x v="10"/>
    <x v="26"/>
    <x v="102"/>
    <n v="224329704.11245513"/>
    <n v="5080756.6528000003"/>
    <n v="25403783.264199998"/>
  </r>
  <r>
    <d v="2025-11-28T00:00:00"/>
    <x v="10"/>
    <x v="27"/>
    <x v="103"/>
    <n v="284928585.85887575"/>
    <n v="4912230.3032999998"/>
    <n v="24561151.516600002"/>
  </r>
  <r>
    <d v="2025-11-29T00:00:00"/>
    <x v="10"/>
    <x v="28"/>
    <x v="104"/>
    <n v="262506172.31043664"/>
    <n v="6171037.2412999999"/>
    <n v="30855186.2064"/>
  </r>
  <r>
    <d v="2025-11-30T00:00:00"/>
    <x v="10"/>
    <x v="29"/>
    <x v="98"/>
    <n v="184551856.12457618"/>
    <n v="3357127.5088999998"/>
    <n v="16785637.5447"/>
  </r>
  <r>
    <d v="2025-12-01T00:00:00"/>
    <x v="11"/>
    <x v="0"/>
    <x v="105"/>
    <n v="156790593.3860302"/>
    <n v="2067396.9010000001"/>
    <n v="10336984.504799999"/>
  </r>
  <r>
    <d v="2025-12-02T00:00:00"/>
    <x v="11"/>
    <x v="1"/>
    <x v="106"/>
    <n v="183502006.34538448"/>
    <n v="2230324.4010000001"/>
    <n v="11151622.005000001"/>
  </r>
  <r>
    <d v="2025-12-03T00:00:00"/>
    <x v="11"/>
    <x v="2"/>
    <x v="107"/>
    <n v="194649400.45008132"/>
    <n v="2373745.6878"/>
    <n v="11868728.438899999"/>
  </r>
  <r>
    <d v="2025-12-04T00:00:00"/>
    <x v="11"/>
    <x v="3"/>
    <x v="108"/>
    <n v="233272938.04504818"/>
    <n v="4166261.1630000002"/>
    <n v="20831305.815200001"/>
  </r>
  <r>
    <d v="2025-12-05T00:00:00"/>
    <x v="11"/>
    <x v="4"/>
    <x v="109"/>
    <n v="243199616.3923375"/>
    <n v="7335628.6435000002"/>
    <n v="36678143.217600003"/>
  </r>
  <r>
    <d v="2025-12-06T00:00:00"/>
    <x v="11"/>
    <x v="5"/>
    <x v="110"/>
    <n v="248084115.47055256"/>
    <n v="6484501.6458999999"/>
    <n v="32422508.229400001"/>
  </r>
  <r>
    <d v="2025-12-07T00:00:00"/>
    <x v="11"/>
    <x v="6"/>
    <x v="111"/>
    <n v="233337475.90277484"/>
    <n v="6532950.9111000001"/>
    <n v="32664754.555399999"/>
  </r>
  <r>
    <d v="2025-12-08T00:00:00"/>
    <x v="11"/>
    <x v="7"/>
    <x v="112"/>
    <n v="221738593.02591592"/>
    <n v="3515054.2267999998"/>
    <n v="17575271.133900002"/>
  </r>
  <r>
    <d v="2025-12-09T00:00:00"/>
    <x v="11"/>
    <x v="8"/>
    <x v="106"/>
    <n v="183502006.34538448"/>
    <n v="2230324.4010000001"/>
    <n v="11151622.005000001"/>
  </r>
  <r>
    <d v="2025-12-10T00:00:00"/>
    <x v="11"/>
    <x v="9"/>
    <x v="107"/>
    <n v="194649400.45008132"/>
    <n v="2373745.6878"/>
    <n v="11868728.438899999"/>
  </r>
  <r>
    <d v="2025-12-11T00:00:00"/>
    <x v="11"/>
    <x v="10"/>
    <x v="108"/>
    <n v="233272938.04504818"/>
    <n v="4166261.1630000002"/>
    <n v="20831305.815200001"/>
  </r>
  <r>
    <d v="2025-12-12T00:00:00"/>
    <x v="11"/>
    <x v="11"/>
    <x v="109"/>
    <n v="243199616.3923375"/>
    <n v="7335628.6435000002"/>
    <n v="36678143.217600003"/>
  </r>
  <r>
    <d v="2025-12-13T00:00:00"/>
    <x v="11"/>
    <x v="12"/>
    <x v="110"/>
    <n v="248084115.47055256"/>
    <n v="6484501.6458999999"/>
    <n v="32422508.229400001"/>
  </r>
  <r>
    <d v="2025-12-14T00:00:00"/>
    <x v="11"/>
    <x v="13"/>
    <x v="113"/>
    <n v="164804664.03171796"/>
    <n v="3842388.0817999998"/>
    <n v="19211940.408799998"/>
  </r>
  <r>
    <d v="2025-12-15T00:00:00"/>
    <x v="11"/>
    <x v="14"/>
    <x v="105"/>
    <n v="156790593.3860302"/>
    <n v="2067396.9010000001"/>
    <n v="10336984.504799999"/>
  </r>
  <r>
    <d v="2025-12-16T00:00:00"/>
    <x v="11"/>
    <x v="15"/>
    <x v="106"/>
    <n v="183502006.34538448"/>
    <n v="2230324.4010000001"/>
    <n v="11151622.005000001"/>
  </r>
  <r>
    <d v="2025-12-17T00:00:00"/>
    <x v="11"/>
    <x v="16"/>
    <x v="107"/>
    <n v="194649400.45008132"/>
    <n v="2373745.6878"/>
    <n v="11868728.438899999"/>
  </r>
  <r>
    <d v="2025-12-18T00:00:00"/>
    <x v="11"/>
    <x v="17"/>
    <x v="108"/>
    <n v="233272938.04504818"/>
    <n v="4166261.1630000002"/>
    <n v="20831305.815200001"/>
  </r>
  <r>
    <d v="2025-12-19T00:00:00"/>
    <x v="11"/>
    <x v="18"/>
    <x v="109"/>
    <n v="243199616.3923375"/>
    <n v="7335628.6435000002"/>
    <n v="36678143.217600003"/>
  </r>
  <r>
    <d v="2025-12-20T00:00:00"/>
    <x v="11"/>
    <x v="19"/>
    <x v="110"/>
    <n v="248084115.47055256"/>
    <n v="6484501.6458999999"/>
    <n v="32422508.229400001"/>
  </r>
  <r>
    <d v="2025-12-21T00:00:00"/>
    <x v="11"/>
    <x v="20"/>
    <x v="113"/>
    <n v="164804664.03171796"/>
    <n v="3842388.0817999998"/>
    <n v="19211940.408799998"/>
  </r>
  <r>
    <d v="2025-12-22T00:00:00"/>
    <x v="11"/>
    <x v="21"/>
    <x v="105"/>
    <n v="156790593.3860302"/>
    <n v="2067396.9010000001"/>
    <n v="10336984.504799999"/>
  </r>
  <r>
    <d v="2025-12-23T00:00:00"/>
    <x v="11"/>
    <x v="22"/>
    <x v="106"/>
    <n v="183502006.34538448"/>
    <n v="2230324.4010000001"/>
    <n v="11151622.005000001"/>
  </r>
  <r>
    <d v="2025-12-24T00:00:00"/>
    <x v="11"/>
    <x v="23"/>
    <x v="114"/>
    <n v="18652739.655312449"/>
    <n v="7.4999999997089617E-2"/>
    <n v="0"/>
  </r>
  <r>
    <d v="2025-12-25T00:00:00"/>
    <x v="11"/>
    <x v="24"/>
    <x v="115"/>
    <n v="142840889.46099424"/>
    <n v="446365.07140000002"/>
    <n v="2231825.3571000001"/>
  </r>
  <r>
    <d v="2025-12-26T00:00:00"/>
    <x v="11"/>
    <x v="25"/>
    <x v="109"/>
    <n v="243199616.3923375"/>
    <n v="7335628.6435000002"/>
    <n v="36678143.217600003"/>
  </r>
  <r>
    <d v="2025-12-27T00:00:00"/>
    <x v="11"/>
    <x v="26"/>
    <x v="110"/>
    <n v="248084115.47055256"/>
    <n v="6484501.6458999999"/>
    <n v="32422508.229400001"/>
  </r>
  <r>
    <d v="2025-12-28T00:00:00"/>
    <x v="11"/>
    <x v="27"/>
    <x v="113"/>
    <n v="164804664.03171796"/>
    <n v="3842388.0817999998"/>
    <n v="19211940.408799998"/>
  </r>
  <r>
    <d v="2025-12-29T00:00:00"/>
    <x v="11"/>
    <x v="28"/>
    <x v="105"/>
    <n v="156790593.3860302"/>
    <n v="2067396.9010000001"/>
    <n v="10336984.504799999"/>
  </r>
  <r>
    <d v="2025-12-30T00:00:00"/>
    <x v="11"/>
    <x v="29"/>
    <x v="106"/>
    <n v="183502006.34538448"/>
    <n v="2230324.4010000001"/>
    <n v="11151622.005000001"/>
  </r>
  <r>
    <d v="2025-12-31T00:00:00"/>
    <x v="11"/>
    <x v="30"/>
    <x v="116"/>
    <n v="272205382.20626891"/>
    <n v="4035918.2163999998"/>
    <n v="20179591.081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7:B8" firstHeaderRow="1" firstDataRow="1" firstDataCol="1" rowPageCount="5" colPageCount="1"/>
  <pivotFields count="15">
    <pivotField axis="axisPage" showAll="0">
      <items count="3">
        <item m="1" x="1"/>
        <item x="0"/>
        <item t="default"/>
      </items>
    </pivotField>
    <pivotField showAll="0"/>
    <pivotField showAll="0"/>
    <pivotField showAll="0"/>
    <pivotField dataField="1" showAll="0"/>
    <pivotField showAll="0">
      <items count="13">
        <item h="1" m="1" x="9"/>
        <item h="1" m="1" x="10"/>
        <item h="1" m="1" x="11"/>
        <item h="1" m="1" x="4"/>
        <item h="1" m="1" x="3"/>
        <item h="1" m="1" x="5"/>
        <item h="1" m="1" x="6"/>
        <item h="1" m="1" x="7"/>
        <item h="1" m="1" x="8"/>
        <item h="1" x="0"/>
        <item x="1"/>
        <item h="1" x="2"/>
        <item t="default"/>
      </items>
    </pivotField>
    <pivotField axis="axisPage" showAll="0">
      <items count="7">
        <item x="0"/>
        <item m="1" x="1"/>
        <item m="1" x="2"/>
        <item m="1" x="3"/>
        <item m="1" x="4"/>
        <item m="1" x="5"/>
        <item t="default"/>
      </items>
    </pivotField>
    <pivotField showAll="0">
      <items count="1593">
        <item m="1" x="1576"/>
        <item m="1" x="1577"/>
        <item x="24"/>
        <item x="0"/>
        <item x="2"/>
        <item x="25"/>
        <item x="26"/>
        <item x="27"/>
        <item x="3"/>
        <item x="1"/>
        <item x="28"/>
        <item x="4"/>
        <item x="5"/>
        <item x="29"/>
        <item x="30"/>
        <item x="31"/>
        <item x="32"/>
        <item x="33"/>
        <item x="34"/>
        <item x="35"/>
        <item x="8"/>
        <item x="9"/>
        <item x="36"/>
        <item x="37"/>
        <item x="38"/>
        <item x="6"/>
        <item x="39"/>
        <item x="40"/>
        <item x="41"/>
        <item x="42"/>
        <item x="43"/>
        <item x="44"/>
        <item x="45"/>
        <item x="10"/>
        <item x="7"/>
        <item x="14"/>
        <item x="15"/>
        <item x="46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x="12"/>
        <item x="47"/>
        <item x="11"/>
        <item m="1" x="1589"/>
        <item m="1" x="1590"/>
        <item m="1" x="1591"/>
        <item x="13"/>
        <item x="16"/>
        <item x="17"/>
        <item x="18"/>
        <item x="19"/>
        <item x="20"/>
        <item x="21"/>
        <item x="22"/>
        <item x="2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Page" showAll="0">
      <items count="8">
        <item m="1" x="4"/>
        <item m="1" x="3"/>
        <item m="1" x="1"/>
        <item m="1" x="2"/>
        <item m="1" x="5"/>
        <item m="1" x="6"/>
        <item x="0"/>
        <item t="default"/>
      </items>
    </pivotField>
    <pivotField axis="axisPage" multipleItemSelectionAllowed="1" showAll="0">
      <items count="8">
        <item m="1" x="4"/>
        <item h="1" m="1" x="3"/>
        <item h="1" m="1" x="1"/>
        <item h="1" m="1" x="2"/>
        <item h="1" m="1" x="5"/>
        <item h="1" m="1" x="6"/>
        <item h="1" x="0"/>
        <item t="default"/>
      </items>
    </pivotField>
    <pivotField showAll="0"/>
    <pivotField axis="axisPage" multipleItemSelectionAllowed="1" showAll="0">
      <items count="3">
        <item m="1" x="1"/>
        <item x="0"/>
        <item t="default"/>
      </items>
    </pivotField>
    <pivotField axis="axisRow" showAll="0" sortType="ascending">
      <items count="369">
        <item x="0"/>
        <item x="367"/>
        <item sd="0" x="92"/>
        <item sd="0" x="214"/>
        <item sd="0" x="336"/>
        <item sd="0" x="1"/>
        <item sd="0" x="32"/>
        <item sd="0" x="183"/>
        <item sd="0" x="153"/>
        <item sd="0" x="61"/>
        <item sd="0" x="122"/>
        <item sd="0" x="306"/>
        <item sd="0" x="275"/>
        <item sd="0" x="245"/>
        <item sd="0" x="93"/>
        <item sd="0" x="215"/>
        <item sd="0" x="337"/>
        <item sd="0" x="2"/>
        <item sd="0" x="33"/>
        <item sd="0" x="184"/>
        <item sd="0" x="154"/>
        <item sd="0" x="62"/>
        <item sd="0" x="123"/>
        <item sd="0" x="307"/>
        <item sd="0" x="276"/>
        <item sd="0" x="246"/>
        <item sd="0" x="94"/>
        <item sd="0" x="216"/>
        <item sd="0" x="338"/>
        <item sd="0" x="3"/>
        <item sd="0" x="34"/>
        <item sd="0" x="185"/>
        <item sd="0" x="155"/>
        <item sd="0" x="63"/>
        <item sd="0" x="124"/>
        <item sd="0" x="308"/>
        <item sd="0" x="277"/>
        <item sd="0" x="247"/>
        <item sd="0" x="95"/>
        <item sd="0" x="217"/>
        <item sd="0" x="339"/>
        <item sd="0" x="4"/>
        <item sd="0" x="35"/>
        <item sd="0" x="186"/>
        <item sd="0" x="156"/>
        <item sd="0" x="64"/>
        <item sd="0" x="125"/>
        <item sd="0" x="309"/>
        <item sd="0" x="278"/>
        <item sd="0" x="248"/>
        <item sd="0" x="96"/>
        <item sd="0" x="218"/>
        <item sd="0" x="340"/>
        <item sd="0" x="5"/>
        <item sd="0" x="36"/>
        <item sd="0" x="187"/>
        <item sd="0" x="157"/>
        <item sd="0" x="65"/>
        <item sd="0" x="126"/>
        <item sd="0" x="310"/>
        <item sd="0" x="279"/>
        <item sd="0" x="249"/>
        <item sd="0" x="97"/>
        <item sd="0" x="219"/>
        <item sd="0" x="341"/>
        <item sd="0" x="6"/>
        <item sd="0" x="37"/>
        <item sd="0" x="188"/>
        <item sd="0" x="158"/>
        <item sd="0" x="66"/>
        <item sd="0" x="127"/>
        <item sd="0" x="311"/>
        <item sd="0" x="280"/>
        <item sd="0" x="250"/>
        <item sd="0" x="98"/>
        <item sd="0" x="220"/>
        <item sd="0" x="342"/>
        <item sd="0" x="7"/>
        <item sd="0" x="38"/>
        <item sd="0" x="189"/>
        <item sd="0" x="159"/>
        <item sd="0" x="67"/>
        <item sd="0" x="128"/>
        <item sd="0" x="312"/>
        <item sd="0" x="281"/>
        <item sd="0" x="251"/>
        <item sd="0" x="99"/>
        <item sd="0" x="221"/>
        <item sd="0" x="343"/>
        <item sd="0" x="8"/>
        <item sd="0" x="39"/>
        <item sd="0" x="190"/>
        <item sd="0" x="160"/>
        <item sd="0" x="68"/>
        <item sd="0" x="129"/>
        <item sd="0" x="313"/>
        <item sd="0" x="282"/>
        <item sd="0" x="252"/>
        <item sd="0" x="100"/>
        <item sd="0" x="222"/>
        <item sd="0" x="344"/>
        <item sd="0" x="9"/>
        <item sd="0" x="40"/>
        <item sd="0" x="191"/>
        <item sd="0" x="161"/>
        <item sd="0" x="69"/>
        <item sd="0" x="130"/>
        <item sd="0" x="314"/>
        <item sd="0" x="283"/>
        <item sd="0" x="253"/>
        <item sd="0" x="101"/>
        <item sd="0" x="223"/>
        <item sd="0" x="345"/>
        <item sd="0" x="10"/>
        <item sd="0" x="41"/>
        <item sd="0" x="192"/>
        <item sd="0" x="162"/>
        <item sd="0" x="70"/>
        <item sd="0" x="131"/>
        <item sd="0" x="315"/>
        <item sd="0" x="284"/>
        <item sd="0" x="254"/>
        <item sd="0" x="102"/>
        <item sd="0" x="224"/>
        <item sd="0" x="346"/>
        <item sd="0" x="11"/>
        <item sd="0" x="42"/>
        <item sd="0" x="193"/>
        <item sd="0" x="163"/>
        <item sd="0" x="71"/>
        <item sd="0" x="132"/>
        <item sd="0" x="316"/>
        <item sd="0" x="285"/>
        <item sd="0" x="255"/>
        <item sd="0" x="103"/>
        <item sd="0" x="225"/>
        <item sd="0" x="347"/>
        <item sd="0" x="12"/>
        <item sd="0" x="43"/>
        <item sd="0" x="194"/>
        <item sd="0" x="164"/>
        <item sd="0" x="72"/>
        <item sd="0" x="133"/>
        <item sd="0" x="317"/>
        <item sd="0" x="286"/>
        <item sd="0" x="256"/>
        <item sd="0" x="104"/>
        <item sd="0" x="226"/>
        <item sd="0" x="348"/>
        <item sd="0" x="13"/>
        <item sd="0" x="44"/>
        <item sd="0" x="195"/>
        <item sd="0" x="165"/>
        <item sd="0" x="73"/>
        <item sd="0" x="134"/>
        <item sd="0" x="318"/>
        <item sd="0" x="287"/>
        <item sd="0" x="257"/>
        <item sd="0" x="105"/>
        <item sd="0" x="227"/>
        <item sd="0" x="349"/>
        <item sd="0" x="14"/>
        <item sd="0" x="45"/>
        <item sd="0" x="196"/>
        <item sd="0" x="166"/>
        <item sd="0" x="74"/>
        <item sd="0" x="135"/>
        <item sd="0" x="319"/>
        <item sd="0" x="288"/>
        <item sd="0" x="258"/>
        <item sd="0" x="106"/>
        <item sd="0" x="228"/>
        <item sd="0" x="350"/>
        <item sd="0" x="15"/>
        <item sd="0" x="46"/>
        <item sd="0" x="197"/>
        <item sd="0" x="167"/>
        <item sd="0" x="75"/>
        <item sd="0" x="136"/>
        <item sd="0" x="320"/>
        <item sd="0" x="289"/>
        <item sd="0" x="259"/>
        <item sd="0" x="107"/>
        <item sd="0" x="229"/>
        <item sd="0" x="351"/>
        <item sd="0" x="16"/>
        <item sd="0" x="47"/>
        <item sd="0" x="198"/>
        <item sd="0" x="168"/>
        <item sd="0" x="76"/>
        <item sd="0" x="137"/>
        <item sd="0" x="321"/>
        <item sd="0" x="290"/>
        <item sd="0" x="260"/>
        <item sd="0" x="108"/>
        <item sd="0" x="230"/>
        <item sd="0" x="352"/>
        <item sd="0" x="17"/>
        <item sd="0" x="48"/>
        <item sd="0" x="199"/>
        <item sd="0" x="169"/>
        <item sd="0" x="77"/>
        <item sd="0" x="138"/>
        <item sd="0" x="322"/>
        <item sd="0" x="291"/>
        <item sd="0" x="261"/>
        <item sd="0" x="109"/>
        <item sd="0" x="231"/>
        <item sd="0" x="353"/>
        <item sd="0" x="18"/>
        <item sd="0" x="49"/>
        <item sd="0" x="200"/>
        <item sd="0" x="170"/>
        <item sd="0" x="78"/>
        <item sd="0" x="139"/>
        <item sd="0" x="323"/>
        <item sd="0" x="292"/>
        <item sd="0" x="262"/>
        <item sd="0" x="110"/>
        <item sd="0" x="232"/>
        <item sd="0" x="354"/>
        <item sd="0" x="19"/>
        <item sd="0" x="50"/>
        <item sd="0" x="201"/>
        <item sd="0" x="171"/>
        <item sd="0" x="79"/>
        <item sd="0" x="140"/>
        <item sd="0" x="324"/>
        <item sd="0" x="293"/>
        <item sd="0" x="263"/>
        <item sd="0" x="111"/>
        <item sd="0" x="233"/>
        <item sd="0" x="355"/>
        <item sd="0" x="20"/>
        <item sd="0" x="51"/>
        <item sd="0" x="202"/>
        <item sd="0" x="172"/>
        <item sd="0" x="80"/>
        <item sd="0" x="141"/>
        <item sd="0" x="325"/>
        <item sd="0" x="294"/>
        <item sd="0" x="264"/>
        <item sd="0" x="112"/>
        <item sd="0" x="234"/>
        <item sd="0" x="356"/>
        <item sd="0" x="21"/>
        <item sd="0" x="52"/>
        <item sd="0" x="203"/>
        <item sd="0" x="173"/>
        <item sd="0" x="81"/>
        <item sd="0" x="142"/>
        <item sd="0" x="326"/>
        <item sd="0" x="295"/>
        <item sd="0" x="265"/>
        <item sd="0" x="113"/>
        <item sd="0" x="235"/>
        <item sd="0" x="357"/>
        <item sd="0" x="22"/>
        <item sd="0" x="53"/>
        <item sd="0" x="204"/>
        <item sd="0" x="174"/>
        <item sd="0" x="82"/>
        <item sd="0" x="143"/>
        <item sd="0" x="327"/>
        <item sd="0" x="296"/>
        <item sd="0" x="266"/>
        <item sd="0" x="114"/>
        <item sd="0" x="236"/>
        <item sd="0" x="358"/>
        <item sd="0" x="23"/>
        <item sd="0" x="54"/>
        <item sd="0" x="205"/>
        <item sd="0" x="175"/>
        <item sd="0" x="83"/>
        <item sd="0" x="144"/>
        <item sd="0" x="328"/>
        <item sd="0" x="297"/>
        <item sd="0" x="267"/>
        <item sd="0" x="115"/>
        <item sd="0" x="237"/>
        <item sd="0" x="359"/>
        <item sd="0" x="24"/>
        <item sd="0" x="55"/>
        <item sd="0" x="206"/>
        <item sd="0" x="176"/>
        <item sd="0" x="84"/>
        <item sd="0" x="145"/>
        <item sd="0" x="329"/>
        <item sd="0" x="298"/>
        <item sd="0" x="268"/>
        <item sd="0" x="116"/>
        <item sd="0" x="238"/>
        <item sd="0" x="360"/>
        <item sd="0" x="25"/>
        <item sd="0" x="56"/>
        <item sd="0" x="207"/>
        <item sd="0" x="177"/>
        <item sd="0" x="85"/>
        <item sd="0" x="146"/>
        <item sd="0" x="330"/>
        <item sd="0" x="299"/>
        <item sd="0" x="269"/>
        <item sd="0" x="117"/>
        <item sd="0" x="239"/>
        <item sd="0" x="361"/>
        <item sd="0" x="26"/>
        <item sd="0" x="57"/>
        <item sd="0" x="208"/>
        <item sd="0" x="178"/>
        <item sd="0" x="86"/>
        <item sd="0" x="147"/>
        <item sd="0" x="331"/>
        <item sd="0" x="300"/>
        <item sd="0" x="270"/>
        <item sd="0" x="118"/>
        <item sd="0" x="240"/>
        <item sd="0" x="362"/>
        <item sd="0" x="27"/>
        <item sd="0" x="58"/>
        <item sd="0" x="209"/>
        <item sd="0" x="179"/>
        <item sd="0" x="87"/>
        <item sd="0" x="148"/>
        <item sd="0" x="332"/>
        <item sd="0" x="301"/>
        <item sd="0" x="271"/>
        <item sd="0" x="119"/>
        <item sd="0" x="241"/>
        <item sd="0" x="363"/>
        <item sd="0" x="28"/>
        <item sd="0" x="59"/>
        <item sd="0" x="210"/>
        <item sd="0" x="180"/>
        <item sd="0" x="88"/>
        <item sd="0" x="149"/>
        <item sd="0" x="333"/>
        <item sd="0" x="302"/>
        <item sd="0" x="272"/>
        <item sd="0" x="120"/>
        <item sd="0" x="242"/>
        <item sd="0" x="364"/>
        <item sd="0" x="29"/>
        <item sd="0" x="60"/>
        <item sd="0" x="211"/>
        <item sd="0" x="181"/>
        <item sd="0" x="89"/>
        <item sd="0" x="150"/>
        <item sd="0" x="334"/>
        <item sd="0" x="303"/>
        <item sd="0" x="273"/>
        <item sd="0" x="121"/>
        <item sd="0" x="243"/>
        <item sd="0" x="365"/>
        <item sd="0" x="30"/>
        <item sd="0" x="212"/>
        <item sd="0" x="182"/>
        <item sd="0" x="90"/>
        <item sd="0" x="151"/>
        <item sd="0" x="335"/>
        <item sd="0" x="304"/>
        <item sd="0" x="274"/>
        <item sd="0" x="244"/>
        <item sd="0" x="366"/>
        <item sd="0" x="31"/>
        <item sd="0" x="213"/>
        <item sd="0" x="91"/>
        <item sd="0" x="152"/>
        <item sd="0" x="30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sd="0" x="12"/>
        <item sd="0" x="13"/>
        <item t="default"/>
      </items>
    </pivotField>
  </pivotFields>
  <rowFields count="2">
    <field x="14"/>
    <field x="13"/>
  </rowFields>
  <rowItems count="1">
    <i t="grand">
      <x/>
    </i>
  </rowItems>
  <colItems count="1">
    <i/>
  </colItems>
  <pageFields count="5">
    <pageField fld="9" hier="-1"/>
    <pageField fld="10" hier="-1"/>
    <pageField fld="6" hier="-1"/>
    <pageField fld="12" hier="-1"/>
    <pageField fld="0" hier="-1"/>
  </pageFields>
  <dataFields count="1">
    <dataField name="Suma de monto" fld="4" baseField="0" baseItem="0" numFmtId="42"/>
  </dataFields>
  <formats count="7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2">
          <reference field="13" count="2">
            <x v="216"/>
            <x v="228"/>
          </reference>
          <reference field="14" count="1" selected="0">
            <x v="10"/>
          </reference>
        </references>
      </pivotArea>
    </format>
    <format dxfId="18">
      <pivotArea dataOnly="0" labelOnly="1" fieldPosition="0">
        <references count="2">
          <reference field="13" count="2">
            <x v="216"/>
            <x v="228"/>
          </reference>
          <reference field="14" count="1" selected="0">
            <x v="10"/>
          </reference>
        </references>
      </pivotArea>
    </format>
    <format dxfId="17">
      <pivotArea collapsedLevelsAreSubtotals="1" fieldPosition="0">
        <references count="2">
          <reference field="13" count="1">
            <x v="300"/>
          </reference>
          <reference field="14" count="1" selected="0">
            <x v="10"/>
          </reference>
        </references>
      </pivotArea>
    </format>
    <format dxfId="16">
      <pivotArea collapsedLevelsAreSubtotals="1" fieldPosition="0">
        <references count="2">
          <reference field="13" count="1">
            <x v="167"/>
          </reference>
          <reference field="14" count="1" selected="0">
            <x v="11"/>
          </reference>
        </references>
      </pivotArea>
    </format>
    <format dxfId="15">
      <pivotArea dataOnly="0" labelOnly="1" fieldPosition="0">
        <references count="2">
          <reference field="13" count="1">
            <x v="167"/>
          </reference>
          <reference field="14" count="1" selected="0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B6:E7" firstHeaderRow="0" firstDataRow="1" firstDataCol="0" rowPageCount="2" colPageCount="1"/>
  <pivotFields count="7">
    <pivotField numFmtId="14" showAll="0"/>
    <pivotField axis="axisPage" multipleItemSelectionAllowed="1" showAll="0">
      <items count="13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t="default"/>
      </items>
    </pivotField>
    <pivotField axis="axisPage" numFmtId="1" multipleItemSelectionAllowed="1" showAll="0">
      <items count="32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dataField="1" numFmtId="42" showAll="0">
      <items count="118">
        <item x="114"/>
        <item x="90"/>
        <item x="99"/>
        <item x="38"/>
        <item x="115"/>
        <item x="77"/>
        <item x="19"/>
        <item x="75"/>
        <item x="100"/>
        <item x="91"/>
        <item x="105"/>
        <item x="0"/>
        <item x="10"/>
        <item x="5"/>
        <item x="63"/>
        <item x="18"/>
        <item x="113"/>
        <item x="4"/>
        <item x="89"/>
        <item x="57"/>
        <item x="47"/>
        <item x="48"/>
        <item x="29"/>
        <item x="69"/>
        <item x="70"/>
        <item x="17"/>
        <item x="40"/>
        <item x="106"/>
        <item x="98"/>
        <item x="6"/>
        <item x="71"/>
        <item x="101"/>
        <item x="9"/>
        <item x="76"/>
        <item x="107"/>
        <item x="28"/>
        <item x="62"/>
        <item x="68"/>
        <item x="25"/>
        <item x="86"/>
        <item x="82"/>
        <item x="23"/>
        <item x="85"/>
        <item x="81"/>
        <item x="11"/>
        <item x="39"/>
        <item x="7"/>
        <item x="94"/>
        <item x="56"/>
        <item x="41"/>
        <item x="46"/>
        <item x="112"/>
        <item x="102"/>
        <item x="58"/>
        <item x="15"/>
        <item x="59"/>
        <item x="64"/>
        <item x="44"/>
        <item x="108"/>
        <item x="111"/>
        <item x="72"/>
        <item x="36"/>
        <item x="109"/>
        <item x="88"/>
        <item x="110"/>
        <item x="24"/>
        <item x="50"/>
        <item x="78"/>
        <item x="20"/>
        <item x="73"/>
        <item x="95"/>
        <item x="104"/>
        <item x="37"/>
        <item x="93"/>
        <item x="1"/>
        <item x="33"/>
        <item x="83"/>
        <item x="35"/>
        <item x="79"/>
        <item x="116"/>
        <item x="42"/>
        <item x="30"/>
        <item x="65"/>
        <item x="92"/>
        <item x="13"/>
        <item x="103"/>
        <item x="12"/>
        <item x="34"/>
        <item x="67"/>
        <item x="45"/>
        <item x="49"/>
        <item x="14"/>
        <item x="21"/>
        <item x="87"/>
        <item x="22"/>
        <item x="53"/>
        <item x="26"/>
        <item x="43"/>
        <item x="60"/>
        <item x="2"/>
        <item x="97"/>
        <item x="84"/>
        <item x="66"/>
        <item x="16"/>
        <item x="27"/>
        <item x="52"/>
        <item x="3"/>
        <item x="96"/>
        <item x="80"/>
        <item x="55"/>
        <item x="61"/>
        <item x="51"/>
        <item x="54"/>
        <item x="8"/>
        <item x="31"/>
        <item x="74"/>
        <item x="32"/>
        <item t="default"/>
      </items>
    </pivotField>
    <pivotField dataField="1" numFmtId="42" showAll="0"/>
    <pivotField dataField="1" numFmtId="42" showAll="0"/>
    <pivotField dataField="1" numFmtId="42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" hier="-1"/>
  </pageFields>
  <dataFields count="4">
    <dataField name="TGM WIN " fld="3" subtotal="product" baseField="0" baseItem="1"/>
    <dataField name="TGM COIN IN" fld="4" baseField="0" baseItem="0"/>
    <dataField name="MDJ WIN" fld="5" baseField="0" baseItem="0"/>
    <dataField name="MDJ DROP" fld="6" baseField="0" baseItem="0"/>
  </dataFields>
  <formats count="1">
    <format dxfId="14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" sourceName="mes">
  <pivotTables>
    <pivotTable tabId="2" name="TablaDinámica2"/>
  </pivotTables>
  <data>
    <tabular pivotCacheId="310488050">
      <items count="12">
        <i x="9" nd="1"/>
        <i x="10" nd="1"/>
        <i x="11" nd="1"/>
        <i x="4" nd="1"/>
        <i x="3" nd="1"/>
        <i x="5" nd="1"/>
        <i x="6" nd="1"/>
        <i x="7" nd="1"/>
        <i x="8" nd="1"/>
        <i x="0" nd="1"/>
        <i x="1" s="1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es" cache="SegmentaciónDeDatos_mes" caption="mes" columnCount="3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20" sqref="C20"/>
    </sheetView>
  </sheetViews>
  <sheetFormatPr baseColWidth="10" defaultColWidth="10.75" defaultRowHeight="14.25"/>
  <cols>
    <col min="1" max="1" width="18.375" bestFit="1" customWidth="1"/>
    <col min="2" max="2" width="20.125" bestFit="1" customWidth="1"/>
    <col min="3" max="3" width="16.25" bestFit="1" customWidth="1"/>
    <col min="4" max="4" width="11" bestFit="1" customWidth="1"/>
    <col min="5" max="5" width="20" bestFit="1" customWidth="1"/>
    <col min="6" max="6" width="14.625" bestFit="1" customWidth="1"/>
    <col min="7" max="7" width="10.75" bestFit="1" customWidth="1"/>
    <col min="8" max="8" width="14.625" bestFit="1" customWidth="1"/>
    <col min="9" max="9" width="11" bestFit="1" customWidth="1"/>
    <col min="10" max="10" width="12.125" bestFit="1" customWidth="1"/>
    <col min="11" max="11" width="17.625" bestFit="1" customWidth="1"/>
    <col min="12" max="12" width="11" bestFit="1" customWidth="1"/>
    <col min="13" max="13" width="15.625" bestFit="1" customWidth="1"/>
    <col min="14" max="14" width="15.25" bestFit="1" customWidth="1"/>
    <col min="15" max="16" width="13" bestFit="1" customWidth="1"/>
    <col min="17" max="2757" width="10" bestFit="1" customWidth="1"/>
    <col min="2758" max="2759" width="11" bestFit="1" customWidth="1"/>
    <col min="2760" max="9076" width="10" bestFit="1" customWidth="1"/>
    <col min="9077" max="9078" width="11" bestFit="1" customWidth="1"/>
    <col min="9079" max="10527" width="10" bestFit="1" customWidth="1"/>
    <col min="10528" max="10528" width="11" bestFit="1" customWidth="1"/>
    <col min="10529" max="13205" width="10" bestFit="1" customWidth="1"/>
    <col min="13206" max="13206" width="11" bestFit="1" customWidth="1"/>
    <col min="13207" max="13207" width="10" bestFit="1" customWidth="1"/>
    <col min="13208" max="13208" width="11" bestFit="1" customWidth="1"/>
    <col min="13209" max="13209" width="13" bestFit="1" customWidth="1"/>
  </cols>
  <sheetData>
    <row r="1" spans="1:2">
      <c r="A1" s="1" t="s">
        <v>8</v>
      </c>
      <c r="B1" t="s">
        <v>1</v>
      </c>
    </row>
    <row r="2" spans="1:2">
      <c r="A2" s="1" t="s">
        <v>7</v>
      </c>
      <c r="B2" t="s">
        <v>9</v>
      </c>
    </row>
    <row r="3" spans="1:2">
      <c r="A3" s="1" t="s">
        <v>0</v>
      </c>
      <c r="B3" t="s">
        <v>1</v>
      </c>
    </row>
    <row r="4" spans="1:2">
      <c r="A4" s="1" t="s">
        <v>6</v>
      </c>
      <c r="B4" t="s">
        <v>12</v>
      </c>
    </row>
    <row r="5" spans="1:2">
      <c r="A5" s="1" t="s">
        <v>2</v>
      </c>
      <c r="B5" t="s">
        <v>1</v>
      </c>
    </row>
    <row r="7" spans="1:2">
      <c r="A7" s="1" t="s">
        <v>4</v>
      </c>
      <c r="B7" s="3" t="s">
        <v>5</v>
      </c>
    </row>
    <row r="8" spans="1:2">
      <c r="A8" s="2" t="s">
        <v>3</v>
      </c>
      <c r="B8" s="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E17" sqref="E17"/>
    </sheetView>
  </sheetViews>
  <sheetFormatPr baseColWidth="10" defaultColWidth="10.75" defaultRowHeight="14.25"/>
  <sheetData>
    <row r="2" spans="1:2">
      <c r="A2">
        <v>228</v>
      </c>
      <c r="B2" t="s">
        <v>10</v>
      </c>
    </row>
    <row r="3" spans="1:2">
      <c r="A3">
        <v>227</v>
      </c>
      <c r="B3" t="s">
        <v>11</v>
      </c>
    </row>
    <row r="4" spans="1:2">
      <c r="A4">
        <v>238</v>
      </c>
      <c r="B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9"/>
  <sheetViews>
    <sheetView topLeftCell="Q1" workbookViewId="0">
      <selection activeCell="AI4" sqref="AI4:AJ34"/>
    </sheetView>
  </sheetViews>
  <sheetFormatPr baseColWidth="10" defaultColWidth="10.75" defaultRowHeight="14.25"/>
  <cols>
    <col min="1" max="1" width="7.625" customWidth="1"/>
    <col min="2" max="2" width="12.375" customWidth="1"/>
    <col min="3" max="3" width="15.125" customWidth="1"/>
    <col min="4" max="4" width="8.625" hidden="1" customWidth="1"/>
    <col min="5" max="5" width="13" customWidth="1"/>
    <col min="6" max="6" width="13.875" customWidth="1"/>
    <col min="7" max="7" width="9.25" hidden="1" customWidth="1"/>
    <col min="8" max="8" width="12.875" customWidth="1"/>
    <col min="9" max="9" width="15.25" customWidth="1"/>
    <col min="10" max="10" width="9.875" hidden="1" customWidth="1"/>
    <col min="11" max="11" width="12" customWidth="1"/>
    <col min="12" max="12" width="14.625" customWidth="1"/>
    <col min="13" max="13" width="11.75" hidden="1" customWidth="1"/>
    <col min="14" max="14" width="13" customWidth="1"/>
    <col min="15" max="15" width="14.625" customWidth="1"/>
    <col min="16" max="16" width="11.875" hidden="1" customWidth="1"/>
    <col min="17" max="17" width="12.625" customWidth="1"/>
    <col min="18" max="18" width="14.875" customWidth="1"/>
    <col min="19" max="19" width="10.25" hidden="1" customWidth="1"/>
    <col min="20" max="20" width="12.375" customWidth="1"/>
    <col min="21" max="21" width="14.875" customWidth="1"/>
    <col min="22" max="22" width="9.125" hidden="1" customWidth="1"/>
    <col min="23" max="23" width="12.375" customWidth="1"/>
    <col min="24" max="24" width="14.875" customWidth="1"/>
    <col min="25" max="25" width="10.25" hidden="1" customWidth="1"/>
    <col min="26" max="26" width="12.875" customWidth="1"/>
    <col min="27" max="27" width="16.625" customWidth="1"/>
    <col min="28" max="28" width="10.25" hidden="1" customWidth="1"/>
    <col min="29" max="29" width="12.625" customWidth="1"/>
    <col min="30" max="30" width="16" customWidth="1"/>
    <col min="31" max="31" width="9.375" hidden="1" customWidth="1"/>
    <col min="32" max="32" width="12" customWidth="1"/>
    <col min="33" max="33" width="15.25" customWidth="1"/>
    <col min="34" max="34" width="11.25" hidden="1" customWidth="1"/>
    <col min="35" max="35" width="13" customWidth="1"/>
    <col min="36" max="36" width="14.875" customWidth="1"/>
    <col min="37" max="37" width="0" hidden="1" customWidth="1"/>
  </cols>
  <sheetData>
    <row r="1" spans="1:37">
      <c r="A1" t="s">
        <v>21</v>
      </c>
    </row>
    <row r="2" spans="1:37">
      <c r="A2" s="5" t="s">
        <v>14</v>
      </c>
      <c r="B2" s="49">
        <v>45658</v>
      </c>
      <c r="C2" s="49"/>
      <c r="D2" s="6"/>
      <c r="E2" s="49">
        <v>45689</v>
      </c>
      <c r="F2" s="49"/>
      <c r="G2" s="6"/>
      <c r="H2" s="49">
        <v>45717</v>
      </c>
      <c r="I2" s="49"/>
      <c r="J2" s="6"/>
      <c r="K2" s="49">
        <v>45748</v>
      </c>
      <c r="L2" s="49"/>
      <c r="M2" s="6"/>
      <c r="N2" s="49">
        <v>45778</v>
      </c>
      <c r="O2" s="49"/>
      <c r="P2" s="6"/>
      <c r="Q2" s="49">
        <v>45809</v>
      </c>
      <c r="R2" s="49"/>
      <c r="S2" s="6"/>
      <c r="T2" s="49">
        <v>45839</v>
      </c>
      <c r="U2" s="49"/>
      <c r="V2" s="6"/>
      <c r="W2" s="49">
        <v>45870</v>
      </c>
      <c r="X2" s="49"/>
      <c r="Y2" s="6"/>
      <c r="Z2" s="49">
        <v>45901</v>
      </c>
      <c r="AA2" s="49"/>
      <c r="AB2" s="6"/>
      <c r="AC2" s="49">
        <v>45931</v>
      </c>
      <c r="AD2" s="49"/>
      <c r="AE2" s="6"/>
      <c r="AF2" s="49">
        <v>45962</v>
      </c>
      <c r="AG2" s="49"/>
      <c r="AH2" s="6"/>
      <c r="AI2" s="49">
        <v>45992</v>
      </c>
      <c r="AJ2" s="49"/>
    </row>
    <row r="3" spans="1:37">
      <c r="A3" s="5"/>
      <c r="B3" s="6" t="s">
        <v>18</v>
      </c>
      <c r="C3" s="6" t="s">
        <v>22</v>
      </c>
      <c r="D3" s="6"/>
      <c r="E3" s="6" t="s">
        <v>18</v>
      </c>
      <c r="F3" s="6" t="s">
        <v>22</v>
      </c>
      <c r="G3" s="6"/>
      <c r="H3" s="6" t="s">
        <v>18</v>
      </c>
      <c r="I3" s="6" t="s">
        <v>22</v>
      </c>
      <c r="J3" s="6"/>
      <c r="K3" s="6" t="s">
        <v>18</v>
      </c>
      <c r="L3" s="6" t="s">
        <v>22</v>
      </c>
      <c r="M3" s="6"/>
      <c r="N3" s="6" t="s">
        <v>18</v>
      </c>
      <c r="O3" s="6" t="s">
        <v>22</v>
      </c>
      <c r="P3" s="6"/>
      <c r="Q3" s="6" t="s">
        <v>18</v>
      </c>
      <c r="R3" s="6" t="s">
        <v>22</v>
      </c>
      <c r="S3" s="6"/>
      <c r="T3" s="6" t="s">
        <v>18</v>
      </c>
      <c r="U3" s="6" t="s">
        <v>22</v>
      </c>
      <c r="V3" s="6"/>
      <c r="W3" s="6" t="s">
        <v>18</v>
      </c>
      <c r="X3" s="6" t="s">
        <v>22</v>
      </c>
      <c r="Y3" s="6"/>
      <c r="Z3" s="6" t="s">
        <v>18</v>
      </c>
      <c r="AA3" s="6" t="s">
        <v>22</v>
      </c>
      <c r="AB3" s="6"/>
      <c r="AC3" s="6" t="s">
        <v>18</v>
      </c>
      <c r="AD3" s="6" t="s">
        <v>22</v>
      </c>
      <c r="AE3" s="6"/>
      <c r="AF3" s="6" t="s">
        <v>18</v>
      </c>
      <c r="AG3" s="6" t="s">
        <v>22</v>
      </c>
      <c r="AH3" s="6"/>
      <c r="AI3" s="6" t="s">
        <v>18</v>
      </c>
      <c r="AJ3" s="6" t="s">
        <v>22</v>
      </c>
    </row>
    <row r="4" spans="1:37">
      <c r="A4" s="7">
        <v>1</v>
      </c>
      <c r="B4" s="17">
        <v>10769523.876666673</v>
      </c>
      <c r="C4" s="12">
        <v>158375351.12745106</v>
      </c>
      <c r="D4" s="16">
        <f>+B4/C4-1</f>
        <v>-0.93199999999999994</v>
      </c>
      <c r="E4" s="17">
        <v>25401498.102739699</v>
      </c>
      <c r="F4" s="12">
        <v>373551442.68734848</v>
      </c>
      <c r="G4" s="16">
        <f>+E4/F4-1</f>
        <v>-0.93199999999999994</v>
      </c>
      <c r="H4" s="17">
        <v>21771769.447452206</v>
      </c>
      <c r="I4" s="12">
        <v>320173080.10959125</v>
      </c>
      <c r="J4" s="16">
        <f>+H4/I4-1</f>
        <v>-0.93199999999999994</v>
      </c>
      <c r="K4" s="17">
        <v>14255668.788146231</v>
      </c>
      <c r="L4" s="12">
        <v>209642188.06097397</v>
      </c>
      <c r="M4" s="16">
        <f>+K4/L4-1</f>
        <v>-0.93199999999999994</v>
      </c>
      <c r="N4" s="17">
        <v>18377292.854510665</v>
      </c>
      <c r="O4" s="12">
        <v>270254306.68398035</v>
      </c>
      <c r="P4" s="16">
        <f>+N4/O4-1</f>
        <v>-0.93199999999999994</v>
      </c>
      <c r="Q4" s="17">
        <v>14996797.590108931</v>
      </c>
      <c r="R4" s="12">
        <v>220541141.03101367</v>
      </c>
      <c r="S4" s="16">
        <f>+Q4/R4-1</f>
        <v>-0.93199999999999994</v>
      </c>
      <c r="T4" s="17">
        <v>11974686.527370207</v>
      </c>
      <c r="U4" s="12">
        <v>176098331.28485599</v>
      </c>
      <c r="V4" s="16">
        <f>+T4/U4-1</f>
        <v>-0.93200000000000005</v>
      </c>
      <c r="W4" s="17">
        <v>21647736.343925562</v>
      </c>
      <c r="X4" s="12">
        <v>318349063.88125825</v>
      </c>
      <c r="Y4" s="16">
        <f>+W4/X4-1</f>
        <v>-0.93199999999999994</v>
      </c>
      <c r="Z4" s="17">
        <v>10104857.653470501</v>
      </c>
      <c r="AA4" s="12">
        <v>148600847.8451544</v>
      </c>
      <c r="AB4" s="16">
        <f>+Z4/AA4-1</f>
        <v>-0.93199999999999994</v>
      </c>
      <c r="AC4" s="17">
        <v>14421811.75337119</v>
      </c>
      <c r="AD4" s="12">
        <v>212085466.96134102</v>
      </c>
      <c r="AE4" s="16">
        <f>+AC4/AD4-1</f>
        <v>-0.93199999999999994</v>
      </c>
      <c r="AF4" s="17">
        <v>21560650.726786077</v>
      </c>
      <c r="AG4" s="12">
        <v>317068393.0409717</v>
      </c>
      <c r="AH4" s="16">
        <f>+AF4/AG4-1</f>
        <v>-0.93199999999999994</v>
      </c>
      <c r="AI4" s="17">
        <v>10661760.350250054</v>
      </c>
      <c r="AJ4" s="12">
        <v>156790593.3860302</v>
      </c>
      <c r="AK4" s="16">
        <f>+AI4/AJ4-1</f>
        <v>-0.93199999999999994</v>
      </c>
    </row>
    <row r="5" spans="1:37">
      <c r="A5" s="7">
        <f>+A4+1</f>
        <v>2</v>
      </c>
      <c r="B5" s="17">
        <v>17914677.435093805</v>
      </c>
      <c r="C5" s="12">
        <v>263451138.75137946</v>
      </c>
      <c r="D5" s="16">
        <f t="shared" ref="D5:D34" si="0">+B5/C5-1</f>
        <v>-0.93199999999999994</v>
      </c>
      <c r="E5" s="17">
        <v>13000170.496650968</v>
      </c>
      <c r="F5" s="12">
        <v>191178977.89192599</v>
      </c>
      <c r="G5" s="16">
        <f t="shared" ref="G5:G31" si="1">+E5/F5-1</f>
        <v>-0.93199999999999994</v>
      </c>
      <c r="H5" s="17">
        <v>12359221.488673376</v>
      </c>
      <c r="I5" s="12">
        <v>181753257.18637317</v>
      </c>
      <c r="J5" s="16">
        <f t="shared" ref="J5:J34" si="2">+H5/I5-1</f>
        <v>-0.93199999999999994</v>
      </c>
      <c r="K5" s="17">
        <v>16906490.409075748</v>
      </c>
      <c r="L5" s="12">
        <v>248624858.95699626</v>
      </c>
      <c r="M5" s="16">
        <f t="shared" ref="M5:M33" si="3">+K5/L5-1</f>
        <v>-0.93199999999999994</v>
      </c>
      <c r="N5" s="17">
        <v>16225347.712527027</v>
      </c>
      <c r="O5" s="12">
        <v>238608054.59598568</v>
      </c>
      <c r="P5" s="16">
        <f t="shared" ref="P5:P34" si="4">+N5/O5-1</f>
        <v>-0.93199999999999994</v>
      </c>
      <c r="Q5" s="17">
        <v>12096226.75535316</v>
      </c>
      <c r="R5" s="12">
        <v>177885687.57872295</v>
      </c>
      <c r="S5" s="16">
        <f t="shared" ref="S5:S33" si="5">+Q5/R5-1</f>
        <v>-0.93200000000000005</v>
      </c>
      <c r="T5" s="17">
        <v>15287446.71997752</v>
      </c>
      <c r="U5" s="12">
        <v>224815392.94084585</v>
      </c>
      <c r="V5" s="16">
        <f t="shared" ref="V5:V34" si="6">+T5/U5-1</f>
        <v>-0.93199999999999994</v>
      </c>
      <c r="W5" s="17">
        <v>19643816.91842562</v>
      </c>
      <c r="X5" s="12">
        <v>288879660.56508261</v>
      </c>
      <c r="Y5" s="16">
        <f t="shared" ref="Y5:Y34" si="7">+W5/X5-1</f>
        <v>-0.93199999999999994</v>
      </c>
      <c r="Z5" s="17">
        <v>13068531.182450902</v>
      </c>
      <c r="AA5" s="12">
        <v>192184282.09486619</v>
      </c>
      <c r="AB5" s="16">
        <f t="shared" ref="AB5:AB33" si="8">+Z5/AA5-1</f>
        <v>-0.93199999999999994</v>
      </c>
      <c r="AC5" s="17">
        <v>13902596.590831321</v>
      </c>
      <c r="AD5" s="12">
        <v>204449949.86516646</v>
      </c>
      <c r="AE5" s="16">
        <f t="shared" ref="AE5:AE34" si="9">+AC5/AD5-1</f>
        <v>-0.93199999999999994</v>
      </c>
      <c r="AF5" s="17">
        <v>12549526.216471182</v>
      </c>
      <c r="AG5" s="12">
        <v>184551856.12457618</v>
      </c>
      <c r="AH5" s="16">
        <f t="shared" ref="AH5:AH33" si="10">+AF5/AG5-1</f>
        <v>-0.93199999999999994</v>
      </c>
      <c r="AI5" s="17">
        <v>12478136.431486145</v>
      </c>
      <c r="AJ5" s="12">
        <v>183502006.34538448</v>
      </c>
      <c r="AK5" s="16">
        <f t="shared" ref="AK5:AK34" si="11">+AI5/AJ5-1</f>
        <v>-0.93199999999999994</v>
      </c>
    </row>
    <row r="6" spans="1:37">
      <c r="A6" s="7">
        <f t="shared" ref="A6:A34" si="12">+A5+1</f>
        <v>3</v>
      </c>
      <c r="B6" s="17">
        <v>21512177.37744651</v>
      </c>
      <c r="C6" s="12">
        <v>316355549.66833103</v>
      </c>
      <c r="D6" s="16">
        <f t="shared" si="0"/>
        <v>-0.93199999999999994</v>
      </c>
      <c r="E6" s="17">
        <v>10990808.249030635</v>
      </c>
      <c r="F6" s="12">
        <v>161629533.07397991</v>
      </c>
      <c r="G6" s="16">
        <f t="shared" si="1"/>
        <v>-0.93199999999999994</v>
      </c>
      <c r="H6" s="17">
        <v>11043460.910099026</v>
      </c>
      <c r="I6" s="12">
        <v>162403836.91322097</v>
      </c>
      <c r="J6" s="16">
        <f t="shared" si="2"/>
        <v>-0.93199999999999994</v>
      </c>
      <c r="K6" s="17">
        <v>13874101.637898529</v>
      </c>
      <c r="L6" s="12">
        <v>204030906.43968424</v>
      </c>
      <c r="M6" s="16">
        <f t="shared" si="3"/>
        <v>-0.93199999999999994</v>
      </c>
      <c r="N6" s="17">
        <v>17859488.846310958</v>
      </c>
      <c r="O6" s="12">
        <v>262639541.85751405</v>
      </c>
      <c r="P6" s="16">
        <f t="shared" si="4"/>
        <v>-0.93199999999999994</v>
      </c>
      <c r="Q6" s="17">
        <v>12165653.444632793</v>
      </c>
      <c r="R6" s="12">
        <v>178906668.3034234</v>
      </c>
      <c r="S6" s="16">
        <f t="shared" si="5"/>
        <v>-0.93199999999999994</v>
      </c>
      <c r="T6" s="17">
        <v>15627172.300597787</v>
      </c>
      <c r="U6" s="12">
        <v>229811357.36173218</v>
      </c>
      <c r="V6" s="16">
        <f t="shared" si="6"/>
        <v>-0.93200000000000005</v>
      </c>
      <c r="W6" s="17">
        <v>13748354.51669972</v>
      </c>
      <c r="X6" s="12">
        <v>202181684.06911349</v>
      </c>
      <c r="Y6" s="16">
        <f t="shared" si="7"/>
        <v>-0.93199999999999994</v>
      </c>
      <c r="Z6" s="17">
        <v>9762208.1862936858</v>
      </c>
      <c r="AA6" s="12">
        <v>143561885.09255421</v>
      </c>
      <c r="AB6" s="16">
        <f t="shared" si="8"/>
        <v>-0.93200000000000005</v>
      </c>
      <c r="AC6" s="17">
        <v>20157849.782047223</v>
      </c>
      <c r="AD6" s="12">
        <v>296438967.38304734</v>
      </c>
      <c r="AE6" s="16">
        <f t="shared" si="9"/>
        <v>-0.93199999999999994</v>
      </c>
      <c r="AF6" s="17">
        <v>9385198.7187580001</v>
      </c>
      <c r="AG6" s="12">
        <v>138017628.21702939</v>
      </c>
      <c r="AH6" s="16">
        <f t="shared" si="10"/>
        <v>-0.93199999999999994</v>
      </c>
      <c r="AI6" s="17">
        <v>13236159.230605531</v>
      </c>
      <c r="AJ6" s="12">
        <v>194649400.45008132</v>
      </c>
      <c r="AK6" s="16">
        <f t="shared" si="11"/>
        <v>-0.93199999999999994</v>
      </c>
    </row>
    <row r="7" spans="1:37">
      <c r="A7" s="7">
        <f t="shared" si="12"/>
        <v>4</v>
      </c>
      <c r="B7" s="17">
        <v>22214133.398884982</v>
      </c>
      <c r="C7" s="12">
        <v>326678432.33654386</v>
      </c>
      <c r="D7" s="16">
        <f t="shared" si="0"/>
        <v>-0.93199999999999994</v>
      </c>
      <c r="E7" s="17">
        <v>14622017.08381268</v>
      </c>
      <c r="F7" s="12">
        <v>215029662.99724525</v>
      </c>
      <c r="G7" s="16">
        <f t="shared" si="1"/>
        <v>-0.93199999999999994</v>
      </c>
      <c r="H7" s="17">
        <v>9796355.4992460366</v>
      </c>
      <c r="I7" s="12">
        <v>144064051.45950055</v>
      </c>
      <c r="J7" s="16">
        <f t="shared" si="2"/>
        <v>-0.93200000000000005</v>
      </c>
      <c r="K7" s="17">
        <v>20850405.738661312</v>
      </c>
      <c r="L7" s="12">
        <v>306623613.80384278</v>
      </c>
      <c r="M7" s="16">
        <f t="shared" si="3"/>
        <v>-0.93199999999999994</v>
      </c>
      <c r="N7" s="17">
        <v>9510936.3450710047</v>
      </c>
      <c r="O7" s="12">
        <v>139866710.95692652</v>
      </c>
      <c r="P7" s="16">
        <f t="shared" si="4"/>
        <v>-0.93199999999999994</v>
      </c>
      <c r="Q7" s="17">
        <v>19814491.411737077</v>
      </c>
      <c r="R7" s="12">
        <v>291389579.58436877</v>
      </c>
      <c r="S7" s="16">
        <f t="shared" si="5"/>
        <v>-0.93199999999999994</v>
      </c>
      <c r="T7" s="17">
        <v>21477437.704826418</v>
      </c>
      <c r="U7" s="12">
        <v>315844672.12980026</v>
      </c>
      <c r="V7" s="16">
        <f t="shared" si="6"/>
        <v>-0.93199999999999994</v>
      </c>
      <c r="W7" s="17">
        <v>12285071.814345151</v>
      </c>
      <c r="X7" s="12">
        <v>180662820.79919338</v>
      </c>
      <c r="Y7" s="16">
        <f t="shared" si="7"/>
        <v>-0.93199999999999994</v>
      </c>
      <c r="Z7" s="17">
        <v>17204492.708354019</v>
      </c>
      <c r="AA7" s="12">
        <v>253007245.71108851</v>
      </c>
      <c r="AB7" s="16">
        <f t="shared" si="8"/>
        <v>-0.93199999999999994</v>
      </c>
      <c r="AC7" s="17">
        <v>16865652.631443016</v>
      </c>
      <c r="AD7" s="12">
        <v>248024303.40357375</v>
      </c>
      <c r="AE7" s="16">
        <f t="shared" si="9"/>
        <v>-0.93199999999999994</v>
      </c>
      <c r="AF7" s="17">
        <v>10282134.61381324</v>
      </c>
      <c r="AG7" s="12">
        <v>151207861.96784177</v>
      </c>
      <c r="AH7" s="16">
        <f t="shared" si="10"/>
        <v>-0.93200000000000005</v>
      </c>
      <c r="AI7" s="17">
        <v>15862559.787063276</v>
      </c>
      <c r="AJ7" s="12">
        <v>233272938.04504818</v>
      </c>
      <c r="AK7" s="16">
        <f t="shared" si="11"/>
        <v>-0.93199999999999994</v>
      </c>
    </row>
    <row r="8" spans="1:37">
      <c r="A8" s="7">
        <f t="shared" si="12"/>
        <v>5</v>
      </c>
      <c r="B8" s="17">
        <v>11554451.829768905</v>
      </c>
      <c r="C8" s="12">
        <v>169918409.26130742</v>
      </c>
      <c r="D8" s="16">
        <f t="shared" si="0"/>
        <v>-0.93199999999999994</v>
      </c>
      <c r="E8" s="17">
        <v>19420824.056264978</v>
      </c>
      <c r="F8" s="12">
        <v>285600353.76860261</v>
      </c>
      <c r="G8" s="16">
        <f t="shared" si="1"/>
        <v>-0.93199999999999994</v>
      </c>
      <c r="H8" s="17">
        <v>17492675.151674688</v>
      </c>
      <c r="I8" s="12">
        <v>257245222.81874543</v>
      </c>
      <c r="J8" s="16">
        <f t="shared" si="2"/>
        <v>-0.93200000000000005</v>
      </c>
      <c r="K8" s="17">
        <v>21833447.577267148</v>
      </c>
      <c r="L8" s="12">
        <v>321080111.43039918</v>
      </c>
      <c r="M8" s="16">
        <f t="shared" si="3"/>
        <v>-0.93199999999999994</v>
      </c>
      <c r="N8" s="17">
        <v>14628580.210690727</v>
      </c>
      <c r="O8" s="12">
        <v>215126179.56898129</v>
      </c>
      <c r="P8" s="16">
        <f t="shared" si="4"/>
        <v>-0.93199999999999994</v>
      </c>
      <c r="Q8" s="17">
        <v>16958565.254434418</v>
      </c>
      <c r="R8" s="12">
        <v>249390665.50638849</v>
      </c>
      <c r="S8" s="16">
        <f t="shared" si="5"/>
        <v>-0.93199999999999994</v>
      </c>
      <c r="T8" s="17">
        <v>23433285.624920178</v>
      </c>
      <c r="U8" s="12">
        <v>344607141.54294378</v>
      </c>
      <c r="V8" s="16">
        <f t="shared" si="6"/>
        <v>-0.93199999999999994</v>
      </c>
      <c r="W8" s="17">
        <v>12328845.354141442</v>
      </c>
      <c r="X8" s="12">
        <v>181306549.32560945</v>
      </c>
      <c r="Y8" s="16">
        <f t="shared" si="7"/>
        <v>-0.93199999999999994</v>
      </c>
      <c r="Z8" s="17">
        <v>18482688.634819865</v>
      </c>
      <c r="AA8" s="12">
        <v>271804244.62970382</v>
      </c>
      <c r="AB8" s="16">
        <f t="shared" si="8"/>
        <v>-0.93199999999999994</v>
      </c>
      <c r="AC8" s="17">
        <v>11686776.774063485</v>
      </c>
      <c r="AD8" s="12">
        <v>171864364.32446301</v>
      </c>
      <c r="AE8" s="16">
        <f t="shared" si="9"/>
        <v>-0.93199999999999994</v>
      </c>
      <c r="AF8" s="17">
        <v>12665903.319958063</v>
      </c>
      <c r="AG8" s="12">
        <v>186263284.11703032</v>
      </c>
      <c r="AH8" s="16">
        <f t="shared" si="10"/>
        <v>-0.93199999999999994</v>
      </c>
      <c r="AI8" s="17">
        <v>16537573.91467895</v>
      </c>
      <c r="AJ8" s="12">
        <v>243199616.3923375</v>
      </c>
      <c r="AK8" s="16">
        <f t="shared" si="11"/>
        <v>-0.93199999999999994</v>
      </c>
    </row>
    <row r="9" spans="1:37">
      <c r="A9" s="7">
        <f t="shared" si="12"/>
        <v>6</v>
      </c>
      <c r="B9" s="17">
        <v>11001603.27516697</v>
      </c>
      <c r="C9" s="12">
        <v>161788283.45833778</v>
      </c>
      <c r="D9" s="16">
        <f t="shared" si="0"/>
        <v>-0.93199999999999994</v>
      </c>
      <c r="E9" s="17">
        <v>18890263.117766701</v>
      </c>
      <c r="F9" s="12">
        <v>277797987.02598083</v>
      </c>
      <c r="G9" s="16">
        <f t="shared" si="1"/>
        <v>-0.93199999999999994</v>
      </c>
      <c r="H9" s="17">
        <v>20137429.412609965</v>
      </c>
      <c r="I9" s="12">
        <v>296138667.83249938</v>
      </c>
      <c r="J9" s="16">
        <f t="shared" si="2"/>
        <v>-0.93199999999999994</v>
      </c>
      <c r="K9" s="17">
        <v>13258771.196367942</v>
      </c>
      <c r="L9" s="12">
        <v>194981929.35835207</v>
      </c>
      <c r="M9" s="16">
        <f t="shared" si="3"/>
        <v>-0.93199999999999994</v>
      </c>
      <c r="N9" s="17">
        <v>12404495.438223165</v>
      </c>
      <c r="O9" s="12">
        <v>182419050.56210536</v>
      </c>
      <c r="P9" s="16">
        <f t="shared" si="4"/>
        <v>-0.93199999999999994</v>
      </c>
      <c r="Q9" s="17">
        <v>23527237.755368516</v>
      </c>
      <c r="R9" s="12">
        <v>345988790.52012527</v>
      </c>
      <c r="S9" s="16">
        <f t="shared" si="5"/>
        <v>-0.93200000000000005</v>
      </c>
      <c r="T9" s="17">
        <v>13450868.482832938</v>
      </c>
      <c r="U9" s="12">
        <v>197806889.45342556</v>
      </c>
      <c r="V9" s="16">
        <f t="shared" si="6"/>
        <v>-0.93199999999999994</v>
      </c>
      <c r="W9" s="17">
        <v>12639123.776696261</v>
      </c>
      <c r="X9" s="12">
        <v>185869467.30435675</v>
      </c>
      <c r="Y9" s="16">
        <f t="shared" si="7"/>
        <v>-0.93199999999999994</v>
      </c>
      <c r="Z9" s="17">
        <v>22854998.904268991</v>
      </c>
      <c r="AA9" s="12">
        <v>336102925.06277925</v>
      </c>
      <c r="AB9" s="16">
        <f t="shared" si="8"/>
        <v>-0.93199999999999994</v>
      </c>
      <c r="AC9" s="17">
        <v>8958908.0465439167</v>
      </c>
      <c r="AD9" s="12">
        <v>131748647.7432929</v>
      </c>
      <c r="AE9" s="16">
        <f t="shared" si="9"/>
        <v>-0.93200000000000005</v>
      </c>
      <c r="AF9" s="17">
        <v>15254419.879646949</v>
      </c>
      <c r="AG9" s="12">
        <v>224329704.11245513</v>
      </c>
      <c r="AH9" s="16">
        <f t="shared" si="10"/>
        <v>-0.93199999999999994</v>
      </c>
      <c r="AI9" s="17">
        <v>16869719.851997577</v>
      </c>
      <c r="AJ9" s="12">
        <v>248084115.47055256</v>
      </c>
      <c r="AK9" s="16">
        <f t="shared" si="11"/>
        <v>-0.93199999999999994</v>
      </c>
    </row>
    <row r="10" spans="1:37">
      <c r="A10" s="7">
        <f t="shared" si="12"/>
        <v>7</v>
      </c>
      <c r="B10" s="17">
        <v>12615568.432236403</v>
      </c>
      <c r="C10" s="12">
        <v>185523065.17994708</v>
      </c>
      <c r="D10" s="16">
        <f t="shared" si="0"/>
        <v>-0.93199999999999994</v>
      </c>
      <c r="E10" s="17">
        <v>19884723.080065966</v>
      </c>
      <c r="F10" s="12">
        <v>292422398.23626417</v>
      </c>
      <c r="G10" s="16">
        <f t="shared" si="1"/>
        <v>-0.93199999999999994</v>
      </c>
      <c r="H10" s="17">
        <v>20269724.665838562</v>
      </c>
      <c r="I10" s="12">
        <v>298084186.26233172</v>
      </c>
      <c r="J10" s="16">
        <f t="shared" si="2"/>
        <v>-0.93199999999999994</v>
      </c>
      <c r="K10" s="17">
        <v>12220271.639210202</v>
      </c>
      <c r="L10" s="12">
        <v>179709877.04720885</v>
      </c>
      <c r="M10" s="16">
        <f t="shared" si="3"/>
        <v>-0.93199999999999994</v>
      </c>
      <c r="N10" s="17">
        <v>14913537.275037523</v>
      </c>
      <c r="O10" s="12">
        <v>219316724.63290471</v>
      </c>
      <c r="P10" s="16">
        <f t="shared" si="4"/>
        <v>-0.93199999999999994</v>
      </c>
      <c r="Q10" s="17">
        <v>21955282.142623648</v>
      </c>
      <c r="R10" s="12">
        <v>322871796.21505362</v>
      </c>
      <c r="S10" s="16">
        <f t="shared" si="5"/>
        <v>-0.93199999999999994</v>
      </c>
      <c r="T10" s="17">
        <v>11006072.639400329</v>
      </c>
      <c r="U10" s="12">
        <v>161854009.40294603</v>
      </c>
      <c r="V10" s="16">
        <f t="shared" si="6"/>
        <v>-0.93199999999999994</v>
      </c>
      <c r="W10" s="17">
        <v>16109861.726468131</v>
      </c>
      <c r="X10" s="12">
        <v>236909731.27159017</v>
      </c>
      <c r="Y10" s="16">
        <f t="shared" si="7"/>
        <v>-0.93200000000000005</v>
      </c>
      <c r="Z10" s="17">
        <v>14437801.776011975</v>
      </c>
      <c r="AA10" s="12">
        <v>212320614.35311729</v>
      </c>
      <c r="AB10" s="16">
        <f t="shared" si="8"/>
        <v>-0.93199999999999994</v>
      </c>
      <c r="AC10" s="17">
        <v>10490566.121671973</v>
      </c>
      <c r="AD10" s="12">
        <v>154273031.20105842</v>
      </c>
      <c r="AE10" s="16">
        <f t="shared" si="9"/>
        <v>-0.93199999999999994</v>
      </c>
      <c r="AF10" s="17">
        <v>19375143.838403549</v>
      </c>
      <c r="AG10" s="12">
        <v>284928585.85887575</v>
      </c>
      <c r="AH10" s="16">
        <f t="shared" si="10"/>
        <v>-0.93200000000000005</v>
      </c>
      <c r="AI10" s="17">
        <v>15866948.361388691</v>
      </c>
      <c r="AJ10" s="12">
        <v>233337475.90277484</v>
      </c>
      <c r="AK10" s="16">
        <f t="shared" si="11"/>
        <v>-0.93199999999999994</v>
      </c>
    </row>
    <row r="11" spans="1:37">
      <c r="A11" s="7">
        <f t="shared" si="12"/>
        <v>8</v>
      </c>
      <c r="B11" s="17">
        <v>14819319.103650672</v>
      </c>
      <c r="C11" s="12">
        <v>217931163.28898045</v>
      </c>
      <c r="D11" s="16">
        <f t="shared" si="0"/>
        <v>-0.93199999999999994</v>
      </c>
      <c r="E11" s="17">
        <v>25401498.102739699</v>
      </c>
      <c r="F11" s="12">
        <v>373551442.68734848</v>
      </c>
      <c r="G11" s="16">
        <f t="shared" si="1"/>
        <v>-0.93199999999999994</v>
      </c>
      <c r="H11" s="17">
        <v>21771769.447452206</v>
      </c>
      <c r="I11" s="12">
        <v>320173080.10959125</v>
      </c>
      <c r="J11" s="16">
        <f t="shared" si="2"/>
        <v>-0.93199999999999994</v>
      </c>
      <c r="K11" s="17">
        <v>14255668.788146231</v>
      </c>
      <c r="L11" s="12">
        <v>209642188.06097397</v>
      </c>
      <c r="M11" s="16">
        <f t="shared" si="3"/>
        <v>-0.93199999999999994</v>
      </c>
      <c r="N11" s="17">
        <v>18608307.840236623</v>
      </c>
      <c r="O11" s="12">
        <v>273651585.88583267</v>
      </c>
      <c r="P11" s="16">
        <f t="shared" si="4"/>
        <v>-0.93199999999999994</v>
      </c>
      <c r="Q11" s="17">
        <v>14996797.590108931</v>
      </c>
      <c r="R11" s="12">
        <v>220541141.03101367</v>
      </c>
      <c r="S11" s="16">
        <f t="shared" si="5"/>
        <v>-0.93199999999999994</v>
      </c>
      <c r="T11" s="17">
        <v>11974686.527370207</v>
      </c>
      <c r="U11" s="12">
        <v>176098331.28485599</v>
      </c>
      <c r="V11" s="16">
        <f t="shared" si="6"/>
        <v>-0.93200000000000005</v>
      </c>
      <c r="W11" s="17">
        <v>21647736.343925562</v>
      </c>
      <c r="X11" s="12">
        <v>318349063.88125825</v>
      </c>
      <c r="Y11" s="16">
        <f t="shared" si="7"/>
        <v>-0.93199999999999994</v>
      </c>
      <c r="Z11" s="17">
        <v>10104857.653470501</v>
      </c>
      <c r="AA11" s="12">
        <v>148600847.8451544</v>
      </c>
      <c r="AB11" s="16">
        <f t="shared" si="8"/>
        <v>-0.93199999999999994</v>
      </c>
      <c r="AC11" s="17">
        <v>14421811.75337119</v>
      </c>
      <c r="AD11" s="12">
        <v>212085466.96134102</v>
      </c>
      <c r="AE11" s="16">
        <f t="shared" si="9"/>
        <v>-0.93199999999999994</v>
      </c>
      <c r="AF11" s="17">
        <v>17850419.717109691</v>
      </c>
      <c r="AG11" s="12">
        <v>262506172.31043664</v>
      </c>
      <c r="AH11" s="16">
        <f t="shared" si="10"/>
        <v>-0.93199999999999994</v>
      </c>
      <c r="AI11" s="17">
        <v>15078224.325762285</v>
      </c>
      <c r="AJ11" s="12">
        <v>221738593.02591592</v>
      </c>
      <c r="AK11" s="16">
        <f t="shared" si="11"/>
        <v>-0.93199999999999994</v>
      </c>
    </row>
    <row r="12" spans="1:37">
      <c r="A12" s="7">
        <f t="shared" si="12"/>
        <v>9</v>
      </c>
      <c r="B12" s="17">
        <v>17914677.435093805</v>
      </c>
      <c r="C12" s="12">
        <v>263451138.75137946</v>
      </c>
      <c r="D12" s="16">
        <f t="shared" si="0"/>
        <v>-0.93199999999999994</v>
      </c>
      <c r="E12" s="17">
        <v>15469438.996475484</v>
      </c>
      <c r="F12" s="12">
        <v>227491749.94816887</v>
      </c>
      <c r="G12" s="16">
        <f t="shared" si="1"/>
        <v>-0.93199999999999994</v>
      </c>
      <c r="H12" s="17">
        <v>12359221.488673376</v>
      </c>
      <c r="I12" s="12">
        <v>181753257.18637317</v>
      </c>
      <c r="J12" s="16">
        <f t="shared" si="2"/>
        <v>-0.93199999999999994</v>
      </c>
      <c r="K12" s="17">
        <v>16906490.409075748</v>
      </c>
      <c r="L12" s="12">
        <v>248624858.95699626</v>
      </c>
      <c r="M12" s="16">
        <f t="shared" si="3"/>
        <v>-0.93199999999999994</v>
      </c>
      <c r="N12" s="17">
        <v>21000390.000889018</v>
      </c>
      <c r="O12" s="12">
        <v>308829264.71895611</v>
      </c>
      <c r="P12" s="16">
        <f t="shared" si="4"/>
        <v>-0.93199999999999994</v>
      </c>
      <c r="Q12" s="17">
        <v>12096226.75535316</v>
      </c>
      <c r="R12" s="12">
        <v>177885687.57872295</v>
      </c>
      <c r="S12" s="16">
        <f t="shared" si="5"/>
        <v>-0.93200000000000005</v>
      </c>
      <c r="T12" s="17">
        <v>15287446.71997752</v>
      </c>
      <c r="U12" s="12">
        <v>224815392.94084585</v>
      </c>
      <c r="V12" s="16">
        <f t="shared" si="6"/>
        <v>-0.93199999999999994</v>
      </c>
      <c r="W12" s="17">
        <v>19643816.91842562</v>
      </c>
      <c r="X12" s="12">
        <v>288879660.56508261</v>
      </c>
      <c r="Y12" s="16">
        <f t="shared" si="7"/>
        <v>-0.93199999999999994</v>
      </c>
      <c r="Z12" s="17">
        <v>13068531.182450902</v>
      </c>
      <c r="AA12" s="12">
        <v>192184282.09486619</v>
      </c>
      <c r="AB12" s="16">
        <f t="shared" si="8"/>
        <v>-0.93199999999999994</v>
      </c>
      <c r="AC12" s="17">
        <v>13902596.590831321</v>
      </c>
      <c r="AD12" s="12">
        <v>204449949.86516646</v>
      </c>
      <c r="AE12" s="16">
        <f t="shared" si="9"/>
        <v>-0.93199999999999994</v>
      </c>
      <c r="AF12" s="17">
        <v>12549526.216471182</v>
      </c>
      <c r="AG12" s="12">
        <v>184551856.12457618</v>
      </c>
      <c r="AH12" s="16">
        <f t="shared" si="10"/>
        <v>-0.93199999999999994</v>
      </c>
      <c r="AI12" s="17">
        <v>12478136.431486145</v>
      </c>
      <c r="AJ12" s="12">
        <v>183502006.34538448</v>
      </c>
      <c r="AK12" s="16">
        <f t="shared" si="11"/>
        <v>-0.93199999999999994</v>
      </c>
    </row>
    <row r="13" spans="1:37">
      <c r="A13" s="7">
        <f t="shared" si="12"/>
        <v>10</v>
      </c>
      <c r="B13" s="17">
        <v>21512177.37744651</v>
      </c>
      <c r="C13" s="12">
        <v>316355549.66833103</v>
      </c>
      <c r="D13" s="16">
        <f t="shared" si="0"/>
        <v>-0.93199999999999994</v>
      </c>
      <c r="E13" s="17">
        <v>10990808.249030635</v>
      </c>
      <c r="F13" s="12">
        <v>161629533.07397991</v>
      </c>
      <c r="G13" s="16">
        <f t="shared" si="1"/>
        <v>-0.93199999999999994</v>
      </c>
      <c r="H13" s="17">
        <v>11043460.910099026</v>
      </c>
      <c r="I13" s="12">
        <v>162403836.91322097</v>
      </c>
      <c r="J13" s="16">
        <f t="shared" si="2"/>
        <v>-0.93199999999999994</v>
      </c>
      <c r="K13" s="17">
        <v>13874101.637898529</v>
      </c>
      <c r="L13" s="12">
        <v>204030906.43968424</v>
      </c>
      <c r="M13" s="16">
        <f t="shared" si="3"/>
        <v>-0.93199999999999994</v>
      </c>
      <c r="N13" s="17">
        <v>17859488.846310958</v>
      </c>
      <c r="O13" s="12">
        <v>262639541.85751405</v>
      </c>
      <c r="P13" s="16">
        <f t="shared" si="4"/>
        <v>-0.93199999999999994</v>
      </c>
      <c r="Q13" s="17">
        <v>12165653.444632793</v>
      </c>
      <c r="R13" s="12">
        <v>178906668.3034234</v>
      </c>
      <c r="S13" s="16">
        <f t="shared" si="5"/>
        <v>-0.93199999999999994</v>
      </c>
      <c r="T13" s="17">
        <v>15627172.300597787</v>
      </c>
      <c r="U13" s="12">
        <v>229811357.36173218</v>
      </c>
      <c r="V13" s="16">
        <f t="shared" si="6"/>
        <v>-0.93200000000000005</v>
      </c>
      <c r="W13" s="17">
        <v>13748354.51669972</v>
      </c>
      <c r="X13" s="12">
        <v>202181684.06911349</v>
      </c>
      <c r="Y13" s="16">
        <f t="shared" si="7"/>
        <v>-0.93199999999999994</v>
      </c>
      <c r="Z13" s="17">
        <v>9762208.1862936858</v>
      </c>
      <c r="AA13" s="12">
        <v>143561885.09255421</v>
      </c>
      <c r="AB13" s="16">
        <f t="shared" si="8"/>
        <v>-0.93200000000000005</v>
      </c>
      <c r="AC13" s="17">
        <v>18866275.139430262</v>
      </c>
      <c r="AD13" s="12">
        <v>277445222.63868034</v>
      </c>
      <c r="AE13" s="16">
        <f t="shared" si="9"/>
        <v>-0.93200000000000005</v>
      </c>
      <c r="AF13" s="17">
        <v>9385198.7187580001</v>
      </c>
      <c r="AG13" s="12">
        <v>138017628.21702939</v>
      </c>
      <c r="AH13" s="16">
        <f t="shared" si="10"/>
        <v>-0.93199999999999994</v>
      </c>
      <c r="AI13" s="17">
        <v>13236159.230605531</v>
      </c>
      <c r="AJ13" s="12">
        <v>194649400.45008132</v>
      </c>
      <c r="AK13" s="16">
        <f t="shared" si="11"/>
        <v>-0.93199999999999994</v>
      </c>
    </row>
    <row r="14" spans="1:37">
      <c r="A14" s="7">
        <f t="shared" si="12"/>
        <v>11</v>
      </c>
      <c r="B14" s="17">
        <v>22214133.398884982</v>
      </c>
      <c r="C14" s="12">
        <v>326678432.33654386</v>
      </c>
      <c r="D14" s="16">
        <f t="shared" si="0"/>
        <v>-0.93199999999999994</v>
      </c>
      <c r="E14" s="17">
        <v>14622017.08381268</v>
      </c>
      <c r="F14" s="12">
        <v>215029662.99724525</v>
      </c>
      <c r="G14" s="16">
        <f t="shared" si="1"/>
        <v>-0.93199999999999994</v>
      </c>
      <c r="H14" s="17">
        <v>9796355.4992460366</v>
      </c>
      <c r="I14" s="12">
        <v>144064051.45950055</v>
      </c>
      <c r="J14" s="16">
        <f t="shared" si="2"/>
        <v>-0.93200000000000005</v>
      </c>
      <c r="K14" s="17">
        <v>20850405.738661312</v>
      </c>
      <c r="L14" s="12">
        <v>306623613.80384278</v>
      </c>
      <c r="M14" s="16">
        <f t="shared" si="3"/>
        <v>-0.93199999999999994</v>
      </c>
      <c r="N14" s="17">
        <v>9510936.3450710047</v>
      </c>
      <c r="O14" s="12">
        <v>139866710.95692652</v>
      </c>
      <c r="P14" s="16">
        <f t="shared" si="4"/>
        <v>-0.93199999999999994</v>
      </c>
      <c r="Q14" s="17">
        <v>19814491.411737077</v>
      </c>
      <c r="R14" s="12">
        <v>291389579.58436877</v>
      </c>
      <c r="S14" s="16">
        <f t="shared" si="5"/>
        <v>-0.93199999999999994</v>
      </c>
      <c r="T14" s="17">
        <v>21477437.704826418</v>
      </c>
      <c r="U14" s="12">
        <v>315844672.12980026</v>
      </c>
      <c r="V14" s="16">
        <f t="shared" si="6"/>
        <v>-0.93199999999999994</v>
      </c>
      <c r="W14" s="17">
        <v>12285071.814345151</v>
      </c>
      <c r="X14" s="12">
        <v>180662820.79919338</v>
      </c>
      <c r="Y14" s="16">
        <f t="shared" si="7"/>
        <v>-0.93199999999999994</v>
      </c>
      <c r="Z14" s="17">
        <v>17204492.708354019</v>
      </c>
      <c r="AA14" s="12">
        <v>253007245.71108851</v>
      </c>
      <c r="AB14" s="16">
        <f t="shared" si="8"/>
        <v>-0.93199999999999994</v>
      </c>
      <c r="AC14" s="17">
        <v>17868754.308327101</v>
      </c>
      <c r="AD14" s="12">
        <v>262775798.65186912</v>
      </c>
      <c r="AE14" s="16">
        <f t="shared" si="9"/>
        <v>-0.93199999999999994</v>
      </c>
      <c r="AF14" s="17">
        <v>10282134.61381324</v>
      </c>
      <c r="AG14" s="12">
        <v>151207861.96784177</v>
      </c>
      <c r="AH14" s="16">
        <f t="shared" si="10"/>
        <v>-0.93200000000000005</v>
      </c>
      <c r="AI14" s="17">
        <v>15862559.787063276</v>
      </c>
      <c r="AJ14" s="12">
        <v>233272938.04504818</v>
      </c>
      <c r="AK14" s="16">
        <f t="shared" si="11"/>
        <v>-0.93199999999999994</v>
      </c>
    </row>
    <row r="15" spans="1:37">
      <c r="A15" s="7">
        <f t="shared" si="12"/>
        <v>12</v>
      </c>
      <c r="B15" s="17">
        <v>11554451.829768905</v>
      </c>
      <c r="C15" s="12">
        <v>169918409.26130742</v>
      </c>
      <c r="D15" s="16">
        <f t="shared" si="0"/>
        <v>-0.93199999999999994</v>
      </c>
      <c r="E15" s="17">
        <v>19420824.056264978</v>
      </c>
      <c r="F15" s="12">
        <v>285600353.76860261</v>
      </c>
      <c r="G15" s="16">
        <f t="shared" si="1"/>
        <v>-0.93199999999999994</v>
      </c>
      <c r="H15" s="17">
        <v>17492675.151674688</v>
      </c>
      <c r="I15" s="12">
        <v>257245222.81874543</v>
      </c>
      <c r="J15" s="16">
        <f t="shared" si="2"/>
        <v>-0.93200000000000005</v>
      </c>
      <c r="K15" s="17">
        <v>21833447.577267148</v>
      </c>
      <c r="L15" s="12">
        <v>321080111.43039918</v>
      </c>
      <c r="M15" s="16">
        <f t="shared" si="3"/>
        <v>-0.93199999999999994</v>
      </c>
      <c r="N15" s="17">
        <v>14628580.210690727</v>
      </c>
      <c r="O15" s="12">
        <v>215126179.56898129</v>
      </c>
      <c r="P15" s="16">
        <f t="shared" si="4"/>
        <v>-0.93199999999999994</v>
      </c>
      <c r="Q15" s="17">
        <v>16958565.254434418</v>
      </c>
      <c r="R15" s="12">
        <v>249390665.50638849</v>
      </c>
      <c r="S15" s="16">
        <f t="shared" si="5"/>
        <v>-0.93199999999999994</v>
      </c>
      <c r="T15" s="17">
        <v>23433285.624920178</v>
      </c>
      <c r="U15" s="12">
        <v>344607141.54294378</v>
      </c>
      <c r="V15" s="16">
        <f t="shared" si="6"/>
        <v>-0.93199999999999994</v>
      </c>
      <c r="W15" s="17">
        <v>12328845.354141442</v>
      </c>
      <c r="X15" s="12">
        <v>181306549.32560945</v>
      </c>
      <c r="Y15" s="16">
        <f t="shared" si="7"/>
        <v>-0.93199999999999994</v>
      </c>
      <c r="Z15" s="17">
        <v>18482688.634819865</v>
      </c>
      <c r="AA15" s="12">
        <v>271804244.62970382</v>
      </c>
      <c r="AB15" s="16">
        <f t="shared" si="8"/>
        <v>-0.93199999999999994</v>
      </c>
      <c r="AC15" s="17">
        <v>14868358.512844007</v>
      </c>
      <c r="AD15" s="12">
        <v>218652331.07123542</v>
      </c>
      <c r="AE15" s="16">
        <f t="shared" si="9"/>
        <v>-0.93200000000000005</v>
      </c>
      <c r="AF15" s="17">
        <v>12665903.319958063</v>
      </c>
      <c r="AG15" s="12">
        <v>186263284.11703032</v>
      </c>
      <c r="AH15" s="16">
        <f t="shared" si="10"/>
        <v>-0.93199999999999994</v>
      </c>
      <c r="AI15" s="17">
        <v>16537573.91467895</v>
      </c>
      <c r="AJ15" s="12">
        <v>243199616.3923375</v>
      </c>
      <c r="AK15" s="16">
        <f t="shared" si="11"/>
        <v>-0.93199999999999994</v>
      </c>
    </row>
    <row r="16" spans="1:37">
      <c r="A16" s="7">
        <f t="shared" si="12"/>
        <v>13</v>
      </c>
      <c r="B16" s="17">
        <v>11001603.27516697</v>
      </c>
      <c r="C16" s="12">
        <v>161788283.45833778</v>
      </c>
      <c r="D16" s="16">
        <f t="shared" si="0"/>
        <v>-0.93199999999999994</v>
      </c>
      <c r="E16" s="17">
        <v>18890263.117766701</v>
      </c>
      <c r="F16" s="12">
        <v>277797987.02598083</v>
      </c>
      <c r="G16" s="16">
        <f t="shared" si="1"/>
        <v>-0.93199999999999994</v>
      </c>
      <c r="H16" s="17">
        <v>20137429.412609965</v>
      </c>
      <c r="I16" s="12">
        <v>296138667.83249938</v>
      </c>
      <c r="J16" s="16">
        <f t="shared" si="2"/>
        <v>-0.93199999999999994</v>
      </c>
      <c r="K16" s="17">
        <v>13258771.196367942</v>
      </c>
      <c r="L16" s="12">
        <v>194981929.35835207</v>
      </c>
      <c r="M16" s="16">
        <f t="shared" si="3"/>
        <v>-0.93199999999999994</v>
      </c>
      <c r="N16" s="17">
        <v>12404495.438223165</v>
      </c>
      <c r="O16" s="12">
        <v>182419050.56210536</v>
      </c>
      <c r="P16" s="16">
        <f t="shared" si="4"/>
        <v>-0.93199999999999994</v>
      </c>
      <c r="Q16" s="17">
        <v>23527237.755368516</v>
      </c>
      <c r="R16" s="12">
        <v>345988790.52012527</v>
      </c>
      <c r="S16" s="16">
        <f t="shared" si="5"/>
        <v>-0.93200000000000005</v>
      </c>
      <c r="T16" s="17">
        <v>13450868.482832938</v>
      </c>
      <c r="U16" s="12">
        <v>197806889.45342556</v>
      </c>
      <c r="V16" s="16">
        <f t="shared" si="6"/>
        <v>-0.93199999999999994</v>
      </c>
      <c r="W16" s="17">
        <v>12639123.776696261</v>
      </c>
      <c r="X16" s="12">
        <v>185869467.30435675</v>
      </c>
      <c r="Y16" s="16">
        <f t="shared" si="7"/>
        <v>-0.93199999999999994</v>
      </c>
      <c r="Z16" s="17">
        <v>22854998.904268991</v>
      </c>
      <c r="AA16" s="12">
        <v>336102925.06277925</v>
      </c>
      <c r="AB16" s="16">
        <f t="shared" si="8"/>
        <v>-0.93199999999999994</v>
      </c>
      <c r="AC16" s="17">
        <v>8958908.0465439167</v>
      </c>
      <c r="AD16" s="12">
        <v>131748647.7432929</v>
      </c>
      <c r="AE16" s="16">
        <f t="shared" si="9"/>
        <v>-0.93200000000000005</v>
      </c>
      <c r="AF16" s="17">
        <v>15254419.879646949</v>
      </c>
      <c r="AG16" s="12">
        <v>224329704.11245513</v>
      </c>
      <c r="AH16" s="16">
        <f t="shared" si="10"/>
        <v>-0.93199999999999994</v>
      </c>
      <c r="AI16" s="17">
        <v>16869719.851997577</v>
      </c>
      <c r="AJ16" s="12">
        <v>248084115.47055256</v>
      </c>
      <c r="AK16" s="16">
        <f t="shared" si="11"/>
        <v>-0.93199999999999994</v>
      </c>
    </row>
    <row r="17" spans="1:37">
      <c r="A17" s="7">
        <f t="shared" si="12"/>
        <v>14</v>
      </c>
      <c r="B17" s="17">
        <v>12615568.432236403</v>
      </c>
      <c r="C17" s="12">
        <v>185523065.17994708</v>
      </c>
      <c r="D17" s="16">
        <f t="shared" si="0"/>
        <v>-0.93199999999999994</v>
      </c>
      <c r="E17" s="17">
        <v>19884723.080065966</v>
      </c>
      <c r="F17" s="12">
        <v>292422398.23626417</v>
      </c>
      <c r="G17" s="16">
        <f t="shared" si="1"/>
        <v>-0.93199999999999994</v>
      </c>
      <c r="H17" s="17">
        <v>20269724.665838562</v>
      </c>
      <c r="I17" s="12">
        <v>298084186.26233172</v>
      </c>
      <c r="J17" s="16">
        <f t="shared" si="2"/>
        <v>-0.93199999999999994</v>
      </c>
      <c r="K17" s="17">
        <v>12220271.639210202</v>
      </c>
      <c r="L17" s="12">
        <v>179709877.04720885</v>
      </c>
      <c r="M17" s="16">
        <f t="shared" si="3"/>
        <v>-0.93199999999999994</v>
      </c>
      <c r="N17" s="17">
        <v>14913537.275037523</v>
      </c>
      <c r="O17" s="12">
        <v>219316724.63290471</v>
      </c>
      <c r="P17" s="16">
        <f t="shared" si="4"/>
        <v>-0.93199999999999994</v>
      </c>
      <c r="Q17" s="17">
        <v>21955282.142623648</v>
      </c>
      <c r="R17" s="12">
        <v>322871796.21505362</v>
      </c>
      <c r="S17" s="16">
        <f t="shared" si="5"/>
        <v>-0.93199999999999994</v>
      </c>
      <c r="T17" s="17">
        <v>11006072.639400329</v>
      </c>
      <c r="U17" s="12">
        <v>161854009.40294603</v>
      </c>
      <c r="V17" s="16">
        <f t="shared" si="6"/>
        <v>-0.93199999999999994</v>
      </c>
      <c r="W17" s="17">
        <v>17672969.511393573</v>
      </c>
      <c r="X17" s="12">
        <v>259896610.46167019</v>
      </c>
      <c r="Y17" s="16">
        <f t="shared" si="7"/>
        <v>-0.93199999999999994</v>
      </c>
      <c r="Z17" s="17">
        <v>14437801.776011975</v>
      </c>
      <c r="AA17" s="12">
        <v>212320614.35311729</v>
      </c>
      <c r="AB17" s="16">
        <f t="shared" si="8"/>
        <v>-0.93199999999999994</v>
      </c>
      <c r="AC17" s="17">
        <v>10490566.121671973</v>
      </c>
      <c r="AD17" s="12">
        <v>154273031.20105842</v>
      </c>
      <c r="AE17" s="16">
        <f t="shared" si="9"/>
        <v>-0.93199999999999994</v>
      </c>
      <c r="AF17" s="17">
        <v>19375143.838403549</v>
      </c>
      <c r="AG17" s="12">
        <v>284928585.85887575</v>
      </c>
      <c r="AH17" s="16">
        <f t="shared" si="10"/>
        <v>-0.93200000000000005</v>
      </c>
      <c r="AI17" s="17">
        <v>11206717.154156823</v>
      </c>
      <c r="AJ17" s="12">
        <v>164804664.03171796</v>
      </c>
      <c r="AK17" s="16">
        <f t="shared" si="11"/>
        <v>-0.93199999999999994</v>
      </c>
    </row>
    <row r="18" spans="1:37">
      <c r="A18" s="7">
        <f t="shared" si="12"/>
        <v>15</v>
      </c>
      <c r="B18" s="17">
        <v>14819319.103650672</v>
      </c>
      <c r="C18" s="12">
        <v>217931163.28898045</v>
      </c>
      <c r="D18" s="16">
        <f t="shared" si="0"/>
        <v>-0.93199999999999994</v>
      </c>
      <c r="E18" s="17">
        <v>25401498.102739699</v>
      </c>
      <c r="F18" s="12">
        <v>373551442.68734848</v>
      </c>
      <c r="G18" s="16">
        <f t="shared" si="1"/>
        <v>-0.93199999999999994</v>
      </c>
      <c r="H18" s="17">
        <v>21771769.447452206</v>
      </c>
      <c r="I18" s="12">
        <v>320173080.10959125</v>
      </c>
      <c r="J18" s="16">
        <f t="shared" si="2"/>
        <v>-0.93199999999999994</v>
      </c>
      <c r="K18" s="17">
        <v>14255668.788146231</v>
      </c>
      <c r="L18" s="12">
        <v>209642188.06097397</v>
      </c>
      <c r="M18" s="16">
        <f t="shared" si="3"/>
        <v>-0.93199999999999994</v>
      </c>
      <c r="N18" s="17">
        <v>18608307.840236623</v>
      </c>
      <c r="O18" s="12">
        <v>273651585.88583267</v>
      </c>
      <c r="P18" s="16">
        <f t="shared" si="4"/>
        <v>-0.93199999999999994</v>
      </c>
      <c r="Q18" s="17">
        <v>14996797.590108931</v>
      </c>
      <c r="R18" s="12">
        <v>220541141.03101367</v>
      </c>
      <c r="S18" s="16">
        <f t="shared" si="5"/>
        <v>-0.93199999999999994</v>
      </c>
      <c r="T18" s="17">
        <v>15696716.485942286</v>
      </c>
      <c r="U18" s="12">
        <v>230834065.9697395</v>
      </c>
      <c r="V18" s="16">
        <f t="shared" si="6"/>
        <v>-0.93199999999999994</v>
      </c>
      <c r="W18" s="17">
        <v>29749683.846341588</v>
      </c>
      <c r="X18" s="12">
        <v>437495350.68149388</v>
      </c>
      <c r="Y18" s="16">
        <f t="shared" si="7"/>
        <v>-0.93199999999999994</v>
      </c>
      <c r="Z18" s="17">
        <v>10104857.653470501</v>
      </c>
      <c r="AA18" s="12">
        <v>148600847.8451544</v>
      </c>
      <c r="AB18" s="16">
        <f t="shared" si="8"/>
        <v>-0.93199999999999994</v>
      </c>
      <c r="AC18" s="17">
        <v>14421811.75337119</v>
      </c>
      <c r="AD18" s="12">
        <v>212085466.96134102</v>
      </c>
      <c r="AE18" s="16">
        <f t="shared" si="9"/>
        <v>-0.93199999999999994</v>
      </c>
      <c r="AF18" s="17">
        <v>17850419.717109691</v>
      </c>
      <c r="AG18" s="12">
        <v>262506172.31043664</v>
      </c>
      <c r="AH18" s="16">
        <f t="shared" si="10"/>
        <v>-0.93199999999999994</v>
      </c>
      <c r="AI18" s="17">
        <v>10661760.350250054</v>
      </c>
      <c r="AJ18" s="12">
        <v>156790593.3860302</v>
      </c>
      <c r="AK18" s="16">
        <f t="shared" si="11"/>
        <v>-0.93199999999999994</v>
      </c>
    </row>
    <row r="19" spans="1:37">
      <c r="A19" s="7">
        <f t="shared" si="12"/>
        <v>16</v>
      </c>
      <c r="B19" s="17">
        <v>17914677.435093805</v>
      </c>
      <c r="C19" s="12">
        <v>263451138.75137946</v>
      </c>
      <c r="D19" s="16">
        <f t="shared" si="0"/>
        <v>-0.93199999999999994</v>
      </c>
      <c r="E19" s="17">
        <v>15469438.996475484</v>
      </c>
      <c r="F19" s="12">
        <v>227491749.94816887</v>
      </c>
      <c r="G19" s="16">
        <f t="shared" si="1"/>
        <v>-0.93199999999999994</v>
      </c>
      <c r="H19" s="17">
        <v>12359221.488673376</v>
      </c>
      <c r="I19" s="12">
        <v>181753257.18637317</v>
      </c>
      <c r="J19" s="16">
        <f t="shared" si="2"/>
        <v>-0.93199999999999994</v>
      </c>
      <c r="K19" s="17">
        <v>16906490.409075748</v>
      </c>
      <c r="L19" s="12">
        <v>248624858.95699626</v>
      </c>
      <c r="M19" s="16">
        <f t="shared" si="3"/>
        <v>-0.93199999999999994</v>
      </c>
      <c r="N19" s="17">
        <v>21000390.000889018</v>
      </c>
      <c r="O19" s="12">
        <v>308829264.71895611</v>
      </c>
      <c r="P19" s="16">
        <f t="shared" si="4"/>
        <v>-0.93199999999999994</v>
      </c>
      <c r="Q19" s="17">
        <v>12096226.75535316</v>
      </c>
      <c r="R19" s="12">
        <v>177885687.57872295</v>
      </c>
      <c r="S19" s="16">
        <f t="shared" si="5"/>
        <v>-0.93200000000000005</v>
      </c>
      <c r="T19" s="17">
        <v>18833261.927158486</v>
      </c>
      <c r="U19" s="12">
        <v>276959734.22291887</v>
      </c>
      <c r="V19" s="16">
        <f t="shared" si="6"/>
        <v>-0.93199999999999994</v>
      </c>
      <c r="W19" s="17">
        <v>19643816.91842562</v>
      </c>
      <c r="X19" s="12">
        <v>288879660.56508261</v>
      </c>
      <c r="Y19" s="16">
        <f t="shared" si="7"/>
        <v>-0.93199999999999994</v>
      </c>
      <c r="Z19" s="17">
        <v>13068531.182450902</v>
      </c>
      <c r="AA19" s="12">
        <v>192184282.09486619</v>
      </c>
      <c r="AB19" s="16">
        <f t="shared" si="8"/>
        <v>-0.93199999999999994</v>
      </c>
      <c r="AC19" s="17">
        <v>13902596.590831321</v>
      </c>
      <c r="AD19" s="12">
        <v>204449949.86516646</v>
      </c>
      <c r="AE19" s="16">
        <f t="shared" si="9"/>
        <v>-0.93199999999999994</v>
      </c>
      <c r="AF19" s="17">
        <v>12549526.216471182</v>
      </c>
      <c r="AG19" s="12">
        <v>184551856.12457618</v>
      </c>
      <c r="AH19" s="16">
        <f t="shared" si="10"/>
        <v>-0.93199999999999994</v>
      </c>
      <c r="AI19" s="17">
        <v>12478136.431486145</v>
      </c>
      <c r="AJ19" s="12">
        <v>183502006.34538448</v>
      </c>
      <c r="AK19" s="16">
        <f t="shared" si="11"/>
        <v>-0.93199999999999994</v>
      </c>
    </row>
    <row r="20" spans="1:37">
      <c r="A20" s="7">
        <f t="shared" si="12"/>
        <v>17</v>
      </c>
      <c r="B20" s="17">
        <v>21512177.37744651</v>
      </c>
      <c r="C20" s="12">
        <v>316355549.66833103</v>
      </c>
      <c r="D20" s="16">
        <f t="shared" si="0"/>
        <v>-0.93199999999999994</v>
      </c>
      <c r="E20" s="17">
        <v>10990808.249030635</v>
      </c>
      <c r="F20" s="12">
        <v>161629533.07397991</v>
      </c>
      <c r="G20" s="16">
        <f t="shared" si="1"/>
        <v>-0.93199999999999994</v>
      </c>
      <c r="H20" s="17">
        <v>11043460.910099026</v>
      </c>
      <c r="I20" s="12">
        <v>162403836.91322097</v>
      </c>
      <c r="J20" s="16">
        <f t="shared" si="2"/>
        <v>-0.93199999999999994</v>
      </c>
      <c r="K20" s="17">
        <v>18748699.411723908</v>
      </c>
      <c r="L20" s="12">
        <v>275716167.81946921</v>
      </c>
      <c r="M20" s="16">
        <f t="shared" si="3"/>
        <v>-0.93199999999999994</v>
      </c>
      <c r="N20" s="17">
        <v>17859488.846310958</v>
      </c>
      <c r="O20" s="12">
        <v>262639541.85751405</v>
      </c>
      <c r="P20" s="16">
        <f t="shared" si="4"/>
        <v>-0.93199999999999994</v>
      </c>
      <c r="Q20" s="17">
        <v>12165653.444632793</v>
      </c>
      <c r="R20" s="12">
        <v>178906668.3034234</v>
      </c>
      <c r="S20" s="16">
        <f t="shared" si="5"/>
        <v>-0.93199999999999994</v>
      </c>
      <c r="T20" s="17">
        <v>15627172.300597787</v>
      </c>
      <c r="U20" s="12">
        <v>229811357.36173218</v>
      </c>
      <c r="V20" s="16">
        <f t="shared" si="6"/>
        <v>-0.93200000000000005</v>
      </c>
      <c r="W20" s="17">
        <v>13748354.51669972</v>
      </c>
      <c r="X20" s="12">
        <v>202181684.06911349</v>
      </c>
      <c r="Y20" s="16">
        <f t="shared" si="7"/>
        <v>-0.93199999999999994</v>
      </c>
      <c r="Z20" s="17">
        <v>14210950.475896623</v>
      </c>
      <c r="AA20" s="12">
        <v>208984565.82200915</v>
      </c>
      <c r="AB20" s="16">
        <f t="shared" si="8"/>
        <v>-0.93199999999999994</v>
      </c>
      <c r="AC20" s="17">
        <v>18866275.139430262</v>
      </c>
      <c r="AD20" s="12">
        <v>277445222.63868034</v>
      </c>
      <c r="AE20" s="16">
        <f t="shared" si="9"/>
        <v>-0.93200000000000005</v>
      </c>
      <c r="AF20" s="17">
        <v>9385198.7187580001</v>
      </c>
      <c r="AG20" s="12">
        <v>138017628.21702939</v>
      </c>
      <c r="AH20" s="16">
        <f t="shared" si="10"/>
        <v>-0.93199999999999994</v>
      </c>
      <c r="AI20" s="17">
        <v>13236159.230605531</v>
      </c>
      <c r="AJ20" s="12">
        <v>194649400.45008132</v>
      </c>
      <c r="AK20" s="16">
        <f t="shared" si="11"/>
        <v>-0.93199999999999994</v>
      </c>
    </row>
    <row r="21" spans="1:37">
      <c r="A21" s="7">
        <f t="shared" si="12"/>
        <v>18</v>
      </c>
      <c r="B21" s="17">
        <v>22214133.398884982</v>
      </c>
      <c r="C21" s="12">
        <v>326678432.33654386</v>
      </c>
      <c r="D21" s="16">
        <f t="shared" si="0"/>
        <v>-0.93199999999999994</v>
      </c>
      <c r="E21" s="17">
        <v>14622017.08381268</v>
      </c>
      <c r="F21" s="12">
        <v>215029662.99724525</v>
      </c>
      <c r="G21" s="16">
        <f t="shared" si="1"/>
        <v>-0.93199999999999994</v>
      </c>
      <c r="H21" s="17">
        <v>9796355.4992460366</v>
      </c>
      <c r="I21" s="12">
        <v>144064051.45950055</v>
      </c>
      <c r="J21" s="16">
        <f t="shared" si="2"/>
        <v>-0.93200000000000005</v>
      </c>
      <c r="K21" s="17">
        <v>28122354.298064563</v>
      </c>
      <c r="L21" s="12">
        <v>413564033.79506707</v>
      </c>
      <c r="M21" s="16">
        <f t="shared" si="3"/>
        <v>-0.93199999999999994</v>
      </c>
      <c r="N21" s="17">
        <v>9510936.3450710047</v>
      </c>
      <c r="O21" s="12">
        <v>139866710.95692652</v>
      </c>
      <c r="P21" s="16">
        <f t="shared" si="4"/>
        <v>-0.93199999999999994</v>
      </c>
      <c r="Q21" s="17">
        <v>19814491.411737077</v>
      </c>
      <c r="R21" s="12">
        <v>291389579.58436877</v>
      </c>
      <c r="S21" s="16">
        <f t="shared" si="5"/>
        <v>-0.93199999999999994</v>
      </c>
      <c r="T21" s="17">
        <v>21477437.704826418</v>
      </c>
      <c r="U21" s="12">
        <v>315844672.12980026</v>
      </c>
      <c r="V21" s="16">
        <f t="shared" si="6"/>
        <v>-0.93199999999999994</v>
      </c>
      <c r="W21" s="17">
        <v>12285071.814345151</v>
      </c>
      <c r="X21" s="12">
        <v>180662820.79919338</v>
      </c>
      <c r="Y21" s="16">
        <f t="shared" si="7"/>
        <v>-0.93199999999999994</v>
      </c>
      <c r="Z21" s="17">
        <v>18141568.806255966</v>
      </c>
      <c r="AA21" s="12">
        <v>266787776.56258768</v>
      </c>
      <c r="AB21" s="16">
        <f t="shared" si="8"/>
        <v>-0.93199999999999994</v>
      </c>
      <c r="AC21" s="17">
        <v>16865652.631443016</v>
      </c>
      <c r="AD21" s="12">
        <v>248024303.40357375</v>
      </c>
      <c r="AE21" s="16">
        <f t="shared" si="9"/>
        <v>-0.93199999999999994</v>
      </c>
      <c r="AF21" s="17">
        <v>10282134.61381324</v>
      </c>
      <c r="AG21" s="12">
        <v>151207861.96784177</v>
      </c>
      <c r="AH21" s="16">
        <f t="shared" si="10"/>
        <v>-0.93200000000000005</v>
      </c>
      <c r="AI21" s="17">
        <v>15862559.787063276</v>
      </c>
      <c r="AJ21" s="12">
        <v>233272938.04504818</v>
      </c>
      <c r="AK21" s="16">
        <f t="shared" si="11"/>
        <v>-0.93199999999999994</v>
      </c>
    </row>
    <row r="22" spans="1:37">
      <c r="A22" s="7">
        <f t="shared" si="12"/>
        <v>19</v>
      </c>
      <c r="B22" s="17">
        <v>11554451.829768905</v>
      </c>
      <c r="C22" s="12">
        <v>169918409.26130742</v>
      </c>
      <c r="D22" s="16">
        <f t="shared" si="0"/>
        <v>-0.93199999999999994</v>
      </c>
      <c r="E22" s="17">
        <v>19420824.056264978</v>
      </c>
      <c r="F22" s="12">
        <v>285600353.76860261</v>
      </c>
      <c r="G22" s="16">
        <f t="shared" si="1"/>
        <v>-0.93199999999999994</v>
      </c>
      <c r="H22" s="17">
        <v>17492675.151674688</v>
      </c>
      <c r="I22" s="12">
        <v>257245222.81874543</v>
      </c>
      <c r="J22" s="16">
        <f t="shared" si="2"/>
        <v>-0.93200000000000005</v>
      </c>
      <c r="K22" s="17">
        <v>30137686.416973956</v>
      </c>
      <c r="L22" s="12">
        <v>443201270.83785224</v>
      </c>
      <c r="M22" s="16">
        <f t="shared" si="3"/>
        <v>-0.93199999999999994</v>
      </c>
      <c r="N22" s="17">
        <v>14628580.210690727</v>
      </c>
      <c r="O22" s="12">
        <v>215126179.56898129</v>
      </c>
      <c r="P22" s="16">
        <f t="shared" si="4"/>
        <v>-0.93199999999999994</v>
      </c>
      <c r="Q22" s="17">
        <v>20818647.800325833</v>
      </c>
      <c r="R22" s="12">
        <v>306156585.29890925</v>
      </c>
      <c r="S22" s="16">
        <f t="shared" si="5"/>
        <v>-0.93199999999999994</v>
      </c>
      <c r="T22" s="17">
        <v>23433285.624920178</v>
      </c>
      <c r="U22" s="12">
        <v>344607141.54294378</v>
      </c>
      <c r="V22" s="16">
        <f t="shared" si="6"/>
        <v>-0.93199999999999994</v>
      </c>
      <c r="W22" s="17">
        <v>12328845.354141442</v>
      </c>
      <c r="X22" s="12">
        <v>181306549.32560945</v>
      </c>
      <c r="Y22" s="16">
        <f t="shared" si="7"/>
        <v>-0.93199999999999994</v>
      </c>
      <c r="Z22" s="17">
        <v>21615588.832513798</v>
      </c>
      <c r="AA22" s="12">
        <v>317876306.360497</v>
      </c>
      <c r="AB22" s="16">
        <f t="shared" si="8"/>
        <v>-0.93199999999999994</v>
      </c>
      <c r="AC22" s="17">
        <v>11686776.774063485</v>
      </c>
      <c r="AD22" s="12">
        <v>171864364.32446301</v>
      </c>
      <c r="AE22" s="16">
        <f t="shared" si="9"/>
        <v>-0.93199999999999994</v>
      </c>
      <c r="AF22" s="17">
        <v>12665903.319958063</v>
      </c>
      <c r="AG22" s="12">
        <v>186263284.11703032</v>
      </c>
      <c r="AH22" s="16">
        <f t="shared" si="10"/>
        <v>-0.93199999999999994</v>
      </c>
      <c r="AI22" s="17">
        <v>16537573.91467895</v>
      </c>
      <c r="AJ22" s="12">
        <v>243199616.3923375</v>
      </c>
      <c r="AK22" s="16">
        <f t="shared" si="11"/>
        <v>-0.93199999999999994</v>
      </c>
    </row>
    <row r="23" spans="1:37">
      <c r="A23" s="7">
        <f t="shared" si="12"/>
        <v>20</v>
      </c>
      <c r="B23" s="17">
        <v>11001603.27516697</v>
      </c>
      <c r="C23" s="12">
        <v>161788283.45833778</v>
      </c>
      <c r="D23" s="16">
        <f t="shared" si="0"/>
        <v>-0.93199999999999994</v>
      </c>
      <c r="E23" s="17">
        <v>18890263.117766701</v>
      </c>
      <c r="F23" s="12">
        <v>277797987.02598083</v>
      </c>
      <c r="G23" s="16">
        <f t="shared" si="1"/>
        <v>-0.93199999999999994</v>
      </c>
      <c r="H23" s="17">
        <v>20137429.412609965</v>
      </c>
      <c r="I23" s="12">
        <v>296138667.83249938</v>
      </c>
      <c r="J23" s="16">
        <f t="shared" si="2"/>
        <v>-0.93199999999999994</v>
      </c>
      <c r="K23" s="17">
        <v>17996398.707780149</v>
      </c>
      <c r="L23" s="12">
        <v>264652922.17323744</v>
      </c>
      <c r="M23" s="16">
        <f t="shared" si="3"/>
        <v>-0.93199999999999994</v>
      </c>
      <c r="N23" s="17">
        <v>15842750.616372634</v>
      </c>
      <c r="O23" s="12">
        <v>232981626.71136224</v>
      </c>
      <c r="P23" s="16">
        <f t="shared" si="4"/>
        <v>-0.93199999999999994</v>
      </c>
      <c r="Q23" s="17">
        <v>25077257.367798403</v>
      </c>
      <c r="R23" s="12">
        <v>368783196.58527058</v>
      </c>
      <c r="S23" s="16">
        <f t="shared" si="5"/>
        <v>-0.93199999999999994</v>
      </c>
      <c r="T23" s="17">
        <v>13450868.482832938</v>
      </c>
      <c r="U23" s="12">
        <v>197806889.45342556</v>
      </c>
      <c r="V23" s="16">
        <f t="shared" si="6"/>
        <v>-0.93199999999999994</v>
      </c>
      <c r="W23" s="17">
        <v>12639123.776696261</v>
      </c>
      <c r="X23" s="12">
        <v>185869467.30435675</v>
      </c>
      <c r="Y23" s="16">
        <f t="shared" si="7"/>
        <v>-0.93199999999999994</v>
      </c>
      <c r="Z23" s="17">
        <v>22854998.904268991</v>
      </c>
      <c r="AA23" s="12">
        <v>336102925.06277925</v>
      </c>
      <c r="AB23" s="16">
        <f t="shared" si="8"/>
        <v>-0.93199999999999994</v>
      </c>
      <c r="AC23" s="17">
        <v>8958908.0465439167</v>
      </c>
      <c r="AD23" s="12">
        <v>131748647.7432929</v>
      </c>
      <c r="AE23" s="16">
        <f t="shared" si="9"/>
        <v>-0.93200000000000005</v>
      </c>
      <c r="AF23" s="17">
        <v>15254419.879646949</v>
      </c>
      <c r="AG23" s="12">
        <v>224329704.11245513</v>
      </c>
      <c r="AH23" s="16">
        <f t="shared" si="10"/>
        <v>-0.93199999999999994</v>
      </c>
      <c r="AI23" s="17">
        <v>16869719.851997577</v>
      </c>
      <c r="AJ23" s="12">
        <v>248084115.47055256</v>
      </c>
      <c r="AK23" s="16">
        <f t="shared" si="11"/>
        <v>-0.93199999999999994</v>
      </c>
    </row>
    <row r="24" spans="1:37">
      <c r="A24" s="7">
        <f t="shared" si="12"/>
        <v>21</v>
      </c>
      <c r="B24" s="17">
        <v>12615568.432236403</v>
      </c>
      <c r="C24" s="12">
        <v>185523065.17994708</v>
      </c>
      <c r="D24" s="16">
        <f t="shared" si="0"/>
        <v>-0.93199999999999994</v>
      </c>
      <c r="E24" s="17">
        <v>19884723.080065966</v>
      </c>
      <c r="F24" s="12">
        <v>292422398.23626417</v>
      </c>
      <c r="G24" s="16">
        <f t="shared" si="1"/>
        <v>-0.93199999999999994</v>
      </c>
      <c r="H24" s="17">
        <v>20269724.665838562</v>
      </c>
      <c r="I24" s="12">
        <v>298084186.26233172</v>
      </c>
      <c r="J24" s="16">
        <f t="shared" si="2"/>
        <v>-0.93199999999999994</v>
      </c>
      <c r="K24" s="17">
        <v>12220271.639210202</v>
      </c>
      <c r="L24" s="12">
        <v>179709877.04720885</v>
      </c>
      <c r="M24" s="16">
        <f t="shared" si="3"/>
        <v>-0.93199999999999994</v>
      </c>
      <c r="N24" s="17">
        <v>19667432.319703281</v>
      </c>
      <c r="O24" s="12">
        <v>289226945.87798941</v>
      </c>
      <c r="P24" s="16">
        <f t="shared" si="4"/>
        <v>-0.93199999999999994</v>
      </c>
      <c r="Q24" s="17">
        <v>21955282.142623648</v>
      </c>
      <c r="R24" s="12">
        <v>322871796.21505362</v>
      </c>
      <c r="S24" s="16">
        <f t="shared" si="5"/>
        <v>-0.93199999999999994</v>
      </c>
      <c r="T24" s="17">
        <v>11006072.639400329</v>
      </c>
      <c r="U24" s="12">
        <v>161854009.40294603</v>
      </c>
      <c r="V24" s="16">
        <f t="shared" si="6"/>
        <v>-0.93199999999999994</v>
      </c>
      <c r="W24" s="17">
        <v>16109861.726468131</v>
      </c>
      <c r="X24" s="12">
        <v>236909731.27159017</v>
      </c>
      <c r="Y24" s="16">
        <f t="shared" si="7"/>
        <v>-0.93200000000000005</v>
      </c>
      <c r="Z24" s="17">
        <v>14437801.776011975</v>
      </c>
      <c r="AA24" s="12">
        <v>212320614.35311729</v>
      </c>
      <c r="AB24" s="16">
        <f t="shared" si="8"/>
        <v>-0.93199999999999994</v>
      </c>
      <c r="AC24" s="17">
        <v>10490566.121671973</v>
      </c>
      <c r="AD24" s="12">
        <v>154273031.20105842</v>
      </c>
      <c r="AE24" s="16">
        <f t="shared" si="9"/>
        <v>-0.93199999999999994</v>
      </c>
      <c r="AF24" s="17">
        <v>19375143.838403549</v>
      </c>
      <c r="AG24" s="12">
        <v>284928585.85887575</v>
      </c>
      <c r="AH24" s="16">
        <f t="shared" si="10"/>
        <v>-0.93200000000000005</v>
      </c>
      <c r="AI24" s="17">
        <v>11206717.154156823</v>
      </c>
      <c r="AJ24" s="12">
        <v>164804664.03171796</v>
      </c>
      <c r="AK24" s="16">
        <f t="shared" si="11"/>
        <v>-0.93199999999999994</v>
      </c>
    </row>
    <row r="25" spans="1:37">
      <c r="A25" s="7">
        <f t="shared" si="12"/>
        <v>22</v>
      </c>
      <c r="B25" s="17">
        <v>14819319.103650672</v>
      </c>
      <c r="C25" s="12">
        <v>217931163.28898045</v>
      </c>
      <c r="D25" s="16">
        <f t="shared" si="0"/>
        <v>-0.93199999999999994</v>
      </c>
      <c r="E25" s="17">
        <v>25401498.102739699</v>
      </c>
      <c r="F25" s="12">
        <v>373551442.68734848</v>
      </c>
      <c r="G25" s="16">
        <f t="shared" si="1"/>
        <v>-0.93199999999999994</v>
      </c>
      <c r="H25" s="17">
        <v>21771769.447452206</v>
      </c>
      <c r="I25" s="12">
        <v>320173080.10959125</v>
      </c>
      <c r="J25" s="16">
        <f t="shared" si="2"/>
        <v>-0.93199999999999994</v>
      </c>
      <c r="K25" s="17">
        <v>14255668.788146231</v>
      </c>
      <c r="L25" s="12">
        <v>209642188.06097397</v>
      </c>
      <c r="M25" s="16">
        <f t="shared" si="3"/>
        <v>-0.93199999999999994</v>
      </c>
      <c r="N25" s="17">
        <v>18608307.840236623</v>
      </c>
      <c r="O25" s="12">
        <v>273651585.88583267</v>
      </c>
      <c r="P25" s="16">
        <f t="shared" si="4"/>
        <v>-0.93199999999999994</v>
      </c>
      <c r="Q25" s="17">
        <v>14996797.590108931</v>
      </c>
      <c r="R25" s="12">
        <v>220541141.03101367</v>
      </c>
      <c r="S25" s="16">
        <f t="shared" si="5"/>
        <v>-0.93199999999999994</v>
      </c>
      <c r="T25" s="17">
        <v>11974686.527370207</v>
      </c>
      <c r="U25" s="12">
        <v>176098331.28485599</v>
      </c>
      <c r="V25" s="16">
        <f t="shared" si="6"/>
        <v>-0.93200000000000005</v>
      </c>
      <c r="W25" s="17">
        <v>21647736.343925562</v>
      </c>
      <c r="X25" s="12">
        <v>318349063.88125825</v>
      </c>
      <c r="Y25" s="16">
        <f t="shared" si="7"/>
        <v>-0.93199999999999994</v>
      </c>
      <c r="Z25" s="17">
        <v>10104857.653470501</v>
      </c>
      <c r="AA25" s="12">
        <v>148600847.8451544</v>
      </c>
      <c r="AB25" s="16">
        <f t="shared" si="8"/>
        <v>-0.93199999999999994</v>
      </c>
      <c r="AC25" s="17">
        <v>14421811.75337119</v>
      </c>
      <c r="AD25" s="12">
        <v>212085466.96134102</v>
      </c>
      <c r="AE25" s="16">
        <f t="shared" si="9"/>
        <v>-0.93199999999999994</v>
      </c>
      <c r="AF25" s="17">
        <v>17850419.717109691</v>
      </c>
      <c r="AG25" s="12">
        <v>262506172.31043664</v>
      </c>
      <c r="AH25" s="16">
        <f t="shared" si="10"/>
        <v>-0.93199999999999994</v>
      </c>
      <c r="AI25" s="17">
        <v>10661760.350250054</v>
      </c>
      <c r="AJ25" s="12">
        <v>156790593.3860302</v>
      </c>
      <c r="AK25" s="16">
        <f t="shared" si="11"/>
        <v>-0.93199999999999994</v>
      </c>
    </row>
    <row r="26" spans="1:37">
      <c r="A26" s="7">
        <f t="shared" si="12"/>
        <v>23</v>
      </c>
      <c r="B26" s="17">
        <v>17914677.435093805</v>
      </c>
      <c r="C26" s="12">
        <v>263451138.75137946</v>
      </c>
      <c r="D26" s="16">
        <f t="shared" si="0"/>
        <v>-0.93199999999999994</v>
      </c>
      <c r="E26" s="17">
        <v>15469438.996475484</v>
      </c>
      <c r="F26" s="12">
        <v>227491749.94816887</v>
      </c>
      <c r="G26" s="16">
        <f t="shared" si="1"/>
        <v>-0.93199999999999994</v>
      </c>
      <c r="H26" s="17">
        <v>12359221.488673376</v>
      </c>
      <c r="I26" s="12">
        <v>181753257.18637317</v>
      </c>
      <c r="J26" s="16">
        <f t="shared" si="2"/>
        <v>-0.93199999999999994</v>
      </c>
      <c r="K26" s="17">
        <v>16906490.409075748</v>
      </c>
      <c r="L26" s="12">
        <v>248624858.95699626</v>
      </c>
      <c r="M26" s="16">
        <f t="shared" si="3"/>
        <v>-0.93199999999999994</v>
      </c>
      <c r="N26" s="17">
        <v>21000390.000889018</v>
      </c>
      <c r="O26" s="12">
        <v>308829264.71895611</v>
      </c>
      <c r="P26" s="16">
        <f t="shared" si="4"/>
        <v>-0.93199999999999994</v>
      </c>
      <c r="Q26" s="17">
        <v>12096226.75535316</v>
      </c>
      <c r="R26" s="12">
        <v>177885687.57872295</v>
      </c>
      <c r="S26" s="16">
        <f t="shared" si="5"/>
        <v>-0.93200000000000005</v>
      </c>
      <c r="T26" s="17">
        <v>15287446.71997752</v>
      </c>
      <c r="U26" s="12">
        <v>224815392.94084585</v>
      </c>
      <c r="V26" s="16">
        <f t="shared" si="6"/>
        <v>-0.93199999999999994</v>
      </c>
      <c r="W26" s="17">
        <v>19643816.91842562</v>
      </c>
      <c r="X26" s="12">
        <v>288879660.56508261</v>
      </c>
      <c r="Y26" s="16">
        <f t="shared" si="7"/>
        <v>-0.93199999999999994</v>
      </c>
      <c r="Z26" s="17">
        <v>13068531.182450902</v>
      </c>
      <c r="AA26" s="12">
        <v>192184282.09486619</v>
      </c>
      <c r="AB26" s="16">
        <f t="shared" si="8"/>
        <v>-0.93199999999999994</v>
      </c>
      <c r="AC26" s="17">
        <v>13902596.590831321</v>
      </c>
      <c r="AD26" s="12">
        <v>204449949.86516646</v>
      </c>
      <c r="AE26" s="16">
        <f t="shared" si="9"/>
        <v>-0.93199999999999994</v>
      </c>
      <c r="AF26" s="17">
        <v>12549526.216471182</v>
      </c>
      <c r="AG26" s="12">
        <v>184551856.12457618</v>
      </c>
      <c r="AH26" s="16">
        <f t="shared" si="10"/>
        <v>-0.93199999999999994</v>
      </c>
      <c r="AI26" s="17">
        <v>12478136.431486145</v>
      </c>
      <c r="AJ26" s="12">
        <v>183502006.34538448</v>
      </c>
      <c r="AK26" s="16">
        <f t="shared" si="11"/>
        <v>-0.93199999999999994</v>
      </c>
    </row>
    <row r="27" spans="1:37">
      <c r="A27" s="7">
        <f t="shared" si="12"/>
        <v>24</v>
      </c>
      <c r="B27" s="17">
        <v>21512177.37744651</v>
      </c>
      <c r="C27" s="12">
        <v>316355549.66833103</v>
      </c>
      <c r="D27" s="16">
        <f t="shared" si="0"/>
        <v>-0.93199999999999994</v>
      </c>
      <c r="E27" s="17">
        <v>10990808.249030635</v>
      </c>
      <c r="F27" s="12">
        <v>161629533.07397991</v>
      </c>
      <c r="G27" s="16">
        <f t="shared" si="1"/>
        <v>-0.93199999999999994</v>
      </c>
      <c r="H27" s="17">
        <v>11043460.910099026</v>
      </c>
      <c r="I27" s="12">
        <v>162403836.91322097</v>
      </c>
      <c r="J27" s="16">
        <f t="shared" si="2"/>
        <v>-0.93199999999999994</v>
      </c>
      <c r="K27" s="17">
        <v>13874101.637898529</v>
      </c>
      <c r="L27" s="12">
        <v>204030906.43968424</v>
      </c>
      <c r="M27" s="16">
        <f t="shared" si="3"/>
        <v>-0.93199999999999994</v>
      </c>
      <c r="N27" s="17">
        <v>17859488.846310958</v>
      </c>
      <c r="O27" s="12">
        <v>262639541.85751405</v>
      </c>
      <c r="P27" s="16">
        <f t="shared" si="4"/>
        <v>-0.93199999999999994</v>
      </c>
      <c r="Q27" s="17">
        <v>12165653.444632793</v>
      </c>
      <c r="R27" s="12">
        <v>178906668.3034234</v>
      </c>
      <c r="S27" s="16">
        <f t="shared" si="5"/>
        <v>-0.93199999999999994</v>
      </c>
      <c r="T27" s="17">
        <v>15627172.300597787</v>
      </c>
      <c r="U27" s="12">
        <v>229811357.36173218</v>
      </c>
      <c r="V27" s="16">
        <f t="shared" si="6"/>
        <v>-0.93200000000000005</v>
      </c>
      <c r="W27" s="17">
        <v>13748354.51669972</v>
      </c>
      <c r="X27" s="12">
        <v>202181684.06911349</v>
      </c>
      <c r="Y27" s="16">
        <f t="shared" si="7"/>
        <v>-0.93199999999999994</v>
      </c>
      <c r="Z27" s="17">
        <v>9762208.1862936858</v>
      </c>
      <c r="AA27" s="12">
        <v>143561885.09255421</v>
      </c>
      <c r="AB27" s="16">
        <f t="shared" si="8"/>
        <v>-0.93200000000000005</v>
      </c>
      <c r="AC27" s="17">
        <v>18866275.139430262</v>
      </c>
      <c r="AD27" s="12">
        <v>277445222.63868034</v>
      </c>
      <c r="AE27" s="16">
        <f t="shared" si="9"/>
        <v>-0.93200000000000005</v>
      </c>
      <c r="AF27" s="17">
        <v>9385198.7187580001</v>
      </c>
      <c r="AG27" s="12">
        <v>138017628.21702939</v>
      </c>
      <c r="AH27" s="16">
        <f t="shared" si="10"/>
        <v>-0.93199999999999994</v>
      </c>
      <c r="AI27" s="17">
        <v>1268386.2965612467</v>
      </c>
      <c r="AJ27" s="12">
        <v>18652739.655312449</v>
      </c>
      <c r="AK27" s="16">
        <f t="shared" si="11"/>
        <v>-0.93199999999999994</v>
      </c>
    </row>
    <row r="28" spans="1:37">
      <c r="A28" s="7">
        <f t="shared" si="12"/>
        <v>25</v>
      </c>
      <c r="B28" s="17">
        <v>22214133.398884982</v>
      </c>
      <c r="C28" s="12">
        <v>326678432.33654386</v>
      </c>
      <c r="D28" s="16">
        <f t="shared" si="0"/>
        <v>-0.93199999999999994</v>
      </c>
      <c r="E28" s="17">
        <v>14622017.08381268</v>
      </c>
      <c r="F28" s="12">
        <v>215029662.99724525</v>
      </c>
      <c r="G28" s="16">
        <f t="shared" si="1"/>
        <v>-0.93199999999999994</v>
      </c>
      <c r="H28" s="17">
        <v>9796355.4992460366</v>
      </c>
      <c r="I28" s="12">
        <v>144064051.45950055</v>
      </c>
      <c r="J28" s="16">
        <f t="shared" si="2"/>
        <v>-0.93200000000000005</v>
      </c>
      <c r="K28" s="17">
        <v>20850405.738661312</v>
      </c>
      <c r="L28" s="12">
        <v>306623613.80384278</v>
      </c>
      <c r="M28" s="16">
        <f t="shared" si="3"/>
        <v>-0.93199999999999994</v>
      </c>
      <c r="N28" s="17">
        <v>9510936.3450710047</v>
      </c>
      <c r="O28" s="12">
        <v>139866710.95692652</v>
      </c>
      <c r="P28" s="16">
        <f t="shared" si="4"/>
        <v>-0.93199999999999994</v>
      </c>
      <c r="Q28" s="17">
        <v>19814491.411737077</v>
      </c>
      <c r="R28" s="12">
        <v>291389579.58436877</v>
      </c>
      <c r="S28" s="16">
        <f t="shared" si="5"/>
        <v>-0.93199999999999994</v>
      </c>
      <c r="T28" s="17">
        <v>21477437.704826418</v>
      </c>
      <c r="U28" s="12">
        <v>315844672.12980026</v>
      </c>
      <c r="V28" s="16">
        <f t="shared" si="6"/>
        <v>-0.93199999999999994</v>
      </c>
      <c r="W28" s="17">
        <v>12285071.814345151</v>
      </c>
      <c r="X28" s="12">
        <v>180662820.79919338</v>
      </c>
      <c r="Y28" s="16">
        <f t="shared" si="7"/>
        <v>-0.93199999999999994</v>
      </c>
      <c r="Z28" s="17">
        <v>17204492.708354019</v>
      </c>
      <c r="AA28" s="12">
        <v>253007245.71108851</v>
      </c>
      <c r="AB28" s="16">
        <f t="shared" si="8"/>
        <v>-0.93199999999999994</v>
      </c>
      <c r="AC28" s="17">
        <v>16865652.631443016</v>
      </c>
      <c r="AD28" s="12">
        <v>248024303.40357375</v>
      </c>
      <c r="AE28" s="16">
        <f t="shared" si="9"/>
        <v>-0.93199999999999994</v>
      </c>
      <c r="AF28" s="17">
        <v>10282134.61381324</v>
      </c>
      <c r="AG28" s="12">
        <v>151207861.96784177</v>
      </c>
      <c r="AH28" s="16">
        <f t="shared" si="10"/>
        <v>-0.93200000000000005</v>
      </c>
      <c r="AI28" s="17">
        <v>9713180.4833476078</v>
      </c>
      <c r="AJ28" s="12">
        <v>142840889.46099424</v>
      </c>
      <c r="AK28" s="16">
        <f t="shared" si="11"/>
        <v>-0.93200000000000005</v>
      </c>
    </row>
    <row r="29" spans="1:37">
      <c r="A29" s="7">
        <f t="shared" si="12"/>
        <v>26</v>
      </c>
      <c r="B29" s="17">
        <v>11554451.829768905</v>
      </c>
      <c r="C29" s="12">
        <v>169918409.26130742</v>
      </c>
      <c r="D29" s="16">
        <f t="shared" si="0"/>
        <v>-0.93199999999999994</v>
      </c>
      <c r="E29" s="17">
        <v>19420824.056264978</v>
      </c>
      <c r="F29" s="12">
        <v>285600353.76860261</v>
      </c>
      <c r="G29" s="16">
        <f t="shared" si="1"/>
        <v>-0.93199999999999994</v>
      </c>
      <c r="H29" s="17">
        <v>17492675.151674688</v>
      </c>
      <c r="I29" s="12">
        <v>257245222.81874543</v>
      </c>
      <c r="J29" s="16">
        <f t="shared" si="2"/>
        <v>-0.93200000000000005</v>
      </c>
      <c r="K29" s="17">
        <v>21833447.577267148</v>
      </c>
      <c r="L29" s="12">
        <v>321080111.43039918</v>
      </c>
      <c r="M29" s="16">
        <f t="shared" si="3"/>
        <v>-0.93199999999999994</v>
      </c>
      <c r="N29" s="17">
        <v>14628580.210690727</v>
      </c>
      <c r="O29" s="12">
        <v>215126179.56898129</v>
      </c>
      <c r="P29" s="16">
        <f t="shared" si="4"/>
        <v>-0.93199999999999994</v>
      </c>
      <c r="Q29" s="17">
        <v>16958565.254434418</v>
      </c>
      <c r="R29" s="12">
        <v>249390665.50638849</v>
      </c>
      <c r="S29" s="16">
        <f t="shared" si="5"/>
        <v>-0.93199999999999994</v>
      </c>
      <c r="T29" s="17">
        <v>23433285.624920178</v>
      </c>
      <c r="U29" s="12">
        <v>344607141.54294378</v>
      </c>
      <c r="V29" s="16">
        <f t="shared" si="6"/>
        <v>-0.93199999999999994</v>
      </c>
      <c r="W29" s="17">
        <v>12328845.354141442</v>
      </c>
      <c r="X29" s="12">
        <v>181306549.32560945</v>
      </c>
      <c r="Y29" s="16">
        <f t="shared" si="7"/>
        <v>-0.93199999999999994</v>
      </c>
      <c r="Z29" s="17">
        <v>18482688.634819865</v>
      </c>
      <c r="AA29" s="12">
        <v>271804244.62970382</v>
      </c>
      <c r="AB29" s="16">
        <f t="shared" si="8"/>
        <v>-0.93199999999999994</v>
      </c>
      <c r="AC29" s="17">
        <v>11686776.774063485</v>
      </c>
      <c r="AD29" s="12">
        <v>171864364.32446301</v>
      </c>
      <c r="AE29" s="16">
        <f t="shared" si="9"/>
        <v>-0.93199999999999994</v>
      </c>
      <c r="AF29" s="17">
        <v>12665903.319958063</v>
      </c>
      <c r="AG29" s="12">
        <v>186263284.11703032</v>
      </c>
      <c r="AH29" s="16">
        <f t="shared" si="10"/>
        <v>-0.93199999999999994</v>
      </c>
      <c r="AI29" s="17">
        <v>16537573.91467895</v>
      </c>
      <c r="AJ29" s="12">
        <v>243199616.3923375</v>
      </c>
      <c r="AK29" s="16">
        <f t="shared" si="11"/>
        <v>-0.93199999999999994</v>
      </c>
    </row>
    <row r="30" spans="1:37">
      <c r="A30" s="7">
        <f t="shared" si="12"/>
        <v>27</v>
      </c>
      <c r="B30" s="17">
        <v>11001603.27516697</v>
      </c>
      <c r="C30" s="12">
        <v>161788283.45833778</v>
      </c>
      <c r="D30" s="16">
        <f t="shared" si="0"/>
        <v>-0.93199999999999994</v>
      </c>
      <c r="E30" s="17">
        <v>18890263.117766701</v>
      </c>
      <c r="F30" s="12">
        <v>277797987.02598083</v>
      </c>
      <c r="G30" s="16">
        <f t="shared" si="1"/>
        <v>-0.93199999999999994</v>
      </c>
      <c r="H30" s="17">
        <v>20137429.412609965</v>
      </c>
      <c r="I30" s="12">
        <v>296138667.83249938</v>
      </c>
      <c r="J30" s="16">
        <f t="shared" si="2"/>
        <v>-0.93199999999999994</v>
      </c>
      <c r="K30" s="17">
        <v>13258771.196367942</v>
      </c>
      <c r="L30" s="12">
        <v>194981929.35835207</v>
      </c>
      <c r="M30" s="16">
        <f t="shared" si="3"/>
        <v>-0.93199999999999994</v>
      </c>
      <c r="N30" s="17">
        <v>12404495.438223165</v>
      </c>
      <c r="O30" s="12">
        <v>182419050.56210536</v>
      </c>
      <c r="P30" s="16">
        <f t="shared" si="4"/>
        <v>-0.93199999999999994</v>
      </c>
      <c r="Q30" s="17">
        <v>23527237.755368516</v>
      </c>
      <c r="R30" s="12">
        <v>345988790.52012527</v>
      </c>
      <c r="S30" s="16">
        <f t="shared" si="5"/>
        <v>-0.93200000000000005</v>
      </c>
      <c r="T30" s="17">
        <v>13450868.482832938</v>
      </c>
      <c r="U30" s="12">
        <v>197806889.45342556</v>
      </c>
      <c r="V30" s="16">
        <f t="shared" si="6"/>
        <v>-0.93199999999999994</v>
      </c>
      <c r="W30" s="17">
        <v>12639123.776696261</v>
      </c>
      <c r="X30" s="12">
        <v>185869467.30435675</v>
      </c>
      <c r="Y30" s="16">
        <f t="shared" si="7"/>
        <v>-0.93199999999999994</v>
      </c>
      <c r="Z30" s="17">
        <v>22854998.904268991</v>
      </c>
      <c r="AA30" s="12">
        <v>336102925.06277925</v>
      </c>
      <c r="AB30" s="16">
        <f t="shared" si="8"/>
        <v>-0.93199999999999994</v>
      </c>
      <c r="AC30" s="17">
        <v>8958908.0465439167</v>
      </c>
      <c r="AD30" s="12">
        <v>131748647.7432929</v>
      </c>
      <c r="AE30" s="16">
        <f t="shared" si="9"/>
        <v>-0.93200000000000005</v>
      </c>
      <c r="AF30" s="17">
        <v>15254419.879646949</v>
      </c>
      <c r="AG30" s="12">
        <v>224329704.11245513</v>
      </c>
      <c r="AH30" s="16">
        <f t="shared" si="10"/>
        <v>-0.93199999999999994</v>
      </c>
      <c r="AI30" s="17">
        <v>16869719.851997577</v>
      </c>
      <c r="AJ30" s="12">
        <v>248084115.47055256</v>
      </c>
      <c r="AK30" s="16">
        <f t="shared" si="11"/>
        <v>-0.93199999999999994</v>
      </c>
    </row>
    <row r="31" spans="1:37">
      <c r="A31" s="7">
        <f t="shared" si="12"/>
        <v>28</v>
      </c>
      <c r="B31" s="17">
        <v>12615568.432236403</v>
      </c>
      <c r="C31" s="12">
        <v>185523065.17994708</v>
      </c>
      <c r="D31" s="16">
        <f t="shared" si="0"/>
        <v>-0.93199999999999994</v>
      </c>
      <c r="E31" s="17">
        <v>19884723.080065966</v>
      </c>
      <c r="F31" s="12">
        <v>292422398.23626417</v>
      </c>
      <c r="G31" s="16">
        <f t="shared" si="1"/>
        <v>-0.93199999999999994</v>
      </c>
      <c r="H31" s="17">
        <v>20269724.665838562</v>
      </c>
      <c r="I31" s="12">
        <v>298084186.26233172</v>
      </c>
      <c r="J31" s="16">
        <f t="shared" si="2"/>
        <v>-0.93199999999999994</v>
      </c>
      <c r="K31" s="17">
        <v>12220271.639210202</v>
      </c>
      <c r="L31" s="12">
        <v>179709877.04720885</v>
      </c>
      <c r="M31" s="16">
        <f t="shared" si="3"/>
        <v>-0.93199999999999994</v>
      </c>
      <c r="N31" s="17">
        <v>14913537.275037523</v>
      </c>
      <c r="O31" s="12">
        <v>219316724.63290471</v>
      </c>
      <c r="P31" s="16">
        <f t="shared" si="4"/>
        <v>-0.93199999999999994</v>
      </c>
      <c r="Q31" s="17">
        <v>22954160.120942026</v>
      </c>
      <c r="R31" s="12">
        <v>337561178.24914742</v>
      </c>
      <c r="S31" s="16">
        <f t="shared" si="5"/>
        <v>-0.93199999999999994</v>
      </c>
      <c r="T31" s="17">
        <v>11006072.639400329</v>
      </c>
      <c r="U31" s="12">
        <v>161854009.40294603</v>
      </c>
      <c r="V31" s="16">
        <f t="shared" si="6"/>
        <v>-0.93199999999999994</v>
      </c>
      <c r="W31" s="17">
        <v>16109861.726468131</v>
      </c>
      <c r="X31" s="12">
        <v>236909731.27159017</v>
      </c>
      <c r="Y31" s="16">
        <f t="shared" si="7"/>
        <v>-0.93200000000000005</v>
      </c>
      <c r="Z31" s="17">
        <v>14437801.776011975</v>
      </c>
      <c r="AA31" s="12">
        <v>212320614.35311729</v>
      </c>
      <c r="AB31" s="16">
        <f t="shared" si="8"/>
        <v>-0.93199999999999994</v>
      </c>
      <c r="AC31" s="17">
        <v>10490566.121671973</v>
      </c>
      <c r="AD31" s="12">
        <v>154273031.20105842</v>
      </c>
      <c r="AE31" s="16">
        <f t="shared" si="9"/>
        <v>-0.93199999999999994</v>
      </c>
      <c r="AF31" s="17">
        <v>19375143.838403549</v>
      </c>
      <c r="AG31" s="12">
        <v>284928585.85887575</v>
      </c>
      <c r="AH31" s="16">
        <f t="shared" si="10"/>
        <v>-0.93200000000000005</v>
      </c>
      <c r="AI31" s="17">
        <v>11206717.154156823</v>
      </c>
      <c r="AJ31" s="12">
        <v>164804664.03171796</v>
      </c>
      <c r="AK31" s="16">
        <f t="shared" si="11"/>
        <v>-0.93199999999999994</v>
      </c>
    </row>
    <row r="32" spans="1:37">
      <c r="A32" s="7">
        <f t="shared" si="12"/>
        <v>29</v>
      </c>
      <c r="B32" s="17">
        <v>14819319.103650672</v>
      </c>
      <c r="C32" s="12">
        <v>217931163.28898045</v>
      </c>
      <c r="D32" s="16">
        <f t="shared" si="0"/>
        <v>-0.93199999999999994</v>
      </c>
      <c r="E32" s="17"/>
      <c r="F32" s="12"/>
      <c r="G32" s="16" t="s">
        <v>20</v>
      </c>
      <c r="H32" s="17">
        <v>21771769.447452206</v>
      </c>
      <c r="I32" s="12">
        <v>320173080.10959125</v>
      </c>
      <c r="J32" s="16">
        <f t="shared" si="2"/>
        <v>-0.93199999999999994</v>
      </c>
      <c r="K32" s="17">
        <v>14255668.788146231</v>
      </c>
      <c r="L32" s="12">
        <v>209642188.06097397</v>
      </c>
      <c r="M32" s="16">
        <f t="shared" si="3"/>
        <v>-0.93199999999999994</v>
      </c>
      <c r="N32" s="17">
        <v>18608307.840236623</v>
      </c>
      <c r="O32" s="12">
        <v>273651585.88583267</v>
      </c>
      <c r="P32" s="16">
        <f t="shared" si="4"/>
        <v>-0.93199999999999994</v>
      </c>
      <c r="Q32" s="17">
        <v>14882406.950573022</v>
      </c>
      <c r="R32" s="12">
        <v>218858925.74372089</v>
      </c>
      <c r="S32" s="16">
        <f t="shared" si="5"/>
        <v>-0.93199999999999994</v>
      </c>
      <c r="T32" s="17">
        <v>11974686.527370207</v>
      </c>
      <c r="U32" s="12">
        <v>176098331.28485599</v>
      </c>
      <c r="V32" s="16">
        <f t="shared" si="6"/>
        <v>-0.93200000000000005</v>
      </c>
      <c r="W32" s="17">
        <v>21647736.343925562</v>
      </c>
      <c r="X32" s="12">
        <v>318349063.88125825</v>
      </c>
      <c r="Y32" s="16">
        <f t="shared" si="7"/>
        <v>-0.93199999999999994</v>
      </c>
      <c r="Z32" s="17">
        <v>10104857.653470501</v>
      </c>
      <c r="AA32" s="12">
        <v>148600847.8451544</v>
      </c>
      <c r="AB32" s="16">
        <f t="shared" si="8"/>
        <v>-0.93199999999999994</v>
      </c>
      <c r="AC32" s="17">
        <v>14421811.75337119</v>
      </c>
      <c r="AD32" s="12">
        <v>212085466.96134102</v>
      </c>
      <c r="AE32" s="16">
        <f t="shared" si="9"/>
        <v>-0.93199999999999994</v>
      </c>
      <c r="AF32" s="17">
        <v>17850419.717109691</v>
      </c>
      <c r="AG32" s="12">
        <v>262506172.31043664</v>
      </c>
      <c r="AH32" s="16">
        <f t="shared" si="10"/>
        <v>-0.93199999999999994</v>
      </c>
      <c r="AI32" s="17">
        <v>10661760.350250054</v>
      </c>
      <c r="AJ32" s="12">
        <v>156790593.3860302</v>
      </c>
      <c r="AK32" s="16">
        <f t="shared" si="11"/>
        <v>-0.93199999999999994</v>
      </c>
    </row>
    <row r="33" spans="1:37">
      <c r="A33" s="7">
        <f t="shared" si="12"/>
        <v>30</v>
      </c>
      <c r="B33" s="17">
        <v>17914677.435093805</v>
      </c>
      <c r="C33" s="12">
        <v>263451138.75137946</v>
      </c>
      <c r="D33" s="16">
        <f t="shared" si="0"/>
        <v>-0.93199999999999994</v>
      </c>
      <c r="E33" s="20"/>
      <c r="F33" s="12"/>
      <c r="G33" s="16" t="s">
        <v>20</v>
      </c>
      <c r="H33" s="17">
        <v>12359221.488673376</v>
      </c>
      <c r="I33" s="12">
        <v>181753257.18637317</v>
      </c>
      <c r="J33" s="16">
        <f t="shared" si="2"/>
        <v>-0.93199999999999994</v>
      </c>
      <c r="K33" s="17">
        <v>19496367.193597704</v>
      </c>
      <c r="L33" s="12">
        <v>286711282.25878972</v>
      </c>
      <c r="M33" s="16">
        <f t="shared" si="3"/>
        <v>-0.93199999999999994</v>
      </c>
      <c r="N33" s="17">
        <v>21000390.000889018</v>
      </c>
      <c r="O33" s="12">
        <v>308829264.71895611</v>
      </c>
      <c r="P33" s="16">
        <f t="shared" si="4"/>
        <v>-0.93199999999999994</v>
      </c>
      <c r="Q33" s="17">
        <v>12096226.75535316</v>
      </c>
      <c r="R33" s="12">
        <v>177885687.57872295</v>
      </c>
      <c r="S33" s="16">
        <f t="shared" si="5"/>
        <v>-0.93200000000000005</v>
      </c>
      <c r="T33" s="17">
        <v>15287446.71997752</v>
      </c>
      <c r="U33" s="12">
        <v>224815392.94084585</v>
      </c>
      <c r="V33" s="16">
        <f t="shared" si="6"/>
        <v>-0.93199999999999994</v>
      </c>
      <c r="W33" s="17">
        <v>19643816.91842562</v>
      </c>
      <c r="X33" s="12">
        <v>288879660.56508261</v>
      </c>
      <c r="Y33" s="16">
        <f t="shared" si="7"/>
        <v>-0.93199999999999994</v>
      </c>
      <c r="Z33" s="17">
        <v>13068531.182450902</v>
      </c>
      <c r="AA33" s="12">
        <v>192184282.09486619</v>
      </c>
      <c r="AB33" s="16">
        <f t="shared" si="8"/>
        <v>-0.93199999999999994</v>
      </c>
      <c r="AC33" s="17">
        <v>17688402.035985719</v>
      </c>
      <c r="AD33" s="12">
        <v>260123559.35273117</v>
      </c>
      <c r="AE33" s="16">
        <f t="shared" si="9"/>
        <v>-0.93199999999999994</v>
      </c>
      <c r="AF33" s="17">
        <v>12549526.216471182</v>
      </c>
      <c r="AG33" s="12">
        <v>184551856.12457618</v>
      </c>
      <c r="AH33" s="16">
        <f t="shared" si="10"/>
        <v>-0.93199999999999994</v>
      </c>
      <c r="AI33" s="17">
        <v>12478136.431486145</v>
      </c>
      <c r="AJ33" s="12">
        <v>183502006.34538448</v>
      </c>
      <c r="AK33" s="16">
        <f t="shared" si="11"/>
        <v>-0.93199999999999994</v>
      </c>
    </row>
    <row r="34" spans="1:37" ht="15">
      <c r="A34" s="7">
        <f t="shared" si="12"/>
        <v>31</v>
      </c>
      <c r="B34" s="17">
        <v>21512177.37744651</v>
      </c>
      <c r="C34" s="12">
        <v>316355549.66833103</v>
      </c>
      <c r="D34" s="16">
        <f t="shared" si="0"/>
        <v>-0.93199999999999994</v>
      </c>
      <c r="E34" s="20"/>
      <c r="F34" s="12"/>
      <c r="G34" s="16" t="s">
        <v>20</v>
      </c>
      <c r="H34" s="17">
        <v>11043460.910099026</v>
      </c>
      <c r="I34" s="12">
        <v>162403836.91322097</v>
      </c>
      <c r="J34" s="16">
        <f t="shared" si="2"/>
        <v>-0.93199999999999994</v>
      </c>
      <c r="K34" s="20"/>
      <c r="L34" s="12"/>
      <c r="M34" s="16" t="s">
        <v>20</v>
      </c>
      <c r="N34" s="17">
        <v>17859488.846310958</v>
      </c>
      <c r="O34" s="12">
        <v>262639541.85751405</v>
      </c>
      <c r="P34" s="16">
        <f t="shared" si="4"/>
        <v>-0.93199999999999994</v>
      </c>
      <c r="Q34" s="4"/>
      <c r="S34" s="16" t="s">
        <v>20</v>
      </c>
      <c r="T34" s="17">
        <v>15627172.300597787</v>
      </c>
      <c r="U34" s="12">
        <v>229811357.36173218</v>
      </c>
      <c r="V34" s="16">
        <f t="shared" si="6"/>
        <v>-0.93200000000000005</v>
      </c>
      <c r="W34" s="17">
        <v>13748354.51669972</v>
      </c>
      <c r="X34" s="12">
        <v>202181684.06911349</v>
      </c>
      <c r="Y34" s="16">
        <f t="shared" si="7"/>
        <v>-0.93199999999999994</v>
      </c>
      <c r="Z34" s="4"/>
      <c r="AB34" s="16" t="s">
        <v>20</v>
      </c>
      <c r="AC34" s="17">
        <v>22548094.24644056</v>
      </c>
      <c r="AD34" s="12">
        <v>331589621.27118468</v>
      </c>
      <c r="AE34" s="16">
        <f t="shared" si="9"/>
        <v>-0.93199999999999994</v>
      </c>
      <c r="AF34" s="4"/>
      <c r="AH34" s="16" t="s">
        <v>20</v>
      </c>
      <c r="AI34" s="17">
        <v>18509965.990026288</v>
      </c>
      <c r="AJ34" s="12">
        <v>272205382.20626891</v>
      </c>
      <c r="AK34" s="16">
        <f t="shared" si="11"/>
        <v>-0.93199999999999994</v>
      </c>
    </row>
    <row r="35" spans="1:37" ht="15">
      <c r="A35" s="18" t="s">
        <v>16</v>
      </c>
      <c r="B35" s="19">
        <f t="shared" ref="B35:I35" si="13">SUM(B4:B34)</f>
        <v>496724102.09820014</v>
      </c>
      <c r="C35" s="19">
        <f t="shared" si="13"/>
        <v>7304766207.3264694</v>
      </c>
      <c r="D35" s="19"/>
      <c r="E35" s="19">
        <f t="shared" si="13"/>
        <v>496249022.24479997</v>
      </c>
      <c r="F35" s="19">
        <f t="shared" si="13"/>
        <v>7297779738.8941174</v>
      </c>
      <c r="G35" s="19"/>
      <c r="H35" s="19">
        <f t="shared" si="13"/>
        <v>496656998.1486001</v>
      </c>
      <c r="I35" s="19">
        <f t="shared" si="13"/>
        <v>7303779384.5382366</v>
      </c>
      <c r="J35" s="19"/>
      <c r="K35" s="19">
        <f t="shared" ref="K35:AI35" si="14">SUM(K4:K34)</f>
        <v>511737076.61259997</v>
      </c>
      <c r="L35" s="19">
        <f>SUM(L4:L34)</f>
        <v>7525545244.3029404</v>
      </c>
      <c r="M35" s="19"/>
      <c r="N35" s="19">
        <f t="shared" si="14"/>
        <v>496357223.46200001</v>
      </c>
      <c r="O35" s="19">
        <f>SUM(O4:O34)</f>
        <v>7299370933.2647038</v>
      </c>
      <c r="P35" s="19"/>
      <c r="Q35" s="19">
        <f t="shared" si="14"/>
        <v>519444631.25959992</v>
      </c>
      <c r="R35" s="19">
        <f>SUM(R4:R34)</f>
        <v>7638891636.1705894</v>
      </c>
      <c r="S35" s="19"/>
      <c r="T35" s="19">
        <f t="shared" si="14"/>
        <v>499185030.71340007</v>
      </c>
      <c r="U35" s="19">
        <f>SUM(U4:U34)</f>
        <v>7340956334.0205889</v>
      </c>
      <c r="V35" s="19"/>
      <c r="W35" s="19">
        <f t="shared" si="14"/>
        <v>498316204.86919987</v>
      </c>
      <c r="X35" s="19">
        <f>SUM(X4:X34)</f>
        <v>7328179483.3705854</v>
      </c>
      <c r="Y35" s="19"/>
      <c r="Z35" s="19">
        <f t="shared" si="14"/>
        <v>455354423.6038</v>
      </c>
      <c r="AA35" s="19">
        <f>SUM(AA4:AA34)</f>
        <v>6696388582.4088221</v>
      </c>
      <c r="AB35" s="19"/>
      <c r="AC35" s="19">
        <f t="shared" si="14"/>
        <v>440904914.32349968</v>
      </c>
      <c r="AD35" s="19">
        <f>SUM(AD4:AD34)</f>
        <v>6483895798.8749952</v>
      </c>
      <c r="AE35" s="19"/>
      <c r="AF35" s="19">
        <f t="shared" si="14"/>
        <v>423561162.15989989</v>
      </c>
      <c r="AG35" s="19">
        <f>SUM(AG4:AG34)</f>
        <v>6228840619.9985294</v>
      </c>
      <c r="AH35" s="19"/>
      <c r="AI35" s="19">
        <f t="shared" si="14"/>
        <v>420019912.5977</v>
      </c>
      <c r="AJ35" s="19">
        <f>SUM(AJ4:AJ34)</f>
        <v>6176763420.5544128</v>
      </c>
    </row>
    <row r="36" spans="1:37" hidden="1">
      <c r="B36" s="15">
        <v>496724102</v>
      </c>
      <c r="C36">
        <f>+B35/C35</f>
        <v>6.8000000000000033E-2</v>
      </c>
      <c r="E36">
        <v>496249022</v>
      </c>
      <c r="F36">
        <f>+E35/F35</f>
        <v>6.8000000000000005E-2</v>
      </c>
      <c r="H36" s="15">
        <v>496656998</v>
      </c>
      <c r="I36">
        <f>+H35/I35</f>
        <v>6.8000000000000005E-2</v>
      </c>
      <c r="K36" s="15">
        <v>511737077</v>
      </c>
      <c r="L36">
        <f>+K35/L35</f>
        <v>6.8000000000000005E-2</v>
      </c>
      <c r="N36" s="15">
        <v>496357223</v>
      </c>
      <c r="O36">
        <f>+N35/O35</f>
        <v>6.8000000000000019E-2</v>
      </c>
      <c r="Q36" s="15">
        <v>519444631</v>
      </c>
      <c r="R36">
        <f>+Q35/R35</f>
        <v>6.7999999999999977E-2</v>
      </c>
      <c r="T36" s="15">
        <v>499185031</v>
      </c>
      <c r="U36">
        <f>+T35/U35</f>
        <v>6.8000000000000005E-2</v>
      </c>
      <c r="W36" s="15">
        <v>498316205</v>
      </c>
      <c r="X36">
        <f>+W35/X35</f>
        <v>6.8000000000000005E-2</v>
      </c>
      <c r="Z36" s="15">
        <v>455354424</v>
      </c>
      <c r="AA36">
        <f>+Z35/AA35</f>
        <v>6.8000000000000019E-2</v>
      </c>
      <c r="AC36" s="15">
        <v>440904914</v>
      </c>
      <c r="AD36">
        <f>+AC35/AD35</f>
        <v>6.8000000000000005E-2</v>
      </c>
      <c r="AF36" s="15">
        <v>423561162</v>
      </c>
      <c r="AG36">
        <f>+AF35/AG35</f>
        <v>6.7999999999999977E-2</v>
      </c>
      <c r="AI36">
        <v>420019913</v>
      </c>
      <c r="AJ36">
        <f>+AI35/AJ35</f>
        <v>6.7999999999999991E-2</v>
      </c>
    </row>
    <row r="37" spans="1:37" hidden="1">
      <c r="A37" t="s">
        <v>23</v>
      </c>
      <c r="B37" s="11">
        <f>+B35-B36</f>
        <v>9.8200142383575439E-2</v>
      </c>
      <c r="C37">
        <f>+C36-1</f>
        <v>-0.93199999999999994</v>
      </c>
      <c r="E37" s="11">
        <f>+E35-E36</f>
        <v>0.24479997158050537</v>
      </c>
      <c r="F37">
        <f>+F36-1</f>
        <v>-0.93199999999999994</v>
      </c>
      <c r="H37" s="11">
        <f>+H35-H36</f>
        <v>0.14860010147094727</v>
      </c>
      <c r="I37">
        <f>+I36-1</f>
        <v>-0.93199999999999994</v>
      </c>
      <c r="K37" s="11">
        <f>+K35-K36</f>
        <v>-0.38740003108978271</v>
      </c>
      <c r="L37">
        <f>+L36-1</f>
        <v>-0.93199999999999994</v>
      </c>
      <c r="N37" s="11">
        <f>+N35-N36</f>
        <v>0.46200001239776611</v>
      </c>
      <c r="O37">
        <f>+O36-1</f>
        <v>-0.93199999999999994</v>
      </c>
      <c r="Q37" s="11">
        <f>+Q35-Q36</f>
        <v>0.25959992408752441</v>
      </c>
      <c r="R37">
        <f>+R36-1</f>
        <v>-0.93200000000000005</v>
      </c>
      <c r="T37" s="11">
        <f>+T35-T36</f>
        <v>-0.28659993410110474</v>
      </c>
      <c r="U37">
        <f>+U36-1</f>
        <v>-0.93199999999999994</v>
      </c>
      <c r="W37" s="11">
        <f>+W35-W36</f>
        <v>-0.13080012798309326</v>
      </c>
      <c r="X37">
        <f>+X36-1</f>
        <v>-0.93199999999999994</v>
      </c>
      <c r="Z37" s="11">
        <f>+Z35-Z36</f>
        <v>-0.39620000123977661</v>
      </c>
      <c r="AA37">
        <f>+AA36-1</f>
        <v>-0.93199999999999994</v>
      </c>
      <c r="AC37" s="11">
        <f>+AC35-AC36</f>
        <v>0.32349967956542969</v>
      </c>
      <c r="AD37">
        <f>+AD36-1</f>
        <v>-0.93199999999999994</v>
      </c>
      <c r="AF37" s="11">
        <f>+AF35-AF36</f>
        <v>0.15989989042282104</v>
      </c>
      <c r="AG37">
        <f>+AG36-1</f>
        <v>-0.93200000000000005</v>
      </c>
      <c r="AJ37">
        <f>+AJ36-1</f>
        <v>-0.93200000000000005</v>
      </c>
    </row>
    <row r="38" spans="1:37" hidden="1"/>
    <row r="39" spans="1:37" hidden="1"/>
  </sheetData>
  <mergeCells count="12">
    <mergeCell ref="AF2:AG2"/>
    <mergeCell ref="AI2:AJ2"/>
    <mergeCell ref="Q2:R2"/>
    <mergeCell ref="T2:U2"/>
    <mergeCell ref="W2:X2"/>
    <mergeCell ref="Z2:AA2"/>
    <mergeCell ref="AC2:AD2"/>
    <mergeCell ref="B2:C2"/>
    <mergeCell ref="E2:F2"/>
    <mergeCell ref="H2:I2"/>
    <mergeCell ref="K2:L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opLeftCell="L1" workbookViewId="0">
      <selection activeCell="X4" sqref="X4:Y34"/>
    </sheetView>
  </sheetViews>
  <sheetFormatPr baseColWidth="10" defaultColWidth="10.75" defaultRowHeight="14.25"/>
  <cols>
    <col min="1" max="1" width="7.625" customWidth="1"/>
    <col min="2" max="25" width="12.75" customWidth="1"/>
  </cols>
  <sheetData>
    <row r="1" spans="1:25">
      <c r="A1" t="s">
        <v>17</v>
      </c>
    </row>
    <row r="2" spans="1:25">
      <c r="A2" s="5" t="s">
        <v>14</v>
      </c>
      <c r="B2" s="49">
        <v>45658</v>
      </c>
      <c r="C2" s="49"/>
      <c r="D2" s="49">
        <v>45689</v>
      </c>
      <c r="E2" s="49"/>
      <c r="F2" s="49">
        <v>45717</v>
      </c>
      <c r="G2" s="49"/>
      <c r="H2" s="49">
        <v>45748</v>
      </c>
      <c r="I2" s="49"/>
      <c r="J2" s="49">
        <v>45778</v>
      </c>
      <c r="K2" s="49"/>
      <c r="L2" s="49">
        <v>45809</v>
      </c>
      <c r="M2" s="49"/>
      <c r="N2" s="49">
        <v>45839</v>
      </c>
      <c r="O2" s="49"/>
      <c r="P2" s="49">
        <v>45870</v>
      </c>
      <c r="Q2" s="49"/>
      <c r="R2" s="49">
        <v>45901</v>
      </c>
      <c r="S2" s="49"/>
      <c r="T2" s="49">
        <v>45931</v>
      </c>
      <c r="U2" s="49"/>
      <c r="V2" s="49">
        <v>45962</v>
      </c>
      <c r="W2" s="49"/>
      <c r="X2" s="49">
        <v>45992</v>
      </c>
      <c r="Y2" s="49"/>
    </row>
    <row r="3" spans="1:25">
      <c r="A3" s="5"/>
      <c r="B3" s="6" t="s">
        <v>18</v>
      </c>
      <c r="C3" s="6" t="s">
        <v>19</v>
      </c>
      <c r="D3" s="6" t="s">
        <v>18</v>
      </c>
      <c r="E3" s="6" t="s">
        <v>19</v>
      </c>
      <c r="F3" s="6" t="s">
        <v>18</v>
      </c>
      <c r="G3" s="6" t="s">
        <v>19</v>
      </c>
      <c r="H3" s="6" t="s">
        <v>18</v>
      </c>
      <c r="I3" s="6" t="s">
        <v>19</v>
      </c>
      <c r="J3" s="6" t="s">
        <v>18</v>
      </c>
      <c r="K3" s="6" t="s">
        <v>19</v>
      </c>
      <c r="L3" s="6" t="s">
        <v>18</v>
      </c>
      <c r="M3" s="6" t="s">
        <v>19</v>
      </c>
      <c r="N3" s="6" t="s">
        <v>18</v>
      </c>
      <c r="O3" s="6" t="s">
        <v>19</v>
      </c>
      <c r="P3" s="6" t="s">
        <v>18</v>
      </c>
      <c r="Q3" s="6" t="s">
        <v>19</v>
      </c>
      <c r="R3" s="6" t="s">
        <v>18</v>
      </c>
      <c r="S3" s="6" t="s">
        <v>19</v>
      </c>
      <c r="T3" s="6" t="s">
        <v>18</v>
      </c>
      <c r="U3" s="6" t="s">
        <v>19</v>
      </c>
      <c r="V3" s="6" t="s">
        <v>18</v>
      </c>
      <c r="W3" s="6" t="s">
        <v>19</v>
      </c>
      <c r="X3" s="6" t="s">
        <v>18</v>
      </c>
      <c r="Y3" s="6" t="s">
        <v>19</v>
      </c>
    </row>
    <row r="4" spans="1:25">
      <c r="A4" s="7">
        <v>1</v>
      </c>
      <c r="B4" s="21">
        <v>776942.06480000005</v>
      </c>
      <c r="C4" s="12">
        <v>3884710.324</v>
      </c>
      <c r="D4" s="21">
        <v>8332453.3787000002</v>
      </c>
      <c r="E4" s="12">
        <v>41662266.8935</v>
      </c>
      <c r="F4" s="21">
        <v>7891421.2244999995</v>
      </c>
      <c r="G4" s="12">
        <v>39457106.122500002</v>
      </c>
      <c r="H4" s="21">
        <v>3398819.5913999998</v>
      </c>
      <c r="I4" s="12">
        <v>16994097.956900001</v>
      </c>
      <c r="J4" s="21">
        <v>6160696.5569000002</v>
      </c>
      <c r="K4" s="12">
        <v>30803482.784600001</v>
      </c>
      <c r="L4" s="21">
        <v>3422169.0249000001</v>
      </c>
      <c r="M4" s="12">
        <v>17110845.124400001</v>
      </c>
      <c r="N4" s="21">
        <v>3026333.7815</v>
      </c>
      <c r="O4" s="12">
        <v>15131668.907400001</v>
      </c>
      <c r="P4" s="21">
        <v>6508454.8947000001</v>
      </c>
      <c r="Q4" s="12">
        <v>32542274.473299999</v>
      </c>
      <c r="R4" s="21">
        <v>2866879.6381000001</v>
      </c>
      <c r="S4" s="12">
        <v>14334398.1906</v>
      </c>
      <c r="T4" s="21">
        <v>3242072.1708999998</v>
      </c>
      <c r="U4" s="12">
        <v>16210360.854499999</v>
      </c>
      <c r="V4" s="21">
        <v>7757151.0919000003</v>
      </c>
      <c r="W4" s="12">
        <v>38785755.4595</v>
      </c>
      <c r="X4" s="21">
        <v>2067396.9010000001</v>
      </c>
      <c r="Y4" s="12">
        <v>10336984.504799999</v>
      </c>
    </row>
    <row r="5" spans="1:25">
      <c r="A5" s="7">
        <f>+A4+1</f>
        <v>2</v>
      </c>
      <c r="B5" s="21">
        <v>5008531.2778000003</v>
      </c>
      <c r="C5" s="12">
        <v>25042656.388799999</v>
      </c>
      <c r="D5" s="21">
        <v>3876941.9190000002</v>
      </c>
      <c r="E5" s="12">
        <v>19384709.594900001</v>
      </c>
      <c r="F5" s="21">
        <v>3414048.2428000001</v>
      </c>
      <c r="G5" s="12">
        <v>17070241.214000002</v>
      </c>
      <c r="H5" s="21">
        <v>5389591.5902000004</v>
      </c>
      <c r="I5" s="12">
        <v>26947957.9509</v>
      </c>
      <c r="J5" s="21">
        <v>7197506.5153000001</v>
      </c>
      <c r="K5" s="12">
        <v>35987532.576499999</v>
      </c>
      <c r="L5" s="21">
        <v>2893003.4835000001</v>
      </c>
      <c r="M5" s="12">
        <v>14465017.4175</v>
      </c>
      <c r="N5" s="21">
        <v>4229174.8119999999</v>
      </c>
      <c r="O5" s="12">
        <v>21145874.060199998</v>
      </c>
      <c r="P5" s="21">
        <v>7944098.4192000004</v>
      </c>
      <c r="Q5" s="12">
        <v>39720492.095899999</v>
      </c>
      <c r="R5" s="21">
        <v>2838879.1808000002</v>
      </c>
      <c r="S5" s="12">
        <v>14194395.903999999</v>
      </c>
      <c r="T5" s="21">
        <v>5490331.0376000004</v>
      </c>
      <c r="U5" s="12">
        <v>27451655.188200001</v>
      </c>
      <c r="V5" s="21">
        <v>3357127.5088999998</v>
      </c>
      <c r="W5" s="12">
        <v>16785637.5447</v>
      </c>
      <c r="X5" s="21">
        <v>2230324.4010000001</v>
      </c>
      <c r="Y5" s="12">
        <v>11151622.005000001</v>
      </c>
    </row>
    <row r="6" spans="1:25">
      <c r="A6" s="7">
        <f t="shared" ref="A6:A34" si="0">+A5+1</f>
        <v>3</v>
      </c>
      <c r="B6" s="21">
        <v>7446206.7374</v>
      </c>
      <c r="C6" s="12">
        <v>37231033.687100001</v>
      </c>
      <c r="D6" s="21">
        <v>2691017.7217999999</v>
      </c>
      <c r="E6" s="12">
        <v>13455088.609200001</v>
      </c>
      <c r="F6" s="21">
        <v>2151913.4778</v>
      </c>
      <c r="G6" s="12">
        <v>10759567.388800001</v>
      </c>
      <c r="H6" s="21">
        <v>5251768.1650999999</v>
      </c>
      <c r="I6" s="12">
        <v>26258840.825399999</v>
      </c>
      <c r="J6" s="21">
        <v>7817448.6552999998</v>
      </c>
      <c r="K6" s="12">
        <v>39087243.276600003</v>
      </c>
      <c r="L6" s="21">
        <v>3581375.1006999998</v>
      </c>
      <c r="M6" s="12">
        <v>17906875.5035</v>
      </c>
      <c r="N6" s="21">
        <v>6638809.0066999998</v>
      </c>
      <c r="O6" s="12">
        <v>33194045.033500001</v>
      </c>
      <c r="P6" s="21">
        <v>2302995.0082999999</v>
      </c>
      <c r="Q6" s="12">
        <v>11514975.041300001</v>
      </c>
      <c r="R6" s="21">
        <v>3463775.0177000002</v>
      </c>
      <c r="S6" s="12">
        <v>17318875.088500001</v>
      </c>
      <c r="T6" s="21">
        <v>5632703.8150000004</v>
      </c>
      <c r="U6" s="12">
        <v>28163519.074900001</v>
      </c>
      <c r="V6" s="21">
        <v>3310176.0512000001</v>
      </c>
      <c r="W6" s="12">
        <v>16550880.255999999</v>
      </c>
      <c r="X6" s="21">
        <v>2373745.6878</v>
      </c>
      <c r="Y6" s="12">
        <v>11868728.438899999</v>
      </c>
    </row>
    <row r="7" spans="1:25">
      <c r="A7" s="7">
        <f t="shared" si="0"/>
        <v>4</v>
      </c>
      <c r="B7" s="21">
        <v>7563418.1511000004</v>
      </c>
      <c r="C7" s="12">
        <v>37817090.7553</v>
      </c>
      <c r="D7" s="21">
        <v>4533882.8356999997</v>
      </c>
      <c r="E7" s="12">
        <v>22669414.1787</v>
      </c>
      <c r="F7" s="21">
        <v>5107270.2248</v>
      </c>
      <c r="G7" s="12">
        <v>25536351.1241</v>
      </c>
      <c r="H7" s="21">
        <v>5673106.3658999996</v>
      </c>
      <c r="I7" s="12">
        <v>28365531.829399999</v>
      </c>
      <c r="J7" s="21">
        <v>3945416.8015999999</v>
      </c>
      <c r="K7" s="12">
        <v>19727084.008200001</v>
      </c>
      <c r="L7" s="21">
        <v>4520715.5669999998</v>
      </c>
      <c r="M7" s="12">
        <v>22603577.834800001</v>
      </c>
      <c r="N7" s="21">
        <v>6194799.8125999998</v>
      </c>
      <c r="O7" s="12">
        <v>30973999.062899999</v>
      </c>
      <c r="P7" s="21">
        <v>2781226.2440999998</v>
      </c>
      <c r="Q7" s="12">
        <v>13906131.220699999</v>
      </c>
      <c r="R7" s="21">
        <v>4128333.9339000001</v>
      </c>
      <c r="S7" s="12">
        <v>20641669.669300001</v>
      </c>
      <c r="T7" s="21">
        <v>7488136.6805999996</v>
      </c>
      <c r="U7" s="12">
        <v>37440683.402800001</v>
      </c>
      <c r="V7" s="21">
        <v>1796829.5784</v>
      </c>
      <c r="W7" s="12">
        <v>8984147.8922000006</v>
      </c>
      <c r="X7" s="21">
        <v>4166261.1630000002</v>
      </c>
      <c r="Y7" s="12">
        <v>20831305.815200001</v>
      </c>
    </row>
    <row r="8" spans="1:25">
      <c r="A8" s="7">
        <f t="shared" si="0"/>
        <v>5</v>
      </c>
      <c r="B8" s="21">
        <v>4183427.4427999998</v>
      </c>
      <c r="C8" s="12">
        <v>20917137.214000002</v>
      </c>
      <c r="D8" s="21">
        <v>7577252.767</v>
      </c>
      <c r="E8" s="12">
        <v>37886263.834899999</v>
      </c>
      <c r="F8" s="21">
        <v>6491500.6275000004</v>
      </c>
      <c r="G8" s="12">
        <v>32457503.137400001</v>
      </c>
      <c r="H8" s="21">
        <v>7271613.4611</v>
      </c>
      <c r="I8" s="12">
        <v>36358067.305699997</v>
      </c>
      <c r="J8" s="21">
        <v>2881860.3184000002</v>
      </c>
      <c r="K8" s="12">
        <v>14409301.5921</v>
      </c>
      <c r="L8" s="21">
        <v>4284666.352</v>
      </c>
      <c r="M8" s="12">
        <v>21423331.7599</v>
      </c>
      <c r="N8" s="21">
        <v>7697467.6896000002</v>
      </c>
      <c r="O8" s="12">
        <v>38487338.447800003</v>
      </c>
      <c r="P8" s="21">
        <v>3332867.3343000002</v>
      </c>
      <c r="Q8" s="12">
        <v>16664336.671399999</v>
      </c>
      <c r="R8" s="21">
        <v>5409437.3453000002</v>
      </c>
      <c r="S8" s="12">
        <v>27047186.726599999</v>
      </c>
      <c r="T8" s="21">
        <v>3079680.9378999998</v>
      </c>
      <c r="U8" s="12">
        <v>15398404.6896</v>
      </c>
      <c r="V8" s="21">
        <v>2931803.3895</v>
      </c>
      <c r="W8" s="12">
        <v>14659016.9475</v>
      </c>
      <c r="X8" s="21">
        <v>7335628.6435000002</v>
      </c>
      <c r="Y8" s="12">
        <v>36678143.217600003</v>
      </c>
    </row>
    <row r="9" spans="1:25">
      <c r="A9" s="7">
        <f t="shared" si="0"/>
        <v>6</v>
      </c>
      <c r="B9" s="21">
        <v>2269383.3036000002</v>
      </c>
      <c r="C9" s="12">
        <v>11346916.517999999</v>
      </c>
      <c r="D9" s="21">
        <v>6334208.0809000004</v>
      </c>
      <c r="E9" s="12">
        <v>31671040.404300001</v>
      </c>
      <c r="F9" s="21">
        <v>5183059.0746999998</v>
      </c>
      <c r="G9" s="12">
        <v>25915295.373500001</v>
      </c>
      <c r="H9" s="21">
        <v>3336576.8503999999</v>
      </c>
      <c r="I9" s="12">
        <v>16682884.2521</v>
      </c>
      <c r="J9" s="21">
        <v>2581431.3347</v>
      </c>
      <c r="K9" s="12">
        <v>12907156.673699999</v>
      </c>
      <c r="L9" s="21">
        <v>8267639.1681000004</v>
      </c>
      <c r="M9" s="12">
        <v>41338195.840300001</v>
      </c>
      <c r="N9" s="21">
        <v>3155833.3966999999</v>
      </c>
      <c r="O9" s="12">
        <v>15779166.9836</v>
      </c>
      <c r="P9" s="21">
        <v>5799958.6073000003</v>
      </c>
      <c r="Q9" s="12">
        <v>28999793.0363</v>
      </c>
      <c r="R9" s="21">
        <v>7160190.7517999997</v>
      </c>
      <c r="S9" s="12">
        <v>35800953.759199999</v>
      </c>
      <c r="T9" s="21">
        <v>1703676.2678</v>
      </c>
      <c r="U9" s="12">
        <v>8518381.3391999993</v>
      </c>
      <c r="V9" s="21">
        <v>5080756.6528000003</v>
      </c>
      <c r="W9" s="12">
        <v>25403783.264199998</v>
      </c>
      <c r="X9" s="21">
        <v>6484501.6458999999</v>
      </c>
      <c r="Y9" s="12">
        <v>32422508.229400001</v>
      </c>
    </row>
    <row r="10" spans="1:25">
      <c r="A10" s="7">
        <f t="shared" si="0"/>
        <v>7</v>
      </c>
      <c r="B10" s="21">
        <v>4442784.9116000002</v>
      </c>
      <c r="C10" s="12">
        <v>22213924.558200002</v>
      </c>
      <c r="D10" s="21">
        <v>8497776.1147000007</v>
      </c>
      <c r="E10" s="12">
        <v>42488880.5735</v>
      </c>
      <c r="F10" s="21">
        <v>6620653.6683999998</v>
      </c>
      <c r="G10" s="12">
        <v>33103268.341899998</v>
      </c>
      <c r="H10" s="21">
        <v>3579276.6305</v>
      </c>
      <c r="I10" s="12">
        <v>17896383.152600002</v>
      </c>
      <c r="J10" s="21">
        <v>4052247.2146999999</v>
      </c>
      <c r="K10" s="12">
        <v>20261236.0735</v>
      </c>
      <c r="L10" s="21">
        <v>9651073.9868999999</v>
      </c>
      <c r="M10" s="12">
        <v>48255369.934699997</v>
      </c>
      <c r="N10" s="21">
        <v>1942169.3668</v>
      </c>
      <c r="O10" s="12">
        <v>9710846.8341000006</v>
      </c>
      <c r="P10" s="21">
        <v>5372496.8064000001</v>
      </c>
      <c r="Q10" s="12">
        <v>26862484.0319</v>
      </c>
      <c r="R10" s="21">
        <v>3140193.9741000002</v>
      </c>
      <c r="S10" s="12">
        <v>15700969.870300001</v>
      </c>
      <c r="T10" s="21">
        <v>2889766.5654000002</v>
      </c>
      <c r="U10" s="12">
        <v>14448832.827099999</v>
      </c>
      <c r="V10" s="21">
        <v>4912230.3032999998</v>
      </c>
      <c r="W10" s="12">
        <v>24561151.516600002</v>
      </c>
      <c r="X10" s="21">
        <v>6532950.9111000001</v>
      </c>
      <c r="Y10" s="12">
        <v>32664754.555399999</v>
      </c>
    </row>
    <row r="11" spans="1:25">
      <c r="A11" s="7">
        <f t="shared" si="0"/>
        <v>8</v>
      </c>
      <c r="B11" s="21">
        <v>5857542.9248000002</v>
      </c>
      <c r="C11" s="12">
        <v>29287714.623799998</v>
      </c>
      <c r="D11" s="21">
        <v>8332453.3787000002</v>
      </c>
      <c r="E11" s="12">
        <v>41662266.8935</v>
      </c>
      <c r="F11" s="21">
        <v>7891421.2244999995</v>
      </c>
      <c r="G11" s="12">
        <v>39457106.122500002</v>
      </c>
      <c r="H11" s="21">
        <v>3398819.5913999998</v>
      </c>
      <c r="I11" s="12">
        <v>16994097.956900001</v>
      </c>
      <c r="J11" s="21">
        <v>4962224.2155999998</v>
      </c>
      <c r="K11" s="12">
        <v>24811121.078200001</v>
      </c>
      <c r="L11" s="21">
        <v>3422169.0249000001</v>
      </c>
      <c r="M11" s="12">
        <v>17110845.124400001</v>
      </c>
      <c r="N11" s="21">
        <v>3026333.7815</v>
      </c>
      <c r="O11" s="12">
        <v>15131668.907400001</v>
      </c>
      <c r="P11" s="21">
        <v>6508454.8947000001</v>
      </c>
      <c r="Q11" s="12">
        <v>32542274.473299999</v>
      </c>
      <c r="R11" s="21">
        <v>2866879.6381000001</v>
      </c>
      <c r="S11" s="12">
        <v>14334398.1906</v>
      </c>
      <c r="T11" s="21">
        <v>3242072.1708999998</v>
      </c>
      <c r="U11" s="12">
        <v>16210360.854499999</v>
      </c>
      <c r="V11" s="21">
        <v>6171037.2412999999</v>
      </c>
      <c r="W11" s="12">
        <v>30855186.2064</v>
      </c>
      <c r="X11" s="21">
        <v>3515054.2267999998</v>
      </c>
      <c r="Y11" s="12">
        <v>17575271.133900002</v>
      </c>
    </row>
    <row r="12" spans="1:25">
      <c r="A12" s="7">
        <f t="shared" si="0"/>
        <v>9</v>
      </c>
      <c r="B12" s="21">
        <v>5008531.2778000003</v>
      </c>
      <c r="C12" s="12">
        <v>25042656.388799999</v>
      </c>
      <c r="D12" s="21">
        <v>3876941.9190000002</v>
      </c>
      <c r="E12" s="12">
        <v>19384709.594900001</v>
      </c>
      <c r="F12" s="21">
        <v>3414048.2428000001</v>
      </c>
      <c r="G12" s="12">
        <v>17070241.214000002</v>
      </c>
      <c r="H12" s="21">
        <v>5389591.5902000004</v>
      </c>
      <c r="I12" s="12">
        <v>26947957.9509</v>
      </c>
      <c r="J12" s="21">
        <v>7197506.5153000001</v>
      </c>
      <c r="K12" s="12">
        <v>35987532.576499999</v>
      </c>
      <c r="L12" s="21">
        <v>2893003.4835000001</v>
      </c>
      <c r="M12" s="12">
        <v>14465017.4175</v>
      </c>
      <c r="N12" s="21">
        <v>4229174.8119999999</v>
      </c>
      <c r="O12" s="12">
        <v>21145874.060199998</v>
      </c>
      <c r="P12" s="21">
        <v>7944098.4192000004</v>
      </c>
      <c r="Q12" s="12">
        <v>39720492.095899999</v>
      </c>
      <c r="R12" s="21">
        <v>2838879.1808000002</v>
      </c>
      <c r="S12" s="12">
        <v>14194395.903999999</v>
      </c>
      <c r="T12" s="21">
        <v>5490331.0376000004</v>
      </c>
      <c r="U12" s="12">
        <v>27451655.188200001</v>
      </c>
      <c r="V12" s="21">
        <v>3357127.5088999998</v>
      </c>
      <c r="W12" s="12">
        <v>16785637.5447</v>
      </c>
      <c r="X12" s="21">
        <v>2230324.4010000001</v>
      </c>
      <c r="Y12" s="12">
        <v>11151622.005000001</v>
      </c>
    </row>
    <row r="13" spans="1:25">
      <c r="A13" s="7">
        <f t="shared" si="0"/>
        <v>10</v>
      </c>
      <c r="B13" s="21">
        <v>7446206.7374</v>
      </c>
      <c r="C13" s="12">
        <v>37231033.687100001</v>
      </c>
      <c r="D13" s="21">
        <v>2691017.7217999999</v>
      </c>
      <c r="E13" s="12">
        <v>13455088.609200001</v>
      </c>
      <c r="F13" s="21">
        <v>2151913.4778</v>
      </c>
      <c r="G13" s="12">
        <v>10759567.388800001</v>
      </c>
      <c r="H13" s="21">
        <v>5251768.1650999999</v>
      </c>
      <c r="I13" s="12">
        <v>26258840.825399999</v>
      </c>
      <c r="J13" s="21">
        <v>7817448.6552999998</v>
      </c>
      <c r="K13" s="12">
        <v>39087243.276600003</v>
      </c>
      <c r="L13" s="21">
        <v>3581375.1006999998</v>
      </c>
      <c r="M13" s="12">
        <v>17906875.5035</v>
      </c>
      <c r="N13" s="21">
        <v>6638809.0066999998</v>
      </c>
      <c r="O13" s="12">
        <v>33194045.033500001</v>
      </c>
      <c r="P13" s="21">
        <v>2302995.0082999999</v>
      </c>
      <c r="Q13" s="12">
        <v>11514975.041300001</v>
      </c>
      <c r="R13" s="21">
        <v>3463775.0177000002</v>
      </c>
      <c r="S13" s="12">
        <v>17318875.088500001</v>
      </c>
      <c r="T13" s="21">
        <v>5632703.8150000004</v>
      </c>
      <c r="U13" s="12">
        <v>28163519.074900001</v>
      </c>
      <c r="V13" s="21">
        <v>3310176.0512000001</v>
      </c>
      <c r="W13" s="12">
        <v>16550880.255999999</v>
      </c>
      <c r="X13" s="21">
        <v>2373745.6878</v>
      </c>
      <c r="Y13" s="12">
        <v>11868728.438899999</v>
      </c>
    </row>
    <row r="14" spans="1:25">
      <c r="A14" s="7">
        <f t="shared" si="0"/>
        <v>11</v>
      </c>
      <c r="B14" s="21">
        <v>7563418.1511000004</v>
      </c>
      <c r="C14" s="12">
        <v>37817090.7553</v>
      </c>
      <c r="D14" s="21">
        <v>4533882.8356999997</v>
      </c>
      <c r="E14" s="12">
        <v>22669414.1787</v>
      </c>
      <c r="F14" s="21">
        <v>5107270.2248</v>
      </c>
      <c r="G14" s="12">
        <v>25536351.1241</v>
      </c>
      <c r="H14" s="21">
        <v>5673106.3658999996</v>
      </c>
      <c r="I14" s="12">
        <v>28365531.829399999</v>
      </c>
      <c r="J14" s="21">
        <v>3945416.8015999999</v>
      </c>
      <c r="K14" s="12">
        <v>19727084.008200001</v>
      </c>
      <c r="L14" s="21">
        <v>4520715.5669999998</v>
      </c>
      <c r="M14" s="12">
        <v>22603577.834800001</v>
      </c>
      <c r="N14" s="21">
        <v>6194799.8125999998</v>
      </c>
      <c r="O14" s="12">
        <v>30973999.062899999</v>
      </c>
      <c r="P14" s="21">
        <v>2781226.2440999998</v>
      </c>
      <c r="Q14" s="12">
        <v>13906131.220699999</v>
      </c>
      <c r="R14" s="21">
        <v>4128333.9339000001</v>
      </c>
      <c r="S14" s="12">
        <v>20641669.669300001</v>
      </c>
      <c r="T14" s="21">
        <v>10304403.1401</v>
      </c>
      <c r="U14" s="12">
        <v>51522015.700400002</v>
      </c>
      <c r="V14" s="21">
        <v>1796829.5784</v>
      </c>
      <c r="W14" s="12">
        <v>8984147.8922000006</v>
      </c>
      <c r="X14" s="21">
        <v>4166261.1630000002</v>
      </c>
      <c r="Y14" s="12">
        <v>20831305.815200001</v>
      </c>
    </row>
    <row r="15" spans="1:25">
      <c r="A15" s="7">
        <f t="shared" si="0"/>
        <v>12</v>
      </c>
      <c r="B15" s="21">
        <v>4183427.4427999998</v>
      </c>
      <c r="C15" s="12">
        <v>20917137.214000002</v>
      </c>
      <c r="D15" s="21">
        <v>7577252.767</v>
      </c>
      <c r="E15" s="12">
        <v>37886263.834899999</v>
      </c>
      <c r="F15" s="21">
        <v>6491500.6275000004</v>
      </c>
      <c r="G15" s="12">
        <v>32457503.137400001</v>
      </c>
      <c r="H15" s="21">
        <v>7271613.4611</v>
      </c>
      <c r="I15" s="12">
        <v>36358067.305699997</v>
      </c>
      <c r="J15" s="21">
        <v>2881860.3184000002</v>
      </c>
      <c r="K15" s="12">
        <v>14409301.5921</v>
      </c>
      <c r="L15" s="21">
        <v>4284666.352</v>
      </c>
      <c r="M15" s="12">
        <v>21423331.7599</v>
      </c>
      <c r="N15" s="21">
        <v>7697467.6896000002</v>
      </c>
      <c r="O15" s="12">
        <v>38487338.447800003</v>
      </c>
      <c r="P15" s="21">
        <v>3332867.3343000002</v>
      </c>
      <c r="Q15" s="12">
        <v>16664336.671399999</v>
      </c>
      <c r="R15" s="21">
        <v>5409437.3453000002</v>
      </c>
      <c r="S15" s="12">
        <v>27047186.726599999</v>
      </c>
      <c r="T15" s="21">
        <v>4237939.9950999999</v>
      </c>
      <c r="U15" s="12">
        <v>21189699.975400001</v>
      </c>
      <c r="V15" s="21">
        <v>2931803.3895</v>
      </c>
      <c r="W15" s="12">
        <v>14659016.9475</v>
      </c>
      <c r="X15" s="21">
        <v>7335628.6435000002</v>
      </c>
      <c r="Y15" s="12">
        <v>36678143.217600003</v>
      </c>
    </row>
    <row r="16" spans="1:25">
      <c r="A16" s="7">
        <f t="shared" si="0"/>
        <v>13</v>
      </c>
      <c r="B16" s="21">
        <v>2269383.3036000002</v>
      </c>
      <c r="C16" s="12">
        <v>11346916.517999999</v>
      </c>
      <c r="D16" s="21">
        <v>6334208.0809000004</v>
      </c>
      <c r="E16" s="12">
        <v>31671040.404300001</v>
      </c>
      <c r="F16" s="21">
        <v>5183059.0746999998</v>
      </c>
      <c r="G16" s="12">
        <v>25915295.373500001</v>
      </c>
      <c r="H16" s="21">
        <v>3336576.8503999999</v>
      </c>
      <c r="I16" s="12">
        <v>16682884.2521</v>
      </c>
      <c r="J16" s="21">
        <v>2581431.3347</v>
      </c>
      <c r="K16" s="12">
        <v>12907156.673699999</v>
      </c>
      <c r="L16" s="21">
        <v>8267639.1681000004</v>
      </c>
      <c r="M16" s="12">
        <v>41338195.840300001</v>
      </c>
      <c r="N16" s="21">
        <v>3155833.3966999999</v>
      </c>
      <c r="O16" s="12">
        <v>15779166.9836</v>
      </c>
      <c r="P16" s="21">
        <v>5799958.6073000003</v>
      </c>
      <c r="Q16" s="12">
        <v>28999793.0363</v>
      </c>
      <c r="R16" s="21">
        <v>7160190.7517999997</v>
      </c>
      <c r="S16" s="12">
        <v>35800953.759199999</v>
      </c>
      <c r="T16" s="21">
        <v>1703676.2678</v>
      </c>
      <c r="U16" s="12">
        <v>8518381.3391999993</v>
      </c>
      <c r="V16" s="21">
        <v>5080756.6528000003</v>
      </c>
      <c r="W16" s="12">
        <v>25403783.264199998</v>
      </c>
      <c r="X16" s="21">
        <v>6484501.6458999999</v>
      </c>
      <c r="Y16" s="12">
        <v>32422508.229400001</v>
      </c>
    </row>
    <row r="17" spans="1:25">
      <c r="A17" s="7">
        <f t="shared" si="0"/>
        <v>14</v>
      </c>
      <c r="B17" s="21">
        <v>4442784.9116000002</v>
      </c>
      <c r="C17" s="12">
        <v>22213924.558200002</v>
      </c>
      <c r="D17" s="21">
        <v>8497776.1147000007</v>
      </c>
      <c r="E17" s="12">
        <v>42488880.5735</v>
      </c>
      <c r="F17" s="21">
        <v>6620653.6683999998</v>
      </c>
      <c r="G17" s="12">
        <v>33103268.341899998</v>
      </c>
      <c r="H17" s="21">
        <v>3579276.6305</v>
      </c>
      <c r="I17" s="12">
        <v>17896383.152600002</v>
      </c>
      <c r="J17" s="21">
        <v>4052247.2146999999</v>
      </c>
      <c r="K17" s="12">
        <v>20261236.0735</v>
      </c>
      <c r="L17" s="21">
        <v>9651073.9868999999</v>
      </c>
      <c r="M17" s="12">
        <v>48255369.934699997</v>
      </c>
      <c r="N17" s="21">
        <v>1942169.3668</v>
      </c>
      <c r="O17" s="12">
        <v>9710846.8341000006</v>
      </c>
      <c r="P17" s="21">
        <v>6430850.7949999999</v>
      </c>
      <c r="Q17" s="12">
        <v>32154253.975000001</v>
      </c>
      <c r="R17" s="21">
        <v>3140193.9741000002</v>
      </c>
      <c r="S17" s="12">
        <v>15700969.870300001</v>
      </c>
      <c r="T17" s="21">
        <v>2889766.5654000002</v>
      </c>
      <c r="U17" s="12">
        <v>14448832.827099999</v>
      </c>
      <c r="V17" s="21">
        <v>4912230.3032999998</v>
      </c>
      <c r="W17" s="12">
        <v>24561151.516600002</v>
      </c>
      <c r="X17" s="21">
        <v>3842388.0817999998</v>
      </c>
      <c r="Y17" s="12">
        <v>19211940.408799998</v>
      </c>
    </row>
    <row r="18" spans="1:25">
      <c r="A18" s="7">
        <f t="shared" si="0"/>
        <v>15</v>
      </c>
      <c r="B18" s="21">
        <v>5857542.9248000002</v>
      </c>
      <c r="C18" s="12">
        <v>29287714.623799998</v>
      </c>
      <c r="D18" s="21">
        <v>8332453.3787000002</v>
      </c>
      <c r="E18" s="12">
        <v>41662266.8935</v>
      </c>
      <c r="F18" s="21">
        <v>7891421.2244999995</v>
      </c>
      <c r="G18" s="12">
        <v>39457106.122500002</v>
      </c>
      <c r="H18" s="21">
        <v>3398819.5913999998</v>
      </c>
      <c r="I18" s="12">
        <v>16994097.956900001</v>
      </c>
      <c r="J18" s="21">
        <v>4962224.2155999998</v>
      </c>
      <c r="K18" s="12">
        <v>24811121.078200001</v>
      </c>
      <c r="L18" s="21">
        <v>3422169.0249000001</v>
      </c>
      <c r="M18" s="12">
        <v>17110845.124400001</v>
      </c>
      <c r="N18" s="21">
        <v>5909902.9507999998</v>
      </c>
      <c r="O18" s="12">
        <v>29549514.753899999</v>
      </c>
      <c r="P18" s="21">
        <v>7790586.7313000001</v>
      </c>
      <c r="Q18" s="12">
        <v>38952933.656400003</v>
      </c>
      <c r="R18" s="21">
        <v>2866879.6381000001</v>
      </c>
      <c r="S18" s="12">
        <v>14334398.1906</v>
      </c>
      <c r="T18" s="21">
        <v>3242072.1708999998</v>
      </c>
      <c r="U18" s="12">
        <v>16210360.854499999</v>
      </c>
      <c r="V18" s="21">
        <v>6171037.2412999999</v>
      </c>
      <c r="W18" s="12">
        <v>30855186.2064</v>
      </c>
      <c r="X18" s="21">
        <v>2067396.9010000001</v>
      </c>
      <c r="Y18" s="12">
        <v>10336984.504799999</v>
      </c>
    </row>
    <row r="19" spans="1:25">
      <c r="A19" s="7">
        <f t="shared" si="0"/>
        <v>16</v>
      </c>
      <c r="B19" s="21">
        <v>5008531.2778000003</v>
      </c>
      <c r="C19" s="12">
        <v>25042656.388799999</v>
      </c>
      <c r="D19" s="21">
        <v>3876941.9190000002</v>
      </c>
      <c r="E19" s="12">
        <v>19384709.594900001</v>
      </c>
      <c r="F19" s="21">
        <v>3414048.2428000001</v>
      </c>
      <c r="G19" s="12">
        <v>17070241.214000002</v>
      </c>
      <c r="H19" s="21">
        <v>5389591.5902000004</v>
      </c>
      <c r="I19" s="12">
        <v>26947957.9509</v>
      </c>
      <c r="J19" s="21">
        <v>7197506.5153000001</v>
      </c>
      <c r="K19" s="12">
        <v>35987532.576499999</v>
      </c>
      <c r="L19" s="21">
        <v>2893003.4835000001</v>
      </c>
      <c r="M19" s="12">
        <v>14465017.4175</v>
      </c>
      <c r="N19" s="21">
        <v>5388854.3021</v>
      </c>
      <c r="O19" s="12">
        <v>26944271.510600001</v>
      </c>
      <c r="P19" s="21">
        <v>7944098.4192000004</v>
      </c>
      <c r="Q19" s="12">
        <v>39720492.095899999</v>
      </c>
      <c r="R19" s="21">
        <v>2838879.1808000002</v>
      </c>
      <c r="S19" s="12">
        <v>14194395.903999999</v>
      </c>
      <c r="T19" s="21">
        <v>5490331.0376000004</v>
      </c>
      <c r="U19" s="12">
        <v>27451655.188200001</v>
      </c>
      <c r="V19" s="21">
        <v>3357127.5088999998</v>
      </c>
      <c r="W19" s="12">
        <v>16785637.5447</v>
      </c>
      <c r="X19" s="21">
        <v>2230324.4010000001</v>
      </c>
      <c r="Y19" s="12">
        <v>11151622.005000001</v>
      </c>
    </row>
    <row r="20" spans="1:25">
      <c r="A20" s="7">
        <f t="shared" si="0"/>
        <v>17</v>
      </c>
      <c r="B20" s="21">
        <v>7446206.7374</v>
      </c>
      <c r="C20" s="12">
        <v>37231033.687100001</v>
      </c>
      <c r="D20" s="21">
        <v>2691017.7217999999</v>
      </c>
      <c r="E20" s="12">
        <v>13455088.609200001</v>
      </c>
      <c r="F20" s="21">
        <v>2151913.4778</v>
      </c>
      <c r="G20" s="12">
        <v>10759567.388800001</v>
      </c>
      <c r="H20" s="21">
        <v>6662267.2582999999</v>
      </c>
      <c r="I20" s="12">
        <v>33311336.291700002</v>
      </c>
      <c r="J20" s="21">
        <v>7817448.6552999998</v>
      </c>
      <c r="K20" s="12">
        <v>39087243.276600003</v>
      </c>
      <c r="L20" s="21">
        <v>3581375.1006999998</v>
      </c>
      <c r="M20" s="12">
        <v>17906875.5035</v>
      </c>
      <c r="N20" s="21">
        <v>6638809.0066999998</v>
      </c>
      <c r="O20" s="12">
        <v>33194045.033500001</v>
      </c>
      <c r="P20" s="21">
        <v>2302995.0082999999</v>
      </c>
      <c r="Q20" s="12">
        <v>11514975.041300001</v>
      </c>
      <c r="R20" s="21">
        <v>6687245.6984999999</v>
      </c>
      <c r="S20" s="12">
        <v>33436228.492699999</v>
      </c>
      <c r="T20" s="21">
        <v>5632703.8150000004</v>
      </c>
      <c r="U20" s="12">
        <v>28163519.074900001</v>
      </c>
      <c r="V20" s="21">
        <v>3310176.0512000001</v>
      </c>
      <c r="W20" s="12">
        <v>16550880.255999999</v>
      </c>
      <c r="X20" s="21">
        <v>2373745.6878</v>
      </c>
      <c r="Y20" s="12">
        <v>11868728.438899999</v>
      </c>
    </row>
    <row r="21" spans="1:25">
      <c r="A21" s="7">
        <f t="shared" si="0"/>
        <v>18</v>
      </c>
      <c r="B21" s="21">
        <v>7563418.1511000004</v>
      </c>
      <c r="C21" s="12">
        <v>37817090.7553</v>
      </c>
      <c r="D21" s="21">
        <v>4533882.8356999997</v>
      </c>
      <c r="E21" s="12">
        <v>22669414.1787</v>
      </c>
      <c r="F21" s="21">
        <v>5107270.2248</v>
      </c>
      <c r="G21" s="12">
        <v>25536351.1241</v>
      </c>
      <c r="H21" s="21">
        <v>7196766.8043</v>
      </c>
      <c r="I21" s="12">
        <v>35983834.021600001</v>
      </c>
      <c r="J21" s="21">
        <v>3945416.8015999999</v>
      </c>
      <c r="K21" s="12">
        <v>19727084.008200001</v>
      </c>
      <c r="L21" s="21">
        <v>4520715.5669999998</v>
      </c>
      <c r="M21" s="12">
        <v>22603577.834800001</v>
      </c>
      <c r="N21" s="21">
        <v>6194799.8125999998</v>
      </c>
      <c r="O21" s="12">
        <v>30973999.062899999</v>
      </c>
      <c r="P21" s="21">
        <v>2781226.2440999998</v>
      </c>
      <c r="Q21" s="12">
        <v>13906131.220699999</v>
      </c>
      <c r="R21" s="21">
        <v>7970258.8073000005</v>
      </c>
      <c r="S21" s="12">
        <v>39851294.036499999</v>
      </c>
      <c r="T21" s="21">
        <v>7488136.6805999996</v>
      </c>
      <c r="U21" s="12">
        <v>37440683.402800001</v>
      </c>
      <c r="V21" s="21">
        <v>1796829.5784</v>
      </c>
      <c r="W21" s="12">
        <v>8984147.8922000006</v>
      </c>
      <c r="X21" s="21">
        <v>4166261.1630000002</v>
      </c>
      <c r="Y21" s="12">
        <v>20831305.815200001</v>
      </c>
    </row>
    <row r="22" spans="1:25">
      <c r="A22" s="7">
        <f t="shared" si="0"/>
        <v>19</v>
      </c>
      <c r="B22" s="21">
        <v>4183427.4427999998</v>
      </c>
      <c r="C22" s="12">
        <v>20917137.214000002</v>
      </c>
      <c r="D22" s="21">
        <v>7577252.767</v>
      </c>
      <c r="E22" s="12">
        <v>37886263.834899999</v>
      </c>
      <c r="F22" s="21">
        <v>6491500.6275000004</v>
      </c>
      <c r="G22" s="12">
        <v>32457503.137400001</v>
      </c>
      <c r="H22" s="21">
        <v>9224594.6041000001</v>
      </c>
      <c r="I22" s="12">
        <v>46122973.020400003</v>
      </c>
      <c r="J22" s="21">
        <v>2881860.3184000002</v>
      </c>
      <c r="K22" s="12">
        <v>14409301.5921</v>
      </c>
      <c r="L22" s="21">
        <v>5218021.3051000005</v>
      </c>
      <c r="M22" s="12">
        <v>26090106.5253</v>
      </c>
      <c r="N22" s="21">
        <v>7697467.6896000002</v>
      </c>
      <c r="O22" s="12">
        <v>38487338.447800003</v>
      </c>
      <c r="P22" s="21">
        <v>3332867.3343000002</v>
      </c>
      <c r="Q22" s="12">
        <v>16664336.671399999</v>
      </c>
      <c r="R22" s="21">
        <v>10443587.2521</v>
      </c>
      <c r="S22" s="12">
        <v>52217936.260499999</v>
      </c>
      <c r="T22" s="21">
        <v>3079680.9378999998</v>
      </c>
      <c r="U22" s="12">
        <v>15398404.6896</v>
      </c>
      <c r="V22" s="21">
        <v>2931803.3895</v>
      </c>
      <c r="W22" s="12">
        <v>14659016.9475</v>
      </c>
      <c r="X22" s="21">
        <v>7335628.6435000002</v>
      </c>
      <c r="Y22" s="12">
        <v>36678143.217600003</v>
      </c>
    </row>
    <row r="23" spans="1:25">
      <c r="A23" s="7">
        <f t="shared" si="0"/>
        <v>20</v>
      </c>
      <c r="B23" s="21">
        <v>2269383.3036000002</v>
      </c>
      <c r="C23" s="12">
        <v>11346916.517999999</v>
      </c>
      <c r="D23" s="21">
        <v>6334208.0809000004</v>
      </c>
      <c r="E23" s="12">
        <v>31671040.404300001</v>
      </c>
      <c r="F23" s="21">
        <v>5183059.0746999998</v>
      </c>
      <c r="G23" s="12">
        <v>25915295.373500001</v>
      </c>
      <c r="H23" s="21">
        <v>4232701.4457999999</v>
      </c>
      <c r="I23" s="12">
        <v>21163507.229200002</v>
      </c>
      <c r="J23" s="21">
        <v>5063647.1189999999</v>
      </c>
      <c r="K23" s="12">
        <v>25318235.595199998</v>
      </c>
      <c r="L23" s="21">
        <v>10068629.334799999</v>
      </c>
      <c r="M23" s="12">
        <v>50343146.674199998</v>
      </c>
      <c r="N23" s="21">
        <v>3155833.3966999999</v>
      </c>
      <c r="O23" s="12">
        <v>15779166.9836</v>
      </c>
      <c r="P23" s="21">
        <v>5799958.6073000003</v>
      </c>
      <c r="Q23" s="12">
        <v>28999793.0363</v>
      </c>
      <c r="R23" s="21">
        <v>7160190.7517999997</v>
      </c>
      <c r="S23" s="12">
        <v>35800953.759199999</v>
      </c>
      <c r="T23" s="21">
        <v>1703676.2678</v>
      </c>
      <c r="U23" s="12">
        <v>8518381.3391999993</v>
      </c>
      <c r="V23" s="21">
        <v>5080756.6528000003</v>
      </c>
      <c r="W23" s="12">
        <v>25403783.264199998</v>
      </c>
      <c r="X23" s="21">
        <v>6484501.6458999999</v>
      </c>
      <c r="Y23" s="12">
        <v>32422508.229400001</v>
      </c>
    </row>
    <row r="24" spans="1:25">
      <c r="A24" s="7">
        <f t="shared" si="0"/>
        <v>21</v>
      </c>
      <c r="B24" s="21">
        <v>4442784.9116000002</v>
      </c>
      <c r="C24" s="12">
        <v>22213924.558200002</v>
      </c>
      <c r="D24" s="21">
        <v>8497776.1147000007</v>
      </c>
      <c r="E24" s="12">
        <v>42488880.5735</v>
      </c>
      <c r="F24" s="21">
        <v>6620653.6683999998</v>
      </c>
      <c r="G24" s="12">
        <v>33103268.341899998</v>
      </c>
      <c r="H24" s="21">
        <v>3579276.6305</v>
      </c>
      <c r="I24" s="12">
        <v>17896383.152600002</v>
      </c>
      <c r="J24" s="21">
        <v>5513981.0208000001</v>
      </c>
      <c r="K24" s="12">
        <v>27569905.1039</v>
      </c>
      <c r="L24" s="21">
        <v>9651073.9868999999</v>
      </c>
      <c r="M24" s="12">
        <v>48255369.934699997</v>
      </c>
      <c r="N24" s="21">
        <v>1942169.3668</v>
      </c>
      <c r="O24" s="12">
        <v>9710846.8341000006</v>
      </c>
      <c r="P24" s="21">
        <v>5372496.8064000001</v>
      </c>
      <c r="Q24" s="12">
        <v>26862484.0319</v>
      </c>
      <c r="R24" s="21">
        <v>3140193.9741000002</v>
      </c>
      <c r="S24" s="12">
        <v>15700969.870300001</v>
      </c>
      <c r="T24" s="21">
        <v>2889766.5654000002</v>
      </c>
      <c r="U24" s="12">
        <v>14448832.827099999</v>
      </c>
      <c r="V24" s="21">
        <v>4912230.3032999998</v>
      </c>
      <c r="W24" s="12">
        <v>24561151.516600002</v>
      </c>
      <c r="X24" s="21">
        <v>3842388.0817999998</v>
      </c>
      <c r="Y24" s="12">
        <v>19211940.408799998</v>
      </c>
    </row>
    <row r="25" spans="1:25">
      <c r="A25" s="7">
        <f t="shared" si="0"/>
        <v>22</v>
      </c>
      <c r="B25" s="21">
        <v>5857542.9248000002</v>
      </c>
      <c r="C25" s="12">
        <v>29287714.623799998</v>
      </c>
      <c r="D25" s="21">
        <v>8332453.3787000002</v>
      </c>
      <c r="E25" s="12">
        <v>41662266.8935</v>
      </c>
      <c r="F25" s="21">
        <v>7891421.2244999995</v>
      </c>
      <c r="G25" s="12">
        <v>39457106.122500002</v>
      </c>
      <c r="H25" s="21">
        <v>3398819.5913999998</v>
      </c>
      <c r="I25" s="12">
        <v>16994097.956900001</v>
      </c>
      <c r="J25" s="21">
        <v>4962224.2155999998</v>
      </c>
      <c r="K25" s="12">
        <v>24811121.078200001</v>
      </c>
      <c r="L25" s="21">
        <v>3422169.0249000001</v>
      </c>
      <c r="M25" s="12">
        <v>17110845.124400001</v>
      </c>
      <c r="N25" s="21">
        <v>3026333.7815</v>
      </c>
      <c r="O25" s="12">
        <v>15131668.907400001</v>
      </c>
      <c r="P25" s="21">
        <v>6508454.8947000001</v>
      </c>
      <c r="Q25" s="12">
        <v>32542274.473299999</v>
      </c>
      <c r="R25" s="21">
        <v>2866879.6381000001</v>
      </c>
      <c r="S25" s="12">
        <v>14334398.1906</v>
      </c>
      <c r="T25" s="21">
        <v>3242072.1708999998</v>
      </c>
      <c r="U25" s="12">
        <v>16210360.854499999</v>
      </c>
      <c r="V25" s="21">
        <v>6171037.2412999999</v>
      </c>
      <c r="W25" s="12">
        <v>30855186.2064</v>
      </c>
      <c r="X25" s="21">
        <v>2067396.9010000001</v>
      </c>
      <c r="Y25" s="12">
        <v>10336984.504799999</v>
      </c>
    </row>
    <row r="26" spans="1:25">
      <c r="A26" s="7">
        <f t="shared" si="0"/>
        <v>23</v>
      </c>
      <c r="B26" s="21">
        <v>5008531.2778000003</v>
      </c>
      <c r="C26" s="12">
        <v>25042656.388799999</v>
      </c>
      <c r="D26" s="21">
        <v>3876941.9190000002</v>
      </c>
      <c r="E26" s="12">
        <v>19384709.594900001</v>
      </c>
      <c r="F26" s="21">
        <v>3414048.2428000001</v>
      </c>
      <c r="G26" s="12">
        <v>17070241.214000002</v>
      </c>
      <c r="H26" s="21">
        <v>5389591.5902000004</v>
      </c>
      <c r="I26" s="12">
        <v>26947957.9509</v>
      </c>
      <c r="J26" s="21">
        <v>7197506.5153000001</v>
      </c>
      <c r="K26" s="12">
        <v>35987532.576499999</v>
      </c>
      <c r="L26" s="21">
        <v>2893003.4835000001</v>
      </c>
      <c r="M26" s="12">
        <v>14465017.4175</v>
      </c>
      <c r="N26" s="21">
        <v>4229174.8119999999</v>
      </c>
      <c r="O26" s="12">
        <v>21145874.060199998</v>
      </c>
      <c r="P26" s="21">
        <v>7944098.4192000004</v>
      </c>
      <c r="Q26" s="12">
        <v>39720492.095899999</v>
      </c>
      <c r="R26" s="21">
        <v>2838879.1808000002</v>
      </c>
      <c r="S26" s="12">
        <v>14194395.903999999</v>
      </c>
      <c r="T26" s="21">
        <v>5490331.0376000004</v>
      </c>
      <c r="U26" s="12">
        <v>27451655.188200001</v>
      </c>
      <c r="V26" s="21">
        <v>3357127.5088999998</v>
      </c>
      <c r="W26" s="12">
        <v>16785637.5447</v>
      </c>
      <c r="X26" s="21">
        <v>2230324.4010000001</v>
      </c>
      <c r="Y26" s="12">
        <v>11151622.005000001</v>
      </c>
    </row>
    <row r="27" spans="1:25">
      <c r="A27" s="7">
        <f t="shared" si="0"/>
        <v>24</v>
      </c>
      <c r="B27" s="21">
        <v>7446206.7374</v>
      </c>
      <c r="C27" s="12">
        <v>37231033.687100001</v>
      </c>
      <c r="D27" s="21">
        <v>2691017.7217999999</v>
      </c>
      <c r="E27" s="12">
        <v>13455088.609200001</v>
      </c>
      <c r="F27" s="21">
        <v>2151913.4778</v>
      </c>
      <c r="G27" s="12">
        <v>10759567.388800001</v>
      </c>
      <c r="H27" s="21">
        <v>5251768.1650999999</v>
      </c>
      <c r="I27" s="12">
        <v>26258840.825399999</v>
      </c>
      <c r="J27" s="21">
        <v>7817448.6552999998</v>
      </c>
      <c r="K27" s="12">
        <v>39087243.276600003</v>
      </c>
      <c r="L27" s="21">
        <v>3581375.1006999998</v>
      </c>
      <c r="M27" s="12">
        <v>17906875.5035</v>
      </c>
      <c r="N27" s="21">
        <v>6638809.0066999998</v>
      </c>
      <c r="O27" s="12">
        <v>33194045.033500001</v>
      </c>
      <c r="P27" s="21">
        <v>2302995.0082999999</v>
      </c>
      <c r="Q27" s="12">
        <v>11514975.041300001</v>
      </c>
      <c r="R27" s="21">
        <v>3463775.0177000002</v>
      </c>
      <c r="S27" s="12">
        <v>17318875.088500001</v>
      </c>
      <c r="T27" s="21">
        <v>5632703.8150000004</v>
      </c>
      <c r="U27" s="12">
        <v>28163519.074900001</v>
      </c>
      <c r="V27" s="21">
        <v>3310176.0512000001</v>
      </c>
      <c r="W27" s="12">
        <v>16550880.255999999</v>
      </c>
      <c r="X27" s="21">
        <f>-60341.925+60342</f>
        <v>7.4999999997089617E-2</v>
      </c>
      <c r="Y27" s="12">
        <f>-301709.6252+301709.6252</f>
        <v>0</v>
      </c>
    </row>
    <row r="28" spans="1:25">
      <c r="A28" s="7">
        <f t="shared" si="0"/>
        <v>25</v>
      </c>
      <c r="B28" s="21">
        <v>7563418.1511000004</v>
      </c>
      <c r="C28" s="12">
        <v>37817090.7553</v>
      </c>
      <c r="D28" s="21">
        <v>4533882.8356999997</v>
      </c>
      <c r="E28" s="12">
        <v>22669414.1787</v>
      </c>
      <c r="F28" s="21">
        <v>5107270.2248</v>
      </c>
      <c r="G28" s="12">
        <v>25536351.1241</v>
      </c>
      <c r="H28" s="21">
        <v>5673106.3658999996</v>
      </c>
      <c r="I28" s="12">
        <v>28365531.829399999</v>
      </c>
      <c r="J28" s="21">
        <v>3945416.8015999999</v>
      </c>
      <c r="K28" s="12">
        <v>19727084.008200001</v>
      </c>
      <c r="L28" s="21">
        <v>4520715.5669999998</v>
      </c>
      <c r="M28" s="12">
        <v>22603577.834800001</v>
      </c>
      <c r="N28" s="21">
        <v>6194799.8125999998</v>
      </c>
      <c r="O28" s="12">
        <v>30973999.062899999</v>
      </c>
      <c r="P28" s="21">
        <v>2781226.2440999998</v>
      </c>
      <c r="Q28" s="12">
        <v>13906131.220699999</v>
      </c>
      <c r="R28" s="21">
        <v>4128333.9339000001</v>
      </c>
      <c r="S28" s="12">
        <v>20641669.669300001</v>
      </c>
      <c r="T28" s="21">
        <v>7488136.6805999996</v>
      </c>
      <c r="U28" s="12">
        <v>37440683.402800001</v>
      </c>
      <c r="V28" s="21">
        <v>1796829.5784</v>
      </c>
      <c r="W28" s="12">
        <v>8984147.8922000006</v>
      </c>
      <c r="X28" s="21">
        <f>506707.0714-60342</f>
        <v>446365.07140000002</v>
      </c>
      <c r="Y28" s="12">
        <f>2533535.3571-301710</f>
        <v>2231825.3571000001</v>
      </c>
    </row>
    <row r="29" spans="1:25">
      <c r="A29" s="7">
        <f t="shared" si="0"/>
        <v>26</v>
      </c>
      <c r="B29" s="21">
        <v>4183427.4427999998</v>
      </c>
      <c r="C29" s="12">
        <v>20917137.214000002</v>
      </c>
      <c r="D29" s="21">
        <v>7577252.767</v>
      </c>
      <c r="E29" s="12">
        <v>37886263.834899999</v>
      </c>
      <c r="F29" s="21">
        <v>6491500.6275000004</v>
      </c>
      <c r="G29" s="12">
        <v>32457503.137400001</v>
      </c>
      <c r="H29" s="21">
        <v>7271613.4611</v>
      </c>
      <c r="I29" s="12">
        <v>36358067.305699997</v>
      </c>
      <c r="J29" s="21">
        <v>2881860.3184000002</v>
      </c>
      <c r="K29" s="12">
        <v>14409301.5921</v>
      </c>
      <c r="L29" s="21">
        <v>4284666.352</v>
      </c>
      <c r="M29" s="12">
        <v>21423331.7599</v>
      </c>
      <c r="N29" s="21">
        <v>7697467.6896000002</v>
      </c>
      <c r="O29" s="12">
        <v>38487338.447800003</v>
      </c>
      <c r="P29" s="21">
        <v>3332867.3343000002</v>
      </c>
      <c r="Q29" s="12">
        <v>16664336.671399999</v>
      </c>
      <c r="R29" s="21">
        <v>5409437.3453000002</v>
      </c>
      <c r="S29" s="12">
        <v>27047186.726599999</v>
      </c>
      <c r="T29" s="21">
        <v>3079680.9378999998</v>
      </c>
      <c r="U29" s="12">
        <v>15398404.6896</v>
      </c>
      <c r="V29" s="21">
        <v>2931803.3895</v>
      </c>
      <c r="W29" s="12">
        <v>14659016.9475</v>
      </c>
      <c r="X29" s="21">
        <v>7335628.6435000002</v>
      </c>
      <c r="Y29" s="12">
        <v>36678143.217600003</v>
      </c>
    </row>
    <row r="30" spans="1:25">
      <c r="A30" s="7">
        <f t="shared" si="0"/>
        <v>27</v>
      </c>
      <c r="B30" s="21">
        <v>2269383.3036000002</v>
      </c>
      <c r="C30" s="12">
        <v>11346916.517999999</v>
      </c>
      <c r="D30" s="21">
        <v>6334208.0809000004</v>
      </c>
      <c r="E30" s="12">
        <v>31671040.404300001</v>
      </c>
      <c r="F30" s="21">
        <v>5183059.0746999998</v>
      </c>
      <c r="G30" s="12">
        <v>25915295.373500001</v>
      </c>
      <c r="H30" s="21">
        <v>3336576.8503999999</v>
      </c>
      <c r="I30" s="12">
        <v>16682884.2521</v>
      </c>
      <c r="J30" s="21">
        <v>2581431.3347</v>
      </c>
      <c r="K30" s="12">
        <v>12907156.673699999</v>
      </c>
      <c r="L30" s="21">
        <v>8267639.1681000004</v>
      </c>
      <c r="M30" s="12">
        <v>41338195.840300001</v>
      </c>
      <c r="N30" s="21">
        <v>3155833.3966999999</v>
      </c>
      <c r="O30" s="12">
        <v>15779166.9836</v>
      </c>
      <c r="P30" s="21">
        <v>5799958.6073000003</v>
      </c>
      <c r="Q30" s="12">
        <v>28999793.0363</v>
      </c>
      <c r="R30" s="21">
        <v>7160190.7517999997</v>
      </c>
      <c r="S30" s="12">
        <v>35800953.759199999</v>
      </c>
      <c r="T30" s="21">
        <v>1703676.2678</v>
      </c>
      <c r="U30" s="12">
        <v>8518381.3391999993</v>
      </c>
      <c r="V30" s="21">
        <v>5080756.6528000003</v>
      </c>
      <c r="W30" s="12">
        <v>25403783.264199998</v>
      </c>
      <c r="X30" s="21">
        <v>6484501.6458999999</v>
      </c>
      <c r="Y30" s="12">
        <v>32422508.229400001</v>
      </c>
    </row>
    <row r="31" spans="1:25">
      <c r="A31" s="7">
        <f t="shared" si="0"/>
        <v>28</v>
      </c>
      <c r="B31" s="21">
        <v>4442784.9116000002</v>
      </c>
      <c r="C31" s="12">
        <v>22213924.558200002</v>
      </c>
      <c r="D31" s="21">
        <v>8497776.1147000007</v>
      </c>
      <c r="E31" s="12">
        <v>42488880.5735</v>
      </c>
      <c r="F31" s="21">
        <v>6620653.6683999998</v>
      </c>
      <c r="G31" s="12">
        <v>33103268.341899998</v>
      </c>
      <c r="H31" s="21">
        <v>3579276.6305</v>
      </c>
      <c r="I31" s="12">
        <v>17896383.152600002</v>
      </c>
      <c r="J31" s="21">
        <v>4052247.2146999999</v>
      </c>
      <c r="K31" s="12">
        <v>20261236.0735</v>
      </c>
      <c r="L31" s="21">
        <v>11753426.181500001</v>
      </c>
      <c r="M31" s="12">
        <v>58767130.907700002</v>
      </c>
      <c r="N31" s="21">
        <v>1942169.3668</v>
      </c>
      <c r="O31" s="12">
        <v>9710846.8341000006</v>
      </c>
      <c r="P31" s="21">
        <v>5372496.8064000001</v>
      </c>
      <c r="Q31" s="12">
        <v>26862484.0319</v>
      </c>
      <c r="R31" s="21">
        <v>3140193.9741000002</v>
      </c>
      <c r="S31" s="12">
        <v>15700969.870300001</v>
      </c>
      <c r="T31" s="21">
        <v>2889766.5654000002</v>
      </c>
      <c r="U31" s="12">
        <v>14448832.827099999</v>
      </c>
      <c r="V31" s="21">
        <v>4912230.3032999998</v>
      </c>
      <c r="W31" s="12">
        <v>24561151.516600002</v>
      </c>
      <c r="X31" s="21">
        <v>3842388.0817999998</v>
      </c>
      <c r="Y31" s="12">
        <v>19211940.408799998</v>
      </c>
    </row>
    <row r="32" spans="1:25">
      <c r="A32" s="7">
        <f t="shared" si="0"/>
        <v>29</v>
      </c>
      <c r="B32" s="21">
        <v>5857542.9248000002</v>
      </c>
      <c r="C32" s="12">
        <v>29287714.623799998</v>
      </c>
      <c r="D32" s="21"/>
      <c r="E32" s="12"/>
      <c r="F32" s="21">
        <v>7891421.2244999995</v>
      </c>
      <c r="G32" s="12">
        <v>39457106.122500002</v>
      </c>
      <c r="H32" s="21">
        <v>3398819.5913999998</v>
      </c>
      <c r="I32" s="12">
        <v>16994097.956900001</v>
      </c>
      <c r="J32" s="21">
        <v>4962224.2155999998</v>
      </c>
      <c r="K32" s="12">
        <v>24811121.078200001</v>
      </c>
      <c r="L32" s="21">
        <v>4167640.9350000001</v>
      </c>
      <c r="M32" s="12">
        <v>20838204.675000001</v>
      </c>
      <c r="N32" s="21">
        <v>3026333.7815</v>
      </c>
      <c r="O32" s="12">
        <v>15131668.907400001</v>
      </c>
      <c r="P32" s="21">
        <v>6508454.8947000001</v>
      </c>
      <c r="Q32" s="12">
        <v>32542274.473299999</v>
      </c>
      <c r="R32" s="21">
        <v>2866879.6381000001</v>
      </c>
      <c r="S32" s="12">
        <v>14334398.1906</v>
      </c>
      <c r="T32" s="21">
        <v>3242072.1708999998</v>
      </c>
      <c r="U32" s="12">
        <v>16210360.854499999</v>
      </c>
      <c r="V32" s="21">
        <v>6171037.2412999999</v>
      </c>
      <c r="W32" s="12">
        <v>30855186.2064</v>
      </c>
      <c r="X32" s="21">
        <v>2067396.9010000001</v>
      </c>
      <c r="Y32" s="12">
        <v>10336984.504799999</v>
      </c>
    </row>
    <row r="33" spans="1:25">
      <c r="A33" s="7">
        <f t="shared" si="0"/>
        <v>30</v>
      </c>
      <c r="B33" s="21">
        <v>5008531.2778000003</v>
      </c>
      <c r="C33" s="12">
        <v>25042656.388799999</v>
      </c>
      <c r="D33" s="20"/>
      <c r="E33" s="9"/>
      <c r="F33" s="21">
        <v>3414048.2428000001</v>
      </c>
      <c r="G33" s="12">
        <v>17070241.214000002</v>
      </c>
      <c r="H33" s="21">
        <v>6837106.7531000003</v>
      </c>
      <c r="I33" s="12">
        <v>34185533.7654</v>
      </c>
      <c r="J33" s="21">
        <v>7197506.5153000001</v>
      </c>
      <c r="K33" s="12">
        <v>35987532.576499999</v>
      </c>
      <c r="L33" s="21">
        <v>2893003.4835000001</v>
      </c>
      <c r="M33" s="12">
        <v>14465017.4175</v>
      </c>
      <c r="N33" s="21">
        <v>4229174.8119999999</v>
      </c>
      <c r="O33" s="12">
        <v>21145874.060199998</v>
      </c>
      <c r="P33" s="21">
        <v>7944098.4192000004</v>
      </c>
      <c r="Q33" s="12">
        <v>39720492.095899999</v>
      </c>
      <c r="R33" s="21">
        <v>2838879.1808000002</v>
      </c>
      <c r="S33" s="12">
        <v>14194395.903999999</v>
      </c>
      <c r="T33" s="21">
        <v>7555228.5965999998</v>
      </c>
      <c r="U33" s="12">
        <v>37776142.983099997</v>
      </c>
      <c r="V33" s="21">
        <v>3357127.5088999998</v>
      </c>
      <c r="W33" s="12">
        <v>16785637.5447</v>
      </c>
      <c r="X33" s="21">
        <v>2230324.4010000001</v>
      </c>
      <c r="Y33" s="12">
        <v>11151622.005000001</v>
      </c>
    </row>
    <row r="34" spans="1:25" ht="15">
      <c r="A34" s="7">
        <f t="shared" si="0"/>
        <v>31</v>
      </c>
      <c r="B34" s="21">
        <v>7446206.7374</v>
      </c>
      <c r="C34" s="12">
        <v>37231033.687100001</v>
      </c>
      <c r="D34" s="20"/>
      <c r="E34" s="9"/>
      <c r="F34" s="21">
        <v>2151913.4778</v>
      </c>
      <c r="G34" s="12">
        <v>10759567.388800001</v>
      </c>
      <c r="J34" s="21">
        <v>7817448.6552999998</v>
      </c>
      <c r="K34" s="12">
        <v>39087243.276600003</v>
      </c>
      <c r="L34" s="4"/>
      <c r="N34" s="21">
        <v>6638809.0066999998</v>
      </c>
      <c r="O34" s="12">
        <v>33194045.033500001</v>
      </c>
      <c r="P34" s="21">
        <v>2302995.0082999999</v>
      </c>
      <c r="Q34" s="12">
        <v>11514975.041300001</v>
      </c>
      <c r="T34" s="21">
        <v>7751147.3619999997</v>
      </c>
      <c r="U34" s="12">
        <v>38755736.810199998</v>
      </c>
      <c r="V34" s="4"/>
      <c r="X34" s="21">
        <v>4035918.2163999998</v>
      </c>
      <c r="Y34" s="12">
        <v>20179591.081999999</v>
      </c>
    </row>
    <row r="35" spans="1:25" ht="15">
      <c r="A35" s="18" t="s">
        <v>16</v>
      </c>
      <c r="B35" s="19">
        <f t="shared" ref="B35:X35" si="1">SUM(B4:B34)</f>
        <v>160316859.07639995</v>
      </c>
      <c r="C35" s="19">
        <f>SUM(C4:C34)</f>
        <v>801584295.38070023</v>
      </c>
      <c r="D35" s="19">
        <f t="shared" si="1"/>
        <v>167374131.27120003</v>
      </c>
      <c r="E35" s="19">
        <f t="shared" si="1"/>
        <v>836870656.35600007</v>
      </c>
      <c r="F35" s="19">
        <f t="shared" si="1"/>
        <v>160896849.10709998</v>
      </c>
      <c r="G35" s="19">
        <f t="shared" si="1"/>
        <v>804484245.53409994</v>
      </c>
      <c r="H35" s="19">
        <f t="shared" si="1"/>
        <v>151622202.23290002</v>
      </c>
      <c r="I35" s="19">
        <f>SUM(I4:I34)</f>
        <v>758111011.1645999</v>
      </c>
      <c r="J35" s="19">
        <f t="shared" si="1"/>
        <v>158872141.54030001</v>
      </c>
      <c r="K35" s="19">
        <f>SUM(K4:K34)</f>
        <v>794360707.70480001</v>
      </c>
      <c r="L35" s="19">
        <f t="shared" si="1"/>
        <v>158379912.46530002</v>
      </c>
      <c r="M35" s="19">
        <f>SUM(M4:M34)</f>
        <v>791899562.32519984</v>
      </c>
      <c r="N35" s="19">
        <f t="shared" si="1"/>
        <v>149475917.72320002</v>
      </c>
      <c r="O35" s="19">
        <f>SUM(O4:O34)</f>
        <v>747379588.61600006</v>
      </c>
      <c r="P35" s="19">
        <f t="shared" si="1"/>
        <v>155264423.40460002</v>
      </c>
      <c r="Q35" s="19">
        <f>SUM(Q4:Q34)</f>
        <v>776322117.01990008</v>
      </c>
      <c r="R35" s="19">
        <f t="shared" si="1"/>
        <v>133836063.64670001</v>
      </c>
      <c r="S35" s="19">
        <f>SUM(S4:S34)</f>
        <v>669180318.23389995</v>
      </c>
      <c r="T35" s="19">
        <f t="shared" si="1"/>
        <v>140628443.54700002</v>
      </c>
      <c r="U35" s="19">
        <f>SUM(U4:U34)</f>
        <v>703142217.73640013</v>
      </c>
      <c r="V35" s="19">
        <f t="shared" si="1"/>
        <v>121354121.50240001</v>
      </c>
      <c r="W35" s="19">
        <f>SUM(W4:W34)</f>
        <v>606770607.51459992</v>
      </c>
      <c r="X35" s="19">
        <f t="shared" si="1"/>
        <v>120379204.06509997</v>
      </c>
      <c r="Y35" s="19">
        <f>SUM(Y4:Y34)</f>
        <v>601896019.94930005</v>
      </c>
    </row>
    <row r="36" spans="1:25" hidden="1">
      <c r="C36" s="22">
        <f>+B35/C35</f>
        <v>0.20000000000032425</v>
      </c>
      <c r="E36" s="13">
        <f>+D35/E35</f>
        <v>0.2</v>
      </c>
      <c r="G36" s="13">
        <f>+F35/G35</f>
        <v>0.20000000000034804</v>
      </c>
      <c r="I36" s="13">
        <f>+H35/I35</f>
        <v>0.19999999999997367</v>
      </c>
      <c r="K36" s="13">
        <f>+J35/K35</f>
        <v>0.19999999999916915</v>
      </c>
      <c r="M36" s="13">
        <f>+L35/M35</f>
        <v>0.20000000000032839</v>
      </c>
      <c r="O36" s="13">
        <f>+N35/O35</f>
        <v>0.2</v>
      </c>
      <c r="Q36" s="13">
        <f>+P35/Q35</f>
        <v>0.20000000000079865</v>
      </c>
      <c r="S36" s="13">
        <f>+R35/S35</f>
        <v>0.19999999999988047</v>
      </c>
      <c r="U36" s="13">
        <f>+T35/U35</f>
        <v>0.19999999999960177</v>
      </c>
      <c r="W36" s="13">
        <f>+V35/W35</f>
        <v>0.19999999999914306</v>
      </c>
      <c r="Y36" s="13">
        <f>+X35/Y35</f>
        <v>0.20000000012500491</v>
      </c>
    </row>
    <row r="37" spans="1:25" ht="15"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</sheetData>
  <mergeCells count="12">
    <mergeCell ref="X2:Y2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B4" sqref="B4:B34"/>
    </sheetView>
  </sheetViews>
  <sheetFormatPr baseColWidth="10" defaultColWidth="10.75" defaultRowHeight="14.25"/>
  <cols>
    <col min="1" max="1" width="7.625" customWidth="1"/>
    <col min="2" max="2" width="11" customWidth="1"/>
    <col min="4" max="4" width="12.875" customWidth="1"/>
    <col min="8" max="8" width="12.375" customWidth="1"/>
    <col min="10" max="10" width="12.875" customWidth="1"/>
    <col min="11" max="11" width="12.625" customWidth="1"/>
    <col min="13" max="13" width="13.125" customWidth="1"/>
  </cols>
  <sheetData>
    <row r="1" spans="1:13">
      <c r="A1" t="s">
        <v>13</v>
      </c>
    </row>
    <row r="2" spans="1:13">
      <c r="A2" s="5" t="s">
        <v>14</v>
      </c>
      <c r="B2" s="6">
        <v>45658</v>
      </c>
      <c r="C2" s="6">
        <v>45689</v>
      </c>
      <c r="D2" s="6">
        <v>45717</v>
      </c>
      <c r="E2" s="6">
        <v>45748</v>
      </c>
      <c r="F2" s="6">
        <v>45778</v>
      </c>
      <c r="G2" s="6">
        <v>45809</v>
      </c>
      <c r="H2" s="6">
        <v>45839</v>
      </c>
      <c r="I2" s="6">
        <v>45870</v>
      </c>
      <c r="J2" s="6">
        <v>45901</v>
      </c>
      <c r="K2" s="6">
        <v>45931</v>
      </c>
      <c r="L2" s="6">
        <v>45962</v>
      </c>
      <c r="M2" s="6">
        <v>45992</v>
      </c>
    </row>
    <row r="3" spans="1:13">
      <c r="A3" s="5"/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</row>
    <row r="4" spans="1:13">
      <c r="A4" s="7">
        <v>1</v>
      </c>
      <c r="B4" s="8">
        <v>382870.74353040708</v>
      </c>
      <c r="C4" s="8">
        <v>5330416.7355658924</v>
      </c>
      <c r="D4" s="8">
        <v>5516267.6091676969</v>
      </c>
      <c r="E4" s="8">
        <v>2888908.5691601434</v>
      </c>
      <c r="F4" s="8">
        <v>3116996.7775520873</v>
      </c>
      <c r="G4" s="8">
        <v>2394611.365822088</v>
      </c>
      <c r="H4" s="8">
        <v>1611555.3046322046</v>
      </c>
      <c r="I4" s="8">
        <v>4940149.4460206628</v>
      </c>
      <c r="J4" s="8">
        <v>2319250.3850605329</v>
      </c>
      <c r="K4" s="8">
        <v>2714437.741490691</v>
      </c>
      <c r="L4" s="8">
        <v>4836301.5702639725</v>
      </c>
      <c r="M4" s="8">
        <v>1996739.5334647233</v>
      </c>
    </row>
    <row r="5" spans="1:13">
      <c r="A5" s="7">
        <f>+A4+1</f>
        <v>2</v>
      </c>
      <c r="B5" s="8">
        <v>3503289.5111992811</v>
      </c>
      <c r="C5" s="8">
        <v>2366126.1091841822</v>
      </c>
      <c r="D5" s="8">
        <v>2566526.3903750144</v>
      </c>
      <c r="E5" s="8">
        <v>3889830.523161266</v>
      </c>
      <c r="F5" s="8">
        <v>4143199.0843922365</v>
      </c>
      <c r="G5" s="8">
        <v>1608097.4056848306</v>
      </c>
      <c r="H5" s="8">
        <v>3220773.2901742458</v>
      </c>
      <c r="I5" s="8">
        <v>4323366.5397052597</v>
      </c>
      <c r="J5" s="8">
        <v>2604534.137568552</v>
      </c>
      <c r="K5" s="8">
        <v>2826392.9975243602</v>
      </c>
      <c r="L5" s="8">
        <v>2680514.8865621574</v>
      </c>
      <c r="M5" s="8">
        <v>3179001.2777143391</v>
      </c>
    </row>
    <row r="6" spans="1:13">
      <c r="A6" s="7">
        <f t="shared" ref="A6:A34" si="0">+A5+1</f>
        <v>3</v>
      </c>
      <c r="B6" s="8">
        <v>3834058.4798818249</v>
      </c>
      <c r="C6" s="8">
        <v>2731422.0637035053</v>
      </c>
      <c r="D6" s="8">
        <v>2289856.8114773603</v>
      </c>
      <c r="E6" s="8">
        <v>3104876.4716906128</v>
      </c>
      <c r="F6" s="8">
        <v>4142134.8594224909</v>
      </c>
      <c r="G6" s="8">
        <v>3331511.5399742378</v>
      </c>
      <c r="H6" s="8">
        <v>3310858.9182493971</v>
      </c>
      <c r="I6" s="8">
        <v>1794648.1975273537</v>
      </c>
      <c r="J6" s="8">
        <v>2935301.5692346208</v>
      </c>
      <c r="K6" s="8">
        <v>4082402.2067655986</v>
      </c>
      <c r="L6" s="8">
        <v>2234191.548823189</v>
      </c>
      <c r="M6" s="8">
        <v>3368021.2909256229</v>
      </c>
    </row>
    <row r="7" spans="1:13">
      <c r="A7" s="7">
        <f t="shared" si="0"/>
        <v>4</v>
      </c>
      <c r="B7" s="8">
        <v>4781386.545536587</v>
      </c>
      <c r="C7" s="8">
        <v>2559906.0529773505</v>
      </c>
      <c r="D7" s="8">
        <v>1755470.8181795483</v>
      </c>
      <c r="E7" s="8">
        <v>4732076.1416333318</v>
      </c>
      <c r="F7" s="8">
        <v>2005145.4115751116</v>
      </c>
      <c r="G7" s="8">
        <v>3049503.0538496175</v>
      </c>
      <c r="H7" s="8">
        <v>4347136.0638126824</v>
      </c>
      <c r="I7" s="8">
        <v>2317736.5376018779</v>
      </c>
      <c r="J7" s="8">
        <v>3151464.7471133145</v>
      </c>
      <c r="K7" s="8">
        <v>3931742.082481843</v>
      </c>
      <c r="L7" s="8">
        <v>3005915.7199128224</v>
      </c>
      <c r="M7" s="8">
        <v>3362054.3525048173</v>
      </c>
    </row>
    <row r="8" spans="1:13">
      <c r="A8" s="7">
        <f t="shared" si="0"/>
        <v>5</v>
      </c>
      <c r="B8" s="8">
        <v>2669896.4811196113</v>
      </c>
      <c r="C8" s="8">
        <v>4662827.6483340245</v>
      </c>
      <c r="D8" s="8">
        <v>3729977.5703164851</v>
      </c>
      <c r="E8" s="8">
        <v>5726802.5724452334</v>
      </c>
      <c r="F8" s="8">
        <v>1709914.3511483567</v>
      </c>
      <c r="G8" s="8">
        <v>3390927.7287807548</v>
      </c>
      <c r="H8" s="8">
        <v>4915405.7585793687</v>
      </c>
      <c r="I8" s="8">
        <v>1821237.0228694668</v>
      </c>
      <c r="J8" s="8">
        <v>3716387.5937569644</v>
      </c>
      <c r="K8" s="8">
        <v>1663384.7219954277</v>
      </c>
      <c r="L8" s="8">
        <v>2947524.8934608139</v>
      </c>
      <c r="M8" s="8">
        <v>3698813.6054737465</v>
      </c>
    </row>
    <row r="9" spans="1:13">
      <c r="A9" s="7">
        <f t="shared" si="0"/>
        <v>6</v>
      </c>
      <c r="B9" s="8">
        <v>1934698.5102388207</v>
      </c>
      <c r="C9" s="8">
        <v>3878921.7393122222</v>
      </c>
      <c r="D9" s="8">
        <v>3860628.0752604483</v>
      </c>
      <c r="E9" s="8">
        <v>2533460.4617954316</v>
      </c>
      <c r="F9" s="8">
        <v>3401669.1128904819</v>
      </c>
      <c r="G9" s="8">
        <v>4057788.0847572889</v>
      </c>
      <c r="H9" s="8">
        <v>2197499.5653019538</v>
      </c>
      <c r="I9" s="8">
        <v>2182440.0331166638</v>
      </c>
      <c r="J9" s="8">
        <v>5008896.7319711559</v>
      </c>
      <c r="K9" s="8">
        <v>2379470.9074994964</v>
      </c>
      <c r="L9" s="8">
        <v>2556512.6515559731</v>
      </c>
      <c r="M9" s="8">
        <v>6713938.0095748696</v>
      </c>
    </row>
    <row r="10" spans="1:13">
      <c r="A10" s="7">
        <f t="shared" si="0"/>
        <v>7</v>
      </c>
      <c r="B10" s="8">
        <v>2192564.7216945579</v>
      </c>
      <c r="C10" s="8">
        <v>4170747.4511742508</v>
      </c>
      <c r="D10" s="8">
        <v>3564115.5525786942</v>
      </c>
      <c r="E10" s="8">
        <v>2942977.996038042</v>
      </c>
      <c r="F10" s="8">
        <v>2977695.0605812501</v>
      </c>
      <c r="G10" s="8">
        <v>4540113.400915347</v>
      </c>
      <c r="H10" s="8">
        <v>2022146.6806671694</v>
      </c>
      <c r="I10" s="8">
        <v>3095575.874383688</v>
      </c>
      <c r="J10" s="8">
        <v>1847934.5510640601</v>
      </c>
      <c r="K10" s="8">
        <v>1952837.4654014558</v>
      </c>
      <c r="L10" s="8">
        <v>4030952.4836959275</v>
      </c>
      <c r="M10" s="8">
        <v>2345436.2755128881</v>
      </c>
    </row>
    <row r="11" spans="1:13">
      <c r="A11" s="7">
        <f t="shared" si="0"/>
        <v>8</v>
      </c>
      <c r="B11" s="8">
        <v>4268880.1541764364</v>
      </c>
      <c r="C11" s="8">
        <v>5330416.7355658924</v>
      </c>
      <c r="D11" s="8">
        <v>5516267.6091676988</v>
      </c>
      <c r="E11" s="8">
        <v>2271606.2144194096</v>
      </c>
      <c r="F11" s="8">
        <v>3116996.7775520873</v>
      </c>
      <c r="G11" s="8">
        <v>2323940.6055279765</v>
      </c>
      <c r="H11" s="8">
        <v>1611555.3046322046</v>
      </c>
      <c r="I11" s="8">
        <v>4940149.4460206646</v>
      </c>
      <c r="J11" s="8">
        <v>2319250.3850605329</v>
      </c>
      <c r="K11" s="8">
        <v>2714437.741490691</v>
      </c>
      <c r="L11" s="8">
        <v>4836301.5702639725</v>
      </c>
      <c r="M11" s="8">
        <v>1996739.5334647233</v>
      </c>
    </row>
    <row r="12" spans="1:13">
      <c r="A12" s="7">
        <f t="shared" si="0"/>
        <v>9</v>
      </c>
      <c r="B12" s="8">
        <v>3503289.5111992811</v>
      </c>
      <c r="C12" s="8">
        <v>2366126.1091841822</v>
      </c>
      <c r="D12" s="8">
        <v>1712207.947454283</v>
      </c>
      <c r="E12" s="8">
        <v>3889830.523161266</v>
      </c>
      <c r="F12" s="8">
        <v>4143199.0843922365</v>
      </c>
      <c r="G12" s="8">
        <v>2608097.4056848306</v>
      </c>
      <c r="H12" s="8">
        <v>3220773.2901742458</v>
      </c>
      <c r="I12" s="8">
        <v>4323366.5397052597</v>
      </c>
      <c r="J12" s="8">
        <v>2604534.137568552</v>
      </c>
      <c r="K12" s="8">
        <v>2826392.9975243611</v>
      </c>
      <c r="L12" s="8">
        <v>1687390.0324281547</v>
      </c>
      <c r="M12" s="8">
        <v>1914062.8383491905</v>
      </c>
    </row>
    <row r="13" spans="1:13">
      <c r="A13" s="7">
        <f t="shared" si="0"/>
        <v>10</v>
      </c>
      <c r="B13" s="8">
        <v>3834058.4798818249</v>
      </c>
      <c r="C13" s="8">
        <v>1805416.7667016042</v>
      </c>
      <c r="D13" s="8">
        <v>2289856.8114773603</v>
      </c>
      <c r="E13" s="8">
        <v>3104876.4716906128</v>
      </c>
      <c r="F13" s="8">
        <v>4142134.8594224909</v>
      </c>
      <c r="G13" s="8">
        <v>3331511.5399742378</v>
      </c>
      <c r="H13" s="8">
        <v>3310858.9182493971</v>
      </c>
      <c r="I13" s="8">
        <v>1794648.1975273537</v>
      </c>
      <c r="J13" s="8">
        <v>2935301.5692346208</v>
      </c>
      <c r="K13" s="8">
        <v>4082402.2067656005</v>
      </c>
      <c r="L13" s="8">
        <v>2234191.548823189</v>
      </c>
      <c r="M13" s="8">
        <v>3368021.2909256229</v>
      </c>
    </row>
    <row r="14" spans="1:13">
      <c r="A14" s="7">
        <f t="shared" si="0"/>
        <v>11</v>
      </c>
      <c r="B14" s="8">
        <v>4781386.545536587</v>
      </c>
      <c r="C14" s="8">
        <v>2559906.0529773515</v>
      </c>
      <c r="D14" s="8">
        <v>1755470.8181795483</v>
      </c>
      <c r="E14" s="8">
        <v>4732076.1416333318</v>
      </c>
      <c r="F14" s="8">
        <v>2005145.4115751116</v>
      </c>
      <c r="G14" s="8">
        <v>3049503.0538496175</v>
      </c>
      <c r="H14" s="8">
        <v>4347136.0638126824</v>
      </c>
      <c r="I14" s="8">
        <v>2317736.537601877</v>
      </c>
      <c r="J14" s="8">
        <v>3151464.7471133145</v>
      </c>
      <c r="K14" s="8">
        <v>3931742.082481843</v>
      </c>
      <c r="L14" s="8">
        <v>3005915.7199128224</v>
      </c>
      <c r="M14" s="8">
        <v>3362054.3525048173</v>
      </c>
    </row>
    <row r="15" spans="1:13">
      <c r="A15" s="7">
        <f t="shared" si="0"/>
        <v>12</v>
      </c>
      <c r="B15" s="8">
        <v>2669896.4811196113</v>
      </c>
      <c r="C15" s="8">
        <v>4662827.6483340245</v>
      </c>
      <c r="D15" s="8">
        <v>3729977.5703164851</v>
      </c>
      <c r="E15" s="8">
        <v>4599361.7111299485</v>
      </c>
      <c r="F15" s="8">
        <v>1709914.3511483567</v>
      </c>
      <c r="G15" s="8">
        <v>3390927.7287807548</v>
      </c>
      <c r="H15" s="8">
        <v>4915405.7585793687</v>
      </c>
      <c r="I15" s="8">
        <v>1821237.0228694668</v>
      </c>
      <c r="J15" s="8">
        <v>3716387.5937569644</v>
      </c>
      <c r="K15" s="8">
        <v>1663384.7219954277</v>
      </c>
      <c r="L15" s="8">
        <v>2947524.8934608139</v>
      </c>
      <c r="M15" s="8">
        <v>3698813.6054737465</v>
      </c>
    </row>
    <row r="16" spans="1:13">
      <c r="A16" s="7">
        <f t="shared" si="0"/>
        <v>13</v>
      </c>
      <c r="B16" s="8">
        <v>1934698.5102388207</v>
      </c>
      <c r="C16" s="8">
        <v>3878921.7393122222</v>
      </c>
      <c r="D16" s="8">
        <v>3860628.0752604483</v>
      </c>
      <c r="E16" s="8">
        <v>1441716.603598427</v>
      </c>
      <c r="F16" s="8">
        <v>3401669.1128904829</v>
      </c>
      <c r="G16" s="8">
        <v>4057788.0847572889</v>
      </c>
      <c r="H16" s="8">
        <v>2197499.5653019538</v>
      </c>
      <c r="I16" s="8">
        <v>2617623.9638458663</v>
      </c>
      <c r="J16" s="8">
        <v>5008896.7319711559</v>
      </c>
      <c r="K16" s="8">
        <v>2379470.9074994964</v>
      </c>
      <c r="L16" s="8">
        <v>2556512.6515559736</v>
      </c>
      <c r="M16" s="8">
        <v>5370386.2171450835</v>
      </c>
    </row>
    <row r="17" spans="1:13">
      <c r="A17" s="7">
        <f t="shared" si="0"/>
        <v>14</v>
      </c>
      <c r="B17" s="8">
        <v>2192564.7216945579</v>
      </c>
      <c r="C17" s="8">
        <v>4170747.4511742508</v>
      </c>
      <c r="D17" s="8">
        <v>3564115.5525786942</v>
      </c>
      <c r="E17" s="8">
        <v>1767857.6042108312</v>
      </c>
      <c r="F17" s="8">
        <v>2977695.060581251</v>
      </c>
      <c r="G17" s="8">
        <v>4540113.400915347</v>
      </c>
      <c r="H17" s="8">
        <v>2081317.1295281025</v>
      </c>
      <c r="I17" s="8">
        <v>3908060.5821621828</v>
      </c>
      <c r="J17" s="8">
        <v>1847934.5510640601</v>
      </c>
      <c r="K17" s="8">
        <v>1952837.4654014558</v>
      </c>
      <c r="L17" s="8">
        <v>4030952.4836959275</v>
      </c>
      <c r="M17" s="8">
        <v>2251487.2771241898</v>
      </c>
    </row>
    <row r="18" spans="1:13">
      <c r="A18" s="7">
        <f t="shared" si="0"/>
        <v>15</v>
      </c>
      <c r="B18" s="8">
        <v>4268880.1541764364</v>
      </c>
      <c r="C18" s="8">
        <v>5330416.7355658934</v>
      </c>
      <c r="D18" s="8">
        <v>5516267.6091676988</v>
      </c>
      <c r="E18" s="8">
        <v>1725426.5815507625</v>
      </c>
      <c r="F18" s="8">
        <v>3116996.7775520873</v>
      </c>
      <c r="G18" s="8">
        <v>2323940.6055279765</v>
      </c>
      <c r="H18" s="8">
        <v>4804632.3633807283</v>
      </c>
      <c r="I18" s="8">
        <v>4940149.4460206628</v>
      </c>
      <c r="J18" s="8">
        <v>2319250.3850605329</v>
      </c>
      <c r="K18" s="8">
        <v>2714437.741490691</v>
      </c>
      <c r="L18" s="8">
        <v>4836301.5702639725</v>
      </c>
      <c r="M18" s="8">
        <v>1996739.5334647233</v>
      </c>
    </row>
    <row r="19" spans="1:13">
      <c r="A19" s="7">
        <f t="shared" si="0"/>
        <v>16</v>
      </c>
      <c r="B19" s="8">
        <v>3503289.5111992806</v>
      </c>
      <c r="C19" s="8">
        <v>2366126.1091841822</v>
      </c>
      <c r="D19" s="8">
        <v>1712207.947454283</v>
      </c>
      <c r="E19" s="8">
        <v>3889830.523161266</v>
      </c>
      <c r="F19" s="8">
        <v>4143199.0843922365</v>
      </c>
      <c r="G19" s="8">
        <v>2608097.4056848306</v>
      </c>
      <c r="H19" s="8">
        <v>3220773.2901742458</v>
      </c>
      <c r="I19" s="8">
        <v>4323366.5397052597</v>
      </c>
      <c r="J19" s="8">
        <v>3313108.6237321128</v>
      </c>
      <c r="K19" s="8">
        <v>2826392.9975243611</v>
      </c>
      <c r="L19" s="8">
        <v>1687390.0324281547</v>
      </c>
      <c r="M19" s="8">
        <v>1914062.8383491905</v>
      </c>
    </row>
    <row r="20" spans="1:13">
      <c r="A20" s="7">
        <f t="shared" si="0"/>
        <v>17</v>
      </c>
      <c r="B20" s="8">
        <v>3834058.4798818249</v>
      </c>
      <c r="C20" s="8">
        <v>1805416.7667016042</v>
      </c>
      <c r="D20" s="8">
        <v>2289856.8114773603</v>
      </c>
      <c r="E20" s="8">
        <v>3104876.4716906128</v>
      </c>
      <c r="F20" s="8">
        <v>4142134.8594224909</v>
      </c>
      <c r="G20" s="8">
        <v>3331511.5399742378</v>
      </c>
      <c r="H20" s="8">
        <v>3310858.9182493971</v>
      </c>
      <c r="I20" s="8">
        <v>1794648.1975273537</v>
      </c>
      <c r="J20" s="8">
        <v>3453043.47368231</v>
      </c>
      <c r="K20" s="8">
        <v>4082402.2067656005</v>
      </c>
      <c r="L20" s="8">
        <v>2234191.548823189</v>
      </c>
      <c r="M20" s="8">
        <v>3368021.2909256229</v>
      </c>
    </row>
    <row r="21" spans="1:13">
      <c r="A21" s="7">
        <f t="shared" si="0"/>
        <v>18</v>
      </c>
      <c r="B21" s="8">
        <v>4781386.545536587</v>
      </c>
      <c r="C21" s="8">
        <v>2559906.0529773505</v>
      </c>
      <c r="D21" s="8">
        <v>1755470.8181795483</v>
      </c>
      <c r="E21" s="8">
        <v>4732076.1416333318</v>
      </c>
      <c r="F21" s="8">
        <v>2005145.4115751116</v>
      </c>
      <c r="G21" s="8">
        <v>3049503.0538496175</v>
      </c>
      <c r="H21" s="8">
        <v>4347136.0638126824</v>
      </c>
      <c r="I21" s="8">
        <v>2317736.537601877</v>
      </c>
      <c r="J21" s="8">
        <v>3724198.8567301943</v>
      </c>
      <c r="K21" s="8">
        <v>3931742.082481843</v>
      </c>
      <c r="L21" s="8">
        <v>3005915.7199128224</v>
      </c>
      <c r="M21" s="8">
        <v>3362054.3525048168</v>
      </c>
    </row>
    <row r="22" spans="1:13">
      <c r="A22" s="7">
        <f t="shared" si="0"/>
        <v>19</v>
      </c>
      <c r="B22" s="8">
        <v>2669896.4811196113</v>
      </c>
      <c r="C22" s="8">
        <v>4662827.6483340245</v>
      </c>
      <c r="D22" s="8">
        <v>3729977.5703164851</v>
      </c>
      <c r="E22" s="8">
        <v>4599361.7111299485</v>
      </c>
      <c r="F22" s="8">
        <v>2803661.2587897796</v>
      </c>
      <c r="G22" s="8">
        <v>3390927.7287807548</v>
      </c>
      <c r="H22" s="8">
        <v>4915405.7585793687</v>
      </c>
      <c r="I22" s="8">
        <v>1821237.0228694668</v>
      </c>
      <c r="J22" s="8">
        <v>3716387.5937569644</v>
      </c>
      <c r="K22" s="8">
        <v>1663384.7219954277</v>
      </c>
      <c r="L22" s="8">
        <v>2947524.8934608144</v>
      </c>
      <c r="M22" s="8">
        <v>3698813.6054737465</v>
      </c>
    </row>
    <row r="23" spans="1:13">
      <c r="A23" s="7">
        <f t="shared" si="0"/>
        <v>20</v>
      </c>
      <c r="B23" s="8">
        <v>1934698.5102388207</v>
      </c>
      <c r="C23" s="8">
        <v>3878921.7393122222</v>
      </c>
      <c r="D23" s="8">
        <v>3860628.0752604483</v>
      </c>
      <c r="E23" s="8">
        <v>1441716.603598427</v>
      </c>
      <c r="F23" s="8">
        <v>4189698.8748139795</v>
      </c>
      <c r="G23" s="8">
        <v>4057788.0847572889</v>
      </c>
      <c r="H23" s="8">
        <v>2197499.5653019538</v>
      </c>
      <c r="I23" s="8">
        <v>2182440.0331166638</v>
      </c>
      <c r="J23" s="8">
        <v>5008896.7319711559</v>
      </c>
      <c r="K23" s="8">
        <v>2379470.9074994964</v>
      </c>
      <c r="L23" s="8">
        <v>2556512.6515559736</v>
      </c>
      <c r="M23" s="8">
        <v>5370386.2171450835</v>
      </c>
    </row>
    <row r="24" spans="1:13">
      <c r="A24" s="7">
        <f t="shared" si="0"/>
        <v>21</v>
      </c>
      <c r="B24" s="8">
        <v>2192564.7216945579</v>
      </c>
      <c r="C24" s="8">
        <v>4170747.4511742508</v>
      </c>
      <c r="D24" s="8">
        <v>3564115.5525786942</v>
      </c>
      <c r="E24" s="8">
        <v>1767857.6042108312</v>
      </c>
      <c r="F24" s="8">
        <v>2977695.060581251</v>
      </c>
      <c r="G24" s="8">
        <v>4540113.400915347</v>
      </c>
      <c r="H24" s="8">
        <v>2022146.6806671694</v>
      </c>
      <c r="I24" s="8">
        <v>3095575.874383688</v>
      </c>
      <c r="J24" s="8">
        <v>1847934.5510640601</v>
      </c>
      <c r="K24" s="8">
        <v>1952837.4654014558</v>
      </c>
      <c r="L24" s="8">
        <v>4030952.4836959275</v>
      </c>
      <c r="M24" s="8">
        <v>2251487.2771241898</v>
      </c>
    </row>
    <row r="25" spans="1:13">
      <c r="A25" s="7">
        <f t="shared" si="0"/>
        <v>22</v>
      </c>
      <c r="B25" s="8">
        <v>4268880.1541764364</v>
      </c>
      <c r="C25" s="8">
        <v>5330416.7355658924</v>
      </c>
      <c r="D25" s="8">
        <v>5516267.6091676969</v>
      </c>
      <c r="E25" s="8">
        <v>1725426.5815507621</v>
      </c>
      <c r="F25" s="8">
        <v>3116996.7775520873</v>
      </c>
      <c r="G25" s="8">
        <v>2323940.6055279765</v>
      </c>
      <c r="H25" s="8">
        <v>1611555.3046322046</v>
      </c>
      <c r="I25" s="8">
        <v>4940149.4460206628</v>
      </c>
      <c r="J25" s="8">
        <v>2319250.3850605329</v>
      </c>
      <c r="K25" s="8">
        <v>2714437.741490691</v>
      </c>
      <c r="L25" s="8">
        <v>4836301.5702639725</v>
      </c>
      <c r="M25" s="8">
        <v>1996739.5334647237</v>
      </c>
    </row>
    <row r="26" spans="1:13">
      <c r="A26" s="7">
        <f t="shared" si="0"/>
        <v>23</v>
      </c>
      <c r="B26" s="8">
        <v>3503289.5111992811</v>
      </c>
      <c r="C26" s="8">
        <v>2366126.1091841822</v>
      </c>
      <c r="D26" s="8">
        <v>1712207.947454283</v>
      </c>
      <c r="E26" s="8">
        <v>3889830.523161266</v>
      </c>
      <c r="F26" s="8">
        <v>4143199.0843922365</v>
      </c>
      <c r="G26" s="8">
        <v>2608097.4056848306</v>
      </c>
      <c r="H26" s="8">
        <v>3220773.2901742458</v>
      </c>
      <c r="I26" s="8">
        <v>4323366.5397052597</v>
      </c>
      <c r="J26" s="8">
        <v>2604534.137568552</v>
      </c>
      <c r="K26" s="8">
        <v>2826392.9975243611</v>
      </c>
      <c r="L26" s="8">
        <v>1687390.0324281547</v>
      </c>
      <c r="M26" s="8">
        <v>1927529.1435908568</v>
      </c>
    </row>
    <row r="27" spans="1:13">
      <c r="A27" s="7">
        <f t="shared" si="0"/>
        <v>24</v>
      </c>
      <c r="B27" s="8">
        <v>3834058.4798818249</v>
      </c>
      <c r="C27" s="8">
        <v>1805416.7667016042</v>
      </c>
      <c r="D27" s="8">
        <v>2289856.8114773603</v>
      </c>
      <c r="E27" s="8">
        <v>3104876.4716906128</v>
      </c>
      <c r="F27" s="8">
        <v>4142134.8594224909</v>
      </c>
      <c r="G27" s="8">
        <v>4164843.6542599788</v>
      </c>
      <c r="H27" s="8">
        <v>3310858.9182493971</v>
      </c>
      <c r="I27" s="8">
        <v>1794648.1975273537</v>
      </c>
      <c r="J27" s="8">
        <v>2935301.5692346208</v>
      </c>
      <c r="K27" s="8">
        <v>4082402.2067656005</v>
      </c>
      <c r="L27" s="8">
        <v>2234191.548823189</v>
      </c>
      <c r="M27" s="8">
        <v>264696.03625854896</v>
      </c>
    </row>
    <row r="28" spans="1:13">
      <c r="A28" s="7">
        <f t="shared" si="0"/>
        <v>25</v>
      </c>
      <c r="B28" s="8">
        <v>4781386.5455365852</v>
      </c>
      <c r="C28" s="8">
        <v>2559906.0529773505</v>
      </c>
      <c r="D28" s="8">
        <v>1755470.8181795483</v>
      </c>
      <c r="E28" s="8">
        <v>4732076.1416333318</v>
      </c>
      <c r="F28" s="8">
        <v>2005145.4115751116</v>
      </c>
      <c r="G28" s="8">
        <v>3802354.0880273292</v>
      </c>
      <c r="H28" s="8">
        <v>4347136.0638126824</v>
      </c>
      <c r="I28" s="8">
        <v>2317736.537601877</v>
      </c>
      <c r="J28" s="8">
        <v>3151464.7471133145</v>
      </c>
      <c r="K28" s="8">
        <v>5080155.4144255882</v>
      </c>
      <c r="L28" s="8">
        <v>3005915.7199128228</v>
      </c>
      <c r="M28" s="8">
        <v>244161.82412587269</v>
      </c>
    </row>
    <row r="29" spans="1:13">
      <c r="A29" s="7">
        <f t="shared" si="0"/>
        <v>26</v>
      </c>
      <c r="B29" s="8">
        <v>2669896.4811196113</v>
      </c>
      <c r="C29" s="8">
        <v>4662827.6483340245</v>
      </c>
      <c r="D29" s="8">
        <v>3729977.5703164851</v>
      </c>
      <c r="E29" s="8">
        <v>4599361.7111299485</v>
      </c>
      <c r="F29" s="8">
        <v>1709914.3511483567</v>
      </c>
      <c r="G29" s="8">
        <v>3390927.7287807548</v>
      </c>
      <c r="H29" s="8">
        <v>4915405.7585793687</v>
      </c>
      <c r="I29" s="8">
        <v>1821237.0228694668</v>
      </c>
      <c r="J29" s="8">
        <v>3716387.5937569644</v>
      </c>
      <c r="K29" s="8">
        <v>2862493.7314025778</v>
      </c>
      <c r="L29" s="8">
        <v>2947524.8934608139</v>
      </c>
      <c r="M29" s="8">
        <v>3698813.6054737465</v>
      </c>
    </row>
    <row r="30" spans="1:13">
      <c r="A30" s="7">
        <f t="shared" si="0"/>
        <v>27</v>
      </c>
      <c r="B30" s="8">
        <v>1934698.5102388207</v>
      </c>
      <c r="C30" s="8">
        <v>3878921.7393122222</v>
      </c>
      <c r="D30" s="8">
        <v>3860628.0752604478</v>
      </c>
      <c r="E30" s="8">
        <v>2533460.4617954316</v>
      </c>
      <c r="F30" s="8">
        <v>3401669.1128904819</v>
      </c>
      <c r="G30" s="8">
        <v>5065565.2985977503</v>
      </c>
      <c r="H30" s="8">
        <v>3303104.2174958745</v>
      </c>
      <c r="I30" s="8">
        <v>2182440.0331166638</v>
      </c>
      <c r="J30" s="8">
        <v>5008896.7319711559</v>
      </c>
      <c r="K30" s="8">
        <v>2379470.9074994964</v>
      </c>
      <c r="L30" s="8">
        <v>2556512.6515559736</v>
      </c>
      <c r="M30" s="8">
        <v>5370386.2171450835</v>
      </c>
    </row>
    <row r="31" spans="1:13">
      <c r="A31" s="7">
        <f t="shared" si="0"/>
        <v>28</v>
      </c>
      <c r="B31" s="8">
        <v>2192564.7216945579</v>
      </c>
      <c r="C31" s="8">
        <v>4170747.4511742508</v>
      </c>
      <c r="D31" s="8">
        <v>3564115.5525786942</v>
      </c>
      <c r="E31" s="8">
        <v>1767857.6042108312</v>
      </c>
      <c r="F31" s="8">
        <v>2977695.060581251</v>
      </c>
      <c r="G31" s="8">
        <v>5655065.3978533614</v>
      </c>
      <c r="H31" s="8">
        <v>2022146.6806671694</v>
      </c>
      <c r="I31" s="8">
        <v>3095575.874383688</v>
      </c>
      <c r="J31" s="8">
        <v>2514460.45589709</v>
      </c>
      <c r="K31" s="8">
        <v>1952837.4654014558</v>
      </c>
      <c r="L31" s="8">
        <v>4030952.4836959275</v>
      </c>
      <c r="M31" s="8">
        <v>3345436.2755128881</v>
      </c>
    </row>
    <row r="32" spans="1:13">
      <c r="A32" s="7">
        <f t="shared" si="0"/>
        <v>29</v>
      </c>
      <c r="B32" s="8">
        <v>4268880.1541764364</v>
      </c>
      <c r="C32" s="8"/>
      <c r="D32" s="8">
        <v>5516267.6091676969</v>
      </c>
      <c r="E32" s="8">
        <v>2271606.2144194096</v>
      </c>
      <c r="F32" s="8">
        <v>3116996.7775520873</v>
      </c>
      <c r="G32" s="8">
        <v>2394611.365822088</v>
      </c>
      <c r="H32" s="8">
        <v>2111555.3046322046</v>
      </c>
      <c r="I32" s="8">
        <v>4940149.4460206628</v>
      </c>
      <c r="J32" s="8">
        <v>1819250.3850605329</v>
      </c>
      <c r="K32" s="8">
        <v>3507441.9978334401</v>
      </c>
      <c r="L32" s="8">
        <v>4836301.5702639725</v>
      </c>
      <c r="M32" s="8">
        <v>1034341.3967803954</v>
      </c>
    </row>
    <row r="33" spans="1:13">
      <c r="A33" s="7">
        <f t="shared" si="0"/>
        <v>30</v>
      </c>
      <c r="B33" s="8">
        <v>3503289.5111992811</v>
      </c>
      <c r="C33" s="9"/>
      <c r="D33" s="8">
        <v>2566526.3903750135</v>
      </c>
      <c r="E33" s="8">
        <v>4726151.1676653177</v>
      </c>
      <c r="F33" s="8">
        <v>4143199.084392237</v>
      </c>
      <c r="G33" s="8">
        <v>2422344.4866816448</v>
      </c>
      <c r="H33" s="8">
        <v>3220773.2901742458</v>
      </c>
      <c r="I33" s="8">
        <v>4323366.5397052597</v>
      </c>
      <c r="J33" s="8">
        <v>1529767.2068015127</v>
      </c>
      <c r="K33" s="8">
        <v>3649102.4063105416</v>
      </c>
      <c r="L33" s="8">
        <v>2097006.2808925053</v>
      </c>
      <c r="M33" s="8">
        <v>3179001.2777143391</v>
      </c>
    </row>
    <row r="34" spans="1:13">
      <c r="A34" s="7">
        <f t="shared" si="0"/>
        <v>31</v>
      </c>
      <c r="B34" s="8">
        <v>3834058.4798818249</v>
      </c>
      <c r="C34" s="9"/>
      <c r="D34" s="8">
        <v>2193475.8297984945</v>
      </c>
      <c r="F34" s="8">
        <v>4301101.0382427061</v>
      </c>
      <c r="H34" s="8">
        <v>3354181.5197221115</v>
      </c>
      <c r="I34" s="8">
        <v>2857773.6108665094</v>
      </c>
      <c r="K34" s="8">
        <v>5333310.7573220497</v>
      </c>
      <c r="M34" s="8">
        <v>3179001.2777143391</v>
      </c>
    </row>
    <row r="35" spans="1:13">
      <c r="A35" s="5" t="s">
        <v>16</v>
      </c>
      <c r="B35" s="10">
        <f t="shared" ref="B35:M35" si="1">SUM(B4:B34)</f>
        <v>100459316.34999998</v>
      </c>
      <c r="C35" s="10">
        <f t="shared" si="1"/>
        <v>100023455.30999999</v>
      </c>
      <c r="D35" s="10">
        <f t="shared" si="1"/>
        <v>100844685.80999999</v>
      </c>
      <c r="E35" s="10">
        <f t="shared" si="1"/>
        <v>98238050.519999981</v>
      </c>
      <c r="F35" s="10">
        <f t="shared" si="1"/>
        <v>99430092.200000003</v>
      </c>
      <c r="G35" s="10">
        <f t="shared" si="1"/>
        <v>100804066.24999999</v>
      </c>
      <c r="H35" s="10">
        <f t="shared" si="1"/>
        <v>99545864.600000054</v>
      </c>
      <c r="I35" s="10">
        <f t="shared" si="1"/>
        <v>95269572.840000033</v>
      </c>
      <c r="J35" s="10">
        <f t="shared" si="1"/>
        <v>92149672.860000014</v>
      </c>
      <c r="K35" s="10">
        <f t="shared" si="1"/>
        <v>93040049.995452419</v>
      </c>
      <c r="L35" s="10">
        <f t="shared" si="1"/>
        <v>93121588.305853873</v>
      </c>
      <c r="M35" s="10">
        <f t="shared" si="1"/>
        <v>92827241.16292657</v>
      </c>
    </row>
    <row r="37" spans="1:1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2"/>
  <sheetViews>
    <sheetView tabSelected="1" topLeftCell="A379" workbookViewId="0">
      <selection activeCell="K369" sqref="K369"/>
    </sheetView>
  </sheetViews>
  <sheetFormatPr baseColWidth="10" defaultColWidth="10.75" defaultRowHeight="14.25"/>
  <cols>
    <col min="1" max="1" width="10.75" style="25"/>
    <col min="2" max="2" width="13.125" customWidth="1"/>
    <col min="3" max="3" width="11" style="27"/>
    <col min="4" max="4" width="12" bestFit="1" customWidth="1"/>
    <col min="5" max="5" width="13" bestFit="1" customWidth="1"/>
    <col min="6" max="6" width="12" bestFit="1" customWidth="1"/>
    <col min="7" max="7" width="12.5" bestFit="1" customWidth="1"/>
  </cols>
  <sheetData>
    <row r="1" spans="1:7">
      <c r="A1" s="47"/>
      <c r="B1" s="23"/>
      <c r="C1" s="28"/>
      <c r="D1" s="50" t="s">
        <v>25</v>
      </c>
      <c r="E1" s="50"/>
      <c r="F1" s="50" t="s">
        <v>26</v>
      </c>
      <c r="G1" s="50"/>
    </row>
    <row r="2" spans="1:7">
      <c r="A2" s="48" t="s">
        <v>24</v>
      </c>
      <c r="B2" s="24" t="s">
        <v>27</v>
      </c>
      <c r="C2" s="29" t="s">
        <v>28</v>
      </c>
      <c r="D2" s="24" t="s">
        <v>66</v>
      </c>
      <c r="E2" s="24" t="s">
        <v>22</v>
      </c>
      <c r="F2" s="24" t="s">
        <v>67</v>
      </c>
      <c r="G2" s="24" t="s">
        <v>19</v>
      </c>
    </row>
    <row r="3" spans="1:7">
      <c r="A3" s="25">
        <v>45658</v>
      </c>
      <c r="B3" s="25" t="s">
        <v>29</v>
      </c>
      <c r="C3" s="27">
        <v>1</v>
      </c>
      <c r="D3" s="26">
        <v>10769523.876666673</v>
      </c>
      <c r="E3" s="26">
        <v>158375351.12745106</v>
      </c>
      <c r="F3" s="26">
        <v>776942.06480000005</v>
      </c>
      <c r="G3" s="26">
        <v>3884710.324</v>
      </c>
    </row>
    <row r="4" spans="1:7">
      <c r="A4" s="25">
        <v>45659</v>
      </c>
      <c r="B4" s="25" t="s">
        <v>29</v>
      </c>
      <c r="C4" s="27">
        <v>2</v>
      </c>
      <c r="D4" s="26">
        <v>17914677.435093805</v>
      </c>
      <c r="E4" s="26">
        <v>263451138.75137946</v>
      </c>
      <c r="F4" s="26">
        <v>5008531.2778000003</v>
      </c>
      <c r="G4" s="26">
        <v>25042656.388799999</v>
      </c>
    </row>
    <row r="5" spans="1:7">
      <c r="A5" s="25">
        <v>45660</v>
      </c>
      <c r="B5" s="25" t="s">
        <v>29</v>
      </c>
      <c r="C5" s="27">
        <v>3</v>
      </c>
      <c r="D5" s="26">
        <v>21512177.37744651</v>
      </c>
      <c r="E5" s="26">
        <v>316355549.66833103</v>
      </c>
      <c r="F5" s="26">
        <v>7446206.7374</v>
      </c>
      <c r="G5" s="26">
        <v>37231033.687100001</v>
      </c>
    </row>
    <row r="6" spans="1:7">
      <c r="A6" s="25">
        <v>45661</v>
      </c>
      <c r="B6" s="25" t="s">
        <v>29</v>
      </c>
      <c r="C6" s="27">
        <v>4</v>
      </c>
      <c r="D6" s="26">
        <v>22214133.398884982</v>
      </c>
      <c r="E6" s="26">
        <v>326678432.33654386</v>
      </c>
      <c r="F6" s="26">
        <v>7563418.1511000004</v>
      </c>
      <c r="G6" s="26">
        <v>37817090.7553</v>
      </c>
    </row>
    <row r="7" spans="1:7">
      <c r="A7" s="25">
        <v>45662</v>
      </c>
      <c r="B7" s="25" t="s">
        <v>29</v>
      </c>
      <c r="C7" s="27">
        <v>5</v>
      </c>
      <c r="D7" s="26">
        <v>11554451.829768905</v>
      </c>
      <c r="E7" s="26">
        <v>169918409.26130742</v>
      </c>
      <c r="F7" s="26">
        <v>4183427.4427999998</v>
      </c>
      <c r="G7" s="26">
        <v>20917137.214000002</v>
      </c>
    </row>
    <row r="8" spans="1:7">
      <c r="A8" s="25">
        <v>45663</v>
      </c>
      <c r="B8" s="25" t="s">
        <v>29</v>
      </c>
      <c r="C8" s="27">
        <v>6</v>
      </c>
      <c r="D8" s="26">
        <v>11001603.27516697</v>
      </c>
      <c r="E8" s="26">
        <v>161788283.45833778</v>
      </c>
      <c r="F8" s="26">
        <v>2269383.3036000002</v>
      </c>
      <c r="G8" s="26">
        <v>11346916.517999999</v>
      </c>
    </row>
    <row r="9" spans="1:7">
      <c r="A9" s="25">
        <v>45664</v>
      </c>
      <c r="B9" s="25" t="s">
        <v>29</v>
      </c>
      <c r="C9" s="27">
        <v>7</v>
      </c>
      <c r="D9" s="26">
        <v>12615568.432236403</v>
      </c>
      <c r="E9" s="26">
        <v>185523065.17994708</v>
      </c>
      <c r="F9" s="26">
        <v>4442784.9116000002</v>
      </c>
      <c r="G9" s="26">
        <v>22213924.558200002</v>
      </c>
    </row>
    <row r="10" spans="1:7">
      <c r="A10" s="25">
        <v>45665</v>
      </c>
      <c r="B10" s="25" t="s">
        <v>29</v>
      </c>
      <c r="C10" s="27">
        <v>8</v>
      </c>
      <c r="D10" s="26">
        <v>14819319.103650672</v>
      </c>
      <c r="E10" s="26">
        <v>217931163.28898045</v>
      </c>
      <c r="F10" s="26">
        <v>5857542.9248000002</v>
      </c>
      <c r="G10" s="26">
        <v>29287714.623799998</v>
      </c>
    </row>
    <row r="11" spans="1:7">
      <c r="A11" s="25">
        <v>45666</v>
      </c>
      <c r="B11" s="25" t="s">
        <v>29</v>
      </c>
      <c r="C11" s="27">
        <v>9</v>
      </c>
      <c r="D11" s="26">
        <v>17914677.435093805</v>
      </c>
      <c r="E11" s="26">
        <v>263451138.75137946</v>
      </c>
      <c r="F11" s="26">
        <v>5008531.2778000003</v>
      </c>
      <c r="G11" s="26">
        <v>25042656.388799999</v>
      </c>
    </row>
    <row r="12" spans="1:7">
      <c r="A12" s="25">
        <v>45667</v>
      </c>
      <c r="B12" s="25" t="s">
        <v>29</v>
      </c>
      <c r="C12" s="27">
        <v>10</v>
      </c>
      <c r="D12" s="26">
        <v>21512177.37744651</v>
      </c>
      <c r="E12" s="26">
        <v>316355549.66833103</v>
      </c>
      <c r="F12" s="26">
        <v>7446206.7374</v>
      </c>
      <c r="G12" s="26">
        <v>37231033.687100001</v>
      </c>
    </row>
    <row r="13" spans="1:7">
      <c r="A13" s="25">
        <v>45668</v>
      </c>
      <c r="B13" s="25" t="s">
        <v>29</v>
      </c>
      <c r="C13" s="27">
        <v>11</v>
      </c>
      <c r="D13" s="26">
        <v>22214133.398884982</v>
      </c>
      <c r="E13" s="26">
        <v>326678432.33654386</v>
      </c>
      <c r="F13" s="26">
        <v>7563418.1511000004</v>
      </c>
      <c r="G13" s="26">
        <v>37817090.7553</v>
      </c>
    </row>
    <row r="14" spans="1:7">
      <c r="A14" s="25">
        <v>45669</v>
      </c>
      <c r="B14" s="25" t="s">
        <v>29</v>
      </c>
      <c r="C14" s="27">
        <v>12</v>
      </c>
      <c r="D14" s="26">
        <v>11554451.829768905</v>
      </c>
      <c r="E14" s="26">
        <v>169918409.26130742</v>
      </c>
      <c r="F14" s="26">
        <v>4183427.4427999998</v>
      </c>
      <c r="G14" s="26">
        <v>20917137.214000002</v>
      </c>
    </row>
    <row r="15" spans="1:7">
      <c r="A15" s="25">
        <v>45670</v>
      </c>
      <c r="B15" s="25" t="s">
        <v>29</v>
      </c>
      <c r="C15" s="27">
        <v>13</v>
      </c>
      <c r="D15" s="26">
        <v>11001603.27516697</v>
      </c>
      <c r="E15" s="26">
        <v>161788283.45833778</v>
      </c>
      <c r="F15" s="26">
        <v>2269383.3036000002</v>
      </c>
      <c r="G15" s="26">
        <v>11346916.517999999</v>
      </c>
    </row>
    <row r="16" spans="1:7">
      <c r="A16" s="25">
        <v>45671</v>
      </c>
      <c r="B16" s="25" t="s">
        <v>29</v>
      </c>
      <c r="C16" s="27">
        <v>14</v>
      </c>
      <c r="D16" s="26">
        <v>12615568.432236403</v>
      </c>
      <c r="E16" s="26">
        <v>185523065.17994708</v>
      </c>
      <c r="F16" s="26">
        <v>4442784.9116000002</v>
      </c>
      <c r="G16" s="26">
        <v>22213924.558200002</v>
      </c>
    </row>
    <row r="17" spans="1:7">
      <c r="A17" s="25">
        <v>45672</v>
      </c>
      <c r="B17" s="25" t="s">
        <v>29</v>
      </c>
      <c r="C17" s="27">
        <v>15</v>
      </c>
      <c r="D17" s="26">
        <v>14819319.103650672</v>
      </c>
      <c r="E17" s="26">
        <v>217931163.28898045</v>
      </c>
      <c r="F17" s="26">
        <v>5857542.9248000002</v>
      </c>
      <c r="G17" s="26">
        <v>29287714.623799998</v>
      </c>
    </row>
    <row r="18" spans="1:7">
      <c r="A18" s="25">
        <v>45673</v>
      </c>
      <c r="B18" s="25" t="s">
        <v>29</v>
      </c>
      <c r="C18" s="27">
        <v>16</v>
      </c>
      <c r="D18" s="26">
        <v>17914677.435093805</v>
      </c>
      <c r="E18" s="26">
        <v>263451138.75137946</v>
      </c>
      <c r="F18" s="26">
        <v>5008531.2778000003</v>
      </c>
      <c r="G18" s="26">
        <v>25042656.388799999</v>
      </c>
    </row>
    <row r="19" spans="1:7">
      <c r="A19" s="25">
        <v>45674</v>
      </c>
      <c r="B19" s="25" t="s">
        <v>29</v>
      </c>
      <c r="C19" s="27">
        <v>17</v>
      </c>
      <c r="D19" s="26">
        <v>21512177.37744651</v>
      </c>
      <c r="E19" s="26">
        <v>316355549.66833103</v>
      </c>
      <c r="F19" s="26">
        <v>7446206.7374</v>
      </c>
      <c r="G19" s="26">
        <v>37231033.687100001</v>
      </c>
    </row>
    <row r="20" spans="1:7">
      <c r="A20" s="25">
        <v>45675</v>
      </c>
      <c r="B20" s="25" t="s">
        <v>29</v>
      </c>
      <c r="C20" s="27">
        <v>18</v>
      </c>
      <c r="D20" s="26">
        <v>22214133.398884982</v>
      </c>
      <c r="E20" s="26">
        <v>326678432.33654386</v>
      </c>
      <c r="F20" s="26">
        <v>7563418.1511000004</v>
      </c>
      <c r="G20" s="26">
        <v>37817090.7553</v>
      </c>
    </row>
    <row r="21" spans="1:7">
      <c r="A21" s="25">
        <v>45676</v>
      </c>
      <c r="B21" s="25" t="s">
        <v>29</v>
      </c>
      <c r="C21" s="27">
        <v>19</v>
      </c>
      <c r="D21" s="26">
        <v>11554451.829768905</v>
      </c>
      <c r="E21" s="26">
        <v>169918409.26130742</v>
      </c>
      <c r="F21" s="26">
        <v>4183427.4427999998</v>
      </c>
      <c r="G21" s="26">
        <v>20917137.214000002</v>
      </c>
    </row>
    <row r="22" spans="1:7">
      <c r="A22" s="25">
        <v>45677</v>
      </c>
      <c r="B22" s="25" t="s">
        <v>29</v>
      </c>
      <c r="C22" s="27">
        <v>20</v>
      </c>
      <c r="D22" s="26">
        <v>11001603.27516697</v>
      </c>
      <c r="E22" s="26">
        <v>161788283.45833778</v>
      </c>
      <c r="F22" s="26">
        <v>2269383.3036000002</v>
      </c>
      <c r="G22" s="26">
        <v>11346916.517999999</v>
      </c>
    </row>
    <row r="23" spans="1:7">
      <c r="A23" s="25">
        <v>45678</v>
      </c>
      <c r="B23" s="25" t="s">
        <v>29</v>
      </c>
      <c r="C23" s="27">
        <v>21</v>
      </c>
      <c r="D23" s="26">
        <v>12615568.432236403</v>
      </c>
      <c r="E23" s="26">
        <v>185523065.17994708</v>
      </c>
      <c r="F23" s="26">
        <v>4442784.9116000002</v>
      </c>
      <c r="G23" s="26">
        <v>22213924.558200002</v>
      </c>
    </row>
    <row r="24" spans="1:7">
      <c r="A24" s="25">
        <v>45679</v>
      </c>
      <c r="B24" s="25" t="s">
        <v>29</v>
      </c>
      <c r="C24" s="27">
        <v>22</v>
      </c>
      <c r="D24" s="26">
        <v>14819319.103650672</v>
      </c>
      <c r="E24" s="26">
        <v>217931163.28898045</v>
      </c>
      <c r="F24" s="26">
        <v>5857542.9248000002</v>
      </c>
      <c r="G24" s="26">
        <v>29287714.623799998</v>
      </c>
    </row>
    <row r="25" spans="1:7">
      <c r="A25" s="25">
        <v>45680</v>
      </c>
      <c r="B25" s="25" t="s">
        <v>29</v>
      </c>
      <c r="C25" s="27">
        <v>23</v>
      </c>
      <c r="D25" s="26">
        <v>17914677.435093805</v>
      </c>
      <c r="E25" s="26">
        <v>263451138.75137946</v>
      </c>
      <c r="F25" s="26">
        <v>5008531.2778000003</v>
      </c>
      <c r="G25" s="26">
        <v>25042656.388799999</v>
      </c>
    </row>
    <row r="26" spans="1:7">
      <c r="A26" s="25">
        <v>45681</v>
      </c>
      <c r="B26" s="25" t="s">
        <v>29</v>
      </c>
      <c r="C26" s="27">
        <v>24</v>
      </c>
      <c r="D26" s="26">
        <v>21512177.37744651</v>
      </c>
      <c r="E26" s="26">
        <v>316355549.66833103</v>
      </c>
      <c r="F26" s="26">
        <v>7446206.7374</v>
      </c>
      <c r="G26" s="26">
        <v>37231033.687100001</v>
      </c>
    </row>
    <row r="27" spans="1:7">
      <c r="A27" s="25">
        <v>45682</v>
      </c>
      <c r="B27" s="25" t="s">
        <v>29</v>
      </c>
      <c r="C27" s="27">
        <v>25</v>
      </c>
      <c r="D27" s="26">
        <v>22214133.398884982</v>
      </c>
      <c r="E27" s="26">
        <v>326678432.33654386</v>
      </c>
      <c r="F27" s="26">
        <v>7563418.1511000004</v>
      </c>
      <c r="G27" s="26">
        <v>37817090.7553</v>
      </c>
    </row>
    <row r="28" spans="1:7">
      <c r="A28" s="25">
        <v>45683</v>
      </c>
      <c r="B28" s="25" t="s">
        <v>29</v>
      </c>
      <c r="C28" s="27">
        <v>26</v>
      </c>
      <c r="D28" s="26">
        <v>11554451.829768905</v>
      </c>
      <c r="E28" s="26">
        <v>169918409.26130742</v>
      </c>
      <c r="F28" s="26">
        <v>4183427.4427999998</v>
      </c>
      <c r="G28" s="26">
        <v>20917137.214000002</v>
      </c>
    </row>
    <row r="29" spans="1:7">
      <c r="A29" s="25">
        <v>45684</v>
      </c>
      <c r="B29" s="25" t="s">
        <v>29</v>
      </c>
      <c r="C29" s="27">
        <v>27</v>
      </c>
      <c r="D29" s="26">
        <v>11001603.27516697</v>
      </c>
      <c r="E29" s="26">
        <v>161788283.45833778</v>
      </c>
      <c r="F29" s="26">
        <v>2269383.3036000002</v>
      </c>
      <c r="G29" s="26">
        <v>11346916.517999999</v>
      </c>
    </row>
    <row r="30" spans="1:7">
      <c r="A30" s="25">
        <v>45685</v>
      </c>
      <c r="B30" s="25" t="s">
        <v>29</v>
      </c>
      <c r="C30" s="27">
        <v>28</v>
      </c>
      <c r="D30" s="26">
        <v>12615568.432236403</v>
      </c>
      <c r="E30" s="26">
        <v>185523065.17994708</v>
      </c>
      <c r="F30" s="26">
        <v>4442784.9116000002</v>
      </c>
      <c r="G30" s="26">
        <v>22213924.558200002</v>
      </c>
    </row>
    <row r="31" spans="1:7">
      <c r="A31" s="25">
        <v>45686</v>
      </c>
      <c r="B31" s="25" t="s">
        <v>29</v>
      </c>
      <c r="C31" s="27">
        <v>29</v>
      </c>
      <c r="D31" s="26">
        <v>14819319.103650672</v>
      </c>
      <c r="E31" s="26">
        <v>217931163.28898045</v>
      </c>
      <c r="F31" s="26">
        <v>5857542.9248000002</v>
      </c>
      <c r="G31" s="26">
        <v>29287714.623799998</v>
      </c>
    </row>
    <row r="32" spans="1:7">
      <c r="A32" s="25">
        <v>45687</v>
      </c>
      <c r="B32" s="25" t="s">
        <v>29</v>
      </c>
      <c r="C32" s="27">
        <v>30</v>
      </c>
      <c r="D32" s="26">
        <v>17914677.435093805</v>
      </c>
      <c r="E32" s="26">
        <v>263451138.75137946</v>
      </c>
      <c r="F32" s="26">
        <v>5008531.2778000003</v>
      </c>
      <c r="G32" s="26">
        <v>25042656.388799999</v>
      </c>
    </row>
    <row r="33" spans="1:7">
      <c r="A33" s="25">
        <v>45688</v>
      </c>
      <c r="B33" s="25" t="s">
        <v>29</v>
      </c>
      <c r="C33" s="27">
        <v>31</v>
      </c>
      <c r="D33" s="26">
        <v>21512177.37744651</v>
      </c>
      <c r="E33" s="26">
        <v>316355549.66833103</v>
      </c>
      <c r="F33" s="26">
        <v>7446206.7374</v>
      </c>
      <c r="G33" s="26">
        <v>37231033.687100001</v>
      </c>
    </row>
    <row r="34" spans="1:7">
      <c r="A34" s="25">
        <v>45689</v>
      </c>
      <c r="B34" s="25" t="s">
        <v>30</v>
      </c>
      <c r="C34" s="27">
        <v>1</v>
      </c>
      <c r="D34" s="26">
        <v>25401498.102739699</v>
      </c>
      <c r="E34" s="26">
        <v>373551442.68734848</v>
      </c>
      <c r="F34" s="26">
        <v>8332453.3787000002</v>
      </c>
      <c r="G34" s="26">
        <v>41662266.8935</v>
      </c>
    </row>
    <row r="35" spans="1:7">
      <c r="A35" s="25">
        <v>45690</v>
      </c>
      <c r="B35" s="25" t="s">
        <v>30</v>
      </c>
      <c r="C35" s="27">
        <v>2</v>
      </c>
      <c r="D35" s="26">
        <v>13000170.496650968</v>
      </c>
      <c r="E35" s="26">
        <v>191178977.89192599</v>
      </c>
      <c r="F35" s="26">
        <v>3876941.9190000002</v>
      </c>
      <c r="G35" s="26">
        <v>19384709.594900001</v>
      </c>
    </row>
    <row r="36" spans="1:7">
      <c r="A36" s="25">
        <v>45691</v>
      </c>
      <c r="B36" s="25" t="s">
        <v>30</v>
      </c>
      <c r="C36" s="27">
        <v>3</v>
      </c>
      <c r="D36" s="26">
        <v>10990808.249030635</v>
      </c>
      <c r="E36" s="26">
        <v>161629533.07397991</v>
      </c>
      <c r="F36" s="26">
        <v>2691017.7217999999</v>
      </c>
      <c r="G36" s="26">
        <v>13455088.609200001</v>
      </c>
    </row>
    <row r="37" spans="1:7">
      <c r="A37" s="25">
        <v>45692</v>
      </c>
      <c r="B37" s="25" t="s">
        <v>30</v>
      </c>
      <c r="C37" s="27">
        <v>4</v>
      </c>
      <c r="D37" s="26">
        <v>14622017.08381268</v>
      </c>
      <c r="E37" s="26">
        <v>215029662.99724525</v>
      </c>
      <c r="F37" s="26">
        <v>4533882.8356999997</v>
      </c>
      <c r="G37" s="26">
        <v>22669414.1787</v>
      </c>
    </row>
    <row r="38" spans="1:7">
      <c r="A38" s="25">
        <v>45693</v>
      </c>
      <c r="B38" s="25" t="s">
        <v>30</v>
      </c>
      <c r="C38" s="27">
        <v>5</v>
      </c>
      <c r="D38" s="26">
        <v>19420824.056264978</v>
      </c>
      <c r="E38" s="26">
        <v>285600353.76860261</v>
      </c>
      <c r="F38" s="26">
        <v>7577252.767</v>
      </c>
      <c r="G38" s="26">
        <v>37886263.834899999</v>
      </c>
    </row>
    <row r="39" spans="1:7">
      <c r="A39" s="25">
        <v>45694</v>
      </c>
      <c r="B39" s="25" t="s">
        <v>30</v>
      </c>
      <c r="C39" s="27">
        <v>6</v>
      </c>
      <c r="D39" s="26">
        <v>18890263.117766701</v>
      </c>
      <c r="E39" s="26">
        <v>277797987.02598083</v>
      </c>
      <c r="F39" s="26">
        <v>6334208.0809000004</v>
      </c>
      <c r="G39" s="26">
        <v>31671040.404300001</v>
      </c>
    </row>
    <row r="40" spans="1:7">
      <c r="A40" s="25">
        <v>45695</v>
      </c>
      <c r="B40" s="25" t="s">
        <v>30</v>
      </c>
      <c r="C40" s="27">
        <v>7</v>
      </c>
      <c r="D40" s="26">
        <v>19884723.080065966</v>
      </c>
      <c r="E40" s="26">
        <v>292422398.23626417</v>
      </c>
      <c r="F40" s="26">
        <v>8497776.1147000007</v>
      </c>
      <c r="G40" s="26">
        <v>42488880.5735</v>
      </c>
    </row>
    <row r="41" spans="1:7">
      <c r="A41" s="25">
        <v>45696</v>
      </c>
      <c r="B41" s="25" t="s">
        <v>30</v>
      </c>
      <c r="C41" s="27">
        <v>8</v>
      </c>
      <c r="D41" s="26">
        <v>25401498.102739699</v>
      </c>
      <c r="E41" s="26">
        <v>373551442.68734848</v>
      </c>
      <c r="F41" s="26">
        <v>8332453.3787000002</v>
      </c>
      <c r="G41" s="26">
        <v>41662266.8935</v>
      </c>
    </row>
    <row r="42" spans="1:7">
      <c r="A42" s="25">
        <v>45697</v>
      </c>
      <c r="B42" s="25" t="s">
        <v>30</v>
      </c>
      <c r="C42" s="27">
        <v>9</v>
      </c>
      <c r="D42" s="26">
        <v>15469438.996475484</v>
      </c>
      <c r="E42" s="26">
        <v>227491749.94816887</v>
      </c>
      <c r="F42" s="26">
        <v>3876941.9190000002</v>
      </c>
      <c r="G42" s="26">
        <v>19384709.594900001</v>
      </c>
    </row>
    <row r="43" spans="1:7">
      <c r="A43" s="25">
        <v>45698</v>
      </c>
      <c r="B43" s="25" t="s">
        <v>30</v>
      </c>
      <c r="C43" s="27">
        <v>10</v>
      </c>
      <c r="D43" s="26">
        <v>10990808.249030635</v>
      </c>
      <c r="E43" s="26">
        <v>161629533.07397991</v>
      </c>
      <c r="F43" s="26">
        <v>2691017.7217999999</v>
      </c>
      <c r="G43" s="26">
        <v>13455088.609200001</v>
      </c>
    </row>
    <row r="44" spans="1:7">
      <c r="A44" s="25">
        <v>45699</v>
      </c>
      <c r="B44" s="25" t="s">
        <v>30</v>
      </c>
      <c r="C44" s="27">
        <v>11</v>
      </c>
      <c r="D44" s="26">
        <v>14622017.08381268</v>
      </c>
      <c r="E44" s="26">
        <v>215029662.99724525</v>
      </c>
      <c r="F44" s="26">
        <v>4533882.8356999997</v>
      </c>
      <c r="G44" s="26">
        <v>22669414.1787</v>
      </c>
    </row>
    <row r="45" spans="1:7">
      <c r="A45" s="25">
        <v>45700</v>
      </c>
      <c r="B45" s="25" t="s">
        <v>30</v>
      </c>
      <c r="C45" s="27">
        <v>12</v>
      </c>
      <c r="D45" s="26">
        <v>19420824.056264978</v>
      </c>
      <c r="E45" s="26">
        <v>285600353.76860261</v>
      </c>
      <c r="F45" s="26">
        <v>7577252.767</v>
      </c>
      <c r="G45" s="26">
        <v>37886263.834899999</v>
      </c>
    </row>
    <row r="46" spans="1:7">
      <c r="A46" s="25">
        <v>45701</v>
      </c>
      <c r="B46" s="25" t="s">
        <v>30</v>
      </c>
      <c r="C46" s="27">
        <v>13</v>
      </c>
      <c r="D46" s="26">
        <v>18890263.117766701</v>
      </c>
      <c r="E46" s="26">
        <v>277797987.02598083</v>
      </c>
      <c r="F46" s="26">
        <v>6334208.0809000004</v>
      </c>
      <c r="G46" s="26">
        <v>31671040.404300001</v>
      </c>
    </row>
    <row r="47" spans="1:7">
      <c r="A47" s="25">
        <v>45702</v>
      </c>
      <c r="B47" s="25" t="s">
        <v>30</v>
      </c>
      <c r="C47" s="27">
        <v>14</v>
      </c>
      <c r="D47" s="26">
        <v>19884723.080065966</v>
      </c>
      <c r="E47" s="26">
        <v>292422398.23626417</v>
      </c>
      <c r="F47" s="26">
        <v>8497776.1147000007</v>
      </c>
      <c r="G47" s="26">
        <v>42488880.5735</v>
      </c>
    </row>
    <row r="48" spans="1:7">
      <c r="A48" s="25">
        <v>45703</v>
      </c>
      <c r="B48" s="25" t="s">
        <v>30</v>
      </c>
      <c r="C48" s="27">
        <v>15</v>
      </c>
      <c r="D48" s="26">
        <v>25401498.102739699</v>
      </c>
      <c r="E48" s="26">
        <v>373551442.68734848</v>
      </c>
      <c r="F48" s="26">
        <v>8332453.3787000002</v>
      </c>
      <c r="G48" s="26">
        <v>41662266.8935</v>
      </c>
    </row>
    <row r="49" spans="1:7">
      <c r="A49" s="25">
        <v>45704</v>
      </c>
      <c r="B49" s="25" t="s">
        <v>30</v>
      </c>
      <c r="C49" s="27">
        <v>16</v>
      </c>
      <c r="D49" s="26">
        <v>15469438.996475484</v>
      </c>
      <c r="E49" s="26">
        <v>227491749.94816887</v>
      </c>
      <c r="F49" s="26">
        <v>3876941.9190000002</v>
      </c>
      <c r="G49" s="26">
        <v>19384709.594900001</v>
      </c>
    </row>
    <row r="50" spans="1:7">
      <c r="A50" s="25">
        <v>45705</v>
      </c>
      <c r="B50" s="25" t="s">
        <v>30</v>
      </c>
      <c r="C50" s="27">
        <v>17</v>
      </c>
      <c r="D50" s="26">
        <v>10990808.249030635</v>
      </c>
      <c r="E50" s="26">
        <v>161629533.07397991</v>
      </c>
      <c r="F50" s="26">
        <v>2691017.7217999999</v>
      </c>
      <c r="G50" s="26">
        <v>13455088.609200001</v>
      </c>
    </row>
    <row r="51" spans="1:7">
      <c r="A51" s="25">
        <v>45706</v>
      </c>
      <c r="B51" s="25" t="s">
        <v>30</v>
      </c>
      <c r="C51" s="27">
        <v>18</v>
      </c>
      <c r="D51" s="26">
        <v>14622017.08381268</v>
      </c>
      <c r="E51" s="26">
        <v>215029662.99724525</v>
      </c>
      <c r="F51" s="26">
        <v>4533882.8356999997</v>
      </c>
      <c r="G51" s="26">
        <v>22669414.1787</v>
      </c>
    </row>
    <row r="52" spans="1:7">
      <c r="A52" s="25">
        <v>45707</v>
      </c>
      <c r="B52" s="25" t="s">
        <v>30</v>
      </c>
      <c r="C52" s="27">
        <v>19</v>
      </c>
      <c r="D52" s="26">
        <v>19420824.056264978</v>
      </c>
      <c r="E52" s="26">
        <v>285600353.76860261</v>
      </c>
      <c r="F52" s="26">
        <v>7577252.767</v>
      </c>
      <c r="G52" s="26">
        <v>37886263.834899999</v>
      </c>
    </row>
    <row r="53" spans="1:7">
      <c r="A53" s="25">
        <v>45708</v>
      </c>
      <c r="B53" s="25" t="s">
        <v>30</v>
      </c>
      <c r="C53" s="27">
        <v>20</v>
      </c>
      <c r="D53" s="26">
        <v>18890263.117766701</v>
      </c>
      <c r="E53" s="26">
        <v>277797987.02598083</v>
      </c>
      <c r="F53" s="26">
        <v>6334208.0809000004</v>
      </c>
      <c r="G53" s="26">
        <v>31671040.404300001</v>
      </c>
    </row>
    <row r="54" spans="1:7">
      <c r="A54" s="25">
        <v>45709</v>
      </c>
      <c r="B54" s="25" t="s">
        <v>30</v>
      </c>
      <c r="C54" s="27">
        <v>21</v>
      </c>
      <c r="D54" s="26">
        <v>19884723.080065966</v>
      </c>
      <c r="E54" s="26">
        <v>292422398.23626417</v>
      </c>
      <c r="F54" s="26">
        <v>8497776.1147000007</v>
      </c>
      <c r="G54" s="26">
        <v>42488880.5735</v>
      </c>
    </row>
    <row r="55" spans="1:7">
      <c r="A55" s="25">
        <v>45710</v>
      </c>
      <c r="B55" s="25" t="s">
        <v>30</v>
      </c>
      <c r="C55" s="27">
        <v>22</v>
      </c>
      <c r="D55" s="26">
        <v>25401498.102739699</v>
      </c>
      <c r="E55" s="26">
        <v>373551442.68734848</v>
      </c>
      <c r="F55" s="26">
        <v>8332453.3787000002</v>
      </c>
      <c r="G55" s="26">
        <v>41662266.8935</v>
      </c>
    </row>
    <row r="56" spans="1:7">
      <c r="A56" s="25">
        <v>45711</v>
      </c>
      <c r="B56" s="25" t="s">
        <v>30</v>
      </c>
      <c r="C56" s="27">
        <v>23</v>
      </c>
      <c r="D56" s="26">
        <v>15469438.996475484</v>
      </c>
      <c r="E56" s="26">
        <v>227491749.94816887</v>
      </c>
      <c r="F56" s="26">
        <v>3876941.9190000002</v>
      </c>
      <c r="G56" s="26">
        <v>19384709.594900001</v>
      </c>
    </row>
    <row r="57" spans="1:7">
      <c r="A57" s="25">
        <v>45712</v>
      </c>
      <c r="B57" s="25" t="s">
        <v>30</v>
      </c>
      <c r="C57" s="27">
        <v>24</v>
      </c>
      <c r="D57" s="26">
        <v>10990808.249030635</v>
      </c>
      <c r="E57" s="26">
        <v>161629533.07397991</v>
      </c>
      <c r="F57" s="26">
        <v>2691017.7217999999</v>
      </c>
      <c r="G57" s="26">
        <v>13455088.609200001</v>
      </c>
    </row>
    <row r="58" spans="1:7">
      <c r="A58" s="25">
        <v>45713</v>
      </c>
      <c r="B58" s="25" t="s">
        <v>30</v>
      </c>
      <c r="C58" s="27">
        <v>25</v>
      </c>
      <c r="D58" s="26">
        <v>14622017.08381268</v>
      </c>
      <c r="E58" s="26">
        <v>215029662.99724525</v>
      </c>
      <c r="F58" s="26">
        <v>4533882.8356999997</v>
      </c>
      <c r="G58" s="26">
        <v>22669414.1787</v>
      </c>
    </row>
    <row r="59" spans="1:7">
      <c r="A59" s="25">
        <v>45714</v>
      </c>
      <c r="B59" s="25" t="s">
        <v>30</v>
      </c>
      <c r="C59" s="27">
        <v>26</v>
      </c>
      <c r="D59" s="26">
        <v>19420824.056264978</v>
      </c>
      <c r="E59" s="26">
        <v>285600353.76860261</v>
      </c>
      <c r="F59" s="26">
        <v>7577252.767</v>
      </c>
      <c r="G59" s="26">
        <v>37886263.834899999</v>
      </c>
    </row>
    <row r="60" spans="1:7">
      <c r="A60" s="25">
        <v>45715</v>
      </c>
      <c r="B60" s="25" t="s">
        <v>30</v>
      </c>
      <c r="C60" s="27">
        <v>27</v>
      </c>
      <c r="D60" s="26">
        <v>18890263.117766701</v>
      </c>
      <c r="E60" s="26">
        <v>277797987.02598083</v>
      </c>
      <c r="F60" s="26">
        <v>6334208.0809000004</v>
      </c>
      <c r="G60" s="26">
        <v>31671040.404300001</v>
      </c>
    </row>
    <row r="61" spans="1:7">
      <c r="A61" s="25">
        <v>45716</v>
      </c>
      <c r="B61" s="25" t="s">
        <v>30</v>
      </c>
      <c r="C61" s="27">
        <v>28</v>
      </c>
      <c r="D61" s="26">
        <v>19884723.080065966</v>
      </c>
      <c r="E61" s="26">
        <v>292422398.23626417</v>
      </c>
      <c r="F61" s="26">
        <v>8497776.1147000007</v>
      </c>
      <c r="G61" s="26">
        <v>42488880.5735</v>
      </c>
    </row>
    <row r="62" spans="1:7">
      <c r="A62" s="25">
        <v>45717</v>
      </c>
      <c r="B62" s="25" t="s">
        <v>31</v>
      </c>
      <c r="C62" s="27">
        <v>1</v>
      </c>
      <c r="D62" s="26">
        <v>21771769.447452206</v>
      </c>
      <c r="E62" s="26">
        <v>320173080.10959125</v>
      </c>
      <c r="F62" s="26">
        <v>7891421.2244999995</v>
      </c>
      <c r="G62" s="26">
        <v>39457106.122500002</v>
      </c>
    </row>
    <row r="63" spans="1:7">
      <c r="A63" s="25">
        <v>45718</v>
      </c>
      <c r="B63" s="25" t="s">
        <v>31</v>
      </c>
      <c r="C63" s="27">
        <v>2</v>
      </c>
      <c r="D63" s="26">
        <v>12359221.488673376</v>
      </c>
      <c r="E63" s="26">
        <v>181753257.18637317</v>
      </c>
      <c r="F63" s="26">
        <v>3414048.2428000001</v>
      </c>
      <c r="G63" s="26">
        <v>17070241.214000002</v>
      </c>
    </row>
    <row r="64" spans="1:7">
      <c r="A64" s="25">
        <v>45719</v>
      </c>
      <c r="B64" s="25" t="s">
        <v>31</v>
      </c>
      <c r="C64" s="27">
        <v>3</v>
      </c>
      <c r="D64" s="26">
        <v>11043460.910099026</v>
      </c>
      <c r="E64" s="26">
        <v>162403836.91322097</v>
      </c>
      <c r="F64" s="26">
        <v>2151913.4778</v>
      </c>
      <c r="G64" s="26">
        <v>10759567.388800001</v>
      </c>
    </row>
    <row r="65" spans="1:7">
      <c r="A65" s="25">
        <v>45720</v>
      </c>
      <c r="B65" s="25" t="s">
        <v>31</v>
      </c>
      <c r="C65" s="27">
        <v>4</v>
      </c>
      <c r="D65" s="26">
        <v>9796355.4992460366</v>
      </c>
      <c r="E65" s="26">
        <v>144064051.45950055</v>
      </c>
      <c r="F65" s="26">
        <v>5107270.2248</v>
      </c>
      <c r="G65" s="26">
        <v>25536351.1241</v>
      </c>
    </row>
    <row r="66" spans="1:7">
      <c r="A66" s="25">
        <v>45721</v>
      </c>
      <c r="B66" s="25" t="s">
        <v>31</v>
      </c>
      <c r="C66" s="27">
        <v>5</v>
      </c>
      <c r="D66" s="26">
        <v>17492675.151674688</v>
      </c>
      <c r="E66" s="26">
        <v>257245222.81874543</v>
      </c>
      <c r="F66" s="26">
        <v>6491500.6275000004</v>
      </c>
      <c r="G66" s="26">
        <v>32457503.137400001</v>
      </c>
    </row>
    <row r="67" spans="1:7">
      <c r="A67" s="25">
        <v>45722</v>
      </c>
      <c r="B67" s="25" t="s">
        <v>31</v>
      </c>
      <c r="C67" s="27">
        <v>6</v>
      </c>
      <c r="D67" s="26">
        <v>20137429.412609965</v>
      </c>
      <c r="E67" s="26">
        <v>296138667.83249938</v>
      </c>
      <c r="F67" s="26">
        <v>5183059.0746999998</v>
      </c>
      <c r="G67" s="26">
        <v>25915295.373500001</v>
      </c>
    </row>
    <row r="68" spans="1:7">
      <c r="A68" s="25">
        <v>45723</v>
      </c>
      <c r="B68" s="25" t="s">
        <v>31</v>
      </c>
      <c r="C68" s="27">
        <v>7</v>
      </c>
      <c r="D68" s="26">
        <v>20269724.665838562</v>
      </c>
      <c r="E68" s="26">
        <v>298084186.26233172</v>
      </c>
      <c r="F68" s="26">
        <v>6620653.6683999998</v>
      </c>
      <c r="G68" s="26">
        <v>33103268.341899998</v>
      </c>
    </row>
    <row r="69" spans="1:7">
      <c r="A69" s="25">
        <v>45724</v>
      </c>
      <c r="B69" s="25" t="s">
        <v>31</v>
      </c>
      <c r="C69" s="27">
        <v>8</v>
      </c>
      <c r="D69" s="26">
        <v>21771769.447452206</v>
      </c>
      <c r="E69" s="26">
        <v>320173080.10959125</v>
      </c>
      <c r="F69" s="26">
        <v>7891421.2244999995</v>
      </c>
      <c r="G69" s="26">
        <v>39457106.122500002</v>
      </c>
    </row>
    <row r="70" spans="1:7">
      <c r="A70" s="25">
        <v>45725</v>
      </c>
      <c r="B70" s="25" t="s">
        <v>31</v>
      </c>
      <c r="C70" s="27">
        <v>9</v>
      </c>
      <c r="D70" s="26">
        <v>12359221.488673376</v>
      </c>
      <c r="E70" s="26">
        <v>181753257.18637317</v>
      </c>
      <c r="F70" s="26">
        <v>3414048.2428000001</v>
      </c>
      <c r="G70" s="26">
        <v>17070241.214000002</v>
      </c>
    </row>
    <row r="71" spans="1:7">
      <c r="A71" s="25">
        <v>45726</v>
      </c>
      <c r="B71" s="25" t="s">
        <v>31</v>
      </c>
      <c r="C71" s="27">
        <v>10</v>
      </c>
      <c r="D71" s="26">
        <v>11043460.910099026</v>
      </c>
      <c r="E71" s="26">
        <v>162403836.91322097</v>
      </c>
      <c r="F71" s="26">
        <v>2151913.4778</v>
      </c>
      <c r="G71" s="26">
        <v>10759567.388800001</v>
      </c>
    </row>
    <row r="72" spans="1:7">
      <c r="A72" s="25">
        <v>45727</v>
      </c>
      <c r="B72" s="25" t="s">
        <v>31</v>
      </c>
      <c r="C72" s="27">
        <v>11</v>
      </c>
      <c r="D72" s="26">
        <v>9796355.4992460366</v>
      </c>
      <c r="E72" s="26">
        <v>144064051.45950055</v>
      </c>
      <c r="F72" s="26">
        <v>5107270.2248</v>
      </c>
      <c r="G72" s="26">
        <v>25536351.1241</v>
      </c>
    </row>
    <row r="73" spans="1:7">
      <c r="A73" s="25">
        <v>45728</v>
      </c>
      <c r="B73" s="25" t="s">
        <v>31</v>
      </c>
      <c r="C73" s="27">
        <v>12</v>
      </c>
      <c r="D73" s="26">
        <v>17492675.151674688</v>
      </c>
      <c r="E73" s="26">
        <v>257245222.81874543</v>
      </c>
      <c r="F73" s="26">
        <v>6491500.6275000004</v>
      </c>
      <c r="G73" s="26">
        <v>32457503.137400001</v>
      </c>
    </row>
    <row r="74" spans="1:7">
      <c r="A74" s="25">
        <v>45729</v>
      </c>
      <c r="B74" s="25" t="s">
        <v>31</v>
      </c>
      <c r="C74" s="27">
        <v>13</v>
      </c>
      <c r="D74" s="26">
        <v>20137429.412609965</v>
      </c>
      <c r="E74" s="26">
        <v>296138667.83249938</v>
      </c>
      <c r="F74" s="26">
        <v>5183059.0746999998</v>
      </c>
      <c r="G74" s="26">
        <v>25915295.373500001</v>
      </c>
    </row>
    <row r="75" spans="1:7">
      <c r="A75" s="25">
        <v>45730</v>
      </c>
      <c r="B75" s="25" t="s">
        <v>31</v>
      </c>
      <c r="C75" s="27">
        <v>14</v>
      </c>
      <c r="D75" s="26">
        <v>20269724.665838562</v>
      </c>
      <c r="E75" s="26">
        <v>298084186.26233172</v>
      </c>
      <c r="F75" s="26">
        <v>6620653.6683999998</v>
      </c>
      <c r="G75" s="26">
        <v>33103268.341899998</v>
      </c>
    </row>
    <row r="76" spans="1:7">
      <c r="A76" s="25">
        <v>45731</v>
      </c>
      <c r="B76" s="25" t="s">
        <v>31</v>
      </c>
      <c r="C76" s="27">
        <v>15</v>
      </c>
      <c r="D76" s="26">
        <v>21771769.447452206</v>
      </c>
      <c r="E76" s="26">
        <v>320173080.10959125</v>
      </c>
      <c r="F76" s="26">
        <v>7891421.2244999995</v>
      </c>
      <c r="G76" s="26">
        <v>39457106.122500002</v>
      </c>
    </row>
    <row r="77" spans="1:7">
      <c r="A77" s="25">
        <v>45732</v>
      </c>
      <c r="B77" s="25" t="s">
        <v>31</v>
      </c>
      <c r="C77" s="27">
        <v>16</v>
      </c>
      <c r="D77" s="26">
        <v>12359221.488673376</v>
      </c>
      <c r="E77" s="26">
        <v>181753257.18637317</v>
      </c>
      <c r="F77" s="26">
        <v>3414048.2428000001</v>
      </c>
      <c r="G77" s="26">
        <v>17070241.214000002</v>
      </c>
    </row>
    <row r="78" spans="1:7">
      <c r="A78" s="25">
        <v>45733</v>
      </c>
      <c r="B78" s="25" t="s">
        <v>31</v>
      </c>
      <c r="C78" s="27">
        <v>17</v>
      </c>
      <c r="D78" s="26">
        <v>11043460.910099026</v>
      </c>
      <c r="E78" s="26">
        <v>162403836.91322097</v>
      </c>
      <c r="F78" s="26">
        <v>2151913.4778</v>
      </c>
      <c r="G78" s="26">
        <v>10759567.388800001</v>
      </c>
    </row>
    <row r="79" spans="1:7">
      <c r="A79" s="25">
        <v>45734</v>
      </c>
      <c r="B79" s="25" t="s">
        <v>31</v>
      </c>
      <c r="C79" s="27">
        <v>18</v>
      </c>
      <c r="D79" s="26">
        <v>9796355.4992460366</v>
      </c>
      <c r="E79" s="26">
        <v>144064051.45950055</v>
      </c>
      <c r="F79" s="26">
        <v>5107270.2248</v>
      </c>
      <c r="G79" s="26">
        <v>25536351.1241</v>
      </c>
    </row>
    <row r="80" spans="1:7">
      <c r="A80" s="25">
        <v>45735</v>
      </c>
      <c r="B80" s="25" t="s">
        <v>31</v>
      </c>
      <c r="C80" s="27">
        <v>19</v>
      </c>
      <c r="D80" s="26">
        <v>17492675.151674688</v>
      </c>
      <c r="E80" s="26">
        <v>257245222.81874543</v>
      </c>
      <c r="F80" s="26">
        <v>6491500.6275000004</v>
      </c>
      <c r="G80" s="26">
        <v>32457503.137400001</v>
      </c>
    </row>
    <row r="81" spans="1:7">
      <c r="A81" s="25">
        <v>45736</v>
      </c>
      <c r="B81" s="25" t="s">
        <v>31</v>
      </c>
      <c r="C81" s="27">
        <v>20</v>
      </c>
      <c r="D81" s="26">
        <v>20137429.412609965</v>
      </c>
      <c r="E81" s="26">
        <v>296138667.83249938</v>
      </c>
      <c r="F81" s="26">
        <v>5183059.0746999998</v>
      </c>
      <c r="G81" s="26">
        <v>25915295.373500001</v>
      </c>
    </row>
    <row r="82" spans="1:7">
      <c r="A82" s="25">
        <v>45737</v>
      </c>
      <c r="B82" s="25" t="s">
        <v>31</v>
      </c>
      <c r="C82" s="27">
        <v>21</v>
      </c>
      <c r="D82" s="26">
        <v>20269724.665838562</v>
      </c>
      <c r="E82" s="26">
        <v>298084186.26233172</v>
      </c>
      <c r="F82" s="26">
        <v>6620653.6683999998</v>
      </c>
      <c r="G82" s="26">
        <v>33103268.341899998</v>
      </c>
    </row>
    <row r="83" spans="1:7">
      <c r="A83" s="25">
        <v>45738</v>
      </c>
      <c r="B83" s="25" t="s">
        <v>31</v>
      </c>
      <c r="C83" s="27">
        <v>22</v>
      </c>
      <c r="D83" s="26">
        <v>21771769.447452206</v>
      </c>
      <c r="E83" s="26">
        <v>320173080.10959125</v>
      </c>
      <c r="F83" s="26">
        <v>7891421.2244999995</v>
      </c>
      <c r="G83" s="26">
        <v>39457106.122500002</v>
      </c>
    </row>
    <row r="84" spans="1:7">
      <c r="A84" s="25">
        <v>45739</v>
      </c>
      <c r="B84" s="25" t="s">
        <v>31</v>
      </c>
      <c r="C84" s="27">
        <v>23</v>
      </c>
      <c r="D84" s="26">
        <v>12359221.488673376</v>
      </c>
      <c r="E84" s="26">
        <v>181753257.18637317</v>
      </c>
      <c r="F84" s="26">
        <v>3414048.2428000001</v>
      </c>
      <c r="G84" s="26">
        <v>17070241.214000002</v>
      </c>
    </row>
    <row r="85" spans="1:7">
      <c r="A85" s="25">
        <v>45740</v>
      </c>
      <c r="B85" s="25" t="s">
        <v>31</v>
      </c>
      <c r="C85" s="27">
        <v>24</v>
      </c>
      <c r="D85" s="26">
        <v>11043460.910099026</v>
      </c>
      <c r="E85" s="26">
        <v>162403836.91322097</v>
      </c>
      <c r="F85" s="26">
        <v>2151913.4778</v>
      </c>
      <c r="G85" s="26">
        <v>10759567.388800001</v>
      </c>
    </row>
    <row r="86" spans="1:7">
      <c r="A86" s="25">
        <v>45741</v>
      </c>
      <c r="B86" s="25" t="s">
        <v>31</v>
      </c>
      <c r="C86" s="27">
        <v>25</v>
      </c>
      <c r="D86" s="26">
        <v>9796355.4992460366</v>
      </c>
      <c r="E86" s="26">
        <v>144064051.45950055</v>
      </c>
      <c r="F86" s="26">
        <v>5107270.2248</v>
      </c>
      <c r="G86" s="26">
        <v>25536351.1241</v>
      </c>
    </row>
    <row r="87" spans="1:7">
      <c r="A87" s="25">
        <v>45742</v>
      </c>
      <c r="B87" s="25" t="s">
        <v>31</v>
      </c>
      <c r="C87" s="27">
        <v>26</v>
      </c>
      <c r="D87" s="26">
        <v>17492675.151674688</v>
      </c>
      <c r="E87" s="26">
        <v>257245222.81874543</v>
      </c>
      <c r="F87" s="26">
        <v>6491500.6275000004</v>
      </c>
      <c r="G87" s="26">
        <v>32457503.137400001</v>
      </c>
    </row>
    <row r="88" spans="1:7">
      <c r="A88" s="25">
        <v>45743</v>
      </c>
      <c r="B88" s="25" t="s">
        <v>31</v>
      </c>
      <c r="C88" s="27">
        <v>27</v>
      </c>
      <c r="D88" s="26">
        <v>20137429.412609965</v>
      </c>
      <c r="E88" s="26">
        <v>296138667.83249938</v>
      </c>
      <c r="F88" s="26">
        <v>5183059.0746999998</v>
      </c>
      <c r="G88" s="26">
        <v>25915295.373500001</v>
      </c>
    </row>
    <row r="89" spans="1:7">
      <c r="A89" s="25">
        <v>45744</v>
      </c>
      <c r="B89" s="25" t="s">
        <v>31</v>
      </c>
      <c r="C89" s="27">
        <v>28</v>
      </c>
      <c r="D89" s="26">
        <v>20269724.665838562</v>
      </c>
      <c r="E89" s="26">
        <v>298084186.26233172</v>
      </c>
      <c r="F89" s="26">
        <v>6620653.6683999998</v>
      </c>
      <c r="G89" s="26">
        <v>33103268.341899998</v>
      </c>
    </row>
    <row r="90" spans="1:7">
      <c r="A90" s="25">
        <v>45745</v>
      </c>
      <c r="B90" s="25" t="s">
        <v>31</v>
      </c>
      <c r="C90" s="27">
        <v>29</v>
      </c>
      <c r="D90" s="26">
        <v>21771769.447452206</v>
      </c>
      <c r="E90" s="26">
        <v>320173080.10959125</v>
      </c>
      <c r="F90" s="26">
        <v>7891421.2244999995</v>
      </c>
      <c r="G90" s="26">
        <v>39457106.122500002</v>
      </c>
    </row>
    <row r="91" spans="1:7">
      <c r="A91" s="25">
        <v>45746</v>
      </c>
      <c r="B91" s="25" t="s">
        <v>31</v>
      </c>
      <c r="C91" s="27">
        <v>30</v>
      </c>
      <c r="D91" s="26">
        <v>12359221.488673376</v>
      </c>
      <c r="E91" s="26">
        <v>181753257.18637317</v>
      </c>
      <c r="F91" s="26">
        <v>3414048.2428000001</v>
      </c>
      <c r="G91" s="26">
        <v>17070241.214000002</v>
      </c>
    </row>
    <row r="92" spans="1:7">
      <c r="A92" s="25">
        <v>45747</v>
      </c>
      <c r="B92" s="25" t="s">
        <v>31</v>
      </c>
      <c r="C92" s="27">
        <v>31</v>
      </c>
      <c r="D92" s="26">
        <v>11043460.910099026</v>
      </c>
      <c r="E92" s="26">
        <v>162403836.91322097</v>
      </c>
      <c r="F92" s="26">
        <v>2151913.4778</v>
      </c>
      <c r="G92" s="26">
        <v>10759567.388800001</v>
      </c>
    </row>
    <row r="93" spans="1:7">
      <c r="A93" s="25">
        <v>45748</v>
      </c>
      <c r="B93" s="25" t="s">
        <v>32</v>
      </c>
      <c r="C93" s="27">
        <v>1</v>
      </c>
      <c r="D93" s="26">
        <v>14255668.788146231</v>
      </c>
      <c r="E93" s="26">
        <v>209642188.06097397</v>
      </c>
      <c r="F93" s="26">
        <v>3398819.5913999998</v>
      </c>
      <c r="G93" s="26">
        <v>16994097.956900001</v>
      </c>
    </row>
    <row r="94" spans="1:7">
      <c r="A94" s="25">
        <v>45749</v>
      </c>
      <c r="B94" s="25" t="s">
        <v>32</v>
      </c>
      <c r="C94" s="27">
        <v>2</v>
      </c>
      <c r="D94" s="26">
        <v>16906490.409075748</v>
      </c>
      <c r="E94" s="26">
        <v>248624858.95699626</v>
      </c>
      <c r="F94" s="26">
        <v>5389591.5902000004</v>
      </c>
      <c r="G94" s="26">
        <v>26947957.9509</v>
      </c>
    </row>
    <row r="95" spans="1:7">
      <c r="A95" s="25">
        <v>45750</v>
      </c>
      <c r="B95" s="25" t="s">
        <v>32</v>
      </c>
      <c r="C95" s="27">
        <v>3</v>
      </c>
      <c r="D95" s="26">
        <v>13874101.637898529</v>
      </c>
      <c r="E95" s="26">
        <v>204030906.43968424</v>
      </c>
      <c r="F95" s="26">
        <v>5251768.1650999999</v>
      </c>
      <c r="G95" s="26">
        <v>26258840.825399999</v>
      </c>
    </row>
    <row r="96" spans="1:7">
      <c r="A96" s="25">
        <v>45751</v>
      </c>
      <c r="B96" s="25" t="s">
        <v>32</v>
      </c>
      <c r="C96" s="27">
        <v>4</v>
      </c>
      <c r="D96" s="26">
        <v>20850405.738661312</v>
      </c>
      <c r="E96" s="26">
        <v>306623613.80384278</v>
      </c>
      <c r="F96" s="26">
        <v>5673106.3658999996</v>
      </c>
      <c r="G96" s="26">
        <v>28365531.829399999</v>
      </c>
    </row>
    <row r="97" spans="1:7">
      <c r="A97" s="25">
        <v>45752</v>
      </c>
      <c r="B97" s="25" t="s">
        <v>32</v>
      </c>
      <c r="C97" s="27">
        <v>5</v>
      </c>
      <c r="D97" s="26">
        <v>21833447.577267148</v>
      </c>
      <c r="E97" s="26">
        <v>321080111.43039918</v>
      </c>
      <c r="F97" s="26">
        <v>7271613.4611</v>
      </c>
      <c r="G97" s="26">
        <v>36358067.305699997</v>
      </c>
    </row>
    <row r="98" spans="1:7">
      <c r="A98" s="25">
        <v>45753</v>
      </c>
      <c r="B98" s="25" t="s">
        <v>32</v>
      </c>
      <c r="C98" s="27">
        <v>6</v>
      </c>
      <c r="D98" s="26">
        <v>13258771.196367942</v>
      </c>
      <c r="E98" s="26">
        <v>194981929.35835207</v>
      </c>
      <c r="F98" s="26">
        <v>3336576.8503999999</v>
      </c>
      <c r="G98" s="26">
        <v>16682884.2521</v>
      </c>
    </row>
    <row r="99" spans="1:7">
      <c r="A99" s="25">
        <v>45754</v>
      </c>
      <c r="B99" s="25" t="s">
        <v>32</v>
      </c>
      <c r="C99" s="27">
        <v>7</v>
      </c>
      <c r="D99" s="26">
        <v>12220271.639210202</v>
      </c>
      <c r="E99" s="26">
        <v>179709877.04720885</v>
      </c>
      <c r="F99" s="26">
        <v>3579276.6305</v>
      </c>
      <c r="G99" s="26">
        <v>17896383.152600002</v>
      </c>
    </row>
    <row r="100" spans="1:7">
      <c r="A100" s="25">
        <v>45755</v>
      </c>
      <c r="B100" s="25" t="s">
        <v>32</v>
      </c>
      <c r="C100" s="27">
        <v>8</v>
      </c>
      <c r="D100" s="26">
        <v>14255668.788146231</v>
      </c>
      <c r="E100" s="26">
        <v>209642188.06097397</v>
      </c>
      <c r="F100" s="26">
        <v>3398819.5913999998</v>
      </c>
      <c r="G100" s="26">
        <v>16994097.956900001</v>
      </c>
    </row>
    <row r="101" spans="1:7">
      <c r="A101" s="25">
        <v>45756</v>
      </c>
      <c r="B101" s="25" t="s">
        <v>32</v>
      </c>
      <c r="C101" s="27">
        <v>9</v>
      </c>
      <c r="D101" s="26">
        <v>16906490.409075748</v>
      </c>
      <c r="E101" s="26">
        <v>248624858.95699626</v>
      </c>
      <c r="F101" s="26">
        <v>5389591.5902000004</v>
      </c>
      <c r="G101" s="26">
        <v>26947957.9509</v>
      </c>
    </row>
    <row r="102" spans="1:7">
      <c r="A102" s="25">
        <v>45757</v>
      </c>
      <c r="B102" s="25" t="s">
        <v>32</v>
      </c>
      <c r="C102" s="27">
        <v>10</v>
      </c>
      <c r="D102" s="26">
        <v>13874101.637898529</v>
      </c>
      <c r="E102" s="26">
        <v>204030906.43968424</v>
      </c>
      <c r="F102" s="26">
        <v>5251768.1650999999</v>
      </c>
      <c r="G102" s="26">
        <v>26258840.825399999</v>
      </c>
    </row>
    <row r="103" spans="1:7">
      <c r="A103" s="25">
        <v>45758</v>
      </c>
      <c r="B103" s="25" t="s">
        <v>32</v>
      </c>
      <c r="C103" s="27">
        <v>11</v>
      </c>
      <c r="D103" s="26">
        <v>20850405.738661312</v>
      </c>
      <c r="E103" s="26">
        <v>306623613.80384278</v>
      </c>
      <c r="F103" s="26">
        <v>5673106.3658999996</v>
      </c>
      <c r="G103" s="26">
        <v>28365531.829399999</v>
      </c>
    </row>
    <row r="104" spans="1:7">
      <c r="A104" s="25">
        <v>45759</v>
      </c>
      <c r="B104" s="25" t="s">
        <v>32</v>
      </c>
      <c r="C104" s="27">
        <v>12</v>
      </c>
      <c r="D104" s="26">
        <v>21833447.577267148</v>
      </c>
      <c r="E104" s="26">
        <v>321080111.43039918</v>
      </c>
      <c r="F104" s="26">
        <v>7271613.4611</v>
      </c>
      <c r="G104" s="26">
        <v>36358067.305699997</v>
      </c>
    </row>
    <row r="105" spans="1:7">
      <c r="A105" s="25">
        <v>45760</v>
      </c>
      <c r="B105" s="25" t="s">
        <v>32</v>
      </c>
      <c r="C105" s="27">
        <v>13</v>
      </c>
      <c r="D105" s="26">
        <v>13258771.196367942</v>
      </c>
      <c r="E105" s="26">
        <v>194981929.35835207</v>
      </c>
      <c r="F105" s="26">
        <v>3336576.8503999999</v>
      </c>
      <c r="G105" s="26">
        <v>16682884.2521</v>
      </c>
    </row>
    <row r="106" spans="1:7">
      <c r="A106" s="25">
        <v>45761</v>
      </c>
      <c r="B106" s="25" t="s">
        <v>32</v>
      </c>
      <c r="C106" s="27">
        <v>14</v>
      </c>
      <c r="D106" s="26">
        <v>12220271.639210202</v>
      </c>
      <c r="E106" s="26">
        <v>179709877.04720885</v>
      </c>
      <c r="F106" s="26">
        <v>3579276.6305</v>
      </c>
      <c r="G106" s="26">
        <v>17896383.152600002</v>
      </c>
    </row>
    <row r="107" spans="1:7">
      <c r="A107" s="25">
        <v>45762</v>
      </c>
      <c r="B107" s="25" t="s">
        <v>32</v>
      </c>
      <c r="C107" s="27">
        <v>15</v>
      </c>
      <c r="D107" s="26">
        <v>14255668.788146231</v>
      </c>
      <c r="E107" s="26">
        <v>209642188.06097397</v>
      </c>
      <c r="F107" s="26">
        <v>3398819.5913999998</v>
      </c>
      <c r="G107" s="26">
        <v>16994097.956900001</v>
      </c>
    </row>
    <row r="108" spans="1:7">
      <c r="A108" s="25">
        <v>45763</v>
      </c>
      <c r="B108" s="25" t="s">
        <v>32</v>
      </c>
      <c r="C108" s="27">
        <v>16</v>
      </c>
      <c r="D108" s="26">
        <v>16906490.409075748</v>
      </c>
      <c r="E108" s="26">
        <v>248624858.95699626</v>
      </c>
      <c r="F108" s="26">
        <v>5389591.5902000004</v>
      </c>
      <c r="G108" s="26">
        <v>26947957.9509</v>
      </c>
    </row>
    <row r="109" spans="1:7">
      <c r="A109" s="25">
        <v>45764</v>
      </c>
      <c r="B109" s="25" t="s">
        <v>32</v>
      </c>
      <c r="C109" s="27">
        <v>17</v>
      </c>
      <c r="D109" s="26">
        <v>18748699.411723908</v>
      </c>
      <c r="E109" s="26">
        <v>275716167.81946921</v>
      </c>
      <c r="F109" s="26">
        <v>6662267.2582999999</v>
      </c>
      <c r="G109" s="26">
        <v>33311336.291700002</v>
      </c>
    </row>
    <row r="110" spans="1:7">
      <c r="A110" s="25">
        <v>45765</v>
      </c>
      <c r="B110" s="25" t="s">
        <v>32</v>
      </c>
      <c r="C110" s="27">
        <v>18</v>
      </c>
      <c r="D110" s="26">
        <v>28122354.298064563</v>
      </c>
      <c r="E110" s="26">
        <v>413564033.79506707</v>
      </c>
      <c r="F110" s="26">
        <v>7196766.8043</v>
      </c>
      <c r="G110" s="26">
        <v>35983834.021600001</v>
      </c>
    </row>
    <row r="111" spans="1:7">
      <c r="A111" s="25">
        <v>45766</v>
      </c>
      <c r="B111" s="25" t="s">
        <v>32</v>
      </c>
      <c r="C111" s="27">
        <v>19</v>
      </c>
      <c r="D111" s="26">
        <v>30137686.416973956</v>
      </c>
      <c r="E111" s="26">
        <v>443201270.83785224</v>
      </c>
      <c r="F111" s="26">
        <v>9224594.6041000001</v>
      </c>
      <c r="G111" s="26">
        <v>46122973.020400003</v>
      </c>
    </row>
    <row r="112" spans="1:7">
      <c r="A112" s="25">
        <v>45767</v>
      </c>
      <c r="B112" s="25" t="s">
        <v>32</v>
      </c>
      <c r="C112" s="27">
        <v>20</v>
      </c>
      <c r="D112" s="26">
        <v>17996398.707780149</v>
      </c>
      <c r="E112" s="26">
        <v>264652922.17323744</v>
      </c>
      <c r="F112" s="26">
        <v>4232701.4457999999</v>
      </c>
      <c r="G112" s="26">
        <v>21163507.229200002</v>
      </c>
    </row>
    <row r="113" spans="1:7">
      <c r="A113" s="25">
        <v>45768</v>
      </c>
      <c r="B113" s="25" t="s">
        <v>32</v>
      </c>
      <c r="C113" s="27">
        <v>21</v>
      </c>
      <c r="D113" s="26">
        <v>12220271.639210202</v>
      </c>
      <c r="E113" s="26">
        <v>179709877.04720885</v>
      </c>
      <c r="F113" s="26">
        <v>3579276.6305</v>
      </c>
      <c r="G113" s="26">
        <v>17896383.152600002</v>
      </c>
    </row>
    <row r="114" spans="1:7">
      <c r="A114" s="25">
        <v>45769</v>
      </c>
      <c r="B114" s="25" t="s">
        <v>32</v>
      </c>
      <c r="C114" s="27">
        <v>22</v>
      </c>
      <c r="D114" s="26">
        <v>14255668.788146231</v>
      </c>
      <c r="E114" s="26">
        <v>209642188.06097397</v>
      </c>
      <c r="F114" s="26">
        <v>3398819.5913999998</v>
      </c>
      <c r="G114" s="26">
        <v>16994097.956900001</v>
      </c>
    </row>
    <row r="115" spans="1:7">
      <c r="A115" s="25">
        <v>45770</v>
      </c>
      <c r="B115" s="25" t="s">
        <v>32</v>
      </c>
      <c r="C115" s="27">
        <v>23</v>
      </c>
      <c r="D115" s="26">
        <v>16906490.409075748</v>
      </c>
      <c r="E115" s="26">
        <v>248624858.95699626</v>
      </c>
      <c r="F115" s="26">
        <v>5389591.5902000004</v>
      </c>
      <c r="G115" s="26">
        <v>26947957.9509</v>
      </c>
    </row>
    <row r="116" spans="1:7">
      <c r="A116" s="25">
        <v>45771</v>
      </c>
      <c r="B116" s="25" t="s">
        <v>32</v>
      </c>
      <c r="C116" s="27">
        <v>24</v>
      </c>
      <c r="D116" s="26">
        <v>13874101.637898529</v>
      </c>
      <c r="E116" s="26">
        <v>204030906.43968424</v>
      </c>
      <c r="F116" s="26">
        <v>5251768.1650999999</v>
      </c>
      <c r="G116" s="26">
        <v>26258840.825399999</v>
      </c>
    </row>
    <row r="117" spans="1:7">
      <c r="A117" s="25">
        <v>45772</v>
      </c>
      <c r="B117" s="25" t="s">
        <v>32</v>
      </c>
      <c r="C117" s="27">
        <v>25</v>
      </c>
      <c r="D117" s="26">
        <v>20850405.738661312</v>
      </c>
      <c r="E117" s="26">
        <v>306623613.80384278</v>
      </c>
      <c r="F117" s="26">
        <v>5673106.3658999996</v>
      </c>
      <c r="G117" s="26">
        <v>28365531.829399999</v>
      </c>
    </row>
    <row r="118" spans="1:7">
      <c r="A118" s="25">
        <v>45773</v>
      </c>
      <c r="B118" s="25" t="s">
        <v>32</v>
      </c>
      <c r="C118" s="27">
        <v>26</v>
      </c>
      <c r="D118" s="26">
        <v>21833447.577267148</v>
      </c>
      <c r="E118" s="26">
        <v>321080111.43039918</v>
      </c>
      <c r="F118" s="26">
        <v>7271613.4611</v>
      </c>
      <c r="G118" s="26">
        <v>36358067.305699997</v>
      </c>
    </row>
    <row r="119" spans="1:7">
      <c r="A119" s="25">
        <v>45774</v>
      </c>
      <c r="B119" s="25" t="s">
        <v>32</v>
      </c>
      <c r="C119" s="27">
        <v>27</v>
      </c>
      <c r="D119" s="26">
        <v>13258771.196367942</v>
      </c>
      <c r="E119" s="26">
        <v>194981929.35835207</v>
      </c>
      <c r="F119" s="26">
        <v>3336576.8503999999</v>
      </c>
      <c r="G119" s="26">
        <v>16682884.2521</v>
      </c>
    </row>
    <row r="120" spans="1:7">
      <c r="A120" s="25">
        <v>45775</v>
      </c>
      <c r="B120" s="25" t="s">
        <v>32</v>
      </c>
      <c r="C120" s="27">
        <v>28</v>
      </c>
      <c r="D120" s="26">
        <v>12220271.639210202</v>
      </c>
      <c r="E120" s="26">
        <v>179709877.04720885</v>
      </c>
      <c r="F120" s="26">
        <v>3579276.6305</v>
      </c>
      <c r="G120" s="26">
        <v>17896383.152600002</v>
      </c>
    </row>
    <row r="121" spans="1:7">
      <c r="A121" s="25">
        <v>45776</v>
      </c>
      <c r="B121" s="25" t="s">
        <v>32</v>
      </c>
      <c r="C121" s="27">
        <v>29</v>
      </c>
      <c r="D121" s="26">
        <v>14255668.788146231</v>
      </c>
      <c r="E121" s="26">
        <v>209642188.06097397</v>
      </c>
      <c r="F121" s="26">
        <v>3398819.5913999998</v>
      </c>
      <c r="G121" s="26">
        <v>16994097.956900001</v>
      </c>
    </row>
    <row r="122" spans="1:7">
      <c r="A122" s="25">
        <v>45777</v>
      </c>
      <c r="B122" s="25" t="s">
        <v>32</v>
      </c>
      <c r="C122" s="27">
        <v>30</v>
      </c>
      <c r="D122" s="26">
        <v>19496367.193597704</v>
      </c>
      <c r="E122" s="26">
        <v>286711282.25878972</v>
      </c>
      <c r="F122" s="26">
        <v>6837106.7531000003</v>
      </c>
      <c r="G122" s="26">
        <v>34185533.7654</v>
      </c>
    </row>
    <row r="123" spans="1:7">
      <c r="A123" s="25">
        <v>45778</v>
      </c>
      <c r="B123" s="25" t="s">
        <v>33</v>
      </c>
      <c r="C123" s="27">
        <v>1</v>
      </c>
      <c r="D123" s="26">
        <v>18377292.854510665</v>
      </c>
      <c r="E123" s="26">
        <v>270254306.68398035</v>
      </c>
      <c r="F123" s="26">
        <v>6160696.5569000002</v>
      </c>
      <c r="G123" s="26">
        <v>30803482.784600001</v>
      </c>
    </row>
    <row r="124" spans="1:7">
      <c r="A124" s="25">
        <v>45779</v>
      </c>
      <c r="B124" s="25" t="s">
        <v>33</v>
      </c>
      <c r="C124" s="27">
        <v>2</v>
      </c>
      <c r="D124" s="26">
        <v>16225347.712527027</v>
      </c>
      <c r="E124" s="26">
        <v>238608054.59598568</v>
      </c>
      <c r="F124" s="26">
        <v>7197506.5153000001</v>
      </c>
      <c r="G124" s="26">
        <v>35987532.576499999</v>
      </c>
    </row>
    <row r="125" spans="1:7">
      <c r="A125" s="25">
        <v>45780</v>
      </c>
      <c r="B125" s="25" t="s">
        <v>33</v>
      </c>
      <c r="C125" s="27">
        <v>3</v>
      </c>
      <c r="D125" s="26">
        <v>17859488.846310958</v>
      </c>
      <c r="E125" s="26">
        <v>262639541.85751405</v>
      </c>
      <c r="F125" s="26">
        <v>7817448.6552999998</v>
      </c>
      <c r="G125" s="26">
        <v>39087243.276600003</v>
      </c>
    </row>
    <row r="126" spans="1:7">
      <c r="A126" s="25">
        <v>45781</v>
      </c>
      <c r="B126" s="25" t="s">
        <v>33</v>
      </c>
      <c r="C126" s="27">
        <v>4</v>
      </c>
      <c r="D126" s="26">
        <v>9510936.3450710047</v>
      </c>
      <c r="E126" s="26">
        <v>139866710.95692652</v>
      </c>
      <c r="F126" s="26">
        <v>3945416.8015999999</v>
      </c>
      <c r="G126" s="26">
        <v>19727084.008200001</v>
      </c>
    </row>
    <row r="127" spans="1:7">
      <c r="A127" s="25">
        <v>45782</v>
      </c>
      <c r="B127" s="25" t="s">
        <v>33</v>
      </c>
      <c r="C127" s="27">
        <v>5</v>
      </c>
      <c r="D127" s="26">
        <v>14628580.210690727</v>
      </c>
      <c r="E127" s="26">
        <v>215126179.56898129</v>
      </c>
      <c r="F127" s="26">
        <v>2881860.3184000002</v>
      </c>
      <c r="G127" s="26">
        <v>14409301.5921</v>
      </c>
    </row>
    <row r="128" spans="1:7">
      <c r="A128" s="25">
        <v>45783</v>
      </c>
      <c r="B128" s="25" t="s">
        <v>33</v>
      </c>
      <c r="C128" s="27">
        <v>6</v>
      </c>
      <c r="D128" s="26">
        <v>12404495.438223165</v>
      </c>
      <c r="E128" s="26">
        <v>182419050.56210536</v>
      </c>
      <c r="F128" s="26">
        <v>2581431.3347</v>
      </c>
      <c r="G128" s="26">
        <v>12907156.673699999</v>
      </c>
    </row>
    <row r="129" spans="1:7">
      <c r="A129" s="25">
        <v>45784</v>
      </c>
      <c r="B129" s="25" t="s">
        <v>33</v>
      </c>
      <c r="C129" s="27">
        <v>7</v>
      </c>
      <c r="D129" s="26">
        <v>14913537.275037523</v>
      </c>
      <c r="E129" s="26">
        <v>219316724.63290471</v>
      </c>
      <c r="F129" s="26">
        <v>4052247.2146999999</v>
      </c>
      <c r="G129" s="26">
        <v>20261236.0735</v>
      </c>
    </row>
    <row r="130" spans="1:7">
      <c r="A130" s="25">
        <v>45785</v>
      </c>
      <c r="B130" s="25" t="s">
        <v>33</v>
      </c>
      <c r="C130" s="27">
        <v>8</v>
      </c>
      <c r="D130" s="26">
        <v>18608307.840236623</v>
      </c>
      <c r="E130" s="26">
        <v>273651585.88583267</v>
      </c>
      <c r="F130" s="26">
        <v>4962224.2155999998</v>
      </c>
      <c r="G130" s="26">
        <v>24811121.078200001</v>
      </c>
    </row>
    <row r="131" spans="1:7">
      <c r="A131" s="25">
        <v>45786</v>
      </c>
      <c r="B131" s="25" t="s">
        <v>33</v>
      </c>
      <c r="C131" s="27">
        <v>9</v>
      </c>
      <c r="D131" s="26">
        <v>21000390.000889018</v>
      </c>
      <c r="E131" s="26">
        <v>308829264.71895611</v>
      </c>
      <c r="F131" s="26">
        <v>7197506.5153000001</v>
      </c>
      <c r="G131" s="26">
        <v>35987532.576499999</v>
      </c>
    </row>
    <row r="132" spans="1:7">
      <c r="A132" s="25">
        <v>45787</v>
      </c>
      <c r="B132" s="25" t="s">
        <v>33</v>
      </c>
      <c r="C132" s="27">
        <v>10</v>
      </c>
      <c r="D132" s="26">
        <v>17859488.846310958</v>
      </c>
      <c r="E132" s="26">
        <v>262639541.85751405</v>
      </c>
      <c r="F132" s="26">
        <v>7817448.6552999998</v>
      </c>
      <c r="G132" s="26">
        <v>39087243.276600003</v>
      </c>
    </row>
    <row r="133" spans="1:7">
      <c r="A133" s="25">
        <v>45788</v>
      </c>
      <c r="B133" s="25" t="s">
        <v>33</v>
      </c>
      <c r="C133" s="27">
        <v>11</v>
      </c>
      <c r="D133" s="26">
        <v>9510936.3450710047</v>
      </c>
      <c r="E133" s="26">
        <v>139866710.95692652</v>
      </c>
      <c r="F133" s="26">
        <v>3945416.8015999999</v>
      </c>
      <c r="G133" s="26">
        <v>19727084.008200001</v>
      </c>
    </row>
    <row r="134" spans="1:7">
      <c r="A134" s="25">
        <v>45789</v>
      </c>
      <c r="B134" s="25" t="s">
        <v>33</v>
      </c>
      <c r="C134" s="27">
        <v>12</v>
      </c>
      <c r="D134" s="26">
        <v>14628580.210690727</v>
      </c>
      <c r="E134" s="26">
        <v>215126179.56898129</v>
      </c>
      <c r="F134" s="26">
        <v>2881860.3184000002</v>
      </c>
      <c r="G134" s="26">
        <v>14409301.5921</v>
      </c>
    </row>
    <row r="135" spans="1:7">
      <c r="A135" s="25">
        <v>45790</v>
      </c>
      <c r="B135" s="25" t="s">
        <v>33</v>
      </c>
      <c r="C135" s="27">
        <v>13</v>
      </c>
      <c r="D135" s="26">
        <v>12404495.438223165</v>
      </c>
      <c r="E135" s="26">
        <v>182419050.56210536</v>
      </c>
      <c r="F135" s="26">
        <v>2581431.3347</v>
      </c>
      <c r="G135" s="26">
        <v>12907156.673699999</v>
      </c>
    </row>
    <row r="136" spans="1:7">
      <c r="A136" s="25">
        <v>45791</v>
      </c>
      <c r="B136" s="25" t="s">
        <v>33</v>
      </c>
      <c r="C136" s="27">
        <v>14</v>
      </c>
      <c r="D136" s="26">
        <v>14913537.275037523</v>
      </c>
      <c r="E136" s="26">
        <v>219316724.63290471</v>
      </c>
      <c r="F136" s="26">
        <v>4052247.2146999999</v>
      </c>
      <c r="G136" s="26">
        <v>20261236.0735</v>
      </c>
    </row>
    <row r="137" spans="1:7">
      <c r="A137" s="25">
        <v>45792</v>
      </c>
      <c r="B137" s="25" t="s">
        <v>33</v>
      </c>
      <c r="C137" s="27">
        <v>15</v>
      </c>
      <c r="D137" s="26">
        <v>18608307.840236623</v>
      </c>
      <c r="E137" s="26">
        <v>273651585.88583267</v>
      </c>
      <c r="F137" s="26">
        <v>4962224.2155999998</v>
      </c>
      <c r="G137" s="26">
        <v>24811121.078200001</v>
      </c>
    </row>
    <row r="138" spans="1:7">
      <c r="A138" s="25">
        <v>45793</v>
      </c>
      <c r="B138" s="25" t="s">
        <v>33</v>
      </c>
      <c r="C138" s="27">
        <v>16</v>
      </c>
      <c r="D138" s="26">
        <v>21000390.000889018</v>
      </c>
      <c r="E138" s="26">
        <v>308829264.71895611</v>
      </c>
      <c r="F138" s="26">
        <v>7197506.5153000001</v>
      </c>
      <c r="G138" s="26">
        <v>35987532.576499999</v>
      </c>
    </row>
    <row r="139" spans="1:7">
      <c r="A139" s="25">
        <v>45794</v>
      </c>
      <c r="B139" s="25" t="s">
        <v>33</v>
      </c>
      <c r="C139" s="27">
        <v>17</v>
      </c>
      <c r="D139" s="26">
        <v>17859488.846310958</v>
      </c>
      <c r="E139" s="26">
        <v>262639541.85751405</v>
      </c>
      <c r="F139" s="26">
        <v>7817448.6552999998</v>
      </c>
      <c r="G139" s="26">
        <v>39087243.276600003</v>
      </c>
    </row>
    <row r="140" spans="1:7">
      <c r="A140" s="25">
        <v>45795</v>
      </c>
      <c r="B140" s="25" t="s">
        <v>33</v>
      </c>
      <c r="C140" s="27">
        <v>18</v>
      </c>
      <c r="D140" s="26">
        <v>9510936.3450710047</v>
      </c>
      <c r="E140" s="26">
        <v>139866710.95692652</v>
      </c>
      <c r="F140" s="26">
        <v>3945416.8015999999</v>
      </c>
      <c r="G140" s="26">
        <v>19727084.008200001</v>
      </c>
    </row>
    <row r="141" spans="1:7">
      <c r="A141" s="25">
        <v>45796</v>
      </c>
      <c r="B141" s="25" t="s">
        <v>33</v>
      </c>
      <c r="C141" s="27">
        <v>19</v>
      </c>
      <c r="D141" s="26">
        <v>14628580.210690727</v>
      </c>
      <c r="E141" s="26">
        <v>215126179.56898129</v>
      </c>
      <c r="F141" s="26">
        <v>2881860.3184000002</v>
      </c>
      <c r="G141" s="26">
        <v>14409301.5921</v>
      </c>
    </row>
    <row r="142" spans="1:7">
      <c r="A142" s="25">
        <v>45797</v>
      </c>
      <c r="B142" s="25" t="s">
        <v>33</v>
      </c>
      <c r="C142" s="27">
        <v>20</v>
      </c>
      <c r="D142" s="26">
        <v>15842750.616372634</v>
      </c>
      <c r="E142" s="26">
        <v>232981626.71136224</v>
      </c>
      <c r="F142" s="26">
        <v>5063647.1189999999</v>
      </c>
      <c r="G142" s="26">
        <v>25318235.595199998</v>
      </c>
    </row>
    <row r="143" spans="1:7">
      <c r="A143" s="25">
        <v>45798</v>
      </c>
      <c r="B143" s="25" t="s">
        <v>33</v>
      </c>
      <c r="C143" s="27">
        <v>21</v>
      </c>
      <c r="D143" s="26">
        <v>19667432.319703281</v>
      </c>
      <c r="E143" s="26">
        <v>289226945.87798941</v>
      </c>
      <c r="F143" s="26">
        <v>5513981.0208000001</v>
      </c>
      <c r="G143" s="26">
        <v>27569905.1039</v>
      </c>
    </row>
    <row r="144" spans="1:7">
      <c r="A144" s="25">
        <v>45799</v>
      </c>
      <c r="B144" s="25" t="s">
        <v>33</v>
      </c>
      <c r="C144" s="27">
        <v>22</v>
      </c>
      <c r="D144" s="26">
        <v>18608307.840236623</v>
      </c>
      <c r="E144" s="26">
        <v>273651585.88583267</v>
      </c>
      <c r="F144" s="26">
        <v>4962224.2155999998</v>
      </c>
      <c r="G144" s="26">
        <v>24811121.078200001</v>
      </c>
    </row>
    <row r="145" spans="1:7">
      <c r="A145" s="25">
        <v>45800</v>
      </c>
      <c r="B145" s="25" t="s">
        <v>33</v>
      </c>
      <c r="C145" s="27">
        <v>23</v>
      </c>
      <c r="D145" s="26">
        <v>21000390.000889018</v>
      </c>
      <c r="E145" s="26">
        <v>308829264.71895611</v>
      </c>
      <c r="F145" s="26">
        <v>7197506.5153000001</v>
      </c>
      <c r="G145" s="26">
        <v>35987532.576499999</v>
      </c>
    </row>
    <row r="146" spans="1:7">
      <c r="A146" s="25">
        <v>45801</v>
      </c>
      <c r="B146" s="25" t="s">
        <v>33</v>
      </c>
      <c r="C146" s="27">
        <v>24</v>
      </c>
      <c r="D146" s="26">
        <v>17859488.846310958</v>
      </c>
      <c r="E146" s="26">
        <v>262639541.85751405</v>
      </c>
      <c r="F146" s="26">
        <v>7817448.6552999998</v>
      </c>
      <c r="G146" s="26">
        <v>39087243.276600003</v>
      </c>
    </row>
    <row r="147" spans="1:7">
      <c r="A147" s="25">
        <v>45802</v>
      </c>
      <c r="B147" s="25" t="s">
        <v>33</v>
      </c>
      <c r="C147" s="27">
        <v>25</v>
      </c>
      <c r="D147" s="26">
        <v>9510936.3450710047</v>
      </c>
      <c r="E147" s="26">
        <v>139866710.95692652</v>
      </c>
      <c r="F147" s="26">
        <v>3945416.8015999999</v>
      </c>
      <c r="G147" s="26">
        <v>19727084.008200001</v>
      </c>
    </row>
    <row r="148" spans="1:7">
      <c r="A148" s="25">
        <v>45803</v>
      </c>
      <c r="B148" s="25" t="s">
        <v>33</v>
      </c>
      <c r="C148" s="27">
        <v>26</v>
      </c>
      <c r="D148" s="26">
        <v>14628580.210690727</v>
      </c>
      <c r="E148" s="26">
        <v>215126179.56898129</v>
      </c>
      <c r="F148" s="26">
        <v>2881860.3184000002</v>
      </c>
      <c r="G148" s="26">
        <v>14409301.5921</v>
      </c>
    </row>
    <row r="149" spans="1:7">
      <c r="A149" s="25">
        <v>45804</v>
      </c>
      <c r="B149" s="25" t="s">
        <v>33</v>
      </c>
      <c r="C149" s="27">
        <v>27</v>
      </c>
      <c r="D149" s="26">
        <v>12404495.438223165</v>
      </c>
      <c r="E149" s="26">
        <v>182419050.56210536</v>
      </c>
      <c r="F149" s="26">
        <v>2581431.3347</v>
      </c>
      <c r="G149" s="26">
        <v>12907156.673699999</v>
      </c>
    </row>
    <row r="150" spans="1:7">
      <c r="A150" s="25">
        <v>45805</v>
      </c>
      <c r="B150" s="25" t="s">
        <v>33</v>
      </c>
      <c r="C150" s="27">
        <v>28</v>
      </c>
      <c r="D150" s="26">
        <v>14913537.275037523</v>
      </c>
      <c r="E150" s="26">
        <v>219316724.63290471</v>
      </c>
      <c r="F150" s="26">
        <v>4052247.2146999999</v>
      </c>
      <c r="G150" s="26">
        <v>20261236.0735</v>
      </c>
    </row>
    <row r="151" spans="1:7">
      <c r="A151" s="25">
        <v>45806</v>
      </c>
      <c r="B151" s="25" t="s">
        <v>33</v>
      </c>
      <c r="C151" s="27">
        <v>29</v>
      </c>
      <c r="D151" s="26">
        <v>18608307.840236623</v>
      </c>
      <c r="E151" s="26">
        <v>273651585.88583267</v>
      </c>
      <c r="F151" s="26">
        <v>4962224.2155999998</v>
      </c>
      <c r="G151" s="26">
        <v>24811121.078200001</v>
      </c>
    </row>
    <row r="152" spans="1:7">
      <c r="A152" s="25">
        <v>45807</v>
      </c>
      <c r="B152" s="25" t="s">
        <v>33</v>
      </c>
      <c r="C152" s="27">
        <v>30</v>
      </c>
      <c r="D152" s="26">
        <v>21000390.000889018</v>
      </c>
      <c r="E152" s="26">
        <v>308829264.71895611</v>
      </c>
      <c r="F152" s="26">
        <v>7197506.5153000001</v>
      </c>
      <c r="G152" s="26">
        <v>35987532.576499999</v>
      </c>
    </row>
    <row r="153" spans="1:7">
      <c r="A153" s="25">
        <v>45808</v>
      </c>
      <c r="B153" s="25" t="s">
        <v>33</v>
      </c>
      <c r="C153" s="27">
        <v>31</v>
      </c>
      <c r="D153" s="26">
        <v>17859488.846310958</v>
      </c>
      <c r="E153" s="26">
        <v>262639541.85751405</v>
      </c>
      <c r="F153" s="26">
        <v>7817448.6552999998</v>
      </c>
      <c r="G153" s="26">
        <v>39087243.276600003</v>
      </c>
    </row>
    <row r="154" spans="1:7">
      <c r="A154" s="25">
        <v>45809</v>
      </c>
      <c r="B154" s="25" t="s">
        <v>34</v>
      </c>
      <c r="C154" s="27">
        <v>1</v>
      </c>
      <c r="D154" s="26">
        <v>14996797.590108931</v>
      </c>
      <c r="E154" s="26">
        <v>220541141.03101367</v>
      </c>
      <c r="F154" s="26">
        <v>3422169.0249000001</v>
      </c>
      <c r="G154" s="26">
        <v>17110845.124400001</v>
      </c>
    </row>
    <row r="155" spans="1:7">
      <c r="A155" s="25">
        <v>45810</v>
      </c>
      <c r="B155" s="25" t="s">
        <v>34</v>
      </c>
      <c r="C155" s="27">
        <v>2</v>
      </c>
      <c r="D155" s="26">
        <v>12096226.75535316</v>
      </c>
      <c r="E155" s="26">
        <v>177885687.57872295</v>
      </c>
      <c r="F155" s="26">
        <v>2893003.4835000001</v>
      </c>
      <c r="G155" s="26">
        <v>14465017.4175</v>
      </c>
    </row>
    <row r="156" spans="1:7">
      <c r="A156" s="25">
        <v>45811</v>
      </c>
      <c r="B156" s="25" t="s">
        <v>34</v>
      </c>
      <c r="C156" s="27">
        <v>3</v>
      </c>
      <c r="D156" s="26">
        <v>12165653.444632793</v>
      </c>
      <c r="E156" s="26">
        <v>178906668.3034234</v>
      </c>
      <c r="F156" s="26">
        <v>3581375.1006999998</v>
      </c>
      <c r="G156" s="26">
        <v>17906875.5035</v>
      </c>
    </row>
    <row r="157" spans="1:7">
      <c r="A157" s="25">
        <v>45812</v>
      </c>
      <c r="B157" s="25" t="s">
        <v>34</v>
      </c>
      <c r="C157" s="27">
        <v>4</v>
      </c>
      <c r="D157" s="26">
        <v>19814491.411737077</v>
      </c>
      <c r="E157" s="26">
        <v>291389579.58436877</v>
      </c>
      <c r="F157" s="26">
        <v>4520715.5669999998</v>
      </c>
      <c r="G157" s="26">
        <v>22603577.834800001</v>
      </c>
    </row>
    <row r="158" spans="1:7">
      <c r="A158" s="25">
        <v>45813</v>
      </c>
      <c r="B158" s="25" t="s">
        <v>34</v>
      </c>
      <c r="C158" s="27">
        <v>5</v>
      </c>
      <c r="D158" s="26">
        <v>16958565.254434418</v>
      </c>
      <c r="E158" s="26">
        <v>249390665.50638849</v>
      </c>
      <c r="F158" s="26">
        <v>4284666.352</v>
      </c>
      <c r="G158" s="26">
        <v>21423331.7599</v>
      </c>
    </row>
    <row r="159" spans="1:7">
      <c r="A159" s="25">
        <v>45814</v>
      </c>
      <c r="B159" s="25" t="s">
        <v>34</v>
      </c>
      <c r="C159" s="27">
        <v>6</v>
      </c>
      <c r="D159" s="26">
        <v>23527237.755368516</v>
      </c>
      <c r="E159" s="26">
        <v>345988790.52012527</v>
      </c>
      <c r="F159" s="26">
        <v>8267639.1681000004</v>
      </c>
      <c r="G159" s="26">
        <v>41338195.840300001</v>
      </c>
    </row>
    <row r="160" spans="1:7">
      <c r="A160" s="25">
        <v>45815</v>
      </c>
      <c r="B160" s="25" t="s">
        <v>34</v>
      </c>
      <c r="C160" s="27">
        <v>7</v>
      </c>
      <c r="D160" s="26">
        <v>21955282.142623648</v>
      </c>
      <c r="E160" s="26">
        <v>322871796.21505362</v>
      </c>
      <c r="F160" s="26">
        <v>9651073.9868999999</v>
      </c>
      <c r="G160" s="26">
        <v>48255369.934699997</v>
      </c>
    </row>
    <row r="161" spans="1:7">
      <c r="A161" s="25">
        <v>45816</v>
      </c>
      <c r="B161" s="25" t="s">
        <v>34</v>
      </c>
      <c r="C161" s="27">
        <v>8</v>
      </c>
      <c r="D161" s="26">
        <v>14996797.590108931</v>
      </c>
      <c r="E161" s="26">
        <v>220541141.03101367</v>
      </c>
      <c r="F161" s="26">
        <v>3422169.0249000001</v>
      </c>
      <c r="G161" s="26">
        <v>17110845.124400001</v>
      </c>
    </row>
    <row r="162" spans="1:7">
      <c r="A162" s="25">
        <v>45817</v>
      </c>
      <c r="B162" s="25" t="s">
        <v>34</v>
      </c>
      <c r="C162" s="27">
        <v>9</v>
      </c>
      <c r="D162" s="26">
        <v>12096226.75535316</v>
      </c>
      <c r="E162" s="26">
        <v>177885687.57872295</v>
      </c>
      <c r="F162" s="26">
        <v>2893003.4835000001</v>
      </c>
      <c r="G162" s="26">
        <v>14465017.4175</v>
      </c>
    </row>
    <row r="163" spans="1:7">
      <c r="A163" s="25">
        <v>45818</v>
      </c>
      <c r="B163" s="25" t="s">
        <v>34</v>
      </c>
      <c r="C163" s="27">
        <v>10</v>
      </c>
      <c r="D163" s="26">
        <v>12165653.444632793</v>
      </c>
      <c r="E163" s="26">
        <v>178906668.3034234</v>
      </c>
      <c r="F163" s="26">
        <v>3581375.1006999998</v>
      </c>
      <c r="G163" s="26">
        <v>17906875.5035</v>
      </c>
    </row>
    <row r="164" spans="1:7">
      <c r="A164" s="25">
        <v>45819</v>
      </c>
      <c r="B164" s="25" t="s">
        <v>34</v>
      </c>
      <c r="C164" s="27">
        <v>11</v>
      </c>
      <c r="D164" s="26">
        <v>19814491.411737077</v>
      </c>
      <c r="E164" s="26">
        <v>291389579.58436877</v>
      </c>
      <c r="F164" s="26">
        <v>4520715.5669999998</v>
      </c>
      <c r="G164" s="26">
        <v>22603577.834800001</v>
      </c>
    </row>
    <row r="165" spans="1:7">
      <c r="A165" s="25">
        <v>45820</v>
      </c>
      <c r="B165" s="25" t="s">
        <v>34</v>
      </c>
      <c r="C165" s="27">
        <v>12</v>
      </c>
      <c r="D165" s="26">
        <v>16958565.254434418</v>
      </c>
      <c r="E165" s="26">
        <v>249390665.50638849</v>
      </c>
      <c r="F165" s="26">
        <v>4284666.352</v>
      </c>
      <c r="G165" s="26">
        <v>21423331.7599</v>
      </c>
    </row>
    <row r="166" spans="1:7">
      <c r="A166" s="25">
        <v>45821</v>
      </c>
      <c r="B166" s="25" t="s">
        <v>34</v>
      </c>
      <c r="C166" s="27">
        <v>13</v>
      </c>
      <c r="D166" s="26">
        <v>23527237.755368516</v>
      </c>
      <c r="E166" s="26">
        <v>345988790.52012527</v>
      </c>
      <c r="F166" s="26">
        <v>8267639.1681000004</v>
      </c>
      <c r="G166" s="26">
        <v>41338195.840300001</v>
      </c>
    </row>
    <row r="167" spans="1:7">
      <c r="A167" s="25">
        <v>45822</v>
      </c>
      <c r="B167" s="25" t="s">
        <v>34</v>
      </c>
      <c r="C167" s="27">
        <v>14</v>
      </c>
      <c r="D167" s="26">
        <v>21955282.142623648</v>
      </c>
      <c r="E167" s="26">
        <v>322871796.21505362</v>
      </c>
      <c r="F167" s="26">
        <v>9651073.9868999999</v>
      </c>
      <c r="G167" s="26">
        <v>48255369.934699997</v>
      </c>
    </row>
    <row r="168" spans="1:7">
      <c r="A168" s="25">
        <v>45823</v>
      </c>
      <c r="B168" s="25" t="s">
        <v>34</v>
      </c>
      <c r="C168" s="27">
        <v>15</v>
      </c>
      <c r="D168" s="26">
        <v>14996797.590108931</v>
      </c>
      <c r="E168" s="26">
        <v>220541141.03101367</v>
      </c>
      <c r="F168" s="26">
        <v>3422169.0249000001</v>
      </c>
      <c r="G168" s="26">
        <v>17110845.124400001</v>
      </c>
    </row>
    <row r="169" spans="1:7">
      <c r="A169" s="25">
        <v>45824</v>
      </c>
      <c r="B169" s="25" t="s">
        <v>34</v>
      </c>
      <c r="C169" s="27">
        <v>16</v>
      </c>
      <c r="D169" s="26">
        <v>12096226.75535316</v>
      </c>
      <c r="E169" s="26">
        <v>177885687.57872295</v>
      </c>
      <c r="F169" s="26">
        <v>2893003.4835000001</v>
      </c>
      <c r="G169" s="26">
        <v>14465017.4175</v>
      </c>
    </row>
    <row r="170" spans="1:7">
      <c r="A170" s="25">
        <v>45825</v>
      </c>
      <c r="B170" s="25" t="s">
        <v>34</v>
      </c>
      <c r="C170" s="27">
        <v>17</v>
      </c>
      <c r="D170" s="26">
        <v>12165653.444632793</v>
      </c>
      <c r="E170" s="26">
        <v>178906668.3034234</v>
      </c>
      <c r="F170" s="26">
        <v>3581375.1006999998</v>
      </c>
      <c r="G170" s="26">
        <v>17906875.5035</v>
      </c>
    </row>
    <row r="171" spans="1:7">
      <c r="A171" s="25">
        <v>45826</v>
      </c>
      <c r="B171" s="25" t="s">
        <v>34</v>
      </c>
      <c r="C171" s="27">
        <v>18</v>
      </c>
      <c r="D171" s="26">
        <v>19814491.411737077</v>
      </c>
      <c r="E171" s="26">
        <v>291389579.58436877</v>
      </c>
      <c r="F171" s="26">
        <v>4520715.5669999998</v>
      </c>
      <c r="G171" s="26">
        <v>22603577.834800001</v>
      </c>
    </row>
    <row r="172" spans="1:7">
      <c r="A172" s="25">
        <v>45827</v>
      </c>
      <c r="B172" s="25" t="s">
        <v>34</v>
      </c>
      <c r="C172" s="27">
        <v>19</v>
      </c>
      <c r="D172" s="26">
        <v>20818647.800325833</v>
      </c>
      <c r="E172" s="26">
        <v>306156585.29890925</v>
      </c>
      <c r="F172" s="26">
        <v>5218021.3051000005</v>
      </c>
      <c r="G172" s="26">
        <v>26090106.5253</v>
      </c>
    </row>
    <row r="173" spans="1:7">
      <c r="A173" s="25">
        <v>45828</v>
      </c>
      <c r="B173" s="25" t="s">
        <v>34</v>
      </c>
      <c r="C173" s="27">
        <v>20</v>
      </c>
      <c r="D173" s="26">
        <v>25077257.367798403</v>
      </c>
      <c r="E173" s="26">
        <v>368783196.58527058</v>
      </c>
      <c r="F173" s="26">
        <v>10068629.334799999</v>
      </c>
      <c r="G173" s="26">
        <v>50343146.674199998</v>
      </c>
    </row>
    <row r="174" spans="1:7">
      <c r="A174" s="25">
        <v>45829</v>
      </c>
      <c r="B174" s="25" t="s">
        <v>34</v>
      </c>
      <c r="C174" s="27">
        <v>21</v>
      </c>
      <c r="D174" s="26">
        <v>21955282.142623648</v>
      </c>
      <c r="E174" s="26">
        <v>322871796.21505362</v>
      </c>
      <c r="F174" s="26">
        <v>9651073.9868999999</v>
      </c>
      <c r="G174" s="26">
        <v>48255369.934699997</v>
      </c>
    </row>
    <row r="175" spans="1:7">
      <c r="A175" s="25">
        <v>45830</v>
      </c>
      <c r="B175" s="25" t="s">
        <v>34</v>
      </c>
      <c r="C175" s="27">
        <v>22</v>
      </c>
      <c r="D175" s="26">
        <v>14996797.590108931</v>
      </c>
      <c r="E175" s="26">
        <v>220541141.03101367</v>
      </c>
      <c r="F175" s="26">
        <v>3422169.0249000001</v>
      </c>
      <c r="G175" s="26">
        <v>17110845.124400001</v>
      </c>
    </row>
    <row r="176" spans="1:7">
      <c r="A176" s="25">
        <v>45831</v>
      </c>
      <c r="B176" s="25" t="s">
        <v>34</v>
      </c>
      <c r="C176" s="27">
        <v>23</v>
      </c>
      <c r="D176" s="26">
        <v>12096226.75535316</v>
      </c>
      <c r="E176" s="26">
        <v>177885687.57872295</v>
      </c>
      <c r="F176" s="26">
        <v>2893003.4835000001</v>
      </c>
      <c r="G176" s="26">
        <v>14465017.4175</v>
      </c>
    </row>
    <row r="177" spans="1:7">
      <c r="A177" s="25">
        <v>45832</v>
      </c>
      <c r="B177" s="25" t="s">
        <v>34</v>
      </c>
      <c r="C177" s="27">
        <v>24</v>
      </c>
      <c r="D177" s="26">
        <v>12165653.444632793</v>
      </c>
      <c r="E177" s="26">
        <v>178906668.3034234</v>
      </c>
      <c r="F177" s="26">
        <v>3581375.1006999998</v>
      </c>
      <c r="G177" s="26">
        <v>17906875.5035</v>
      </c>
    </row>
    <row r="178" spans="1:7">
      <c r="A178" s="25">
        <v>45833</v>
      </c>
      <c r="B178" s="25" t="s">
        <v>34</v>
      </c>
      <c r="C178" s="27">
        <v>25</v>
      </c>
      <c r="D178" s="26">
        <v>19814491.411737077</v>
      </c>
      <c r="E178" s="26">
        <v>291389579.58436877</v>
      </c>
      <c r="F178" s="26">
        <v>4520715.5669999998</v>
      </c>
      <c r="G178" s="26">
        <v>22603577.834800001</v>
      </c>
    </row>
    <row r="179" spans="1:7">
      <c r="A179" s="25">
        <v>45834</v>
      </c>
      <c r="B179" s="25" t="s">
        <v>34</v>
      </c>
      <c r="C179" s="27">
        <v>26</v>
      </c>
      <c r="D179" s="26">
        <v>16958565.254434418</v>
      </c>
      <c r="E179" s="26">
        <v>249390665.50638849</v>
      </c>
      <c r="F179" s="26">
        <v>4284666.352</v>
      </c>
      <c r="G179" s="26">
        <v>21423331.7599</v>
      </c>
    </row>
    <row r="180" spans="1:7">
      <c r="A180" s="25">
        <v>45835</v>
      </c>
      <c r="B180" s="25" t="s">
        <v>34</v>
      </c>
      <c r="C180" s="27">
        <v>27</v>
      </c>
      <c r="D180" s="26">
        <v>23527237.755368516</v>
      </c>
      <c r="E180" s="26">
        <v>345988790.52012527</v>
      </c>
      <c r="F180" s="26">
        <v>8267639.1681000004</v>
      </c>
      <c r="G180" s="26">
        <v>41338195.840300001</v>
      </c>
    </row>
    <row r="181" spans="1:7">
      <c r="A181" s="25">
        <v>45836</v>
      </c>
      <c r="B181" s="25" t="s">
        <v>34</v>
      </c>
      <c r="C181" s="27">
        <v>28</v>
      </c>
      <c r="D181" s="26">
        <v>22954160.120942026</v>
      </c>
      <c r="E181" s="26">
        <v>337561178.24914742</v>
      </c>
      <c r="F181" s="26">
        <v>11753426.181500001</v>
      </c>
      <c r="G181" s="26">
        <v>58767130.907700002</v>
      </c>
    </row>
    <row r="182" spans="1:7">
      <c r="A182" s="25">
        <v>45837</v>
      </c>
      <c r="B182" s="25" t="s">
        <v>34</v>
      </c>
      <c r="C182" s="27">
        <v>29</v>
      </c>
      <c r="D182" s="26">
        <v>14882406.950573022</v>
      </c>
      <c r="E182" s="26">
        <v>218858925.74372089</v>
      </c>
      <c r="F182" s="26">
        <v>4167640.9350000001</v>
      </c>
      <c r="G182" s="26">
        <v>20838204.675000001</v>
      </c>
    </row>
    <row r="183" spans="1:7">
      <c r="A183" s="25">
        <v>45838</v>
      </c>
      <c r="B183" s="25" t="s">
        <v>34</v>
      </c>
      <c r="C183" s="27">
        <v>30</v>
      </c>
      <c r="D183" s="26">
        <v>12096226.75535316</v>
      </c>
      <c r="E183" s="26">
        <v>177885687.57872295</v>
      </c>
      <c r="F183" s="26">
        <v>2893003.4835000001</v>
      </c>
      <c r="G183" s="26">
        <v>14465017.4175</v>
      </c>
    </row>
    <row r="184" spans="1:7">
      <c r="A184" s="25">
        <v>45839</v>
      </c>
      <c r="B184" s="25" t="s">
        <v>35</v>
      </c>
      <c r="C184" s="27">
        <v>1</v>
      </c>
      <c r="D184" s="26">
        <v>11974686.527370207</v>
      </c>
      <c r="E184" s="26">
        <v>176098331.28485599</v>
      </c>
      <c r="F184" s="26">
        <v>3026333.7815</v>
      </c>
      <c r="G184" s="26">
        <v>15131668.907400001</v>
      </c>
    </row>
    <row r="185" spans="1:7">
      <c r="A185" s="25">
        <v>45840</v>
      </c>
      <c r="B185" s="25" t="s">
        <v>35</v>
      </c>
      <c r="C185" s="27">
        <v>2</v>
      </c>
      <c r="D185" s="26">
        <v>15287446.71997752</v>
      </c>
      <c r="E185" s="26">
        <v>224815392.94084585</v>
      </c>
      <c r="F185" s="26">
        <v>4229174.8119999999</v>
      </c>
      <c r="G185" s="26">
        <v>21145874.060199998</v>
      </c>
    </row>
    <row r="186" spans="1:7">
      <c r="A186" s="25">
        <v>45841</v>
      </c>
      <c r="B186" s="25" t="s">
        <v>35</v>
      </c>
      <c r="C186" s="27">
        <v>3</v>
      </c>
      <c r="D186" s="26">
        <v>15627172.300597787</v>
      </c>
      <c r="E186" s="26">
        <v>229811357.36173218</v>
      </c>
      <c r="F186" s="26">
        <v>6638809.0066999998</v>
      </c>
      <c r="G186" s="26">
        <v>33194045.033500001</v>
      </c>
    </row>
    <row r="187" spans="1:7">
      <c r="A187" s="25">
        <v>45842</v>
      </c>
      <c r="B187" s="25" t="s">
        <v>35</v>
      </c>
      <c r="C187" s="27">
        <v>4</v>
      </c>
      <c r="D187" s="26">
        <v>21477437.704826418</v>
      </c>
      <c r="E187" s="26">
        <v>315844672.12980026</v>
      </c>
      <c r="F187" s="26">
        <v>6194799.8125999998</v>
      </c>
      <c r="G187" s="26">
        <v>30973999.062899999</v>
      </c>
    </row>
    <row r="188" spans="1:7">
      <c r="A188" s="25">
        <v>45843</v>
      </c>
      <c r="B188" s="25" t="s">
        <v>35</v>
      </c>
      <c r="C188" s="27">
        <v>5</v>
      </c>
      <c r="D188" s="26">
        <v>23433285.624920178</v>
      </c>
      <c r="E188" s="26">
        <v>344607141.54294378</v>
      </c>
      <c r="F188" s="26">
        <v>7697467.6896000002</v>
      </c>
      <c r="G188" s="26">
        <v>38487338.447800003</v>
      </c>
    </row>
    <row r="189" spans="1:7">
      <c r="A189" s="25">
        <v>45844</v>
      </c>
      <c r="B189" s="25" t="s">
        <v>35</v>
      </c>
      <c r="C189" s="27">
        <v>6</v>
      </c>
      <c r="D189" s="26">
        <v>13450868.482832938</v>
      </c>
      <c r="E189" s="26">
        <v>197806889.45342556</v>
      </c>
      <c r="F189" s="26">
        <v>3155833.3966999999</v>
      </c>
      <c r="G189" s="26">
        <v>15779166.9836</v>
      </c>
    </row>
    <row r="190" spans="1:7">
      <c r="A190" s="25">
        <v>45845</v>
      </c>
      <c r="B190" s="25" t="s">
        <v>35</v>
      </c>
      <c r="C190" s="27">
        <v>7</v>
      </c>
      <c r="D190" s="26">
        <v>11006072.639400329</v>
      </c>
      <c r="E190" s="26">
        <v>161854009.40294603</v>
      </c>
      <c r="F190" s="26">
        <v>1942169.3668</v>
      </c>
      <c r="G190" s="26">
        <v>9710846.8341000006</v>
      </c>
    </row>
    <row r="191" spans="1:7">
      <c r="A191" s="25">
        <v>45846</v>
      </c>
      <c r="B191" s="25" t="s">
        <v>35</v>
      </c>
      <c r="C191" s="27">
        <v>8</v>
      </c>
      <c r="D191" s="26">
        <v>11974686.527370207</v>
      </c>
      <c r="E191" s="26">
        <v>176098331.28485599</v>
      </c>
      <c r="F191" s="26">
        <v>3026333.7815</v>
      </c>
      <c r="G191" s="26">
        <v>15131668.907400001</v>
      </c>
    </row>
    <row r="192" spans="1:7">
      <c r="A192" s="25">
        <v>45847</v>
      </c>
      <c r="B192" s="25" t="s">
        <v>35</v>
      </c>
      <c r="C192" s="27">
        <v>9</v>
      </c>
      <c r="D192" s="26">
        <v>15287446.71997752</v>
      </c>
      <c r="E192" s="26">
        <v>224815392.94084585</v>
      </c>
      <c r="F192" s="26">
        <v>4229174.8119999999</v>
      </c>
      <c r="G192" s="26">
        <v>21145874.060199998</v>
      </c>
    </row>
    <row r="193" spans="1:7">
      <c r="A193" s="25">
        <v>45848</v>
      </c>
      <c r="B193" s="25" t="s">
        <v>35</v>
      </c>
      <c r="C193" s="27">
        <v>10</v>
      </c>
      <c r="D193" s="26">
        <v>15627172.300597787</v>
      </c>
      <c r="E193" s="26">
        <v>229811357.36173218</v>
      </c>
      <c r="F193" s="26">
        <v>6638809.0066999998</v>
      </c>
      <c r="G193" s="26">
        <v>33194045.033500001</v>
      </c>
    </row>
    <row r="194" spans="1:7">
      <c r="A194" s="25">
        <v>45849</v>
      </c>
      <c r="B194" s="25" t="s">
        <v>35</v>
      </c>
      <c r="C194" s="27">
        <v>11</v>
      </c>
      <c r="D194" s="26">
        <v>21477437.704826418</v>
      </c>
      <c r="E194" s="26">
        <v>315844672.12980026</v>
      </c>
      <c r="F194" s="26">
        <v>6194799.8125999998</v>
      </c>
      <c r="G194" s="26">
        <v>30973999.062899999</v>
      </c>
    </row>
    <row r="195" spans="1:7">
      <c r="A195" s="25">
        <v>45850</v>
      </c>
      <c r="B195" s="25" t="s">
        <v>35</v>
      </c>
      <c r="C195" s="27">
        <v>12</v>
      </c>
      <c r="D195" s="26">
        <v>23433285.624920178</v>
      </c>
      <c r="E195" s="26">
        <v>344607141.54294378</v>
      </c>
      <c r="F195" s="26">
        <v>7697467.6896000002</v>
      </c>
      <c r="G195" s="26">
        <v>38487338.447800003</v>
      </c>
    </row>
    <row r="196" spans="1:7">
      <c r="A196" s="25">
        <v>45851</v>
      </c>
      <c r="B196" s="25" t="s">
        <v>35</v>
      </c>
      <c r="C196" s="27">
        <v>13</v>
      </c>
      <c r="D196" s="26">
        <v>13450868.482832938</v>
      </c>
      <c r="E196" s="26">
        <v>197806889.45342556</v>
      </c>
      <c r="F196" s="26">
        <v>3155833.3966999999</v>
      </c>
      <c r="G196" s="26">
        <v>15779166.9836</v>
      </c>
    </row>
    <row r="197" spans="1:7">
      <c r="A197" s="25">
        <v>45852</v>
      </c>
      <c r="B197" s="25" t="s">
        <v>35</v>
      </c>
      <c r="C197" s="27">
        <v>14</v>
      </c>
      <c r="D197" s="26">
        <v>11006072.639400329</v>
      </c>
      <c r="E197" s="26">
        <v>161854009.40294603</v>
      </c>
      <c r="F197" s="26">
        <v>1942169.3668</v>
      </c>
      <c r="G197" s="26">
        <v>9710846.8341000006</v>
      </c>
    </row>
    <row r="198" spans="1:7">
      <c r="A198" s="25">
        <v>45853</v>
      </c>
      <c r="B198" s="25" t="s">
        <v>35</v>
      </c>
      <c r="C198" s="27">
        <v>15</v>
      </c>
      <c r="D198" s="26">
        <v>15696716.485942286</v>
      </c>
      <c r="E198" s="26">
        <v>230834065.9697395</v>
      </c>
      <c r="F198" s="26">
        <v>5909902.9507999998</v>
      </c>
      <c r="G198" s="26">
        <v>29549514.753899999</v>
      </c>
    </row>
    <row r="199" spans="1:7">
      <c r="A199" s="25">
        <v>45854</v>
      </c>
      <c r="B199" s="25" t="s">
        <v>35</v>
      </c>
      <c r="C199" s="27">
        <v>16</v>
      </c>
      <c r="D199" s="26">
        <v>18833261.927158486</v>
      </c>
      <c r="E199" s="26">
        <v>276959734.22291887</v>
      </c>
      <c r="F199" s="26">
        <v>5388854.3021</v>
      </c>
      <c r="G199" s="26">
        <v>26944271.510600001</v>
      </c>
    </row>
    <row r="200" spans="1:7">
      <c r="A200" s="25">
        <v>45855</v>
      </c>
      <c r="B200" s="25" t="s">
        <v>35</v>
      </c>
      <c r="C200" s="27">
        <v>17</v>
      </c>
      <c r="D200" s="26">
        <v>15627172.300597787</v>
      </c>
      <c r="E200" s="26">
        <v>229811357.36173218</v>
      </c>
      <c r="F200" s="26">
        <v>6638809.0066999998</v>
      </c>
      <c r="G200" s="26">
        <v>33194045.033500001</v>
      </c>
    </row>
    <row r="201" spans="1:7">
      <c r="A201" s="25">
        <v>45856</v>
      </c>
      <c r="B201" s="25" t="s">
        <v>35</v>
      </c>
      <c r="C201" s="27">
        <v>18</v>
      </c>
      <c r="D201" s="26">
        <v>21477437.704826418</v>
      </c>
      <c r="E201" s="26">
        <v>315844672.12980026</v>
      </c>
      <c r="F201" s="26">
        <v>6194799.8125999998</v>
      </c>
      <c r="G201" s="26">
        <v>30973999.062899999</v>
      </c>
    </row>
    <row r="202" spans="1:7">
      <c r="A202" s="25">
        <v>45857</v>
      </c>
      <c r="B202" s="25" t="s">
        <v>35</v>
      </c>
      <c r="C202" s="27">
        <v>19</v>
      </c>
      <c r="D202" s="26">
        <v>23433285.624920178</v>
      </c>
      <c r="E202" s="26">
        <v>344607141.54294378</v>
      </c>
      <c r="F202" s="26">
        <v>7697467.6896000002</v>
      </c>
      <c r="G202" s="26">
        <v>38487338.447800003</v>
      </c>
    </row>
    <row r="203" spans="1:7">
      <c r="A203" s="25">
        <v>45858</v>
      </c>
      <c r="B203" s="25" t="s">
        <v>35</v>
      </c>
      <c r="C203" s="27">
        <v>20</v>
      </c>
      <c r="D203" s="26">
        <v>13450868.482832938</v>
      </c>
      <c r="E203" s="26">
        <v>197806889.45342556</v>
      </c>
      <c r="F203" s="26">
        <v>3155833.3966999999</v>
      </c>
      <c r="G203" s="26">
        <v>15779166.9836</v>
      </c>
    </row>
    <row r="204" spans="1:7">
      <c r="A204" s="25">
        <v>45859</v>
      </c>
      <c r="B204" s="25" t="s">
        <v>35</v>
      </c>
      <c r="C204" s="27">
        <v>21</v>
      </c>
      <c r="D204" s="26">
        <v>11006072.639400329</v>
      </c>
      <c r="E204" s="26">
        <v>161854009.40294603</v>
      </c>
      <c r="F204" s="26">
        <v>1942169.3668</v>
      </c>
      <c r="G204" s="26">
        <v>9710846.8341000006</v>
      </c>
    </row>
    <row r="205" spans="1:7">
      <c r="A205" s="25">
        <v>45860</v>
      </c>
      <c r="B205" s="25" t="s">
        <v>35</v>
      </c>
      <c r="C205" s="27">
        <v>22</v>
      </c>
      <c r="D205" s="26">
        <v>11974686.527370207</v>
      </c>
      <c r="E205" s="26">
        <v>176098331.28485599</v>
      </c>
      <c r="F205" s="26">
        <v>3026333.7815</v>
      </c>
      <c r="G205" s="26">
        <v>15131668.907400001</v>
      </c>
    </row>
    <row r="206" spans="1:7">
      <c r="A206" s="25">
        <v>45861</v>
      </c>
      <c r="B206" s="25" t="s">
        <v>35</v>
      </c>
      <c r="C206" s="27">
        <v>23</v>
      </c>
      <c r="D206" s="26">
        <v>15287446.71997752</v>
      </c>
      <c r="E206" s="26">
        <v>224815392.94084585</v>
      </c>
      <c r="F206" s="26">
        <v>4229174.8119999999</v>
      </c>
      <c r="G206" s="26">
        <v>21145874.060199998</v>
      </c>
    </row>
    <row r="207" spans="1:7">
      <c r="A207" s="25">
        <v>45862</v>
      </c>
      <c r="B207" s="25" t="s">
        <v>35</v>
      </c>
      <c r="C207" s="27">
        <v>24</v>
      </c>
      <c r="D207" s="26">
        <v>15627172.300597787</v>
      </c>
      <c r="E207" s="26">
        <v>229811357.36173218</v>
      </c>
      <c r="F207" s="26">
        <v>6638809.0066999998</v>
      </c>
      <c r="G207" s="26">
        <v>33194045.033500001</v>
      </c>
    </row>
    <row r="208" spans="1:7">
      <c r="A208" s="25">
        <v>45863</v>
      </c>
      <c r="B208" s="25" t="s">
        <v>35</v>
      </c>
      <c r="C208" s="27">
        <v>25</v>
      </c>
      <c r="D208" s="26">
        <v>21477437.704826418</v>
      </c>
      <c r="E208" s="26">
        <v>315844672.12980026</v>
      </c>
      <c r="F208" s="26">
        <v>6194799.8125999998</v>
      </c>
      <c r="G208" s="26">
        <v>30973999.062899999</v>
      </c>
    </row>
    <row r="209" spans="1:7">
      <c r="A209" s="25">
        <v>45864</v>
      </c>
      <c r="B209" s="25" t="s">
        <v>35</v>
      </c>
      <c r="C209" s="27">
        <v>26</v>
      </c>
      <c r="D209" s="26">
        <v>23433285.624920178</v>
      </c>
      <c r="E209" s="26">
        <v>344607141.54294378</v>
      </c>
      <c r="F209" s="26">
        <v>7697467.6896000002</v>
      </c>
      <c r="G209" s="26">
        <v>38487338.447800003</v>
      </c>
    </row>
    <row r="210" spans="1:7">
      <c r="A210" s="25">
        <v>45865</v>
      </c>
      <c r="B210" s="25" t="s">
        <v>35</v>
      </c>
      <c r="C210" s="27">
        <v>27</v>
      </c>
      <c r="D210" s="26">
        <v>13450868.482832938</v>
      </c>
      <c r="E210" s="26">
        <v>197806889.45342556</v>
      </c>
      <c r="F210" s="26">
        <v>3155833.3966999999</v>
      </c>
      <c r="G210" s="26">
        <v>15779166.9836</v>
      </c>
    </row>
    <row r="211" spans="1:7">
      <c r="A211" s="25">
        <v>45866</v>
      </c>
      <c r="B211" s="25" t="s">
        <v>35</v>
      </c>
      <c r="C211" s="27">
        <v>28</v>
      </c>
      <c r="D211" s="26">
        <v>11006072.639400329</v>
      </c>
      <c r="E211" s="26">
        <v>161854009.40294603</v>
      </c>
      <c r="F211" s="26">
        <v>1942169.3668</v>
      </c>
      <c r="G211" s="26">
        <v>9710846.8341000006</v>
      </c>
    </row>
    <row r="212" spans="1:7">
      <c r="A212" s="25">
        <v>45867</v>
      </c>
      <c r="B212" s="25" t="s">
        <v>35</v>
      </c>
      <c r="C212" s="27">
        <v>29</v>
      </c>
      <c r="D212" s="26">
        <v>11974686.527370207</v>
      </c>
      <c r="E212" s="26">
        <v>176098331.28485599</v>
      </c>
      <c r="F212" s="26">
        <v>3026333.7815</v>
      </c>
      <c r="G212" s="26">
        <v>15131668.907400001</v>
      </c>
    </row>
    <row r="213" spans="1:7">
      <c r="A213" s="25">
        <v>45868</v>
      </c>
      <c r="B213" s="25" t="s">
        <v>35</v>
      </c>
      <c r="C213" s="27">
        <v>30</v>
      </c>
      <c r="D213" s="26">
        <v>15287446.71997752</v>
      </c>
      <c r="E213" s="26">
        <v>224815392.94084585</v>
      </c>
      <c r="F213" s="26">
        <v>4229174.8119999999</v>
      </c>
      <c r="G213" s="26">
        <v>21145874.060199998</v>
      </c>
    </row>
    <row r="214" spans="1:7">
      <c r="A214" s="25">
        <v>45869</v>
      </c>
      <c r="B214" s="25" t="s">
        <v>35</v>
      </c>
      <c r="C214" s="27">
        <v>31</v>
      </c>
      <c r="D214" s="26">
        <v>15627172.300597787</v>
      </c>
      <c r="E214" s="26">
        <v>229811357.36173218</v>
      </c>
      <c r="F214" s="26">
        <v>6638809.0066999998</v>
      </c>
      <c r="G214" s="26">
        <v>33194045.033500001</v>
      </c>
    </row>
    <row r="215" spans="1:7">
      <c r="A215" s="25">
        <v>45870</v>
      </c>
      <c r="B215" s="25" t="s">
        <v>36</v>
      </c>
      <c r="C215" s="27">
        <v>1</v>
      </c>
      <c r="D215" s="26">
        <v>21647736.343925562</v>
      </c>
      <c r="E215" s="26">
        <v>318349063.88125825</v>
      </c>
      <c r="F215" s="26">
        <v>6508454.8947000001</v>
      </c>
      <c r="G215" s="26">
        <v>32542274.473299999</v>
      </c>
    </row>
    <row r="216" spans="1:7">
      <c r="A216" s="25">
        <v>45871</v>
      </c>
      <c r="B216" s="25" t="s">
        <v>36</v>
      </c>
      <c r="C216" s="27">
        <v>2</v>
      </c>
      <c r="D216" s="26">
        <v>19643816.91842562</v>
      </c>
      <c r="E216" s="26">
        <v>288879660.56508261</v>
      </c>
      <c r="F216" s="26">
        <v>7944098.4192000004</v>
      </c>
      <c r="G216" s="26">
        <v>39720492.095899999</v>
      </c>
    </row>
    <row r="217" spans="1:7">
      <c r="A217" s="25">
        <v>45872</v>
      </c>
      <c r="B217" s="25" t="s">
        <v>36</v>
      </c>
      <c r="C217" s="27">
        <v>3</v>
      </c>
      <c r="D217" s="26">
        <v>13748354.51669972</v>
      </c>
      <c r="E217" s="26">
        <v>202181684.06911349</v>
      </c>
      <c r="F217" s="26">
        <v>2302995.0082999999</v>
      </c>
      <c r="G217" s="26">
        <v>11514975.041300001</v>
      </c>
    </row>
    <row r="218" spans="1:7">
      <c r="A218" s="25">
        <v>45873</v>
      </c>
      <c r="B218" s="25" t="s">
        <v>36</v>
      </c>
      <c r="C218" s="27">
        <v>4</v>
      </c>
      <c r="D218" s="26">
        <v>12285071.814345151</v>
      </c>
      <c r="E218" s="26">
        <v>180662820.79919338</v>
      </c>
      <c r="F218" s="26">
        <v>2781226.2440999998</v>
      </c>
      <c r="G218" s="26">
        <v>13906131.220699999</v>
      </c>
    </row>
    <row r="219" spans="1:7">
      <c r="A219" s="25">
        <v>45874</v>
      </c>
      <c r="B219" s="25" t="s">
        <v>36</v>
      </c>
      <c r="C219" s="27">
        <v>5</v>
      </c>
      <c r="D219" s="26">
        <v>12328845.354141442</v>
      </c>
      <c r="E219" s="26">
        <v>181306549.32560945</v>
      </c>
      <c r="F219" s="26">
        <v>3332867.3343000002</v>
      </c>
      <c r="G219" s="26">
        <v>16664336.671399999</v>
      </c>
    </row>
    <row r="220" spans="1:7">
      <c r="A220" s="25">
        <v>45875</v>
      </c>
      <c r="B220" s="25" t="s">
        <v>36</v>
      </c>
      <c r="C220" s="27">
        <v>6</v>
      </c>
      <c r="D220" s="26">
        <v>12639123.776696261</v>
      </c>
      <c r="E220" s="26">
        <v>185869467.30435675</v>
      </c>
      <c r="F220" s="26">
        <v>5799958.6073000003</v>
      </c>
      <c r="G220" s="26">
        <v>28999793.0363</v>
      </c>
    </row>
    <row r="221" spans="1:7">
      <c r="A221" s="25">
        <v>45876</v>
      </c>
      <c r="B221" s="25" t="s">
        <v>36</v>
      </c>
      <c r="C221" s="27">
        <v>7</v>
      </c>
      <c r="D221" s="26">
        <v>16109861.726468131</v>
      </c>
      <c r="E221" s="26">
        <v>236909731.27159017</v>
      </c>
      <c r="F221" s="26">
        <v>5372496.8064000001</v>
      </c>
      <c r="G221" s="26">
        <v>26862484.0319</v>
      </c>
    </row>
    <row r="222" spans="1:7">
      <c r="A222" s="25">
        <v>45877</v>
      </c>
      <c r="B222" s="25" t="s">
        <v>36</v>
      </c>
      <c r="C222" s="27">
        <v>8</v>
      </c>
      <c r="D222" s="26">
        <v>21647736.343925562</v>
      </c>
      <c r="E222" s="26">
        <v>318349063.88125825</v>
      </c>
      <c r="F222" s="26">
        <v>6508454.8947000001</v>
      </c>
      <c r="G222" s="26">
        <v>32542274.473299999</v>
      </c>
    </row>
    <row r="223" spans="1:7">
      <c r="A223" s="25">
        <v>45878</v>
      </c>
      <c r="B223" s="25" t="s">
        <v>36</v>
      </c>
      <c r="C223" s="27">
        <v>9</v>
      </c>
      <c r="D223" s="26">
        <v>19643816.91842562</v>
      </c>
      <c r="E223" s="26">
        <v>288879660.56508261</v>
      </c>
      <c r="F223" s="26">
        <v>7944098.4192000004</v>
      </c>
      <c r="G223" s="26">
        <v>39720492.095899999</v>
      </c>
    </row>
    <row r="224" spans="1:7">
      <c r="A224" s="25">
        <v>45879</v>
      </c>
      <c r="B224" s="25" t="s">
        <v>36</v>
      </c>
      <c r="C224" s="27">
        <v>10</v>
      </c>
      <c r="D224" s="26">
        <v>13748354.51669972</v>
      </c>
      <c r="E224" s="26">
        <v>202181684.06911349</v>
      </c>
      <c r="F224" s="26">
        <v>2302995.0082999999</v>
      </c>
      <c r="G224" s="26">
        <v>11514975.041300001</v>
      </c>
    </row>
    <row r="225" spans="1:7">
      <c r="A225" s="25">
        <v>45880</v>
      </c>
      <c r="B225" s="25" t="s">
        <v>36</v>
      </c>
      <c r="C225" s="27">
        <v>11</v>
      </c>
      <c r="D225" s="26">
        <v>12285071.814345151</v>
      </c>
      <c r="E225" s="26">
        <v>180662820.79919338</v>
      </c>
      <c r="F225" s="26">
        <v>2781226.2440999998</v>
      </c>
      <c r="G225" s="26">
        <v>13906131.220699999</v>
      </c>
    </row>
    <row r="226" spans="1:7">
      <c r="A226" s="25">
        <v>45881</v>
      </c>
      <c r="B226" s="25" t="s">
        <v>36</v>
      </c>
      <c r="C226" s="27">
        <v>12</v>
      </c>
      <c r="D226" s="26">
        <v>12328845.354141442</v>
      </c>
      <c r="E226" s="26">
        <v>181306549.32560945</v>
      </c>
      <c r="F226" s="26">
        <v>3332867.3343000002</v>
      </c>
      <c r="G226" s="26">
        <v>16664336.671399999</v>
      </c>
    </row>
    <row r="227" spans="1:7">
      <c r="A227" s="25">
        <v>45882</v>
      </c>
      <c r="B227" s="25" t="s">
        <v>36</v>
      </c>
      <c r="C227" s="27">
        <v>13</v>
      </c>
      <c r="D227" s="26">
        <v>12639123.776696261</v>
      </c>
      <c r="E227" s="26">
        <v>185869467.30435675</v>
      </c>
      <c r="F227" s="26">
        <v>5799958.6073000003</v>
      </c>
      <c r="G227" s="26">
        <v>28999793.0363</v>
      </c>
    </row>
    <row r="228" spans="1:7">
      <c r="A228" s="25">
        <v>45883</v>
      </c>
      <c r="B228" s="25" t="s">
        <v>36</v>
      </c>
      <c r="C228" s="27">
        <v>14</v>
      </c>
      <c r="D228" s="26">
        <v>17672969.511393573</v>
      </c>
      <c r="E228" s="26">
        <v>259896610.46167019</v>
      </c>
      <c r="F228" s="26">
        <v>6430850.7949999999</v>
      </c>
      <c r="G228" s="26">
        <v>32154253.975000001</v>
      </c>
    </row>
    <row r="229" spans="1:7">
      <c r="A229" s="25">
        <v>45884</v>
      </c>
      <c r="B229" s="25" t="s">
        <v>36</v>
      </c>
      <c r="C229" s="27">
        <v>15</v>
      </c>
      <c r="D229" s="26">
        <v>29749683.846341588</v>
      </c>
      <c r="E229" s="26">
        <v>437495350.68149388</v>
      </c>
      <c r="F229" s="26">
        <v>7790586.7313000001</v>
      </c>
      <c r="G229" s="26">
        <v>38952933.656400003</v>
      </c>
    </row>
    <row r="230" spans="1:7">
      <c r="A230" s="25">
        <v>45885</v>
      </c>
      <c r="B230" s="25" t="s">
        <v>36</v>
      </c>
      <c r="C230" s="27">
        <v>16</v>
      </c>
      <c r="D230" s="26">
        <v>19643816.91842562</v>
      </c>
      <c r="E230" s="26">
        <v>288879660.56508261</v>
      </c>
      <c r="F230" s="26">
        <v>7944098.4192000004</v>
      </c>
      <c r="G230" s="26">
        <v>39720492.095899999</v>
      </c>
    </row>
    <row r="231" spans="1:7">
      <c r="A231" s="25">
        <v>45886</v>
      </c>
      <c r="B231" s="25" t="s">
        <v>36</v>
      </c>
      <c r="C231" s="27">
        <v>17</v>
      </c>
      <c r="D231" s="26">
        <v>13748354.51669972</v>
      </c>
      <c r="E231" s="26">
        <v>202181684.06911349</v>
      </c>
      <c r="F231" s="26">
        <v>2302995.0082999999</v>
      </c>
      <c r="G231" s="26">
        <v>11514975.041300001</v>
      </c>
    </row>
    <row r="232" spans="1:7">
      <c r="A232" s="25">
        <v>45887</v>
      </c>
      <c r="B232" s="25" t="s">
        <v>36</v>
      </c>
      <c r="C232" s="27">
        <v>18</v>
      </c>
      <c r="D232" s="26">
        <v>12285071.814345151</v>
      </c>
      <c r="E232" s="26">
        <v>180662820.79919338</v>
      </c>
      <c r="F232" s="26">
        <v>2781226.2440999998</v>
      </c>
      <c r="G232" s="26">
        <v>13906131.220699999</v>
      </c>
    </row>
    <row r="233" spans="1:7">
      <c r="A233" s="25">
        <v>45888</v>
      </c>
      <c r="B233" s="25" t="s">
        <v>36</v>
      </c>
      <c r="C233" s="27">
        <v>19</v>
      </c>
      <c r="D233" s="26">
        <v>12328845.354141442</v>
      </c>
      <c r="E233" s="26">
        <v>181306549.32560945</v>
      </c>
      <c r="F233" s="26">
        <v>3332867.3343000002</v>
      </c>
      <c r="G233" s="26">
        <v>16664336.671399999</v>
      </c>
    </row>
    <row r="234" spans="1:7">
      <c r="A234" s="25">
        <v>45889</v>
      </c>
      <c r="B234" s="25" t="s">
        <v>36</v>
      </c>
      <c r="C234" s="27">
        <v>20</v>
      </c>
      <c r="D234" s="26">
        <v>12639123.776696261</v>
      </c>
      <c r="E234" s="26">
        <v>185869467.30435675</v>
      </c>
      <c r="F234" s="26">
        <v>5799958.6073000003</v>
      </c>
      <c r="G234" s="26">
        <v>28999793.0363</v>
      </c>
    </row>
    <row r="235" spans="1:7">
      <c r="A235" s="25">
        <v>45890</v>
      </c>
      <c r="B235" s="25" t="s">
        <v>36</v>
      </c>
      <c r="C235" s="27">
        <v>21</v>
      </c>
      <c r="D235" s="26">
        <v>16109861.726468131</v>
      </c>
      <c r="E235" s="26">
        <v>236909731.27159017</v>
      </c>
      <c r="F235" s="26">
        <v>5372496.8064000001</v>
      </c>
      <c r="G235" s="26">
        <v>26862484.0319</v>
      </c>
    </row>
    <row r="236" spans="1:7">
      <c r="A236" s="25">
        <v>45891</v>
      </c>
      <c r="B236" s="25" t="s">
        <v>36</v>
      </c>
      <c r="C236" s="27">
        <v>22</v>
      </c>
      <c r="D236" s="26">
        <v>21647736.343925562</v>
      </c>
      <c r="E236" s="26">
        <v>318349063.88125825</v>
      </c>
      <c r="F236" s="26">
        <v>6508454.8947000001</v>
      </c>
      <c r="G236" s="26">
        <v>32542274.473299999</v>
      </c>
    </row>
    <row r="237" spans="1:7">
      <c r="A237" s="25">
        <v>45892</v>
      </c>
      <c r="B237" s="25" t="s">
        <v>36</v>
      </c>
      <c r="C237" s="27">
        <v>23</v>
      </c>
      <c r="D237" s="26">
        <v>19643816.91842562</v>
      </c>
      <c r="E237" s="26">
        <v>288879660.56508261</v>
      </c>
      <c r="F237" s="26">
        <v>7944098.4192000004</v>
      </c>
      <c r="G237" s="26">
        <v>39720492.095899999</v>
      </c>
    </row>
    <row r="238" spans="1:7">
      <c r="A238" s="25">
        <v>45893</v>
      </c>
      <c r="B238" s="25" t="s">
        <v>36</v>
      </c>
      <c r="C238" s="27">
        <v>24</v>
      </c>
      <c r="D238" s="26">
        <v>13748354.51669972</v>
      </c>
      <c r="E238" s="26">
        <v>202181684.06911349</v>
      </c>
      <c r="F238" s="26">
        <v>2302995.0082999999</v>
      </c>
      <c r="G238" s="26">
        <v>11514975.041300001</v>
      </c>
    </row>
    <row r="239" spans="1:7">
      <c r="A239" s="25">
        <v>45894</v>
      </c>
      <c r="B239" s="25" t="s">
        <v>36</v>
      </c>
      <c r="C239" s="27">
        <v>25</v>
      </c>
      <c r="D239" s="26">
        <v>12285071.814345151</v>
      </c>
      <c r="E239" s="26">
        <v>180662820.79919338</v>
      </c>
      <c r="F239" s="26">
        <v>2781226.2440999998</v>
      </c>
      <c r="G239" s="26">
        <v>13906131.220699999</v>
      </c>
    </row>
    <row r="240" spans="1:7">
      <c r="A240" s="25">
        <v>45895</v>
      </c>
      <c r="B240" s="25" t="s">
        <v>36</v>
      </c>
      <c r="C240" s="27">
        <v>26</v>
      </c>
      <c r="D240" s="26">
        <v>12328845.354141442</v>
      </c>
      <c r="E240" s="26">
        <v>181306549.32560945</v>
      </c>
      <c r="F240" s="26">
        <v>3332867.3343000002</v>
      </c>
      <c r="G240" s="26">
        <v>16664336.671399999</v>
      </c>
    </row>
    <row r="241" spans="1:7">
      <c r="A241" s="25">
        <v>45896</v>
      </c>
      <c r="B241" s="25" t="s">
        <v>36</v>
      </c>
      <c r="C241" s="27">
        <v>27</v>
      </c>
      <c r="D241" s="26">
        <v>12639123.776696261</v>
      </c>
      <c r="E241" s="26">
        <v>185869467.30435675</v>
      </c>
      <c r="F241" s="26">
        <v>5799958.6073000003</v>
      </c>
      <c r="G241" s="26">
        <v>28999793.0363</v>
      </c>
    </row>
    <row r="242" spans="1:7">
      <c r="A242" s="25">
        <v>45897</v>
      </c>
      <c r="B242" s="25" t="s">
        <v>36</v>
      </c>
      <c r="C242" s="27">
        <v>28</v>
      </c>
      <c r="D242" s="26">
        <v>16109861.726468131</v>
      </c>
      <c r="E242" s="26">
        <v>236909731.27159017</v>
      </c>
      <c r="F242" s="26">
        <v>5372496.8064000001</v>
      </c>
      <c r="G242" s="26">
        <v>26862484.0319</v>
      </c>
    </row>
    <row r="243" spans="1:7">
      <c r="A243" s="25">
        <v>45898</v>
      </c>
      <c r="B243" s="25" t="s">
        <v>36</v>
      </c>
      <c r="C243" s="27">
        <v>29</v>
      </c>
      <c r="D243" s="26">
        <v>21647736.343925562</v>
      </c>
      <c r="E243" s="26">
        <v>318349063.88125825</v>
      </c>
      <c r="F243" s="26">
        <v>6508454.8947000001</v>
      </c>
      <c r="G243" s="26">
        <v>32542274.473299999</v>
      </c>
    </row>
    <row r="244" spans="1:7">
      <c r="A244" s="25">
        <v>45899</v>
      </c>
      <c r="B244" s="25" t="s">
        <v>36</v>
      </c>
      <c r="C244" s="27">
        <v>30</v>
      </c>
      <c r="D244" s="26">
        <v>19643816.91842562</v>
      </c>
      <c r="E244" s="26">
        <v>288879660.56508261</v>
      </c>
      <c r="F244" s="26">
        <v>7944098.4192000004</v>
      </c>
      <c r="G244" s="26">
        <v>39720492.095899999</v>
      </c>
    </row>
    <row r="245" spans="1:7">
      <c r="A245" s="25">
        <v>45900</v>
      </c>
      <c r="B245" s="25" t="s">
        <v>36</v>
      </c>
      <c r="C245" s="27">
        <v>31</v>
      </c>
      <c r="D245" s="26">
        <v>13748354.51669972</v>
      </c>
      <c r="E245" s="26">
        <v>202181684.06911349</v>
      </c>
      <c r="F245" s="26">
        <v>2302995.0082999999</v>
      </c>
      <c r="G245" s="26">
        <v>11514975.041300001</v>
      </c>
    </row>
    <row r="246" spans="1:7">
      <c r="A246" s="25">
        <v>45901</v>
      </c>
      <c r="B246" s="25" t="s">
        <v>37</v>
      </c>
      <c r="C246" s="27">
        <v>1</v>
      </c>
      <c r="D246" s="26">
        <v>10104857.653470501</v>
      </c>
      <c r="E246" s="26">
        <v>148600847.8451544</v>
      </c>
      <c r="F246" s="26">
        <v>2866879.6381000001</v>
      </c>
      <c r="G246" s="26">
        <v>14334398.1906</v>
      </c>
    </row>
    <row r="247" spans="1:7">
      <c r="A247" s="25">
        <v>45902</v>
      </c>
      <c r="B247" s="25" t="s">
        <v>37</v>
      </c>
      <c r="C247" s="27">
        <v>2</v>
      </c>
      <c r="D247" s="26">
        <v>13068531.182450902</v>
      </c>
      <c r="E247" s="26">
        <v>192184282.09486619</v>
      </c>
      <c r="F247" s="26">
        <v>2838879.1808000002</v>
      </c>
      <c r="G247" s="26">
        <v>14194395.903999999</v>
      </c>
    </row>
    <row r="248" spans="1:7">
      <c r="A248" s="25">
        <v>45903</v>
      </c>
      <c r="B248" s="25" t="s">
        <v>37</v>
      </c>
      <c r="C248" s="27">
        <v>3</v>
      </c>
      <c r="D248" s="26">
        <v>9762208.1862936858</v>
      </c>
      <c r="E248" s="26">
        <v>143561885.09255421</v>
      </c>
      <c r="F248" s="26">
        <v>3463775.0177000002</v>
      </c>
      <c r="G248" s="26">
        <v>17318875.088500001</v>
      </c>
    </row>
    <row r="249" spans="1:7">
      <c r="A249" s="25">
        <v>45904</v>
      </c>
      <c r="B249" s="25" t="s">
        <v>37</v>
      </c>
      <c r="C249" s="27">
        <v>4</v>
      </c>
      <c r="D249" s="26">
        <v>17204492.708354019</v>
      </c>
      <c r="E249" s="26">
        <v>253007245.71108851</v>
      </c>
      <c r="F249" s="26">
        <v>4128333.9339000001</v>
      </c>
      <c r="G249" s="26">
        <v>20641669.669300001</v>
      </c>
    </row>
    <row r="250" spans="1:7">
      <c r="A250" s="25">
        <v>45905</v>
      </c>
      <c r="B250" s="25" t="s">
        <v>37</v>
      </c>
      <c r="C250" s="27">
        <v>5</v>
      </c>
      <c r="D250" s="26">
        <v>18482688.634819865</v>
      </c>
      <c r="E250" s="26">
        <v>271804244.62970382</v>
      </c>
      <c r="F250" s="26">
        <v>5409437.3453000002</v>
      </c>
      <c r="G250" s="26">
        <v>27047186.726599999</v>
      </c>
    </row>
    <row r="251" spans="1:7">
      <c r="A251" s="25">
        <v>45906</v>
      </c>
      <c r="B251" s="25" t="s">
        <v>37</v>
      </c>
      <c r="C251" s="27">
        <v>6</v>
      </c>
      <c r="D251" s="26">
        <v>22854998.904268991</v>
      </c>
      <c r="E251" s="26">
        <v>336102925.06277925</v>
      </c>
      <c r="F251" s="26">
        <v>7160190.7517999997</v>
      </c>
      <c r="G251" s="26">
        <v>35800953.759199999</v>
      </c>
    </row>
    <row r="252" spans="1:7">
      <c r="A252" s="25">
        <v>45907</v>
      </c>
      <c r="B252" s="25" t="s">
        <v>37</v>
      </c>
      <c r="C252" s="27">
        <v>7</v>
      </c>
      <c r="D252" s="26">
        <v>14437801.776011975</v>
      </c>
      <c r="E252" s="26">
        <v>212320614.35311729</v>
      </c>
      <c r="F252" s="26">
        <v>3140193.9741000002</v>
      </c>
      <c r="G252" s="26">
        <v>15700969.870300001</v>
      </c>
    </row>
    <row r="253" spans="1:7">
      <c r="A253" s="25">
        <v>45908</v>
      </c>
      <c r="B253" s="25" t="s">
        <v>37</v>
      </c>
      <c r="C253" s="27">
        <v>8</v>
      </c>
      <c r="D253" s="26">
        <v>10104857.653470501</v>
      </c>
      <c r="E253" s="26">
        <v>148600847.8451544</v>
      </c>
      <c r="F253" s="26">
        <v>2866879.6381000001</v>
      </c>
      <c r="G253" s="26">
        <v>14334398.1906</v>
      </c>
    </row>
    <row r="254" spans="1:7">
      <c r="A254" s="25">
        <v>45909</v>
      </c>
      <c r="B254" s="25" t="s">
        <v>37</v>
      </c>
      <c r="C254" s="27">
        <v>9</v>
      </c>
      <c r="D254" s="26">
        <v>13068531.182450902</v>
      </c>
      <c r="E254" s="26">
        <v>192184282.09486619</v>
      </c>
      <c r="F254" s="26">
        <v>2838879.1808000002</v>
      </c>
      <c r="G254" s="26">
        <v>14194395.903999999</v>
      </c>
    </row>
    <row r="255" spans="1:7">
      <c r="A255" s="25">
        <v>45910</v>
      </c>
      <c r="B255" s="25" t="s">
        <v>37</v>
      </c>
      <c r="C255" s="27">
        <v>10</v>
      </c>
      <c r="D255" s="26">
        <v>9762208.1862936858</v>
      </c>
      <c r="E255" s="26">
        <v>143561885.09255421</v>
      </c>
      <c r="F255" s="26">
        <v>3463775.0177000002</v>
      </c>
      <c r="G255" s="26">
        <v>17318875.088500001</v>
      </c>
    </row>
    <row r="256" spans="1:7">
      <c r="A256" s="25">
        <v>45911</v>
      </c>
      <c r="B256" s="25" t="s">
        <v>37</v>
      </c>
      <c r="C256" s="27">
        <v>11</v>
      </c>
      <c r="D256" s="26">
        <v>17204492.708354019</v>
      </c>
      <c r="E256" s="26">
        <v>253007245.71108851</v>
      </c>
      <c r="F256" s="26">
        <v>4128333.9339000001</v>
      </c>
      <c r="G256" s="26">
        <v>20641669.669300001</v>
      </c>
    </row>
    <row r="257" spans="1:7">
      <c r="A257" s="25">
        <v>45912</v>
      </c>
      <c r="B257" s="25" t="s">
        <v>37</v>
      </c>
      <c r="C257" s="27">
        <v>12</v>
      </c>
      <c r="D257" s="26">
        <v>18482688.634819865</v>
      </c>
      <c r="E257" s="26">
        <v>271804244.62970382</v>
      </c>
      <c r="F257" s="26">
        <v>5409437.3453000002</v>
      </c>
      <c r="G257" s="26">
        <v>27047186.726599999</v>
      </c>
    </row>
    <row r="258" spans="1:7">
      <c r="A258" s="25">
        <v>45913</v>
      </c>
      <c r="B258" s="25" t="s">
        <v>37</v>
      </c>
      <c r="C258" s="27">
        <v>13</v>
      </c>
      <c r="D258" s="26">
        <v>22854998.904268991</v>
      </c>
      <c r="E258" s="26">
        <v>336102925.06277925</v>
      </c>
      <c r="F258" s="26">
        <v>7160190.7517999997</v>
      </c>
      <c r="G258" s="26">
        <v>35800953.759199999</v>
      </c>
    </row>
    <row r="259" spans="1:7">
      <c r="A259" s="25">
        <v>45914</v>
      </c>
      <c r="B259" s="25" t="s">
        <v>37</v>
      </c>
      <c r="C259" s="27">
        <v>14</v>
      </c>
      <c r="D259" s="26">
        <v>14437801.776011975</v>
      </c>
      <c r="E259" s="26">
        <v>212320614.35311729</v>
      </c>
      <c r="F259" s="26">
        <v>3140193.9741000002</v>
      </c>
      <c r="G259" s="26">
        <v>15700969.870300001</v>
      </c>
    </row>
    <row r="260" spans="1:7">
      <c r="A260" s="25">
        <v>45915</v>
      </c>
      <c r="B260" s="25" t="s">
        <v>37</v>
      </c>
      <c r="C260" s="27">
        <v>15</v>
      </c>
      <c r="D260" s="26">
        <v>10104857.653470501</v>
      </c>
      <c r="E260" s="26">
        <v>148600847.8451544</v>
      </c>
      <c r="F260" s="26">
        <v>2866879.6381000001</v>
      </c>
      <c r="G260" s="26">
        <v>14334398.1906</v>
      </c>
    </row>
    <row r="261" spans="1:7">
      <c r="A261" s="25">
        <v>45916</v>
      </c>
      <c r="B261" s="25" t="s">
        <v>37</v>
      </c>
      <c r="C261" s="27">
        <v>16</v>
      </c>
      <c r="D261" s="26">
        <v>13068531.182450902</v>
      </c>
      <c r="E261" s="26">
        <v>192184282.09486619</v>
      </c>
      <c r="F261" s="26">
        <v>2838879.1808000002</v>
      </c>
      <c r="G261" s="26">
        <v>14194395.903999999</v>
      </c>
    </row>
    <row r="262" spans="1:7">
      <c r="A262" s="25">
        <v>45917</v>
      </c>
      <c r="B262" s="25" t="s">
        <v>37</v>
      </c>
      <c r="C262" s="27">
        <v>17</v>
      </c>
      <c r="D262" s="26">
        <v>14210950.475896623</v>
      </c>
      <c r="E262" s="26">
        <v>208984565.82200915</v>
      </c>
      <c r="F262" s="26">
        <v>6687245.6984999999</v>
      </c>
      <c r="G262" s="26">
        <v>33436228.492699999</v>
      </c>
    </row>
    <row r="263" spans="1:7">
      <c r="A263" s="25">
        <v>45918</v>
      </c>
      <c r="B263" s="25" t="s">
        <v>37</v>
      </c>
      <c r="C263" s="27">
        <v>18</v>
      </c>
      <c r="D263" s="26">
        <v>18141568.806255966</v>
      </c>
      <c r="E263" s="26">
        <v>266787776.56258768</v>
      </c>
      <c r="F263" s="26">
        <v>7970258.8073000005</v>
      </c>
      <c r="G263" s="26">
        <v>39851294.036499999</v>
      </c>
    </row>
    <row r="264" spans="1:7">
      <c r="A264" s="25">
        <v>45919</v>
      </c>
      <c r="B264" s="25" t="s">
        <v>37</v>
      </c>
      <c r="C264" s="27">
        <v>19</v>
      </c>
      <c r="D264" s="26">
        <v>21615588.832513798</v>
      </c>
      <c r="E264" s="26">
        <v>317876306.360497</v>
      </c>
      <c r="F264" s="26">
        <v>10443587.2521</v>
      </c>
      <c r="G264" s="26">
        <v>52217936.260499999</v>
      </c>
    </row>
    <row r="265" spans="1:7">
      <c r="A265" s="25">
        <v>45920</v>
      </c>
      <c r="B265" s="25" t="s">
        <v>37</v>
      </c>
      <c r="C265" s="27">
        <v>20</v>
      </c>
      <c r="D265" s="26">
        <v>22854998.904268991</v>
      </c>
      <c r="E265" s="26">
        <v>336102925.06277925</v>
      </c>
      <c r="F265" s="26">
        <v>7160190.7517999997</v>
      </c>
      <c r="G265" s="26">
        <v>35800953.759199999</v>
      </c>
    </row>
    <row r="266" spans="1:7">
      <c r="A266" s="25">
        <v>45921</v>
      </c>
      <c r="B266" s="25" t="s">
        <v>37</v>
      </c>
      <c r="C266" s="27">
        <v>21</v>
      </c>
      <c r="D266" s="26">
        <v>14437801.776011975</v>
      </c>
      <c r="E266" s="26">
        <v>212320614.35311729</v>
      </c>
      <c r="F266" s="26">
        <v>3140193.9741000002</v>
      </c>
      <c r="G266" s="26">
        <v>15700969.870300001</v>
      </c>
    </row>
    <row r="267" spans="1:7">
      <c r="A267" s="25">
        <v>45922</v>
      </c>
      <c r="B267" s="25" t="s">
        <v>37</v>
      </c>
      <c r="C267" s="27">
        <v>22</v>
      </c>
      <c r="D267" s="26">
        <v>10104857.653470501</v>
      </c>
      <c r="E267" s="26">
        <v>148600847.8451544</v>
      </c>
      <c r="F267" s="26">
        <v>2866879.6381000001</v>
      </c>
      <c r="G267" s="26">
        <v>14334398.1906</v>
      </c>
    </row>
    <row r="268" spans="1:7">
      <c r="A268" s="25">
        <v>45923</v>
      </c>
      <c r="B268" s="25" t="s">
        <v>37</v>
      </c>
      <c r="C268" s="27">
        <v>23</v>
      </c>
      <c r="D268" s="26">
        <v>13068531.182450902</v>
      </c>
      <c r="E268" s="26">
        <v>192184282.09486619</v>
      </c>
      <c r="F268" s="26">
        <v>2838879.1808000002</v>
      </c>
      <c r="G268" s="26">
        <v>14194395.903999999</v>
      </c>
    </row>
    <row r="269" spans="1:7">
      <c r="A269" s="25">
        <v>45924</v>
      </c>
      <c r="B269" s="25" t="s">
        <v>37</v>
      </c>
      <c r="C269" s="27">
        <v>24</v>
      </c>
      <c r="D269" s="26">
        <v>9762208.1862936858</v>
      </c>
      <c r="E269" s="26">
        <v>143561885.09255421</v>
      </c>
      <c r="F269" s="26">
        <v>3463775.0177000002</v>
      </c>
      <c r="G269" s="26">
        <v>17318875.088500001</v>
      </c>
    </row>
    <row r="270" spans="1:7">
      <c r="A270" s="25">
        <v>45925</v>
      </c>
      <c r="B270" s="25" t="s">
        <v>37</v>
      </c>
      <c r="C270" s="27">
        <v>25</v>
      </c>
      <c r="D270" s="26">
        <v>17204492.708354019</v>
      </c>
      <c r="E270" s="26">
        <v>253007245.71108851</v>
      </c>
      <c r="F270" s="26">
        <v>4128333.9339000001</v>
      </c>
      <c r="G270" s="26">
        <v>20641669.669300001</v>
      </c>
    </row>
    <row r="271" spans="1:7">
      <c r="A271" s="25">
        <v>45926</v>
      </c>
      <c r="B271" s="25" t="s">
        <v>37</v>
      </c>
      <c r="C271" s="27">
        <v>26</v>
      </c>
      <c r="D271" s="26">
        <v>18482688.634819865</v>
      </c>
      <c r="E271" s="26">
        <v>271804244.62970382</v>
      </c>
      <c r="F271" s="26">
        <v>5409437.3453000002</v>
      </c>
      <c r="G271" s="26">
        <v>27047186.726599999</v>
      </c>
    </row>
    <row r="272" spans="1:7">
      <c r="A272" s="25">
        <v>45927</v>
      </c>
      <c r="B272" s="25" t="s">
        <v>37</v>
      </c>
      <c r="C272" s="27">
        <v>27</v>
      </c>
      <c r="D272" s="26">
        <v>22854998.904268991</v>
      </c>
      <c r="E272" s="26">
        <v>336102925.06277925</v>
      </c>
      <c r="F272" s="26">
        <v>7160190.7517999997</v>
      </c>
      <c r="G272" s="26">
        <v>35800953.759199999</v>
      </c>
    </row>
    <row r="273" spans="1:7">
      <c r="A273" s="25">
        <v>45928</v>
      </c>
      <c r="B273" s="25" t="s">
        <v>37</v>
      </c>
      <c r="C273" s="27">
        <v>28</v>
      </c>
      <c r="D273" s="26">
        <v>14437801.776011975</v>
      </c>
      <c r="E273" s="26">
        <v>212320614.35311729</v>
      </c>
      <c r="F273" s="26">
        <v>3140193.9741000002</v>
      </c>
      <c r="G273" s="26">
        <v>15700969.870300001</v>
      </c>
    </row>
    <row r="274" spans="1:7">
      <c r="A274" s="25">
        <v>45929</v>
      </c>
      <c r="B274" s="25" t="s">
        <v>37</v>
      </c>
      <c r="C274" s="27">
        <v>29</v>
      </c>
      <c r="D274" s="26">
        <v>10104857.653470501</v>
      </c>
      <c r="E274" s="26">
        <v>148600847.8451544</v>
      </c>
      <c r="F274" s="26">
        <v>2866879.6381000001</v>
      </c>
      <c r="G274" s="26">
        <v>14334398.1906</v>
      </c>
    </row>
    <row r="275" spans="1:7">
      <c r="A275" s="25">
        <v>45930</v>
      </c>
      <c r="B275" s="25" t="s">
        <v>37</v>
      </c>
      <c r="C275" s="27">
        <v>30</v>
      </c>
      <c r="D275" s="26">
        <v>13068531.182450902</v>
      </c>
      <c r="E275" s="26">
        <v>192184282.09486619</v>
      </c>
      <c r="F275" s="26">
        <v>2838879.1808000002</v>
      </c>
      <c r="G275" s="26">
        <v>14194395.903999999</v>
      </c>
    </row>
    <row r="276" spans="1:7">
      <c r="A276" s="25">
        <v>45931</v>
      </c>
      <c r="B276" s="25" t="s">
        <v>38</v>
      </c>
      <c r="C276" s="27">
        <v>1</v>
      </c>
      <c r="D276" s="26">
        <v>14421811.75337119</v>
      </c>
      <c r="E276" s="26">
        <v>212085466.96134102</v>
      </c>
      <c r="F276" s="26">
        <v>3242072.1708999998</v>
      </c>
      <c r="G276" s="26">
        <v>16210360.854499999</v>
      </c>
    </row>
    <row r="277" spans="1:7">
      <c r="A277" s="25">
        <v>45932</v>
      </c>
      <c r="B277" s="25" t="s">
        <v>38</v>
      </c>
      <c r="C277" s="27">
        <v>2</v>
      </c>
      <c r="D277" s="26">
        <v>13902596.590831321</v>
      </c>
      <c r="E277" s="26">
        <v>204449949.86516646</v>
      </c>
      <c r="F277" s="26">
        <v>5490331.0376000004</v>
      </c>
      <c r="G277" s="26">
        <v>27451655.188200001</v>
      </c>
    </row>
    <row r="278" spans="1:7">
      <c r="A278" s="25">
        <v>45933</v>
      </c>
      <c r="B278" s="25" t="s">
        <v>38</v>
      </c>
      <c r="C278" s="27">
        <v>3</v>
      </c>
      <c r="D278" s="26">
        <v>20157849.782047223</v>
      </c>
      <c r="E278" s="26">
        <v>296438967.38304734</v>
      </c>
      <c r="F278" s="26">
        <v>5632703.8150000004</v>
      </c>
      <c r="G278" s="26">
        <v>28163519.074900001</v>
      </c>
    </row>
    <row r="279" spans="1:7">
      <c r="A279" s="25">
        <v>45934</v>
      </c>
      <c r="B279" s="25" t="s">
        <v>38</v>
      </c>
      <c r="C279" s="27">
        <v>4</v>
      </c>
      <c r="D279" s="26">
        <v>16865652.631443016</v>
      </c>
      <c r="E279" s="26">
        <v>248024303.40357375</v>
      </c>
      <c r="F279" s="26">
        <v>7488136.6805999996</v>
      </c>
      <c r="G279" s="26">
        <v>37440683.402800001</v>
      </c>
    </row>
    <row r="280" spans="1:7">
      <c r="A280" s="25">
        <v>45935</v>
      </c>
      <c r="B280" s="25" t="s">
        <v>38</v>
      </c>
      <c r="C280" s="27">
        <v>5</v>
      </c>
      <c r="D280" s="26">
        <v>11686776.774063485</v>
      </c>
      <c r="E280" s="26">
        <v>171864364.32446301</v>
      </c>
      <c r="F280" s="26">
        <v>3079680.9378999998</v>
      </c>
      <c r="G280" s="26">
        <v>15398404.6896</v>
      </c>
    </row>
    <row r="281" spans="1:7">
      <c r="A281" s="25">
        <v>45936</v>
      </c>
      <c r="B281" s="25" t="s">
        <v>38</v>
      </c>
      <c r="C281" s="27">
        <v>6</v>
      </c>
      <c r="D281" s="26">
        <v>8958908.0465439167</v>
      </c>
      <c r="E281" s="26">
        <v>131748647.7432929</v>
      </c>
      <c r="F281" s="26">
        <v>1703676.2678</v>
      </c>
      <c r="G281" s="26">
        <v>8518381.3391999993</v>
      </c>
    </row>
    <row r="282" spans="1:7">
      <c r="A282" s="25">
        <v>45937</v>
      </c>
      <c r="B282" s="25" t="s">
        <v>38</v>
      </c>
      <c r="C282" s="27">
        <v>7</v>
      </c>
      <c r="D282" s="26">
        <v>10490566.121671973</v>
      </c>
      <c r="E282" s="26">
        <v>154273031.20105842</v>
      </c>
      <c r="F282" s="26">
        <v>2889766.5654000002</v>
      </c>
      <c r="G282" s="26">
        <v>14448832.827099999</v>
      </c>
    </row>
    <row r="283" spans="1:7">
      <c r="A283" s="25">
        <v>45938</v>
      </c>
      <c r="B283" s="25" t="s">
        <v>38</v>
      </c>
      <c r="C283" s="27">
        <v>8</v>
      </c>
      <c r="D283" s="26">
        <v>14421811.75337119</v>
      </c>
      <c r="E283" s="26">
        <v>212085466.96134102</v>
      </c>
      <c r="F283" s="26">
        <v>3242072.1708999998</v>
      </c>
      <c r="G283" s="26">
        <v>16210360.854499999</v>
      </c>
    </row>
    <row r="284" spans="1:7">
      <c r="A284" s="25">
        <v>45939</v>
      </c>
      <c r="B284" s="25" t="s">
        <v>38</v>
      </c>
      <c r="C284" s="27">
        <v>9</v>
      </c>
      <c r="D284" s="26">
        <v>13902596.590831321</v>
      </c>
      <c r="E284" s="26">
        <v>204449949.86516646</v>
      </c>
      <c r="F284" s="26">
        <v>5490331.0376000004</v>
      </c>
      <c r="G284" s="26">
        <v>27451655.188200001</v>
      </c>
    </row>
    <row r="285" spans="1:7">
      <c r="A285" s="25">
        <v>45940</v>
      </c>
      <c r="B285" s="25" t="s">
        <v>38</v>
      </c>
      <c r="C285" s="27">
        <v>10</v>
      </c>
      <c r="D285" s="26">
        <v>18866275.139430262</v>
      </c>
      <c r="E285" s="26">
        <v>277445222.63868034</v>
      </c>
      <c r="F285" s="26">
        <v>5632703.8150000004</v>
      </c>
      <c r="G285" s="26">
        <v>28163519.074900001</v>
      </c>
    </row>
    <row r="286" spans="1:7">
      <c r="A286" s="25">
        <v>45941</v>
      </c>
      <c r="B286" s="25" t="s">
        <v>38</v>
      </c>
      <c r="C286" s="27">
        <v>11</v>
      </c>
      <c r="D286" s="26">
        <v>17868754.308327101</v>
      </c>
      <c r="E286" s="26">
        <v>262775798.65186912</v>
      </c>
      <c r="F286" s="26">
        <v>10304403.1401</v>
      </c>
      <c r="G286" s="26">
        <v>51522015.700400002</v>
      </c>
    </row>
    <row r="287" spans="1:7">
      <c r="A287" s="25">
        <v>45942</v>
      </c>
      <c r="B287" s="25" t="s">
        <v>38</v>
      </c>
      <c r="C287" s="27">
        <v>12</v>
      </c>
      <c r="D287" s="26">
        <v>14868358.512844007</v>
      </c>
      <c r="E287" s="26">
        <v>218652331.07123542</v>
      </c>
      <c r="F287" s="26">
        <v>4237939.9950999999</v>
      </c>
      <c r="G287" s="26">
        <v>21189699.975400001</v>
      </c>
    </row>
    <row r="288" spans="1:7">
      <c r="A288" s="25">
        <v>45943</v>
      </c>
      <c r="B288" s="25" t="s">
        <v>38</v>
      </c>
      <c r="C288" s="27">
        <v>13</v>
      </c>
      <c r="D288" s="26">
        <v>8958908.0465439167</v>
      </c>
      <c r="E288" s="26">
        <v>131748647.7432929</v>
      </c>
      <c r="F288" s="26">
        <v>1703676.2678</v>
      </c>
      <c r="G288" s="26">
        <v>8518381.3391999993</v>
      </c>
    </row>
    <row r="289" spans="1:7">
      <c r="A289" s="25">
        <v>45944</v>
      </c>
      <c r="B289" s="25" t="s">
        <v>38</v>
      </c>
      <c r="C289" s="27">
        <v>14</v>
      </c>
      <c r="D289" s="26">
        <v>10490566.121671973</v>
      </c>
      <c r="E289" s="26">
        <v>154273031.20105842</v>
      </c>
      <c r="F289" s="26">
        <v>2889766.5654000002</v>
      </c>
      <c r="G289" s="26">
        <v>14448832.827099999</v>
      </c>
    </row>
    <row r="290" spans="1:7">
      <c r="A290" s="25">
        <v>45945</v>
      </c>
      <c r="B290" s="25" t="s">
        <v>38</v>
      </c>
      <c r="C290" s="27">
        <v>15</v>
      </c>
      <c r="D290" s="26">
        <v>14421811.75337119</v>
      </c>
      <c r="E290" s="26">
        <v>212085466.96134102</v>
      </c>
      <c r="F290" s="26">
        <v>3242072.1708999998</v>
      </c>
      <c r="G290" s="26">
        <v>16210360.854499999</v>
      </c>
    </row>
    <row r="291" spans="1:7">
      <c r="A291" s="25">
        <v>45946</v>
      </c>
      <c r="B291" s="25" t="s">
        <v>38</v>
      </c>
      <c r="C291" s="27">
        <v>16</v>
      </c>
      <c r="D291" s="26">
        <v>13902596.590831321</v>
      </c>
      <c r="E291" s="26">
        <v>204449949.86516646</v>
      </c>
      <c r="F291" s="26">
        <v>5490331.0376000004</v>
      </c>
      <c r="G291" s="26">
        <v>27451655.188200001</v>
      </c>
    </row>
    <row r="292" spans="1:7">
      <c r="A292" s="25">
        <v>45947</v>
      </c>
      <c r="B292" s="25" t="s">
        <v>38</v>
      </c>
      <c r="C292" s="27">
        <v>17</v>
      </c>
      <c r="D292" s="26">
        <v>18866275.139430262</v>
      </c>
      <c r="E292" s="26">
        <v>277445222.63868034</v>
      </c>
      <c r="F292" s="26">
        <v>5632703.8150000004</v>
      </c>
      <c r="G292" s="26">
        <v>28163519.074900001</v>
      </c>
    </row>
    <row r="293" spans="1:7">
      <c r="A293" s="25">
        <v>45948</v>
      </c>
      <c r="B293" s="25" t="s">
        <v>38</v>
      </c>
      <c r="C293" s="27">
        <v>18</v>
      </c>
      <c r="D293" s="26">
        <v>16865652.631443016</v>
      </c>
      <c r="E293" s="26">
        <v>248024303.40357375</v>
      </c>
      <c r="F293" s="26">
        <v>7488136.6805999996</v>
      </c>
      <c r="G293" s="26">
        <v>37440683.402800001</v>
      </c>
    </row>
    <row r="294" spans="1:7">
      <c r="A294" s="25">
        <v>45949</v>
      </c>
      <c r="B294" s="25" t="s">
        <v>38</v>
      </c>
      <c r="C294" s="27">
        <v>19</v>
      </c>
      <c r="D294" s="26">
        <v>11686776.774063485</v>
      </c>
      <c r="E294" s="26">
        <v>171864364.32446301</v>
      </c>
      <c r="F294" s="26">
        <v>3079680.9378999998</v>
      </c>
      <c r="G294" s="26">
        <v>15398404.6896</v>
      </c>
    </row>
    <row r="295" spans="1:7">
      <c r="A295" s="25">
        <v>45950</v>
      </c>
      <c r="B295" s="25" t="s">
        <v>38</v>
      </c>
      <c r="C295" s="27">
        <v>20</v>
      </c>
      <c r="D295" s="26">
        <v>8958908.0465439167</v>
      </c>
      <c r="E295" s="26">
        <v>131748647.7432929</v>
      </c>
      <c r="F295" s="26">
        <v>1703676.2678</v>
      </c>
      <c r="G295" s="26">
        <v>8518381.3391999993</v>
      </c>
    </row>
    <row r="296" spans="1:7">
      <c r="A296" s="25">
        <v>45951</v>
      </c>
      <c r="B296" s="25" t="s">
        <v>38</v>
      </c>
      <c r="C296" s="27">
        <v>21</v>
      </c>
      <c r="D296" s="26">
        <v>10490566.121671973</v>
      </c>
      <c r="E296" s="26">
        <v>154273031.20105842</v>
      </c>
      <c r="F296" s="26">
        <v>2889766.5654000002</v>
      </c>
      <c r="G296" s="26">
        <v>14448832.827099999</v>
      </c>
    </row>
    <row r="297" spans="1:7">
      <c r="A297" s="25">
        <v>45952</v>
      </c>
      <c r="B297" s="25" t="s">
        <v>38</v>
      </c>
      <c r="C297" s="27">
        <v>22</v>
      </c>
      <c r="D297" s="26">
        <v>14421811.75337119</v>
      </c>
      <c r="E297" s="26">
        <v>212085466.96134102</v>
      </c>
      <c r="F297" s="26">
        <v>3242072.1708999998</v>
      </c>
      <c r="G297" s="26">
        <v>16210360.854499999</v>
      </c>
    </row>
    <row r="298" spans="1:7">
      <c r="A298" s="25">
        <v>45953</v>
      </c>
      <c r="B298" s="25" t="s">
        <v>38</v>
      </c>
      <c r="C298" s="27">
        <v>23</v>
      </c>
      <c r="D298" s="26">
        <v>13902596.590831321</v>
      </c>
      <c r="E298" s="26">
        <v>204449949.86516646</v>
      </c>
      <c r="F298" s="26">
        <v>5490331.0376000004</v>
      </c>
      <c r="G298" s="26">
        <v>27451655.188200001</v>
      </c>
    </row>
    <row r="299" spans="1:7">
      <c r="A299" s="25">
        <v>45954</v>
      </c>
      <c r="B299" s="25" t="s">
        <v>38</v>
      </c>
      <c r="C299" s="27">
        <v>24</v>
      </c>
      <c r="D299" s="26">
        <v>18866275.139430262</v>
      </c>
      <c r="E299" s="26">
        <v>277445222.63868034</v>
      </c>
      <c r="F299" s="26">
        <v>5632703.8150000004</v>
      </c>
      <c r="G299" s="26">
        <v>28163519.074900001</v>
      </c>
    </row>
    <row r="300" spans="1:7">
      <c r="A300" s="25">
        <v>45955</v>
      </c>
      <c r="B300" s="25" t="s">
        <v>38</v>
      </c>
      <c r="C300" s="27">
        <v>25</v>
      </c>
      <c r="D300" s="26">
        <v>16865652.631443016</v>
      </c>
      <c r="E300" s="26">
        <v>248024303.40357375</v>
      </c>
      <c r="F300" s="26">
        <v>7488136.6805999996</v>
      </c>
      <c r="G300" s="26">
        <v>37440683.402800001</v>
      </c>
    </row>
    <row r="301" spans="1:7">
      <c r="A301" s="25">
        <v>45956</v>
      </c>
      <c r="B301" s="25" t="s">
        <v>38</v>
      </c>
      <c r="C301" s="27">
        <v>26</v>
      </c>
      <c r="D301" s="26">
        <v>11686776.774063485</v>
      </c>
      <c r="E301" s="26">
        <v>171864364.32446301</v>
      </c>
      <c r="F301" s="26">
        <v>3079680.9378999998</v>
      </c>
      <c r="G301" s="26">
        <v>15398404.6896</v>
      </c>
    </row>
    <row r="302" spans="1:7">
      <c r="A302" s="25">
        <v>45957</v>
      </c>
      <c r="B302" s="25" t="s">
        <v>38</v>
      </c>
      <c r="C302" s="27">
        <v>27</v>
      </c>
      <c r="D302" s="26">
        <v>8958908.0465439167</v>
      </c>
      <c r="E302" s="26">
        <v>131748647.7432929</v>
      </c>
      <c r="F302" s="26">
        <v>1703676.2678</v>
      </c>
      <c r="G302" s="26">
        <v>8518381.3391999993</v>
      </c>
    </row>
    <row r="303" spans="1:7">
      <c r="A303" s="25">
        <v>45958</v>
      </c>
      <c r="B303" s="25" t="s">
        <v>38</v>
      </c>
      <c r="C303" s="27">
        <v>28</v>
      </c>
      <c r="D303" s="26">
        <v>10490566.121671973</v>
      </c>
      <c r="E303" s="26">
        <v>154273031.20105842</v>
      </c>
      <c r="F303" s="26">
        <v>2889766.5654000002</v>
      </c>
      <c r="G303" s="26">
        <v>14448832.827099999</v>
      </c>
    </row>
    <row r="304" spans="1:7">
      <c r="A304" s="25">
        <v>45959</v>
      </c>
      <c r="B304" s="25" t="s">
        <v>38</v>
      </c>
      <c r="C304" s="27">
        <v>29</v>
      </c>
      <c r="D304" s="26">
        <v>14421811.75337119</v>
      </c>
      <c r="E304" s="26">
        <v>212085466.96134102</v>
      </c>
      <c r="F304" s="26">
        <v>3242072.1708999998</v>
      </c>
      <c r="G304" s="26">
        <v>16210360.854499999</v>
      </c>
    </row>
    <row r="305" spans="1:7">
      <c r="A305" s="25">
        <v>45960</v>
      </c>
      <c r="B305" s="25" t="s">
        <v>38</v>
      </c>
      <c r="C305" s="27">
        <v>30</v>
      </c>
      <c r="D305" s="26">
        <v>17688402.035985719</v>
      </c>
      <c r="E305" s="26">
        <v>260123559.35273117</v>
      </c>
      <c r="F305" s="26">
        <v>7555228.5965999998</v>
      </c>
      <c r="G305" s="26">
        <v>37776142.983099997</v>
      </c>
    </row>
    <row r="306" spans="1:7">
      <c r="A306" s="25">
        <v>45961</v>
      </c>
      <c r="B306" s="25" t="s">
        <v>38</v>
      </c>
      <c r="C306" s="27">
        <v>31</v>
      </c>
      <c r="D306" s="26">
        <v>22548094.24644056</v>
      </c>
      <c r="E306" s="26">
        <v>331589621.27118468</v>
      </c>
      <c r="F306" s="26">
        <v>7751147.3619999997</v>
      </c>
      <c r="G306" s="26">
        <v>38755736.810199998</v>
      </c>
    </row>
    <row r="307" spans="1:7">
      <c r="A307" s="25">
        <v>45962</v>
      </c>
      <c r="B307" s="25" t="s">
        <v>39</v>
      </c>
      <c r="C307" s="27">
        <v>1</v>
      </c>
      <c r="D307" s="26">
        <v>21560650.726786077</v>
      </c>
      <c r="E307" s="26">
        <v>317068393.0409717</v>
      </c>
      <c r="F307" s="26">
        <v>7757151.0919000003</v>
      </c>
      <c r="G307" s="26">
        <v>38785755.4595</v>
      </c>
    </row>
    <row r="308" spans="1:7">
      <c r="A308" s="25">
        <v>45963</v>
      </c>
      <c r="B308" s="25" t="s">
        <v>39</v>
      </c>
      <c r="C308" s="27">
        <v>2</v>
      </c>
      <c r="D308" s="26">
        <v>12549526.216471182</v>
      </c>
      <c r="E308" s="26">
        <v>184551856.12457618</v>
      </c>
      <c r="F308" s="26">
        <v>3357127.5088999998</v>
      </c>
      <c r="G308" s="26">
        <v>16785637.5447</v>
      </c>
    </row>
    <row r="309" spans="1:7">
      <c r="A309" s="25">
        <v>45964</v>
      </c>
      <c r="B309" s="25" t="s">
        <v>39</v>
      </c>
      <c r="C309" s="27">
        <v>3</v>
      </c>
      <c r="D309" s="26">
        <v>9385198.7187580001</v>
      </c>
      <c r="E309" s="26">
        <v>138017628.21702939</v>
      </c>
      <c r="F309" s="26">
        <v>3310176.0512000001</v>
      </c>
      <c r="G309" s="26">
        <v>16550880.255999999</v>
      </c>
    </row>
    <row r="310" spans="1:7">
      <c r="A310" s="25">
        <v>45965</v>
      </c>
      <c r="B310" s="25" t="s">
        <v>39</v>
      </c>
      <c r="C310" s="27">
        <v>4</v>
      </c>
      <c r="D310" s="26">
        <v>10282134.61381324</v>
      </c>
      <c r="E310" s="26">
        <v>151207861.96784177</v>
      </c>
      <c r="F310" s="26">
        <v>1796829.5784</v>
      </c>
      <c r="G310" s="26">
        <v>8984147.8922000006</v>
      </c>
    </row>
    <row r="311" spans="1:7">
      <c r="A311" s="25">
        <v>45966</v>
      </c>
      <c r="B311" s="25" t="s">
        <v>39</v>
      </c>
      <c r="C311" s="27">
        <v>5</v>
      </c>
      <c r="D311" s="26">
        <v>12665903.319958063</v>
      </c>
      <c r="E311" s="26">
        <v>186263284.11703032</v>
      </c>
      <c r="F311" s="26">
        <v>2931803.3895</v>
      </c>
      <c r="G311" s="26">
        <v>14659016.9475</v>
      </c>
    </row>
    <row r="312" spans="1:7">
      <c r="A312" s="25">
        <v>45967</v>
      </c>
      <c r="B312" s="25" t="s">
        <v>39</v>
      </c>
      <c r="C312" s="27">
        <v>6</v>
      </c>
      <c r="D312" s="26">
        <v>15254419.879646949</v>
      </c>
      <c r="E312" s="26">
        <v>224329704.11245513</v>
      </c>
      <c r="F312" s="26">
        <v>5080756.6528000003</v>
      </c>
      <c r="G312" s="26">
        <v>25403783.264199998</v>
      </c>
    </row>
    <row r="313" spans="1:7">
      <c r="A313" s="25">
        <v>45968</v>
      </c>
      <c r="B313" s="25" t="s">
        <v>39</v>
      </c>
      <c r="C313" s="27">
        <v>7</v>
      </c>
      <c r="D313" s="26">
        <v>19375143.838403549</v>
      </c>
      <c r="E313" s="26">
        <v>284928585.85887575</v>
      </c>
      <c r="F313" s="26">
        <v>4912230.3032999998</v>
      </c>
      <c r="G313" s="26">
        <v>24561151.516600002</v>
      </c>
    </row>
    <row r="314" spans="1:7">
      <c r="A314" s="25">
        <v>45969</v>
      </c>
      <c r="B314" s="25" t="s">
        <v>39</v>
      </c>
      <c r="C314" s="27">
        <v>8</v>
      </c>
      <c r="D314" s="26">
        <v>17850419.717109691</v>
      </c>
      <c r="E314" s="26">
        <v>262506172.31043664</v>
      </c>
      <c r="F314" s="26">
        <v>6171037.2412999999</v>
      </c>
      <c r="G314" s="26">
        <v>30855186.2064</v>
      </c>
    </row>
    <row r="315" spans="1:7">
      <c r="A315" s="25">
        <v>45970</v>
      </c>
      <c r="B315" s="25" t="s">
        <v>39</v>
      </c>
      <c r="C315" s="27">
        <v>9</v>
      </c>
      <c r="D315" s="26">
        <v>12549526.216471182</v>
      </c>
      <c r="E315" s="26">
        <v>184551856.12457618</v>
      </c>
      <c r="F315" s="26">
        <v>3357127.5088999998</v>
      </c>
      <c r="G315" s="26">
        <v>16785637.5447</v>
      </c>
    </row>
    <row r="316" spans="1:7">
      <c r="A316" s="25">
        <v>45971</v>
      </c>
      <c r="B316" s="25" t="s">
        <v>39</v>
      </c>
      <c r="C316" s="27">
        <v>10</v>
      </c>
      <c r="D316" s="26">
        <v>9385198.7187580001</v>
      </c>
      <c r="E316" s="26">
        <v>138017628.21702939</v>
      </c>
      <c r="F316" s="26">
        <v>3310176.0512000001</v>
      </c>
      <c r="G316" s="26">
        <v>16550880.255999999</v>
      </c>
    </row>
    <row r="317" spans="1:7">
      <c r="A317" s="25">
        <v>45972</v>
      </c>
      <c r="B317" s="25" t="s">
        <v>39</v>
      </c>
      <c r="C317" s="27">
        <v>11</v>
      </c>
      <c r="D317" s="26">
        <v>10282134.61381324</v>
      </c>
      <c r="E317" s="26">
        <v>151207861.96784177</v>
      </c>
      <c r="F317" s="26">
        <v>1796829.5784</v>
      </c>
      <c r="G317" s="26">
        <v>8984147.8922000006</v>
      </c>
    </row>
    <row r="318" spans="1:7">
      <c r="A318" s="25">
        <v>45973</v>
      </c>
      <c r="B318" s="25" t="s">
        <v>39</v>
      </c>
      <c r="C318" s="27">
        <v>12</v>
      </c>
      <c r="D318" s="26">
        <v>12665903.319958063</v>
      </c>
      <c r="E318" s="26">
        <v>186263284.11703032</v>
      </c>
      <c r="F318" s="26">
        <v>2931803.3895</v>
      </c>
      <c r="G318" s="26">
        <v>14659016.9475</v>
      </c>
    </row>
    <row r="319" spans="1:7">
      <c r="A319" s="25">
        <v>45974</v>
      </c>
      <c r="B319" s="25" t="s">
        <v>39</v>
      </c>
      <c r="C319" s="27">
        <v>13</v>
      </c>
      <c r="D319" s="26">
        <v>15254419.879646949</v>
      </c>
      <c r="E319" s="26">
        <v>224329704.11245513</v>
      </c>
      <c r="F319" s="26">
        <v>5080756.6528000003</v>
      </c>
      <c r="G319" s="26">
        <v>25403783.264199998</v>
      </c>
    </row>
    <row r="320" spans="1:7">
      <c r="A320" s="25">
        <v>45975</v>
      </c>
      <c r="B320" s="25" t="s">
        <v>39</v>
      </c>
      <c r="C320" s="27">
        <v>14</v>
      </c>
      <c r="D320" s="26">
        <v>19375143.838403549</v>
      </c>
      <c r="E320" s="26">
        <v>284928585.85887575</v>
      </c>
      <c r="F320" s="26">
        <v>4912230.3032999998</v>
      </c>
      <c r="G320" s="26">
        <v>24561151.516600002</v>
      </c>
    </row>
    <row r="321" spans="1:7">
      <c r="A321" s="25">
        <v>45976</v>
      </c>
      <c r="B321" s="25" t="s">
        <v>39</v>
      </c>
      <c r="C321" s="27">
        <v>15</v>
      </c>
      <c r="D321" s="26">
        <v>17850419.717109691</v>
      </c>
      <c r="E321" s="26">
        <v>262506172.31043664</v>
      </c>
      <c r="F321" s="26">
        <v>6171037.2412999999</v>
      </c>
      <c r="G321" s="26">
        <v>30855186.2064</v>
      </c>
    </row>
    <row r="322" spans="1:7">
      <c r="A322" s="25">
        <v>45977</v>
      </c>
      <c r="B322" s="25" t="s">
        <v>39</v>
      </c>
      <c r="C322" s="27">
        <v>16</v>
      </c>
      <c r="D322" s="26">
        <v>12549526.216471182</v>
      </c>
      <c r="E322" s="26">
        <v>184551856.12457618</v>
      </c>
      <c r="F322" s="26">
        <v>3357127.5088999998</v>
      </c>
      <c r="G322" s="26">
        <v>16785637.5447</v>
      </c>
    </row>
    <row r="323" spans="1:7">
      <c r="A323" s="25">
        <v>45978</v>
      </c>
      <c r="B323" s="25" t="s">
        <v>39</v>
      </c>
      <c r="C323" s="27">
        <v>17</v>
      </c>
      <c r="D323" s="26">
        <v>9385198.7187580001</v>
      </c>
      <c r="E323" s="26">
        <v>138017628.21702939</v>
      </c>
      <c r="F323" s="26">
        <v>3310176.0512000001</v>
      </c>
      <c r="G323" s="26">
        <v>16550880.255999999</v>
      </c>
    </row>
    <row r="324" spans="1:7">
      <c r="A324" s="25">
        <v>45979</v>
      </c>
      <c r="B324" s="25" t="s">
        <v>39</v>
      </c>
      <c r="C324" s="27">
        <v>18</v>
      </c>
      <c r="D324" s="26">
        <v>10282134.61381324</v>
      </c>
      <c r="E324" s="26">
        <v>151207861.96784177</v>
      </c>
      <c r="F324" s="26">
        <v>1796829.5784</v>
      </c>
      <c r="G324" s="26">
        <v>8984147.8922000006</v>
      </c>
    </row>
    <row r="325" spans="1:7">
      <c r="A325" s="25">
        <v>45980</v>
      </c>
      <c r="B325" s="25" t="s">
        <v>39</v>
      </c>
      <c r="C325" s="27">
        <v>19</v>
      </c>
      <c r="D325" s="26">
        <v>12665903.319958063</v>
      </c>
      <c r="E325" s="26">
        <v>186263284.11703032</v>
      </c>
      <c r="F325" s="26">
        <v>2931803.3895</v>
      </c>
      <c r="G325" s="26">
        <v>14659016.9475</v>
      </c>
    </row>
    <row r="326" spans="1:7">
      <c r="A326" s="25">
        <v>45981</v>
      </c>
      <c r="B326" s="25" t="s">
        <v>39</v>
      </c>
      <c r="C326" s="27">
        <v>20</v>
      </c>
      <c r="D326" s="26">
        <v>15254419.879646949</v>
      </c>
      <c r="E326" s="26">
        <v>224329704.11245513</v>
      </c>
      <c r="F326" s="26">
        <v>5080756.6528000003</v>
      </c>
      <c r="G326" s="26">
        <v>25403783.264199998</v>
      </c>
    </row>
    <row r="327" spans="1:7">
      <c r="A327" s="25">
        <v>45982</v>
      </c>
      <c r="B327" s="25" t="s">
        <v>39</v>
      </c>
      <c r="C327" s="27">
        <v>21</v>
      </c>
      <c r="D327" s="26">
        <v>19375143.838403549</v>
      </c>
      <c r="E327" s="26">
        <v>284928585.85887575</v>
      </c>
      <c r="F327" s="26">
        <v>4912230.3032999998</v>
      </c>
      <c r="G327" s="26">
        <v>24561151.516600002</v>
      </c>
    </row>
    <row r="328" spans="1:7">
      <c r="A328" s="25">
        <v>45983</v>
      </c>
      <c r="B328" s="25" t="s">
        <v>39</v>
      </c>
      <c r="C328" s="27">
        <v>22</v>
      </c>
      <c r="D328" s="26">
        <v>17850419.717109691</v>
      </c>
      <c r="E328" s="26">
        <v>262506172.31043664</v>
      </c>
      <c r="F328" s="26">
        <v>6171037.2412999999</v>
      </c>
      <c r="G328" s="26">
        <v>30855186.2064</v>
      </c>
    </row>
    <row r="329" spans="1:7">
      <c r="A329" s="25">
        <v>45984</v>
      </c>
      <c r="B329" s="25" t="s">
        <v>39</v>
      </c>
      <c r="C329" s="27">
        <v>23</v>
      </c>
      <c r="D329" s="26">
        <v>12549526.216471182</v>
      </c>
      <c r="E329" s="26">
        <v>184551856.12457618</v>
      </c>
      <c r="F329" s="26">
        <v>3357127.5088999998</v>
      </c>
      <c r="G329" s="26">
        <v>16785637.5447</v>
      </c>
    </row>
    <row r="330" spans="1:7">
      <c r="A330" s="25">
        <v>45985</v>
      </c>
      <c r="B330" s="25" t="s">
        <v>39</v>
      </c>
      <c r="C330" s="27">
        <v>24</v>
      </c>
      <c r="D330" s="26">
        <v>9385198.7187580001</v>
      </c>
      <c r="E330" s="26">
        <v>138017628.21702939</v>
      </c>
      <c r="F330" s="26">
        <v>3310176.0512000001</v>
      </c>
      <c r="G330" s="26">
        <v>16550880.255999999</v>
      </c>
    </row>
    <row r="331" spans="1:7">
      <c r="A331" s="25">
        <v>45986</v>
      </c>
      <c r="B331" s="25" t="s">
        <v>39</v>
      </c>
      <c r="C331" s="27">
        <v>25</v>
      </c>
      <c r="D331" s="26">
        <v>10282134.61381324</v>
      </c>
      <c r="E331" s="26">
        <v>151207861.96784177</v>
      </c>
      <c r="F331" s="26">
        <v>1796829.5784</v>
      </c>
      <c r="G331" s="26">
        <v>8984147.8922000006</v>
      </c>
    </row>
    <row r="332" spans="1:7">
      <c r="A332" s="25">
        <v>45987</v>
      </c>
      <c r="B332" s="25" t="s">
        <v>39</v>
      </c>
      <c r="C332" s="27">
        <v>26</v>
      </c>
      <c r="D332" s="26">
        <v>12665903.319958063</v>
      </c>
      <c r="E332" s="26">
        <v>186263284.11703032</v>
      </c>
      <c r="F332" s="26">
        <v>2931803.3895</v>
      </c>
      <c r="G332" s="26">
        <v>14659016.9475</v>
      </c>
    </row>
    <row r="333" spans="1:7">
      <c r="A333" s="25">
        <v>45988</v>
      </c>
      <c r="B333" s="25" t="s">
        <v>39</v>
      </c>
      <c r="C333" s="27">
        <v>27</v>
      </c>
      <c r="D333" s="26">
        <v>15254419.879646949</v>
      </c>
      <c r="E333" s="26">
        <v>224329704.11245513</v>
      </c>
      <c r="F333" s="26">
        <v>5080756.6528000003</v>
      </c>
      <c r="G333" s="26">
        <v>25403783.264199998</v>
      </c>
    </row>
    <row r="334" spans="1:7">
      <c r="A334" s="25">
        <v>45989</v>
      </c>
      <c r="B334" s="25" t="s">
        <v>39</v>
      </c>
      <c r="C334" s="27">
        <v>28</v>
      </c>
      <c r="D334" s="26">
        <v>19375143.838403549</v>
      </c>
      <c r="E334" s="26">
        <v>284928585.85887575</v>
      </c>
      <c r="F334" s="26">
        <v>4912230.3032999998</v>
      </c>
      <c r="G334" s="26">
        <v>24561151.516600002</v>
      </c>
    </row>
    <row r="335" spans="1:7">
      <c r="A335" s="25">
        <v>45990</v>
      </c>
      <c r="B335" s="25" t="s">
        <v>39</v>
      </c>
      <c r="C335" s="27">
        <v>29</v>
      </c>
      <c r="D335" s="26">
        <v>17850419.717109691</v>
      </c>
      <c r="E335" s="26">
        <v>262506172.31043664</v>
      </c>
      <c r="F335" s="26">
        <v>6171037.2412999999</v>
      </c>
      <c r="G335" s="26">
        <v>30855186.2064</v>
      </c>
    </row>
    <row r="336" spans="1:7">
      <c r="A336" s="25">
        <v>45991</v>
      </c>
      <c r="B336" s="25" t="s">
        <v>39</v>
      </c>
      <c r="C336" s="27">
        <v>30</v>
      </c>
      <c r="D336" s="26">
        <v>12549526.216471182</v>
      </c>
      <c r="E336" s="26">
        <v>184551856.12457618</v>
      </c>
      <c r="F336" s="26">
        <v>3357127.5088999998</v>
      </c>
      <c r="G336" s="26">
        <v>16785637.5447</v>
      </c>
    </row>
    <row r="337" spans="1:7">
      <c r="A337" s="25">
        <v>45992</v>
      </c>
      <c r="B337" s="25" t="s">
        <v>40</v>
      </c>
      <c r="C337" s="27">
        <v>1</v>
      </c>
      <c r="D337" s="26">
        <v>10661760.350250054</v>
      </c>
      <c r="E337" s="26">
        <v>156790593.3860302</v>
      </c>
      <c r="F337" s="26">
        <v>2067396.9010000001</v>
      </c>
      <c r="G337" s="26">
        <v>10336984.504799999</v>
      </c>
    </row>
    <row r="338" spans="1:7">
      <c r="A338" s="25">
        <v>45993</v>
      </c>
      <c r="B338" s="25" t="s">
        <v>40</v>
      </c>
      <c r="C338" s="27">
        <v>2</v>
      </c>
      <c r="D338" s="26">
        <v>12478136.431486145</v>
      </c>
      <c r="E338" s="26">
        <v>183502006.34538448</v>
      </c>
      <c r="F338" s="26">
        <v>2230324.4010000001</v>
      </c>
      <c r="G338" s="26">
        <v>11151622.005000001</v>
      </c>
    </row>
    <row r="339" spans="1:7">
      <c r="A339" s="25">
        <v>45994</v>
      </c>
      <c r="B339" s="25" t="s">
        <v>40</v>
      </c>
      <c r="C339" s="27">
        <v>3</v>
      </c>
      <c r="D339" s="26">
        <v>13236159.230605531</v>
      </c>
      <c r="E339" s="26">
        <v>194649400.45008132</v>
      </c>
      <c r="F339" s="26">
        <v>2373745.6878</v>
      </c>
      <c r="G339" s="26">
        <v>11868728.438899999</v>
      </c>
    </row>
    <row r="340" spans="1:7">
      <c r="A340" s="25">
        <v>45995</v>
      </c>
      <c r="B340" s="25" t="s">
        <v>40</v>
      </c>
      <c r="C340" s="27">
        <v>4</v>
      </c>
      <c r="D340" s="26">
        <v>15862559.787063276</v>
      </c>
      <c r="E340" s="26">
        <v>233272938.04504818</v>
      </c>
      <c r="F340" s="26">
        <v>4166261.1630000002</v>
      </c>
      <c r="G340" s="26">
        <v>20831305.815200001</v>
      </c>
    </row>
    <row r="341" spans="1:7">
      <c r="A341" s="25">
        <v>45996</v>
      </c>
      <c r="B341" s="25" t="s">
        <v>40</v>
      </c>
      <c r="C341" s="27">
        <v>5</v>
      </c>
      <c r="D341" s="26">
        <v>16537573.91467895</v>
      </c>
      <c r="E341" s="26">
        <v>243199616.3923375</v>
      </c>
      <c r="F341" s="26">
        <v>7335628.6435000002</v>
      </c>
      <c r="G341" s="26">
        <v>36678143.217600003</v>
      </c>
    </row>
    <row r="342" spans="1:7">
      <c r="A342" s="25">
        <v>45997</v>
      </c>
      <c r="B342" s="25" t="s">
        <v>40</v>
      </c>
      <c r="C342" s="27">
        <v>6</v>
      </c>
      <c r="D342" s="26">
        <v>16869719.851997577</v>
      </c>
      <c r="E342" s="26">
        <v>248084115.47055256</v>
      </c>
      <c r="F342" s="26">
        <v>6484501.6458999999</v>
      </c>
      <c r="G342" s="26">
        <v>32422508.229400001</v>
      </c>
    </row>
    <row r="343" spans="1:7">
      <c r="A343" s="25">
        <v>45998</v>
      </c>
      <c r="B343" s="25" t="s">
        <v>40</v>
      </c>
      <c r="C343" s="27">
        <v>7</v>
      </c>
      <c r="D343" s="26">
        <v>15866948.361388691</v>
      </c>
      <c r="E343" s="26">
        <v>233337475.90277484</v>
      </c>
      <c r="F343" s="26">
        <v>6532950.9111000001</v>
      </c>
      <c r="G343" s="26">
        <v>32664754.555399999</v>
      </c>
    </row>
    <row r="344" spans="1:7">
      <c r="A344" s="25">
        <v>45999</v>
      </c>
      <c r="B344" s="25" t="s">
        <v>40</v>
      </c>
      <c r="C344" s="27">
        <v>8</v>
      </c>
      <c r="D344" s="26">
        <v>15078224.325762285</v>
      </c>
      <c r="E344" s="26">
        <v>221738593.02591592</v>
      </c>
      <c r="F344" s="26">
        <v>3515054.2267999998</v>
      </c>
      <c r="G344" s="26">
        <v>17575271.133900002</v>
      </c>
    </row>
    <row r="345" spans="1:7">
      <c r="A345" s="25">
        <v>46000</v>
      </c>
      <c r="B345" s="25" t="s">
        <v>40</v>
      </c>
      <c r="C345" s="27">
        <v>9</v>
      </c>
      <c r="D345" s="26">
        <v>12478136.431486145</v>
      </c>
      <c r="E345" s="26">
        <v>183502006.34538448</v>
      </c>
      <c r="F345" s="26">
        <v>2230324.4010000001</v>
      </c>
      <c r="G345" s="26">
        <v>11151622.005000001</v>
      </c>
    </row>
    <row r="346" spans="1:7">
      <c r="A346" s="25">
        <v>46001</v>
      </c>
      <c r="B346" s="25" t="s">
        <v>40</v>
      </c>
      <c r="C346" s="27">
        <v>10</v>
      </c>
      <c r="D346" s="26">
        <v>13236159.230605531</v>
      </c>
      <c r="E346" s="26">
        <v>194649400.45008132</v>
      </c>
      <c r="F346" s="26">
        <v>2373745.6878</v>
      </c>
      <c r="G346" s="26">
        <v>11868728.438899999</v>
      </c>
    </row>
    <row r="347" spans="1:7">
      <c r="A347" s="25">
        <v>46002</v>
      </c>
      <c r="B347" s="25" t="s">
        <v>40</v>
      </c>
      <c r="C347" s="27">
        <v>11</v>
      </c>
      <c r="D347" s="26">
        <v>15862559.787063276</v>
      </c>
      <c r="E347" s="26">
        <v>233272938.04504818</v>
      </c>
      <c r="F347" s="26">
        <v>4166261.1630000002</v>
      </c>
      <c r="G347" s="26">
        <v>20831305.815200001</v>
      </c>
    </row>
    <row r="348" spans="1:7">
      <c r="A348" s="25">
        <v>46003</v>
      </c>
      <c r="B348" s="25" t="s">
        <v>40</v>
      </c>
      <c r="C348" s="27">
        <v>12</v>
      </c>
      <c r="D348" s="26">
        <v>16537573.91467895</v>
      </c>
      <c r="E348" s="26">
        <v>243199616.3923375</v>
      </c>
      <c r="F348" s="26">
        <v>7335628.6435000002</v>
      </c>
      <c r="G348" s="26">
        <v>36678143.217600003</v>
      </c>
    </row>
    <row r="349" spans="1:7">
      <c r="A349" s="25">
        <v>46004</v>
      </c>
      <c r="B349" s="25" t="s">
        <v>40</v>
      </c>
      <c r="C349" s="27">
        <v>13</v>
      </c>
      <c r="D349" s="26">
        <v>16869719.851997577</v>
      </c>
      <c r="E349" s="26">
        <v>248084115.47055256</v>
      </c>
      <c r="F349" s="26">
        <v>6484501.6458999999</v>
      </c>
      <c r="G349" s="26">
        <v>32422508.229400001</v>
      </c>
    </row>
    <row r="350" spans="1:7">
      <c r="A350" s="25">
        <v>46005</v>
      </c>
      <c r="B350" s="25" t="s">
        <v>40</v>
      </c>
      <c r="C350" s="27">
        <v>14</v>
      </c>
      <c r="D350" s="26">
        <v>11206717.154156823</v>
      </c>
      <c r="E350" s="26">
        <v>164804664.03171796</v>
      </c>
      <c r="F350" s="26">
        <v>3842388.0817999998</v>
      </c>
      <c r="G350" s="26">
        <v>19211940.408799998</v>
      </c>
    </row>
    <row r="351" spans="1:7">
      <c r="A351" s="25">
        <v>46006</v>
      </c>
      <c r="B351" s="25" t="s">
        <v>40</v>
      </c>
      <c r="C351" s="27">
        <v>15</v>
      </c>
      <c r="D351" s="26">
        <v>10661760.350250054</v>
      </c>
      <c r="E351" s="26">
        <v>156790593.3860302</v>
      </c>
      <c r="F351" s="26">
        <v>2067396.9010000001</v>
      </c>
      <c r="G351" s="26">
        <v>10336984.504799999</v>
      </c>
    </row>
    <row r="352" spans="1:7">
      <c r="A352" s="25">
        <v>46007</v>
      </c>
      <c r="B352" s="25" t="s">
        <v>40</v>
      </c>
      <c r="C352" s="27">
        <v>16</v>
      </c>
      <c r="D352" s="26">
        <v>12478136.431486145</v>
      </c>
      <c r="E352" s="26">
        <v>183502006.34538448</v>
      </c>
      <c r="F352" s="26">
        <v>2230324.4010000001</v>
      </c>
      <c r="G352" s="26">
        <v>11151622.005000001</v>
      </c>
    </row>
    <row r="353" spans="1:7">
      <c r="A353" s="25">
        <v>46008</v>
      </c>
      <c r="B353" s="25" t="s">
        <v>40</v>
      </c>
      <c r="C353" s="27">
        <v>17</v>
      </c>
      <c r="D353" s="26">
        <v>13236159.230605531</v>
      </c>
      <c r="E353" s="26">
        <v>194649400.45008132</v>
      </c>
      <c r="F353" s="26">
        <v>2373745.6878</v>
      </c>
      <c r="G353" s="26">
        <v>11868728.438899999</v>
      </c>
    </row>
    <row r="354" spans="1:7">
      <c r="A354" s="25">
        <v>46009</v>
      </c>
      <c r="B354" s="25" t="s">
        <v>40</v>
      </c>
      <c r="C354" s="27">
        <v>18</v>
      </c>
      <c r="D354" s="26">
        <v>15862559.787063276</v>
      </c>
      <c r="E354" s="26">
        <v>233272938.04504818</v>
      </c>
      <c r="F354" s="26">
        <v>4166261.1630000002</v>
      </c>
      <c r="G354" s="26">
        <v>20831305.815200001</v>
      </c>
    </row>
    <row r="355" spans="1:7">
      <c r="A355" s="25">
        <v>46010</v>
      </c>
      <c r="B355" s="25" t="s">
        <v>40</v>
      </c>
      <c r="C355" s="27">
        <v>19</v>
      </c>
      <c r="D355" s="26">
        <v>16537573.91467895</v>
      </c>
      <c r="E355" s="26">
        <v>243199616.3923375</v>
      </c>
      <c r="F355" s="26">
        <v>7335628.6435000002</v>
      </c>
      <c r="G355" s="26">
        <v>36678143.217600003</v>
      </c>
    </row>
    <row r="356" spans="1:7">
      <c r="A356" s="25">
        <v>46011</v>
      </c>
      <c r="B356" s="25" t="s">
        <v>40</v>
      </c>
      <c r="C356" s="27">
        <v>20</v>
      </c>
      <c r="D356" s="26">
        <v>16869719.851997577</v>
      </c>
      <c r="E356" s="26">
        <v>248084115.47055256</v>
      </c>
      <c r="F356" s="26">
        <v>6484501.6458999999</v>
      </c>
      <c r="G356" s="26">
        <v>32422508.229400001</v>
      </c>
    </row>
    <row r="357" spans="1:7">
      <c r="A357" s="25">
        <v>46012</v>
      </c>
      <c r="B357" s="25" t="s">
        <v>40</v>
      </c>
      <c r="C357" s="27">
        <v>21</v>
      </c>
      <c r="D357" s="26">
        <v>11206717.154156823</v>
      </c>
      <c r="E357" s="26">
        <v>164804664.03171796</v>
      </c>
      <c r="F357" s="26">
        <v>3842388.0817999998</v>
      </c>
      <c r="G357" s="26">
        <v>19211940.408799998</v>
      </c>
    </row>
    <row r="358" spans="1:7">
      <c r="A358" s="25">
        <v>46013</v>
      </c>
      <c r="B358" s="25" t="s">
        <v>40</v>
      </c>
      <c r="C358" s="27">
        <v>22</v>
      </c>
      <c r="D358" s="26">
        <v>10661760.350250054</v>
      </c>
      <c r="E358" s="26">
        <v>156790593.3860302</v>
      </c>
      <c r="F358" s="26">
        <v>2067396.9010000001</v>
      </c>
      <c r="G358" s="26">
        <v>10336984.504799999</v>
      </c>
    </row>
    <row r="359" spans="1:7">
      <c r="A359" s="25">
        <v>46014</v>
      </c>
      <c r="B359" s="25" t="s">
        <v>40</v>
      </c>
      <c r="C359" s="27">
        <v>23</v>
      </c>
      <c r="D359" s="26">
        <v>12478136.431486145</v>
      </c>
      <c r="E359" s="26">
        <v>183502006.34538448</v>
      </c>
      <c r="F359" s="26">
        <v>2230324.4010000001</v>
      </c>
      <c r="G359" s="26">
        <v>11151622.005000001</v>
      </c>
    </row>
    <row r="360" spans="1:7">
      <c r="A360" s="25">
        <v>46015</v>
      </c>
      <c r="B360" s="25" t="s">
        <v>40</v>
      </c>
      <c r="C360" s="27">
        <v>24</v>
      </c>
      <c r="D360" s="26">
        <v>1268386.2965612467</v>
      </c>
      <c r="E360" s="26">
        <v>18652739.655312449</v>
      </c>
      <c r="F360" s="26">
        <v>7.4999999997089617E-2</v>
      </c>
      <c r="G360" s="26">
        <v>0</v>
      </c>
    </row>
    <row r="361" spans="1:7">
      <c r="A361" s="25">
        <v>46016</v>
      </c>
      <c r="B361" s="25" t="s">
        <v>40</v>
      </c>
      <c r="C361" s="27">
        <v>25</v>
      </c>
      <c r="D361" s="26">
        <v>9713180.4833476078</v>
      </c>
      <c r="E361" s="26">
        <v>142840889.46099424</v>
      </c>
      <c r="F361" s="26">
        <v>446365.07140000002</v>
      </c>
      <c r="G361" s="26">
        <v>2231825.3571000001</v>
      </c>
    </row>
    <row r="362" spans="1:7">
      <c r="A362" s="25">
        <v>46017</v>
      </c>
      <c r="B362" s="25" t="s">
        <v>40</v>
      </c>
      <c r="C362" s="27">
        <v>26</v>
      </c>
      <c r="D362" s="26">
        <v>16537573.91467895</v>
      </c>
      <c r="E362" s="26">
        <v>243199616.3923375</v>
      </c>
      <c r="F362" s="26">
        <v>7335628.6435000002</v>
      </c>
      <c r="G362" s="26">
        <v>36678143.217600003</v>
      </c>
    </row>
    <row r="363" spans="1:7">
      <c r="A363" s="25">
        <v>46018</v>
      </c>
      <c r="B363" s="25" t="s">
        <v>40</v>
      </c>
      <c r="C363" s="27">
        <v>27</v>
      </c>
      <c r="D363" s="26">
        <v>16869719.851997577</v>
      </c>
      <c r="E363" s="26">
        <v>248084115.47055256</v>
      </c>
      <c r="F363" s="26">
        <v>6484501.6458999999</v>
      </c>
      <c r="G363" s="26">
        <v>32422508.229400001</v>
      </c>
    </row>
    <row r="364" spans="1:7">
      <c r="A364" s="25">
        <v>46019</v>
      </c>
      <c r="B364" s="25" t="s">
        <v>40</v>
      </c>
      <c r="C364" s="27">
        <v>28</v>
      </c>
      <c r="D364" s="26">
        <v>11206717.154156823</v>
      </c>
      <c r="E364" s="26">
        <v>164804664.03171796</v>
      </c>
      <c r="F364" s="26">
        <v>3842388.0817999998</v>
      </c>
      <c r="G364" s="26">
        <v>19211940.408799998</v>
      </c>
    </row>
    <row r="365" spans="1:7">
      <c r="A365" s="25">
        <v>46020</v>
      </c>
      <c r="B365" s="25" t="s">
        <v>40</v>
      </c>
      <c r="C365" s="27">
        <v>29</v>
      </c>
      <c r="D365" s="26">
        <v>10661760.350250054</v>
      </c>
      <c r="E365" s="26">
        <v>156790593.3860302</v>
      </c>
      <c r="F365" s="26">
        <v>2067396.9010000001</v>
      </c>
      <c r="G365" s="26">
        <v>10336984.504799999</v>
      </c>
    </row>
    <row r="366" spans="1:7">
      <c r="A366" s="25">
        <v>46021</v>
      </c>
      <c r="B366" s="25" t="s">
        <v>40</v>
      </c>
      <c r="C366" s="27">
        <v>30</v>
      </c>
      <c r="D366" s="26">
        <v>12478136.431486145</v>
      </c>
      <c r="E366" s="26">
        <v>183502006.34538448</v>
      </c>
      <c r="F366" s="26">
        <v>2230324.4010000001</v>
      </c>
      <c r="G366" s="26">
        <v>11151622.005000001</v>
      </c>
    </row>
    <row r="367" spans="1:7">
      <c r="A367" s="25">
        <v>46022</v>
      </c>
      <c r="B367" s="25" t="s">
        <v>40</v>
      </c>
      <c r="C367" s="27">
        <v>31</v>
      </c>
      <c r="D367" s="26">
        <v>18509965.990026288</v>
      </c>
      <c r="E367" s="26">
        <v>272205382.20626891</v>
      </c>
      <c r="F367" s="26">
        <v>4035918.2163999998</v>
      </c>
      <c r="G367" s="26">
        <v>20179591.081999999</v>
      </c>
    </row>
    <row r="368" spans="1:7">
      <c r="A368" s="25">
        <v>46023</v>
      </c>
      <c r="B368" t="s">
        <v>29</v>
      </c>
      <c r="C368" s="27">
        <v>1</v>
      </c>
      <c r="D368" s="26">
        <v>10215253.661916412</v>
      </c>
      <c r="E368" s="26">
        <v>152466472.56591672</v>
      </c>
      <c r="F368" s="26">
        <v>2342259.8549999995</v>
      </c>
      <c r="G368" s="26">
        <v>12011589.000000011</v>
      </c>
    </row>
    <row r="369" spans="1:7">
      <c r="A369" s="25">
        <v>46024</v>
      </c>
      <c r="B369" t="s">
        <v>29</v>
      </c>
      <c r="C369" s="27">
        <v>2</v>
      </c>
      <c r="D369" s="26">
        <v>20727393.507055178</v>
      </c>
      <c r="E369" s="26">
        <v>309364082.19485366</v>
      </c>
      <c r="F369" s="26">
        <v>4171379.647499999</v>
      </c>
      <c r="G369" s="26">
        <v>21391690.500000022</v>
      </c>
    </row>
    <row r="370" spans="1:7">
      <c r="A370" s="25">
        <v>46025</v>
      </c>
      <c r="B370" t="s">
        <v>29</v>
      </c>
      <c r="C370" s="27">
        <v>3</v>
      </c>
      <c r="D370" s="26">
        <v>20784966.965302434</v>
      </c>
      <c r="E370" s="26">
        <v>310223387.54182762</v>
      </c>
      <c r="F370" s="26">
        <v>7625836.5299999993</v>
      </c>
      <c r="G370" s="26">
        <v>39106854.000000045</v>
      </c>
    </row>
    <row r="371" spans="1:7">
      <c r="A371" s="25">
        <v>46026</v>
      </c>
      <c r="B371" t="s">
        <v>29</v>
      </c>
      <c r="C371" s="27">
        <v>4</v>
      </c>
      <c r="D371" s="26">
        <v>17943764.590795934</v>
      </c>
      <c r="E371" s="26">
        <v>267817381.9521783</v>
      </c>
      <c r="F371" s="26">
        <v>9082468.102500001</v>
      </c>
      <c r="G371" s="26">
        <v>46576759.50000006</v>
      </c>
    </row>
    <row r="372" spans="1:7">
      <c r="A372" s="25">
        <v>46027</v>
      </c>
      <c r="B372" t="s">
        <v>29</v>
      </c>
      <c r="C372" s="27">
        <v>5</v>
      </c>
      <c r="D372" s="26">
        <v>12182160.891869972</v>
      </c>
      <c r="E372" s="26">
        <v>181823296.89358181</v>
      </c>
      <c r="F372" s="26">
        <v>4139269.29</v>
      </c>
      <c r="G372" s="26">
        <v>21227022.000000026</v>
      </c>
    </row>
    <row r="373" spans="1:7">
      <c r="A373" s="25">
        <v>46028</v>
      </c>
      <c r="B373" t="s">
        <v>29</v>
      </c>
      <c r="C373" s="27">
        <v>6</v>
      </c>
      <c r="D373" s="26">
        <v>11867915.736261237</v>
      </c>
      <c r="E373" s="26">
        <v>177133070.69046634</v>
      </c>
      <c r="F373" s="26">
        <v>5965058.9699999988</v>
      </c>
      <c r="G373" s="26">
        <v>30590046.00000003</v>
      </c>
    </row>
    <row r="374" spans="1:7">
      <c r="A374" s="25">
        <v>46029</v>
      </c>
      <c r="B374" t="s">
        <v>29</v>
      </c>
      <c r="C374" s="27">
        <v>7</v>
      </c>
      <c r="D374" s="26">
        <v>14451249.934503147</v>
      </c>
      <c r="E374" s="26">
        <v>215690297.52989787</v>
      </c>
      <c r="F374" s="26">
        <v>3801474.7874999996</v>
      </c>
      <c r="G374" s="26">
        <v>19494742.500000022</v>
      </c>
    </row>
    <row r="375" spans="1:7">
      <c r="A375" s="25">
        <v>46030</v>
      </c>
      <c r="B375" t="s">
        <v>29</v>
      </c>
      <c r="C375" s="27">
        <v>8</v>
      </c>
      <c r="D375" s="26">
        <v>13254668.67366695</v>
      </c>
      <c r="E375" s="26">
        <v>197830875.72637254</v>
      </c>
      <c r="F375" s="26">
        <v>2222880.3675000002</v>
      </c>
      <c r="G375" s="26">
        <v>11399386.500000011</v>
      </c>
    </row>
    <row r="376" spans="1:7">
      <c r="A376" s="25">
        <v>46031</v>
      </c>
      <c r="B376" t="s">
        <v>29</v>
      </c>
      <c r="C376" s="27">
        <v>9</v>
      </c>
      <c r="D376" s="26">
        <v>17962106.335737988</v>
      </c>
      <c r="E376" s="26">
        <v>268091139.33937317</v>
      </c>
      <c r="F376" s="26">
        <v>3191922.9224999994</v>
      </c>
      <c r="G376" s="26">
        <v>16368835.500000015</v>
      </c>
    </row>
    <row r="377" spans="1:7">
      <c r="A377" s="25">
        <v>46032</v>
      </c>
      <c r="B377" t="s">
        <v>29</v>
      </c>
      <c r="C377" s="27">
        <v>10</v>
      </c>
      <c r="D377" s="26">
        <v>24416476.506608114</v>
      </c>
      <c r="E377" s="26">
        <v>364425022.48668855</v>
      </c>
      <c r="F377" s="26">
        <v>4783313.0474999994</v>
      </c>
      <c r="G377" s="26">
        <v>24529810.500000026</v>
      </c>
    </row>
    <row r="378" spans="1:7">
      <c r="A378" s="25">
        <v>46033</v>
      </c>
      <c r="B378" t="s">
        <v>29</v>
      </c>
      <c r="C378" s="27">
        <v>11</v>
      </c>
      <c r="D378" s="26">
        <v>18027449.921631765</v>
      </c>
      <c r="E378" s="26">
        <v>269066416.74077278</v>
      </c>
      <c r="F378" s="26">
        <v>5688054.1574999988</v>
      </c>
      <c r="G378" s="26">
        <v>29169508.50000003</v>
      </c>
    </row>
    <row r="379" spans="1:7">
      <c r="A379" s="25">
        <v>46034</v>
      </c>
      <c r="B379" t="s">
        <v>29</v>
      </c>
      <c r="C379" s="27">
        <v>12</v>
      </c>
      <c r="D379" s="26">
        <v>9347044.6528243497</v>
      </c>
      <c r="E379" s="26">
        <v>139508129.14663219</v>
      </c>
      <c r="F379" s="26">
        <v>5671040.3099999996</v>
      </c>
      <c r="G379" s="26">
        <v>29082258.00000003</v>
      </c>
    </row>
    <row r="380" spans="1:7">
      <c r="A380" s="25">
        <v>46035</v>
      </c>
      <c r="B380" t="s">
        <v>29</v>
      </c>
      <c r="C380" s="27">
        <v>13</v>
      </c>
      <c r="D380" s="26">
        <v>10346500.204881314</v>
      </c>
      <c r="E380" s="26">
        <v>154425376.19225854</v>
      </c>
      <c r="F380" s="26">
        <v>2637005.084999999</v>
      </c>
      <c r="G380" s="26">
        <v>13523103.000000011</v>
      </c>
    </row>
    <row r="381" spans="1:7">
      <c r="A381" s="25">
        <v>46036</v>
      </c>
      <c r="B381" t="s">
        <v>29</v>
      </c>
      <c r="C381" s="27">
        <v>14</v>
      </c>
      <c r="D381" s="26">
        <v>17018025.694653668</v>
      </c>
      <c r="E381" s="26">
        <v>254000383.50229374</v>
      </c>
      <c r="F381" s="26">
        <v>2773277.3249999993</v>
      </c>
      <c r="G381" s="26">
        <v>14221935.000000013</v>
      </c>
    </row>
    <row r="382" spans="1:7">
      <c r="A382" s="25">
        <v>46037</v>
      </c>
      <c r="B382" t="s">
        <v>29</v>
      </c>
      <c r="C382" s="27">
        <v>15</v>
      </c>
      <c r="D382" s="26">
        <v>13391094.241266536</v>
      </c>
      <c r="E382" s="26">
        <v>199867078.2278589</v>
      </c>
      <c r="F382" s="26">
        <v>5600926.3049999997</v>
      </c>
      <c r="G382" s="26">
        <v>28722699.00000003</v>
      </c>
    </row>
    <row r="383" spans="1:7">
      <c r="A383" s="25">
        <v>46038</v>
      </c>
      <c r="B383" t="s">
        <v>29</v>
      </c>
      <c r="C383" s="27">
        <v>16</v>
      </c>
      <c r="D383" s="26">
        <v>18209647.100892406</v>
      </c>
      <c r="E383" s="26">
        <v>271785777.62526</v>
      </c>
      <c r="F383" s="26">
        <v>5567907.7349999994</v>
      </c>
      <c r="G383" s="26">
        <v>28553373.00000003</v>
      </c>
    </row>
    <row r="384" spans="1:7">
      <c r="A384" s="25">
        <v>46039</v>
      </c>
      <c r="B384" t="s">
        <v>29</v>
      </c>
      <c r="C384" s="27">
        <v>17</v>
      </c>
      <c r="D384" s="26">
        <v>26908974.095687039</v>
      </c>
      <c r="E384" s="26">
        <v>401626479.0401054</v>
      </c>
      <c r="F384" s="26">
        <v>5993536.4774999991</v>
      </c>
      <c r="G384" s="26">
        <v>30736084.50000003</v>
      </c>
    </row>
    <row r="385" spans="1:7">
      <c r="A385" s="25">
        <v>46040</v>
      </c>
      <c r="B385" t="s">
        <v>29</v>
      </c>
      <c r="C385" s="27">
        <v>18</v>
      </c>
      <c r="D385" s="26">
        <v>18058771.802817363</v>
      </c>
      <c r="E385" s="26">
        <v>269533907.50473696</v>
      </c>
      <c r="F385" s="26">
        <v>5522456.7449999992</v>
      </c>
      <c r="G385" s="26">
        <v>28320291.000000022</v>
      </c>
    </row>
    <row r="386" spans="1:7">
      <c r="A386" s="25">
        <v>46041</v>
      </c>
      <c r="B386" t="s">
        <v>29</v>
      </c>
      <c r="C386" s="27">
        <v>19</v>
      </c>
      <c r="D386" s="26">
        <v>10927710.511092257</v>
      </c>
      <c r="E386" s="26">
        <v>163100156.8819741</v>
      </c>
      <c r="F386" s="26">
        <v>3039282.6749999998</v>
      </c>
      <c r="G386" s="26">
        <v>15586065.000000015</v>
      </c>
    </row>
    <row r="387" spans="1:7">
      <c r="A387" s="25">
        <v>46042</v>
      </c>
      <c r="B387" t="s">
        <v>29</v>
      </c>
      <c r="C387" s="27">
        <v>20</v>
      </c>
      <c r="D387" s="26">
        <v>7443508.9625539789</v>
      </c>
      <c r="E387" s="26">
        <v>111097148.69483559</v>
      </c>
      <c r="F387" s="26">
        <v>3879459.9675000003</v>
      </c>
      <c r="G387" s="26">
        <v>19894666.500000022</v>
      </c>
    </row>
    <row r="388" spans="1:7">
      <c r="A388" s="25">
        <v>46043</v>
      </c>
      <c r="B388" t="s">
        <v>29</v>
      </c>
      <c r="C388" s="27">
        <v>21</v>
      </c>
      <c r="D388" s="26">
        <v>16932133.724749494</v>
      </c>
      <c r="E388" s="26">
        <v>252718413.80223146</v>
      </c>
      <c r="F388" s="26">
        <v>5166518.1749999998</v>
      </c>
      <c r="G388" s="26">
        <v>26494965.00000003</v>
      </c>
    </row>
    <row r="389" spans="1:7">
      <c r="A389" s="25">
        <v>46044</v>
      </c>
      <c r="B389" t="s">
        <v>29</v>
      </c>
      <c r="C389" s="27">
        <v>22</v>
      </c>
      <c r="D389" s="26">
        <v>13377415.651818223</v>
      </c>
      <c r="E389" s="26">
        <v>199662920.17639154</v>
      </c>
      <c r="F389" s="26">
        <v>8172923.5574999992</v>
      </c>
      <c r="G389" s="26">
        <v>41912428.500000045</v>
      </c>
    </row>
    <row r="390" spans="1:7">
      <c r="A390" s="25">
        <v>46045</v>
      </c>
      <c r="B390" t="s">
        <v>29</v>
      </c>
      <c r="C390" s="27">
        <v>23</v>
      </c>
      <c r="D390" s="26">
        <v>18360655.187377505</v>
      </c>
      <c r="E390" s="26">
        <v>274039629.66235101</v>
      </c>
      <c r="F390" s="26">
        <v>8758619.7074999996</v>
      </c>
      <c r="G390" s="26">
        <v>44915998.500000045</v>
      </c>
    </row>
    <row r="391" spans="1:7">
      <c r="A391" s="25">
        <v>46046</v>
      </c>
      <c r="B391" t="s">
        <v>29</v>
      </c>
      <c r="C391" s="27">
        <v>24</v>
      </c>
      <c r="D391" s="26">
        <v>22084361.035836637</v>
      </c>
      <c r="E391" s="26">
        <v>329617328.89308441</v>
      </c>
      <c r="F391" s="26">
        <v>9630019.3274999969</v>
      </c>
      <c r="G391" s="26">
        <v>49384714.500000045</v>
      </c>
    </row>
    <row r="392" spans="1:7">
      <c r="A392" s="25">
        <v>46047</v>
      </c>
      <c r="B392" t="s">
        <v>29</v>
      </c>
      <c r="C392" s="27">
        <v>25</v>
      </c>
      <c r="D392" s="26">
        <v>21856135.797298014</v>
      </c>
      <c r="E392" s="26">
        <v>326210982.04922432</v>
      </c>
      <c r="F392" s="26">
        <v>6453616.7474999996</v>
      </c>
      <c r="G392" s="26">
        <v>33095470.500000034</v>
      </c>
    </row>
    <row r="393" spans="1:7">
      <c r="A393" s="25">
        <v>46048</v>
      </c>
      <c r="B393" t="s">
        <v>29</v>
      </c>
      <c r="C393" s="27">
        <v>26</v>
      </c>
      <c r="D393" s="26">
        <v>10734729.529722508</v>
      </c>
      <c r="E393" s="26">
        <v>160219843.72720176</v>
      </c>
      <c r="F393" s="26">
        <v>2612099.88</v>
      </c>
      <c r="G393" s="26">
        <v>13395384.000000011</v>
      </c>
    </row>
    <row r="394" spans="1:7">
      <c r="A394" s="25">
        <v>46049</v>
      </c>
      <c r="B394" t="s">
        <v>29</v>
      </c>
      <c r="C394" s="27">
        <v>27</v>
      </c>
      <c r="D394" s="26">
        <v>8749232.9597706441</v>
      </c>
      <c r="E394" s="26">
        <v>130585566.56374107</v>
      </c>
      <c r="F394" s="26">
        <v>4122961.8299999996</v>
      </c>
      <c r="G394" s="26">
        <v>21143394.000000022</v>
      </c>
    </row>
    <row r="395" spans="1:7">
      <c r="A395" s="25">
        <v>46050</v>
      </c>
      <c r="B395" t="s">
        <v>29</v>
      </c>
      <c r="C395" s="27">
        <v>28</v>
      </c>
      <c r="D395" s="26">
        <v>16227398.314136481</v>
      </c>
      <c r="E395" s="26">
        <v>242199974.83785811</v>
      </c>
      <c r="F395" s="26">
        <v>6418257.0074999994</v>
      </c>
      <c r="G395" s="26">
        <v>32914138.50000003</v>
      </c>
    </row>
    <row r="396" spans="1:7">
      <c r="A396" s="25">
        <v>46051</v>
      </c>
      <c r="B396" t="s">
        <v>29</v>
      </c>
      <c r="C396" s="27">
        <v>29</v>
      </c>
      <c r="D396" s="26">
        <v>13477476.560039092</v>
      </c>
      <c r="E396" s="26">
        <v>201156366.5677478</v>
      </c>
      <c r="F396" s="26">
        <v>11122737.209999997</v>
      </c>
      <c r="G396" s="26">
        <v>57039678.00000006</v>
      </c>
    </row>
    <row r="397" spans="1:7">
      <c r="A397" s="25">
        <v>46052</v>
      </c>
      <c r="B397" t="s">
        <v>29</v>
      </c>
      <c r="C397" s="27">
        <v>30</v>
      </c>
      <c r="D397" s="26">
        <v>15384941.61151639</v>
      </c>
      <c r="E397" s="26">
        <v>229625994.20173734</v>
      </c>
      <c r="F397" s="26">
        <v>6454989.1574999988</v>
      </c>
      <c r="G397" s="26">
        <v>33102508.50000003</v>
      </c>
    </row>
    <row r="398" spans="1:7">
      <c r="A398" s="25">
        <v>46053</v>
      </c>
      <c r="B398" t="s">
        <v>29</v>
      </c>
      <c r="C398" s="27">
        <v>31</v>
      </c>
      <c r="D398" s="26">
        <v>23522219.875152972</v>
      </c>
      <c r="E398" s="26">
        <v>351077908.584373</v>
      </c>
      <c r="F398" s="26">
        <v>4927315.1849999996</v>
      </c>
      <c r="G398" s="26">
        <v>25268283.000000022</v>
      </c>
    </row>
    <row r="399" spans="1:7">
      <c r="A399" s="25">
        <v>46054</v>
      </c>
      <c r="B399" t="s">
        <v>30</v>
      </c>
      <c r="C399" s="27">
        <v>1</v>
      </c>
      <c r="D399" s="26">
        <v>24534444.831013147</v>
      </c>
      <c r="E399" s="26">
        <v>366185743.74646521</v>
      </c>
      <c r="F399" s="26">
        <v>9668688.9974999987</v>
      </c>
      <c r="G399" s="26">
        <v>49583020.500000045</v>
      </c>
    </row>
    <row r="400" spans="1:7">
      <c r="A400" s="25">
        <v>46055</v>
      </c>
      <c r="B400" t="s">
        <v>30</v>
      </c>
      <c r="C400" s="27">
        <v>2</v>
      </c>
      <c r="D400" s="26">
        <v>10911552.513049942</v>
      </c>
      <c r="E400" s="26">
        <v>162858992.7320888</v>
      </c>
      <c r="F400" s="26">
        <v>4646394.9675000003</v>
      </c>
      <c r="G400" s="26">
        <v>23827666.50000003</v>
      </c>
    </row>
    <row r="401" spans="1:7">
      <c r="A401" s="25">
        <v>46056</v>
      </c>
      <c r="B401" t="s">
        <v>30</v>
      </c>
      <c r="C401" s="27">
        <v>3</v>
      </c>
      <c r="D401" s="26">
        <v>12224777.326418979</v>
      </c>
      <c r="E401" s="26">
        <v>182459363.08088043</v>
      </c>
      <c r="F401" s="26">
        <v>5424430.3424999993</v>
      </c>
      <c r="G401" s="26">
        <v>27817591.50000003</v>
      </c>
    </row>
    <row r="402" spans="1:7">
      <c r="A402" s="25">
        <v>46057</v>
      </c>
      <c r="B402" t="s">
        <v>30</v>
      </c>
      <c r="C402" s="27">
        <v>4</v>
      </c>
      <c r="D402" s="26">
        <v>15417019.349229854</v>
      </c>
      <c r="E402" s="26">
        <v>230104766.40641588</v>
      </c>
      <c r="F402" s="26">
        <v>6283781.0099999998</v>
      </c>
      <c r="G402" s="26">
        <v>32224518.000000037</v>
      </c>
    </row>
    <row r="403" spans="1:7">
      <c r="A403" s="25">
        <v>46058</v>
      </c>
      <c r="B403" t="s">
        <v>30</v>
      </c>
      <c r="C403" s="27">
        <v>5</v>
      </c>
      <c r="D403" s="26">
        <v>20647596.317690659</v>
      </c>
      <c r="E403" s="26">
        <v>308173079.36851752</v>
      </c>
      <c r="F403" s="26">
        <v>4857302.0924999993</v>
      </c>
      <c r="G403" s="26">
        <v>24909241.500000022</v>
      </c>
    </row>
    <row r="404" spans="1:7">
      <c r="A404" s="25">
        <v>46059</v>
      </c>
      <c r="B404" t="s">
        <v>30</v>
      </c>
      <c r="C404" s="27">
        <v>6</v>
      </c>
      <c r="D404" s="26">
        <v>20550337.452403843</v>
      </c>
      <c r="E404" s="26">
        <v>306721454.51349044</v>
      </c>
      <c r="F404" s="26">
        <v>5252091.9749999996</v>
      </c>
      <c r="G404" s="26">
        <v>26933805.000000026</v>
      </c>
    </row>
    <row r="405" spans="1:7">
      <c r="A405" s="25">
        <v>46060</v>
      </c>
      <c r="B405" t="s">
        <v>30</v>
      </c>
      <c r="C405" s="27">
        <v>7</v>
      </c>
      <c r="D405" s="26">
        <v>24574230.175163399</v>
      </c>
      <c r="E405" s="26">
        <v>366779554.85318536</v>
      </c>
      <c r="F405" s="26">
        <v>8306471.1599999992</v>
      </c>
      <c r="G405" s="26">
        <v>42597288.000000045</v>
      </c>
    </row>
    <row r="406" spans="1:7">
      <c r="A406" s="25">
        <v>46061</v>
      </c>
      <c r="B406" t="s">
        <v>30</v>
      </c>
      <c r="C406" s="27">
        <v>8</v>
      </c>
      <c r="D406" s="26">
        <v>23226081.318343483</v>
      </c>
      <c r="E406" s="26">
        <v>346657930.1245299</v>
      </c>
      <c r="F406" s="26">
        <v>10876450.1625</v>
      </c>
      <c r="G406" s="26">
        <v>55776667.50000006</v>
      </c>
    </row>
    <row r="407" spans="1:7">
      <c r="A407" s="25">
        <v>46062</v>
      </c>
      <c r="B407" t="s">
        <v>30</v>
      </c>
      <c r="C407" s="27">
        <v>9</v>
      </c>
      <c r="D407" s="26">
        <v>10578979.790428348</v>
      </c>
      <c r="E407" s="26">
        <v>157895220.75266203</v>
      </c>
      <c r="F407" s="26">
        <v>5090107.2299999995</v>
      </c>
      <c r="G407" s="26">
        <v>26103114.000000026</v>
      </c>
    </row>
    <row r="408" spans="1:7">
      <c r="A408" s="25">
        <v>46063</v>
      </c>
      <c r="B408" t="s">
        <v>30</v>
      </c>
      <c r="C408" s="27">
        <v>10</v>
      </c>
      <c r="D408" s="26">
        <v>7604844.1143460935</v>
      </c>
      <c r="E408" s="26">
        <v>113505136.03501642</v>
      </c>
      <c r="F408" s="26">
        <v>4487235.7725</v>
      </c>
      <c r="G408" s="26">
        <v>23011465.500000026</v>
      </c>
    </row>
    <row r="409" spans="1:7">
      <c r="A409" s="25">
        <v>46064</v>
      </c>
      <c r="B409" t="s">
        <v>30</v>
      </c>
      <c r="C409" s="27">
        <v>11</v>
      </c>
      <c r="D409" s="26">
        <v>17593225.665454477</v>
      </c>
      <c r="E409" s="26">
        <v>262585457.69335058</v>
      </c>
      <c r="F409" s="26">
        <v>4016983.5225</v>
      </c>
      <c r="G409" s="26">
        <v>20599915.500000022</v>
      </c>
    </row>
    <row r="410" spans="1:7">
      <c r="A410" s="25">
        <v>46065</v>
      </c>
      <c r="B410" t="s">
        <v>30</v>
      </c>
      <c r="C410" s="27">
        <v>12</v>
      </c>
      <c r="D410" s="26">
        <v>13876581.117342563</v>
      </c>
      <c r="E410" s="26">
        <v>207113151.00511304</v>
      </c>
      <c r="F410" s="26">
        <v>5283152.8424999993</v>
      </c>
      <c r="G410" s="26">
        <v>27093091.500000026</v>
      </c>
    </row>
    <row r="411" spans="1:7">
      <c r="A411" s="25">
        <v>46066</v>
      </c>
      <c r="B411" t="s">
        <v>30</v>
      </c>
      <c r="C411" s="27">
        <v>13</v>
      </c>
      <c r="D411" s="26">
        <v>17864308.017535329</v>
      </c>
      <c r="E411" s="26">
        <v>266631462.94828871</v>
      </c>
      <c r="F411" s="26">
        <v>5725351.4174999995</v>
      </c>
      <c r="G411" s="26">
        <v>29360776.50000003</v>
      </c>
    </row>
    <row r="412" spans="1:7">
      <c r="A412" s="25">
        <v>46067</v>
      </c>
      <c r="B412" t="s">
        <v>30</v>
      </c>
      <c r="C412" s="27">
        <v>14</v>
      </c>
      <c r="D412" s="26">
        <v>28071498.933178693</v>
      </c>
      <c r="E412" s="26">
        <v>418977596.01759273</v>
      </c>
      <c r="F412" s="26">
        <v>8711574.3000000007</v>
      </c>
      <c r="G412" s="26">
        <v>44674740.00000006</v>
      </c>
    </row>
    <row r="413" spans="1:7">
      <c r="A413" s="25">
        <v>46068</v>
      </c>
      <c r="B413" t="s">
        <v>30</v>
      </c>
      <c r="C413" s="27">
        <v>15</v>
      </c>
      <c r="D413" s="26">
        <v>20005947.504964255</v>
      </c>
      <c r="E413" s="26">
        <v>298596231.41737717</v>
      </c>
      <c r="F413" s="26">
        <v>6026595.4124999996</v>
      </c>
      <c r="G413" s="26">
        <v>30905617.50000003</v>
      </c>
    </row>
    <row r="414" spans="1:7">
      <c r="A414" s="25">
        <v>46069</v>
      </c>
      <c r="B414" t="s">
        <v>30</v>
      </c>
      <c r="C414" s="27">
        <v>16</v>
      </c>
      <c r="D414" s="26">
        <v>10634565.917965738</v>
      </c>
      <c r="E414" s="26">
        <v>158724864.44724995</v>
      </c>
      <c r="F414" s="26">
        <v>4370157.09</v>
      </c>
      <c r="G414" s="26">
        <v>22411062.000000022</v>
      </c>
    </row>
    <row r="415" spans="1:7">
      <c r="A415" s="25">
        <v>46070</v>
      </c>
      <c r="B415" t="s">
        <v>30</v>
      </c>
      <c r="C415" s="27">
        <v>17</v>
      </c>
      <c r="D415" s="26">
        <v>14893846.845737578</v>
      </c>
      <c r="E415" s="26">
        <v>222296221.57817298</v>
      </c>
      <c r="F415" s="26">
        <v>9228750.8625000007</v>
      </c>
      <c r="G415" s="26">
        <v>47326927.50000006</v>
      </c>
    </row>
    <row r="416" spans="1:7">
      <c r="A416" s="25">
        <v>46071</v>
      </c>
      <c r="B416" t="s">
        <v>30</v>
      </c>
      <c r="C416" s="27">
        <v>18</v>
      </c>
      <c r="D416" s="26">
        <v>12872656.4745203</v>
      </c>
      <c r="E416" s="26">
        <v>192129201.11224341</v>
      </c>
      <c r="F416" s="26">
        <v>3623364.2250000001</v>
      </c>
      <c r="G416" s="26">
        <v>18581355.000000022</v>
      </c>
    </row>
    <row r="417" spans="1:7">
      <c r="A417" s="25">
        <v>46072</v>
      </c>
      <c r="B417" t="s">
        <v>30</v>
      </c>
      <c r="C417" s="27">
        <v>19</v>
      </c>
      <c r="D417" s="26">
        <v>13649886.749354241</v>
      </c>
      <c r="E417" s="26">
        <v>203729652.9754366</v>
      </c>
      <c r="F417" s="26">
        <v>3740543.8200000003</v>
      </c>
      <c r="G417" s="26">
        <v>19182276.000000022</v>
      </c>
    </row>
    <row r="418" spans="1:7">
      <c r="A418" s="25">
        <v>46073</v>
      </c>
      <c r="B418" t="s">
        <v>30</v>
      </c>
      <c r="C418" s="27">
        <v>20</v>
      </c>
      <c r="D418" s="26">
        <v>22802087.579233404</v>
      </c>
      <c r="E418" s="26">
        <v>340329665.36169285</v>
      </c>
      <c r="F418" s="26">
        <v>4210352.0549999997</v>
      </c>
      <c r="G418" s="26">
        <v>21591549.000000026</v>
      </c>
    </row>
    <row r="419" spans="1:7">
      <c r="A419" s="25">
        <v>46074</v>
      </c>
      <c r="B419" t="s">
        <v>30</v>
      </c>
      <c r="C419" s="27">
        <v>21</v>
      </c>
      <c r="D419" s="26">
        <v>27029238.207212802</v>
      </c>
      <c r="E419" s="26">
        <v>403421465.77929586</v>
      </c>
      <c r="F419" s="26">
        <v>6015777.5924999993</v>
      </c>
      <c r="G419" s="26">
        <v>30850141.50000003</v>
      </c>
    </row>
    <row r="420" spans="1:7">
      <c r="A420" s="25">
        <v>46075</v>
      </c>
      <c r="B420" t="s">
        <v>30</v>
      </c>
      <c r="C420" s="27">
        <v>22</v>
      </c>
      <c r="D420" s="26">
        <v>24715524.996934839</v>
      </c>
      <c r="E420" s="26">
        <v>368888432.7900725</v>
      </c>
      <c r="F420" s="26">
        <v>5345294.76</v>
      </c>
      <c r="G420" s="26">
        <v>27411768.000000026</v>
      </c>
    </row>
    <row r="421" spans="1:7">
      <c r="A421" s="25">
        <v>46076</v>
      </c>
      <c r="B421" t="s">
        <v>30</v>
      </c>
      <c r="C421" s="27">
        <v>23</v>
      </c>
      <c r="D421" s="26">
        <v>13382850.985748563</v>
      </c>
      <c r="E421" s="26">
        <v>199744044.56341156</v>
      </c>
      <c r="F421" s="26">
        <v>1753697.79</v>
      </c>
      <c r="G421" s="26">
        <v>8993322.0000000093</v>
      </c>
    </row>
    <row r="422" spans="1:7">
      <c r="A422" s="25">
        <v>46077</v>
      </c>
      <c r="B422" t="s">
        <v>30</v>
      </c>
      <c r="C422" s="27">
        <v>24</v>
      </c>
      <c r="D422" s="26">
        <v>14745409.805681549</v>
      </c>
      <c r="E422" s="26">
        <v>220080743.3683815</v>
      </c>
      <c r="F422" s="26">
        <v>6788525.1524999999</v>
      </c>
      <c r="G422" s="26">
        <v>34812949.500000037</v>
      </c>
    </row>
    <row r="423" spans="1:7">
      <c r="A423" s="25">
        <v>46078</v>
      </c>
      <c r="B423" t="s">
        <v>30</v>
      </c>
      <c r="C423" s="27">
        <v>25</v>
      </c>
      <c r="D423" s="26">
        <v>4070694.4128473653</v>
      </c>
      <c r="E423" s="26">
        <v>60756633.027572662</v>
      </c>
      <c r="F423" s="26">
        <v>62565.75</v>
      </c>
      <c r="G423" s="26">
        <v>320850.00000000035</v>
      </c>
    </row>
    <row r="424" spans="1:7">
      <c r="A424" s="25">
        <v>46079</v>
      </c>
      <c r="B424" t="s">
        <v>30</v>
      </c>
      <c r="C424" s="27">
        <v>26</v>
      </c>
      <c r="D424" s="26">
        <v>18828363.977647912</v>
      </c>
      <c r="E424" s="26">
        <v>281020357.87534219</v>
      </c>
      <c r="F424" s="26">
        <v>7996306.5</v>
      </c>
      <c r="G424" s="26">
        <v>41006700.000000045</v>
      </c>
    </row>
    <row r="425" spans="1:7">
      <c r="A425" s="25">
        <v>46080</v>
      </c>
      <c r="B425" t="s">
        <v>30</v>
      </c>
      <c r="C425" s="27">
        <v>27</v>
      </c>
      <c r="D425" s="26">
        <v>25143793.208796721</v>
      </c>
      <c r="E425" s="26">
        <v>375280495.65368271</v>
      </c>
      <c r="F425" s="26">
        <v>5224764.8699999992</v>
      </c>
      <c r="G425" s="26">
        <v>26793666.000000026</v>
      </c>
    </row>
    <row r="426" spans="1:7">
      <c r="A426" s="25">
        <v>46081</v>
      </c>
      <c r="B426" t="s">
        <v>30</v>
      </c>
      <c r="C426" s="27">
        <v>28</v>
      </c>
      <c r="D426" s="26">
        <v>31317607.058652949</v>
      </c>
      <c r="E426" s="26">
        <v>467426971.02467126</v>
      </c>
      <c r="F426" s="26">
        <v>9791539.8749999981</v>
      </c>
      <c r="G426" s="26">
        <v>50213025.000000045</v>
      </c>
    </row>
    <row r="427" spans="1:7">
      <c r="A427" s="25">
        <v>46082</v>
      </c>
      <c r="B427" t="s">
        <v>31</v>
      </c>
      <c r="C427" s="27">
        <v>1</v>
      </c>
      <c r="D427" s="26">
        <v>27412588.66455454</v>
      </c>
      <c r="E427" s="26">
        <v>409143114.39633673</v>
      </c>
      <c r="F427" s="26">
        <v>9635690.6099999994</v>
      </c>
      <c r="G427" s="26">
        <v>49413798.000000052</v>
      </c>
    </row>
    <row r="428" spans="1:7">
      <c r="A428" s="25">
        <v>46083</v>
      </c>
      <c r="B428" t="s">
        <v>31</v>
      </c>
      <c r="C428" s="27">
        <v>2</v>
      </c>
      <c r="D428" s="26">
        <v>16926667.268535547</v>
      </c>
      <c r="E428" s="26">
        <v>252636824.90351585</v>
      </c>
      <c r="F428" s="26">
        <v>4012139.7224999997</v>
      </c>
      <c r="G428" s="26">
        <v>20575075.500000022</v>
      </c>
    </row>
    <row r="429" spans="1:7">
      <c r="A429" s="25">
        <v>46084</v>
      </c>
      <c r="B429" t="s">
        <v>31</v>
      </c>
      <c r="C429" s="27">
        <v>3</v>
      </c>
      <c r="D429" s="26">
        <v>13671288.85218429</v>
      </c>
      <c r="E429" s="26">
        <v>204049087.34603435</v>
      </c>
      <c r="F429" s="26">
        <v>5781418.4024999999</v>
      </c>
      <c r="G429" s="26">
        <v>29648299.500000034</v>
      </c>
    </row>
    <row r="430" spans="1:7">
      <c r="A430" s="25">
        <v>46085</v>
      </c>
      <c r="B430" t="s">
        <v>31</v>
      </c>
      <c r="C430" s="27">
        <v>4</v>
      </c>
      <c r="D430" s="26">
        <v>12106822.142533692</v>
      </c>
      <c r="E430" s="26">
        <v>180698837.94826418</v>
      </c>
      <c r="F430" s="26">
        <v>9450475.8074999992</v>
      </c>
      <c r="G430" s="26">
        <v>48463978.500000052</v>
      </c>
    </row>
    <row r="431" spans="1:7">
      <c r="A431" s="25">
        <v>46086</v>
      </c>
      <c r="B431" t="s">
        <v>31</v>
      </c>
      <c r="C431" s="27">
        <v>5</v>
      </c>
      <c r="D431" s="26">
        <v>12866787.08847459</v>
      </c>
      <c r="E431" s="26">
        <v>192041598.3354418</v>
      </c>
      <c r="F431" s="26">
        <v>8284532.7825000007</v>
      </c>
      <c r="G431" s="26">
        <v>42484783.500000052</v>
      </c>
    </row>
    <row r="432" spans="1:7">
      <c r="A432" s="25">
        <v>46087</v>
      </c>
      <c r="B432" t="s">
        <v>31</v>
      </c>
      <c r="C432" s="27">
        <v>6</v>
      </c>
      <c r="D432" s="26">
        <v>24120105.915884186</v>
      </c>
      <c r="E432" s="26">
        <v>360001580.83409262</v>
      </c>
      <c r="F432" s="26">
        <v>5828201.4374999991</v>
      </c>
      <c r="G432" s="26">
        <v>29888212.50000003</v>
      </c>
    </row>
    <row r="433" spans="1:7">
      <c r="A433" s="25">
        <v>46088</v>
      </c>
      <c r="B433" t="s">
        <v>31</v>
      </c>
      <c r="C433" s="27">
        <v>7</v>
      </c>
      <c r="D433" s="26">
        <v>35027799.265766889</v>
      </c>
      <c r="E433" s="26">
        <v>522802974.11592418</v>
      </c>
      <c r="F433" s="26">
        <v>5046856.1324999994</v>
      </c>
      <c r="G433" s="26">
        <v>25881313.500000022</v>
      </c>
    </row>
    <row r="434" spans="1:7">
      <c r="A434" s="25">
        <v>46089</v>
      </c>
      <c r="B434" t="s">
        <v>31</v>
      </c>
      <c r="C434" s="27">
        <v>8</v>
      </c>
      <c r="D434" s="26">
        <v>26763848.812409919</v>
      </c>
      <c r="E434" s="26">
        <v>399460430.03596926</v>
      </c>
      <c r="F434" s="26">
        <v>9935097.9974999987</v>
      </c>
      <c r="G434" s="26">
        <v>50949220.50000006</v>
      </c>
    </row>
    <row r="435" spans="1:7">
      <c r="A435" s="25">
        <v>46090</v>
      </c>
      <c r="B435" t="s">
        <v>31</v>
      </c>
      <c r="C435" s="27">
        <v>9</v>
      </c>
      <c r="D435" s="26">
        <v>13470095.73758018</v>
      </c>
      <c r="E435" s="26">
        <v>201046205.03851029</v>
      </c>
      <c r="F435" s="26">
        <v>7272501.5025000004</v>
      </c>
      <c r="G435" s="26">
        <v>37294879.500000045</v>
      </c>
    </row>
    <row r="436" spans="1:7">
      <c r="A436" s="25">
        <v>46091</v>
      </c>
      <c r="B436" t="s">
        <v>31</v>
      </c>
      <c r="C436" s="27">
        <v>10</v>
      </c>
      <c r="D436" s="26">
        <v>9044296.7603862472</v>
      </c>
      <c r="E436" s="26">
        <v>134989503.88636199</v>
      </c>
      <c r="F436" s="26">
        <v>5364811.2374999998</v>
      </c>
      <c r="G436" s="26">
        <v>27511852.50000003</v>
      </c>
    </row>
    <row r="437" spans="1:7">
      <c r="A437" s="25">
        <v>46092</v>
      </c>
      <c r="B437" t="s">
        <v>31</v>
      </c>
      <c r="C437" s="27">
        <v>11</v>
      </c>
      <c r="D437" s="26">
        <v>13772608.138072325</v>
      </c>
      <c r="E437" s="26">
        <v>205561315.49361697</v>
      </c>
      <c r="F437" s="26">
        <v>7832989.709999999</v>
      </c>
      <c r="G437" s="26">
        <v>40169178.000000045</v>
      </c>
    </row>
    <row r="438" spans="1:7">
      <c r="A438" s="25">
        <v>46093</v>
      </c>
      <c r="B438" t="s">
        <v>31</v>
      </c>
      <c r="C438" s="27">
        <v>12</v>
      </c>
      <c r="D438" s="26">
        <v>15331729.422611892</v>
      </c>
      <c r="E438" s="26">
        <v>228831782.42704335</v>
      </c>
      <c r="F438" s="26">
        <v>18914029.874999996</v>
      </c>
      <c r="G438" s="26">
        <v>96995025.000000089</v>
      </c>
    </row>
    <row r="439" spans="1:7">
      <c r="A439" s="25">
        <v>46094</v>
      </c>
      <c r="B439" t="s">
        <v>31</v>
      </c>
      <c r="C439" s="27">
        <v>13</v>
      </c>
      <c r="D439" s="26">
        <v>18391455.182447337</v>
      </c>
      <c r="E439" s="26">
        <v>274499331.08130378</v>
      </c>
      <c r="F439" s="26">
        <v>5921706.959999999</v>
      </c>
      <c r="G439" s="26">
        <v>30367728.00000003</v>
      </c>
    </row>
    <row r="440" spans="1:7">
      <c r="A440" s="25">
        <v>46095</v>
      </c>
      <c r="B440" t="s">
        <v>31</v>
      </c>
      <c r="C440" s="27">
        <v>14</v>
      </c>
      <c r="D440" s="26">
        <v>26514136.74926921</v>
      </c>
      <c r="E440" s="26">
        <v>395733384.31745124</v>
      </c>
      <c r="F440" s="26">
        <v>9177043.2974999994</v>
      </c>
      <c r="G440" s="26">
        <v>47061760.500000052</v>
      </c>
    </row>
    <row r="441" spans="1:7">
      <c r="A441" s="25">
        <v>46096</v>
      </c>
      <c r="B441" t="s">
        <v>31</v>
      </c>
      <c r="C441" s="27">
        <v>15</v>
      </c>
      <c r="D441" s="26">
        <v>25046839.687692415</v>
      </c>
      <c r="E441" s="26">
        <v>373833428.17451394</v>
      </c>
      <c r="F441" s="26">
        <v>8209110.7800000003</v>
      </c>
      <c r="G441" s="26">
        <v>42098004.000000045</v>
      </c>
    </row>
    <row r="442" spans="1:7">
      <c r="A442" s="25">
        <v>46097</v>
      </c>
      <c r="B442" t="s">
        <v>31</v>
      </c>
      <c r="C442" s="27">
        <v>16</v>
      </c>
      <c r="D442" s="26">
        <v>15454918.33719038</v>
      </c>
      <c r="E442" s="26">
        <v>230670422.94314021</v>
      </c>
      <c r="F442" s="26">
        <v>3587721.9299999997</v>
      </c>
      <c r="G442" s="26">
        <v>18398574.000000022</v>
      </c>
    </row>
    <row r="443" spans="1:7">
      <c r="A443" s="25">
        <v>46098</v>
      </c>
      <c r="B443" t="s">
        <v>31</v>
      </c>
      <c r="C443" s="27">
        <v>17</v>
      </c>
      <c r="D443" s="26">
        <v>15648135.502112389</v>
      </c>
      <c r="E443" s="26">
        <v>233554261.22555822</v>
      </c>
      <c r="F443" s="26">
        <v>18661284.427500002</v>
      </c>
      <c r="G443" s="26">
        <v>95698894.500000119</v>
      </c>
    </row>
    <row r="444" spans="1:7">
      <c r="A444" s="25">
        <v>46099</v>
      </c>
      <c r="B444" t="s">
        <v>31</v>
      </c>
      <c r="C444" s="27">
        <v>18</v>
      </c>
      <c r="D444" s="26">
        <v>9797304.2160859127</v>
      </c>
      <c r="E444" s="26">
        <v>146228421.13561076</v>
      </c>
      <c r="F444" s="26">
        <v>5020053.772499999</v>
      </c>
      <c r="G444" s="26">
        <v>25743865.500000022</v>
      </c>
    </row>
    <row r="445" spans="1:7">
      <c r="A445" s="25">
        <v>46100</v>
      </c>
      <c r="B445" t="s">
        <v>31</v>
      </c>
      <c r="C445" s="27">
        <v>19</v>
      </c>
      <c r="D445" s="26">
        <v>13235380.119696947</v>
      </c>
      <c r="E445" s="26">
        <v>197542986.86114863</v>
      </c>
      <c r="F445" s="26">
        <v>8866777.7249999996</v>
      </c>
      <c r="G445" s="26">
        <v>45470655.000000052</v>
      </c>
    </row>
    <row r="446" spans="1:7">
      <c r="A446" s="25">
        <v>46101</v>
      </c>
      <c r="B446" t="s">
        <v>31</v>
      </c>
      <c r="C446" s="27">
        <v>20</v>
      </c>
      <c r="D446" s="26">
        <v>14881323.930420531</v>
      </c>
      <c r="E446" s="26">
        <v>222109312.39433646</v>
      </c>
      <c r="F446" s="26">
        <v>7403062.0950000007</v>
      </c>
      <c r="G446" s="26">
        <v>37964421.000000045</v>
      </c>
    </row>
    <row r="447" spans="1:7">
      <c r="A447" s="25">
        <v>46102</v>
      </c>
      <c r="B447" t="s">
        <v>31</v>
      </c>
      <c r="C447" s="27">
        <v>21</v>
      </c>
      <c r="D447" s="26">
        <v>25264243.708220974</v>
      </c>
      <c r="E447" s="26">
        <v>377078264.30180585</v>
      </c>
      <c r="F447" s="26">
        <v>8246024.5724999998</v>
      </c>
      <c r="G447" s="26">
        <v>42287305.500000045</v>
      </c>
    </row>
    <row r="448" spans="1:7">
      <c r="A448" s="25">
        <v>46103</v>
      </c>
      <c r="B448" t="s">
        <v>31</v>
      </c>
      <c r="C448" s="27">
        <v>22</v>
      </c>
      <c r="D448" s="26">
        <v>26415992.282112211</v>
      </c>
      <c r="E448" s="26">
        <v>394268541.52406317</v>
      </c>
      <c r="F448" s="26">
        <v>8078913.4724999983</v>
      </c>
      <c r="G448" s="26">
        <v>41430325.500000045</v>
      </c>
    </row>
    <row r="449" spans="1:7">
      <c r="A449" s="25">
        <v>46104</v>
      </c>
      <c r="B449" t="s">
        <v>31</v>
      </c>
      <c r="C449" s="27">
        <v>23</v>
      </c>
      <c r="D449" s="26">
        <v>9381359.0453196857</v>
      </c>
      <c r="E449" s="26">
        <v>140020284.25850287</v>
      </c>
      <c r="F449" s="26">
        <v>3224013.0974999997</v>
      </c>
      <c r="G449" s="26">
        <v>16533400.500000015</v>
      </c>
    </row>
    <row r="450" spans="1:7">
      <c r="A450" s="25">
        <v>46105</v>
      </c>
      <c r="B450" t="s">
        <v>31</v>
      </c>
      <c r="C450" s="27">
        <v>24</v>
      </c>
      <c r="D450" s="26">
        <v>10787169.540190406</v>
      </c>
      <c r="E450" s="26">
        <v>161002530.45060322</v>
      </c>
      <c r="F450" s="26">
        <v>2959642.53</v>
      </c>
      <c r="G450" s="26">
        <v>15177654.000000015</v>
      </c>
    </row>
    <row r="451" spans="1:7">
      <c r="A451" s="25">
        <v>46106</v>
      </c>
      <c r="B451" t="s">
        <v>31</v>
      </c>
      <c r="C451" s="27">
        <v>25</v>
      </c>
      <c r="D451" s="26">
        <v>8610287.5246083662</v>
      </c>
      <c r="E451" s="26">
        <v>128511754.09863244</v>
      </c>
      <c r="F451" s="26">
        <v>3320445.0825000005</v>
      </c>
      <c r="G451" s="26">
        <v>17027923.500000019</v>
      </c>
    </row>
    <row r="452" spans="1:7">
      <c r="A452" s="25">
        <v>46107</v>
      </c>
      <c r="B452" t="s">
        <v>31</v>
      </c>
      <c r="C452" s="27">
        <v>26</v>
      </c>
      <c r="D452" s="26">
        <v>17726492.66707113</v>
      </c>
      <c r="E452" s="26">
        <v>264574517.41897231</v>
      </c>
      <c r="F452" s="26">
        <v>6514729.3574999999</v>
      </c>
      <c r="G452" s="26">
        <v>33408868.500000037</v>
      </c>
    </row>
    <row r="453" spans="1:7">
      <c r="A453" s="25">
        <v>46108</v>
      </c>
      <c r="B453" t="s">
        <v>31</v>
      </c>
      <c r="C453" s="27">
        <v>27</v>
      </c>
      <c r="D453" s="26">
        <v>14993887.005769379</v>
      </c>
      <c r="E453" s="26">
        <v>223789358.29506552</v>
      </c>
      <c r="F453" s="26">
        <v>2284356.2625000002</v>
      </c>
      <c r="G453" s="26">
        <v>11714647.500000013</v>
      </c>
    </row>
    <row r="454" spans="1:7">
      <c r="A454" s="25">
        <v>46109</v>
      </c>
      <c r="B454" t="s">
        <v>31</v>
      </c>
      <c r="C454" s="27">
        <v>28</v>
      </c>
      <c r="D454" s="26">
        <v>22034264.187521175</v>
      </c>
      <c r="E454" s="26">
        <v>328869614.73912227</v>
      </c>
      <c r="F454" s="26">
        <v>4622034.6900000004</v>
      </c>
      <c r="G454" s="26">
        <v>23702742.00000003</v>
      </c>
    </row>
    <row r="455" spans="1:7">
      <c r="A455" s="25">
        <v>46110</v>
      </c>
      <c r="B455" t="s">
        <v>31</v>
      </c>
      <c r="C455" s="27">
        <v>29</v>
      </c>
      <c r="D455" s="26">
        <v>24473608.720034454</v>
      </c>
      <c r="E455" s="26">
        <v>365277742.09006679</v>
      </c>
      <c r="F455" s="26">
        <v>7042885.2000000011</v>
      </c>
      <c r="G455" s="26">
        <v>36117360.000000037</v>
      </c>
    </row>
    <row r="456" spans="1:7">
      <c r="A456" s="25">
        <v>46111</v>
      </c>
      <c r="B456" t="s">
        <v>31</v>
      </c>
      <c r="C456" s="27">
        <v>30</v>
      </c>
      <c r="D456" s="26">
        <v>18481087.705037888</v>
      </c>
      <c r="E456" s="26">
        <v>275837129.92593884</v>
      </c>
      <c r="F456" s="26">
        <v>2659649.8499999996</v>
      </c>
      <c r="G456" s="26">
        <v>13639230.000000013</v>
      </c>
    </row>
    <row r="457" spans="1:7">
      <c r="A457" s="25">
        <v>46112</v>
      </c>
      <c r="B457" t="s">
        <v>31</v>
      </c>
      <c r="C457" s="27">
        <v>31</v>
      </c>
      <c r="D457" s="26">
        <v>7524113.6022765208</v>
      </c>
      <c r="E457" s="26">
        <v>112300203.01905264</v>
      </c>
      <c r="F457" s="26">
        <v>3193900.8074999996</v>
      </c>
      <c r="G457" s="26">
        <v>16378978.500000019</v>
      </c>
    </row>
    <row r="458" spans="1:7">
      <c r="A458" s="25">
        <v>46113</v>
      </c>
      <c r="B458" t="s">
        <v>32</v>
      </c>
      <c r="C458" s="27">
        <v>1</v>
      </c>
      <c r="D458" s="26">
        <v>11624689.902827321</v>
      </c>
      <c r="E458" s="26">
        <v>173502834.37055716</v>
      </c>
      <c r="F458" s="26">
        <v>4640198.9400000004</v>
      </c>
      <c r="G458" s="26">
        <v>23795892.00000003</v>
      </c>
    </row>
    <row r="459" spans="1:7">
      <c r="A459" s="25">
        <v>46114</v>
      </c>
      <c r="B459" t="s">
        <v>32</v>
      </c>
      <c r="C459" s="27">
        <v>2</v>
      </c>
      <c r="D459" s="26">
        <v>14448897.781468783</v>
      </c>
      <c r="E459" s="26">
        <v>215655190.76819092</v>
      </c>
      <c r="F459" s="26">
        <v>7281341.4375</v>
      </c>
      <c r="G459" s="26">
        <v>37340212.500000037</v>
      </c>
    </row>
    <row r="460" spans="1:7">
      <c r="A460" s="25">
        <v>46115</v>
      </c>
      <c r="B460" t="s">
        <v>32</v>
      </c>
      <c r="C460" s="27">
        <v>3</v>
      </c>
      <c r="D460" s="26">
        <v>16192573.170386847</v>
      </c>
      <c r="E460" s="26">
        <v>241680196.57293817</v>
      </c>
      <c r="F460" s="26">
        <v>4615213.0049999999</v>
      </c>
      <c r="G460" s="26">
        <v>23667759.000000022</v>
      </c>
    </row>
    <row r="461" spans="1:7">
      <c r="A461" s="25">
        <v>46116</v>
      </c>
      <c r="B461" t="s">
        <v>32</v>
      </c>
      <c r="C461" s="27">
        <v>4</v>
      </c>
      <c r="D461" s="26">
        <v>23534397.678925138</v>
      </c>
      <c r="E461" s="26">
        <v>351259666.84962922</v>
      </c>
      <c r="F461" s="26">
        <v>7013741.6699999999</v>
      </c>
      <c r="G461" s="26">
        <v>35967906.00000003</v>
      </c>
    </row>
    <row r="462" spans="1:7">
      <c r="A462" s="25">
        <v>46117</v>
      </c>
      <c r="B462" t="s">
        <v>32</v>
      </c>
      <c r="C462" s="27">
        <v>5</v>
      </c>
      <c r="D462" s="26">
        <v>18373242.767883826</v>
      </c>
      <c r="E462" s="26">
        <v>274227503.99826628</v>
      </c>
      <c r="F462" s="26">
        <v>8865163.125</v>
      </c>
      <c r="G462" s="26">
        <v>45462375.000000045</v>
      </c>
    </row>
    <row r="463" spans="1:7">
      <c r="A463" s="25">
        <v>46118</v>
      </c>
      <c r="B463" t="s">
        <v>32</v>
      </c>
      <c r="C463" s="27">
        <v>6</v>
      </c>
      <c r="D463" s="26">
        <v>9269497.2587614451</v>
      </c>
      <c r="E463" s="26">
        <v>138350705.35464853</v>
      </c>
      <c r="F463" s="26">
        <v>2835661.4324999992</v>
      </c>
      <c r="G463" s="26">
        <v>14541853.500000015</v>
      </c>
    </row>
    <row r="464" spans="1:7">
      <c r="A464" s="25">
        <v>46119</v>
      </c>
      <c r="B464" t="s">
        <v>32</v>
      </c>
      <c r="C464" s="27">
        <v>7</v>
      </c>
      <c r="D464" s="26">
        <v>9719463.5809508022</v>
      </c>
      <c r="E464" s="26">
        <v>145066620.61120611</v>
      </c>
      <c r="F464" s="26">
        <v>2604188.34</v>
      </c>
      <c r="G464" s="26">
        <v>13354812.000000013</v>
      </c>
    </row>
    <row r="465" spans="1:7">
      <c r="A465" s="25">
        <v>46120</v>
      </c>
      <c r="B465" t="s">
        <v>32</v>
      </c>
      <c r="C465" s="27">
        <v>8</v>
      </c>
      <c r="D465" s="26">
        <v>12444115.769775275</v>
      </c>
      <c r="E465" s="26">
        <v>185733071.19067588</v>
      </c>
      <c r="F465" s="26">
        <v>4968608.5799999991</v>
      </c>
      <c r="G465" s="26">
        <v>25480044.000000022</v>
      </c>
    </row>
    <row r="466" spans="1:7">
      <c r="A466" s="25">
        <v>46121</v>
      </c>
      <c r="B466" t="s">
        <v>32</v>
      </c>
      <c r="C466" s="27">
        <v>9</v>
      </c>
      <c r="D466" s="26">
        <v>11635531.869026452</v>
      </c>
      <c r="E466" s="26">
        <v>173664654.76158899</v>
      </c>
      <c r="F466" s="26">
        <v>5697822.4874999989</v>
      </c>
      <c r="G466" s="26">
        <v>29219602.500000026</v>
      </c>
    </row>
    <row r="467" spans="1:7">
      <c r="A467" s="25">
        <v>46122</v>
      </c>
      <c r="B467" t="s">
        <v>32</v>
      </c>
      <c r="C467" s="27">
        <v>10</v>
      </c>
      <c r="D467" s="26">
        <v>11722101.267303802</v>
      </c>
      <c r="E467" s="26">
        <v>174956735.33289272</v>
      </c>
      <c r="F467" s="26">
        <v>5648173.5374999996</v>
      </c>
      <c r="G467" s="26">
        <v>28964992.50000003</v>
      </c>
    </row>
    <row r="468" spans="1:7">
      <c r="A468" s="25">
        <v>46123</v>
      </c>
      <c r="B468" t="s">
        <v>32</v>
      </c>
      <c r="C468" s="27">
        <v>11</v>
      </c>
      <c r="D468" s="26">
        <v>21735969.548064042</v>
      </c>
      <c r="E468" s="26">
        <v>324417455.94125462</v>
      </c>
      <c r="F468" s="26">
        <v>7006617.2475000005</v>
      </c>
      <c r="G468" s="26">
        <v>35931370.500000045</v>
      </c>
    </row>
    <row r="469" spans="1:7">
      <c r="A469" s="25">
        <v>46124</v>
      </c>
      <c r="B469" t="s">
        <v>32</v>
      </c>
      <c r="C469" s="27">
        <v>12</v>
      </c>
      <c r="D469" s="26">
        <v>16548207.159357876</v>
      </c>
      <c r="E469" s="26">
        <v>246988166.55758047</v>
      </c>
      <c r="F469" s="26">
        <v>3479685.0075000003</v>
      </c>
      <c r="G469" s="26">
        <v>17844538.500000022</v>
      </c>
    </row>
    <row r="470" spans="1:7">
      <c r="A470" s="25">
        <v>46125</v>
      </c>
      <c r="B470" t="s">
        <v>32</v>
      </c>
      <c r="C470" s="27">
        <v>13</v>
      </c>
      <c r="D470" s="26">
        <v>8796845.9040511381</v>
      </c>
      <c r="E470" s="26">
        <v>131296207.52315143</v>
      </c>
      <c r="F470" s="26">
        <v>6216936.5699999984</v>
      </c>
      <c r="G470" s="26">
        <v>31881726.00000003</v>
      </c>
    </row>
    <row r="471" spans="1:7">
      <c r="A471" s="25">
        <v>46126</v>
      </c>
      <c r="B471" t="s">
        <v>32</v>
      </c>
      <c r="C471" s="27">
        <v>14</v>
      </c>
      <c r="D471" s="26">
        <v>9177462.4416796006</v>
      </c>
      <c r="E471" s="26">
        <v>136977051.36835235</v>
      </c>
      <c r="F471" s="26">
        <v>4422147.21</v>
      </c>
      <c r="G471" s="26">
        <v>22677678.000000022</v>
      </c>
    </row>
    <row r="472" spans="1:7">
      <c r="A472" s="25">
        <v>46127</v>
      </c>
      <c r="B472" t="s">
        <v>32</v>
      </c>
      <c r="C472" s="27">
        <v>15</v>
      </c>
      <c r="D472" s="26">
        <v>8885600.7782439813</v>
      </c>
      <c r="E472" s="26">
        <v>132620907.13796997</v>
      </c>
      <c r="F472" s="26">
        <v>1943736.21</v>
      </c>
      <c r="G472" s="26">
        <v>9967878.0000000112</v>
      </c>
    </row>
    <row r="473" spans="1:7">
      <c r="A473" s="25">
        <v>46128</v>
      </c>
      <c r="B473" t="s">
        <v>32</v>
      </c>
      <c r="C473" s="27">
        <v>16</v>
      </c>
      <c r="D473" s="26">
        <v>15066646.409400962</v>
      </c>
      <c r="E473" s="26">
        <v>224875319.54329813</v>
      </c>
      <c r="F473" s="26">
        <v>11868157.664999999</v>
      </c>
      <c r="G473" s="26">
        <v>60862347.00000006</v>
      </c>
    </row>
    <row r="474" spans="1:7">
      <c r="A474" s="25">
        <v>46129</v>
      </c>
      <c r="B474" t="s">
        <v>32</v>
      </c>
      <c r="C474" s="27">
        <v>17</v>
      </c>
      <c r="D474" s="26">
        <v>23447468.299567401</v>
      </c>
      <c r="E474" s="26">
        <v>349962213.42637944</v>
      </c>
      <c r="F474" s="26">
        <v>4527721.8674999997</v>
      </c>
      <c r="G474" s="26">
        <v>23219086.500000022</v>
      </c>
    </row>
    <row r="475" spans="1:7">
      <c r="A475" s="25">
        <v>46130</v>
      </c>
      <c r="B475" t="s">
        <v>32</v>
      </c>
      <c r="C475" s="27">
        <v>18</v>
      </c>
      <c r="D475" s="26">
        <v>15300763.442029491</v>
      </c>
      <c r="E475" s="26">
        <v>228369603.61238065</v>
      </c>
      <c r="F475" s="26">
        <v>4521808.3950000005</v>
      </c>
      <c r="G475" s="26">
        <v>23188761.00000003</v>
      </c>
    </row>
    <row r="476" spans="1:7">
      <c r="A476" s="25">
        <v>46131</v>
      </c>
      <c r="B476" t="s">
        <v>32</v>
      </c>
      <c r="C476" s="27">
        <v>19</v>
      </c>
      <c r="D476" s="26">
        <v>33506911.0150319</v>
      </c>
      <c r="E476" s="26">
        <v>500103149.47808844</v>
      </c>
      <c r="F476" s="26">
        <v>6858457.5150000006</v>
      </c>
      <c r="G476" s="26">
        <v>35171577.00000003</v>
      </c>
    </row>
    <row r="477" spans="1:7">
      <c r="A477" s="25">
        <v>46132</v>
      </c>
      <c r="B477" t="s">
        <v>32</v>
      </c>
      <c r="C477" s="27">
        <v>20</v>
      </c>
      <c r="D477" s="26">
        <v>11747145.023118991</v>
      </c>
      <c r="E477" s="26">
        <v>175330522.7331194</v>
      </c>
      <c r="F477" s="26">
        <v>7030291.3200000003</v>
      </c>
      <c r="G477" s="26">
        <v>36052776.00000003</v>
      </c>
    </row>
    <row r="478" spans="1:7">
      <c r="A478" s="25">
        <v>46133</v>
      </c>
      <c r="B478" t="s">
        <v>32</v>
      </c>
      <c r="C478" s="27">
        <v>21</v>
      </c>
      <c r="D478" s="26">
        <v>6242485.8602407966</v>
      </c>
      <c r="E478" s="26">
        <v>93171430.749862701</v>
      </c>
      <c r="F478" s="26">
        <v>4893186.5774999987</v>
      </c>
      <c r="G478" s="26">
        <v>25093264.500000022</v>
      </c>
    </row>
    <row r="479" spans="1:7">
      <c r="A479" s="25">
        <v>46134</v>
      </c>
      <c r="B479" t="s">
        <v>32</v>
      </c>
      <c r="C479" s="27">
        <v>22</v>
      </c>
      <c r="D479" s="26">
        <v>10137829.027972177</v>
      </c>
      <c r="E479" s="26">
        <v>151310881.01451021</v>
      </c>
      <c r="F479" s="26">
        <v>4666072.9050000003</v>
      </c>
      <c r="G479" s="26">
        <v>23928579.00000003</v>
      </c>
    </row>
    <row r="480" spans="1:7">
      <c r="A480" s="25">
        <v>46135</v>
      </c>
      <c r="B480" t="s">
        <v>32</v>
      </c>
      <c r="C480" s="27">
        <v>23</v>
      </c>
      <c r="D480" s="26">
        <v>17675526.123830438</v>
      </c>
      <c r="E480" s="26">
        <v>263813822.74373806</v>
      </c>
      <c r="F480" s="26">
        <v>3194930.1149999998</v>
      </c>
      <c r="G480" s="26">
        <v>16384257.000000017</v>
      </c>
    </row>
    <row r="481" spans="1:7">
      <c r="A481" s="25">
        <v>46136</v>
      </c>
      <c r="B481" t="s">
        <v>32</v>
      </c>
      <c r="C481" s="27">
        <v>24</v>
      </c>
      <c r="D481" s="26">
        <v>16367683.044903301</v>
      </c>
      <c r="E481" s="26">
        <v>244293776.78960171</v>
      </c>
      <c r="F481" s="26">
        <v>7666282.2600000007</v>
      </c>
      <c r="G481" s="26">
        <v>39314268.000000045</v>
      </c>
    </row>
    <row r="482" spans="1:7">
      <c r="A482" s="25">
        <v>46137</v>
      </c>
      <c r="B482" t="s">
        <v>32</v>
      </c>
      <c r="C482" s="27">
        <v>25</v>
      </c>
      <c r="D482" s="26">
        <v>23925127.921316337</v>
      </c>
      <c r="E482" s="26">
        <v>357091461.51218438</v>
      </c>
      <c r="F482" s="26">
        <v>6153724.9799999986</v>
      </c>
      <c r="G482" s="26">
        <v>31557564.00000003</v>
      </c>
    </row>
    <row r="483" spans="1:7">
      <c r="A483" s="25">
        <v>46138</v>
      </c>
      <c r="B483" t="s">
        <v>32</v>
      </c>
      <c r="C483" s="27">
        <v>26</v>
      </c>
      <c r="D483" s="26">
        <v>21443511.719995774</v>
      </c>
      <c r="E483" s="26">
        <v>320052413.73128051</v>
      </c>
      <c r="F483" s="26">
        <v>7637946.0300000003</v>
      </c>
      <c r="G483" s="26">
        <v>39168954.000000045</v>
      </c>
    </row>
    <row r="484" spans="1:7">
      <c r="A484" s="25">
        <v>46139</v>
      </c>
      <c r="B484" t="s">
        <v>32</v>
      </c>
      <c r="C484" s="27">
        <v>27</v>
      </c>
      <c r="D484" s="26">
        <v>13866314.22178385</v>
      </c>
      <c r="E484" s="26">
        <v>206959913.7579681</v>
      </c>
      <c r="F484" s="26">
        <v>3685526.3249999997</v>
      </c>
      <c r="G484" s="26">
        <v>18900135.000000022</v>
      </c>
    </row>
    <row r="485" spans="1:7">
      <c r="A485" s="25">
        <v>46140</v>
      </c>
      <c r="B485" t="s">
        <v>32</v>
      </c>
      <c r="C485" s="27">
        <v>28</v>
      </c>
      <c r="D485" s="26">
        <v>8109032.0248382594</v>
      </c>
      <c r="E485" s="26">
        <v>121030328.72892936</v>
      </c>
      <c r="F485" s="26">
        <v>2007008.3475000001</v>
      </c>
      <c r="G485" s="26">
        <v>10292350.500000011</v>
      </c>
    </row>
    <row r="486" spans="1:7">
      <c r="A486" s="25">
        <v>46141</v>
      </c>
      <c r="B486" t="s">
        <v>32</v>
      </c>
      <c r="C486" s="27">
        <v>29</v>
      </c>
      <c r="D486" s="26">
        <v>13256311.930241385</v>
      </c>
      <c r="E486" s="26">
        <v>197855401.94390142</v>
      </c>
      <c r="F486" s="26">
        <v>4886324.5274999999</v>
      </c>
      <c r="G486" s="26">
        <v>25058074.500000022</v>
      </c>
    </row>
    <row r="487" spans="1:7">
      <c r="A487" s="25">
        <v>46142</v>
      </c>
      <c r="B487" t="s">
        <v>32</v>
      </c>
      <c r="C487" s="27">
        <v>30</v>
      </c>
      <c r="D487" s="26">
        <v>29078791.698693503</v>
      </c>
      <c r="E487" s="26">
        <v>434011816.3984108</v>
      </c>
      <c r="F487" s="26">
        <v>10882726.919999998</v>
      </c>
      <c r="G487" s="26">
        <v>55808856.000000045</v>
      </c>
    </row>
    <row r="488" spans="1:7">
      <c r="A488" s="25">
        <v>46143</v>
      </c>
      <c r="B488" t="s">
        <v>33</v>
      </c>
      <c r="C488" s="27">
        <v>1</v>
      </c>
      <c r="D488" s="26">
        <v>18719613.727844041</v>
      </c>
      <c r="E488" s="26">
        <v>279397219.81856799</v>
      </c>
      <c r="F488" s="26">
        <v>10603219.477499999</v>
      </c>
      <c r="G488" s="26">
        <v>54375484.50000006</v>
      </c>
    </row>
    <row r="489" spans="1:7">
      <c r="A489" s="25">
        <v>46144</v>
      </c>
      <c r="B489" t="s">
        <v>33</v>
      </c>
      <c r="C489" s="27">
        <v>2</v>
      </c>
      <c r="D489" s="26">
        <v>28905588.58275269</v>
      </c>
      <c r="E489" s="26">
        <v>431426695.26496583</v>
      </c>
      <c r="F489" s="26">
        <v>7564764.2850000001</v>
      </c>
      <c r="G489" s="26">
        <v>38793663.000000045</v>
      </c>
    </row>
    <row r="490" spans="1:7">
      <c r="A490" s="25">
        <v>46145</v>
      </c>
      <c r="B490" t="s">
        <v>33</v>
      </c>
      <c r="C490" s="27">
        <v>3</v>
      </c>
      <c r="D490" s="26">
        <v>24120578.282988705</v>
      </c>
      <c r="E490" s="26">
        <v>360008631.0893839</v>
      </c>
      <c r="F490" s="26">
        <v>8819247.9375</v>
      </c>
      <c r="G490" s="26">
        <v>45226912.500000045</v>
      </c>
    </row>
    <row r="491" spans="1:7">
      <c r="A491" s="25">
        <v>46146</v>
      </c>
      <c r="B491" t="s">
        <v>33</v>
      </c>
      <c r="C491" s="27">
        <v>4</v>
      </c>
      <c r="D491" s="26">
        <v>14173931.299233176</v>
      </c>
      <c r="E491" s="26">
        <v>211551213.42139086</v>
      </c>
      <c r="F491" s="26">
        <v>5065686.4049999993</v>
      </c>
      <c r="G491" s="26">
        <v>25977879.000000022</v>
      </c>
    </row>
    <row r="492" spans="1:7">
      <c r="A492" s="25">
        <v>46147</v>
      </c>
      <c r="B492" t="s">
        <v>33</v>
      </c>
      <c r="C492" s="27">
        <v>5</v>
      </c>
      <c r="D492" s="26">
        <v>8162805.7980602821</v>
      </c>
      <c r="E492" s="26">
        <v>121832922.35910879</v>
      </c>
      <c r="F492" s="26">
        <v>4445922.1950000003</v>
      </c>
      <c r="G492" s="26">
        <v>22799601.000000022</v>
      </c>
    </row>
    <row r="493" spans="1:7">
      <c r="A493" s="25">
        <v>46148</v>
      </c>
      <c r="B493" t="s">
        <v>33</v>
      </c>
      <c r="C493" s="27">
        <v>6</v>
      </c>
      <c r="D493" s="26">
        <v>11493682.379000517</v>
      </c>
      <c r="E493" s="26">
        <v>171547498.19403768</v>
      </c>
      <c r="F493" s="26">
        <v>3850316.4375</v>
      </c>
      <c r="G493" s="26">
        <v>19745212.500000022</v>
      </c>
    </row>
    <row r="494" spans="1:7">
      <c r="A494" s="25">
        <v>46149</v>
      </c>
      <c r="B494" t="s">
        <v>33</v>
      </c>
      <c r="C494" s="27">
        <v>7</v>
      </c>
      <c r="D494" s="26">
        <v>13851937.109970141</v>
      </c>
      <c r="E494" s="26">
        <v>206745329.99955451</v>
      </c>
      <c r="F494" s="26">
        <v>4302787.9049999993</v>
      </c>
      <c r="G494" s="26">
        <v>22065579.000000026</v>
      </c>
    </row>
    <row r="495" spans="1:7">
      <c r="A495" s="25">
        <v>46150</v>
      </c>
      <c r="B495" t="s">
        <v>33</v>
      </c>
      <c r="C495" s="27">
        <v>8</v>
      </c>
      <c r="D495" s="26">
        <v>21615710.969388701</v>
      </c>
      <c r="E495" s="26">
        <v>322622551.78192121</v>
      </c>
      <c r="F495" s="26">
        <v>7610013.4500000002</v>
      </c>
      <c r="G495" s="26">
        <v>39025710.000000045</v>
      </c>
    </row>
    <row r="496" spans="1:7">
      <c r="A496" s="25">
        <v>46151</v>
      </c>
      <c r="B496" t="s">
        <v>33</v>
      </c>
      <c r="C496" s="27">
        <v>9</v>
      </c>
      <c r="D496" s="26">
        <v>33659633.247737423</v>
      </c>
      <c r="E496" s="26">
        <v>502382585.78712606</v>
      </c>
      <c r="F496" s="26">
        <v>7771776.1875</v>
      </c>
      <c r="G496" s="26">
        <v>39855262.500000045</v>
      </c>
    </row>
    <row r="497" spans="1:7">
      <c r="A497" s="25">
        <v>46152</v>
      </c>
      <c r="B497" t="s">
        <v>33</v>
      </c>
      <c r="C497" s="27">
        <v>10</v>
      </c>
      <c r="D497" s="26">
        <v>28972655.720712595</v>
      </c>
      <c r="E497" s="26">
        <v>432427697.32406896</v>
      </c>
      <c r="F497" s="26">
        <v>-124021.46249999999</v>
      </c>
      <c r="G497" s="26">
        <v>-636007.5000000007</v>
      </c>
    </row>
    <row r="498" spans="1:7">
      <c r="A498" s="25">
        <v>46153</v>
      </c>
      <c r="B498" t="s">
        <v>33</v>
      </c>
      <c r="C498" s="27">
        <v>11</v>
      </c>
      <c r="D498" s="26">
        <v>11591690.945519097</v>
      </c>
      <c r="E498" s="26">
        <v>173010312.61968815</v>
      </c>
      <c r="F498" s="26">
        <v>5030871.5924999993</v>
      </c>
      <c r="G498" s="26">
        <v>25799341.500000026</v>
      </c>
    </row>
    <row r="499" spans="1:7">
      <c r="A499" s="25">
        <v>46154</v>
      </c>
      <c r="B499" t="s">
        <v>33</v>
      </c>
      <c r="C499" s="27">
        <v>12</v>
      </c>
      <c r="D499" s="26">
        <v>9254500.4677008111</v>
      </c>
      <c r="E499" s="26">
        <v>138126872.65225101</v>
      </c>
      <c r="F499" s="26">
        <v>2581826.13</v>
      </c>
      <c r="G499" s="26">
        <v>13240134.000000011</v>
      </c>
    </row>
    <row r="500" spans="1:7">
      <c r="A500" s="25">
        <v>46155</v>
      </c>
      <c r="B500" t="s">
        <v>33</v>
      </c>
      <c r="C500" s="27">
        <v>13</v>
      </c>
      <c r="D500" s="26">
        <v>11753335.936934674</v>
      </c>
      <c r="E500" s="26">
        <v>175422924.43186095</v>
      </c>
      <c r="F500" s="26">
        <v>4603063.1400000006</v>
      </c>
      <c r="G500" s="26">
        <v>23605452.00000003</v>
      </c>
    </row>
    <row r="501" spans="1:7">
      <c r="A501" s="25">
        <v>46156</v>
      </c>
      <c r="B501" t="s">
        <v>33</v>
      </c>
      <c r="C501" s="27">
        <v>14</v>
      </c>
      <c r="D501" s="26">
        <v>19186710.308215585</v>
      </c>
      <c r="E501" s="26">
        <v>286368810.57038206</v>
      </c>
      <c r="F501" s="26">
        <v>-2344096.4624999999</v>
      </c>
      <c r="G501" s="26">
        <v>-12021007.500000011</v>
      </c>
    </row>
    <row r="502" spans="1:7">
      <c r="A502" s="25">
        <v>46157</v>
      </c>
      <c r="B502" t="s">
        <v>33</v>
      </c>
      <c r="C502" s="27">
        <v>15</v>
      </c>
      <c r="D502" s="26">
        <v>21560024.904740624</v>
      </c>
      <c r="E502" s="26">
        <v>321791416.4886663</v>
      </c>
      <c r="F502" s="26">
        <v>2648246.7374999998</v>
      </c>
      <c r="G502" s="26">
        <v>13580752.500000013</v>
      </c>
    </row>
    <row r="503" spans="1:7">
      <c r="A503" s="25">
        <v>46158</v>
      </c>
      <c r="B503" t="s">
        <v>33</v>
      </c>
      <c r="C503" s="27">
        <v>16</v>
      </c>
      <c r="D503" s="26">
        <v>28844089.567133173</v>
      </c>
      <c r="E503" s="26">
        <v>430508799.50945067</v>
      </c>
      <c r="F503" s="26">
        <v>2130262.875</v>
      </c>
      <c r="G503" s="26">
        <v>10924425.000000011</v>
      </c>
    </row>
    <row r="504" spans="1:7">
      <c r="A504" s="25">
        <v>46159</v>
      </c>
      <c r="B504" t="s">
        <v>33</v>
      </c>
      <c r="C504" s="27">
        <v>17</v>
      </c>
      <c r="D504" s="26">
        <v>27245226.094676621</v>
      </c>
      <c r="E504" s="26">
        <v>406645165.59218872</v>
      </c>
      <c r="F504" s="26">
        <v>17558108.977499999</v>
      </c>
      <c r="G504" s="26">
        <v>90041584.500000089</v>
      </c>
    </row>
    <row r="505" spans="1:7">
      <c r="A505" s="25">
        <v>46160</v>
      </c>
      <c r="B505" t="s">
        <v>33</v>
      </c>
      <c r="C505" s="27">
        <v>18</v>
      </c>
      <c r="D505" s="26">
        <v>16617659.647454673</v>
      </c>
      <c r="E505" s="26">
        <v>248024770.85753262</v>
      </c>
      <c r="F505" s="26">
        <v>825666.07500000007</v>
      </c>
      <c r="G505" s="26">
        <v>4234185.0000000056</v>
      </c>
    </row>
    <row r="506" spans="1:7">
      <c r="A506" s="25">
        <v>46161</v>
      </c>
      <c r="B506" t="s">
        <v>33</v>
      </c>
      <c r="C506" s="27">
        <v>19</v>
      </c>
      <c r="D506" s="26">
        <v>14585202.663768601</v>
      </c>
      <c r="E506" s="26">
        <v>217689591.99654648</v>
      </c>
      <c r="F506" s="26">
        <v>4346361.9225000003</v>
      </c>
      <c r="G506" s="26">
        <v>22289035.50000003</v>
      </c>
    </row>
    <row r="507" spans="1:7">
      <c r="A507" s="25">
        <v>46162</v>
      </c>
      <c r="B507" t="s">
        <v>33</v>
      </c>
      <c r="C507" s="27">
        <v>20</v>
      </c>
      <c r="D507" s="26">
        <v>28877126.908591181</v>
      </c>
      <c r="E507" s="26">
        <v>431001894.1580776</v>
      </c>
      <c r="F507" s="26">
        <v>11079667.754999999</v>
      </c>
      <c r="G507" s="26">
        <v>56818809.000000045</v>
      </c>
    </row>
    <row r="508" spans="1:7">
      <c r="A508" s="25">
        <v>46163</v>
      </c>
      <c r="B508" t="s">
        <v>33</v>
      </c>
      <c r="C508" s="27">
        <v>21</v>
      </c>
      <c r="D508" s="26">
        <v>17313927.445465222</v>
      </c>
      <c r="E508" s="26">
        <v>258416827.54425728</v>
      </c>
      <c r="F508" s="26">
        <v>5464371.5099999998</v>
      </c>
      <c r="G508" s="26">
        <v>28022418.000000026</v>
      </c>
    </row>
    <row r="509" spans="1:7">
      <c r="A509" s="25">
        <v>46164</v>
      </c>
      <c r="B509" t="s">
        <v>33</v>
      </c>
      <c r="C509" s="27">
        <v>22</v>
      </c>
      <c r="D509" s="26">
        <v>18159622.525435545</v>
      </c>
      <c r="E509" s="26">
        <v>271039142.17067999</v>
      </c>
      <c r="F509" s="26">
        <v>10493911.057499997</v>
      </c>
      <c r="G509" s="26">
        <v>53814928.500000052</v>
      </c>
    </row>
    <row r="510" spans="1:7">
      <c r="A510" s="25">
        <v>46165</v>
      </c>
      <c r="B510" t="s">
        <v>33</v>
      </c>
      <c r="C510" s="27">
        <v>23</v>
      </c>
      <c r="D510" s="26">
        <v>25147403.047891952</v>
      </c>
      <c r="E510" s="26">
        <v>375334373.84913391</v>
      </c>
      <c r="F510" s="26">
        <v>9687135.8024999984</v>
      </c>
      <c r="G510" s="26">
        <v>49677619.500000052</v>
      </c>
    </row>
    <row r="511" spans="1:7">
      <c r="A511" s="25">
        <v>46166</v>
      </c>
      <c r="B511" t="s">
        <v>33</v>
      </c>
      <c r="C511" s="27">
        <v>24</v>
      </c>
      <c r="D511" s="26">
        <v>24648619.694849674</v>
      </c>
      <c r="E511" s="26">
        <v>367889846.19178647</v>
      </c>
      <c r="F511" s="26">
        <v>5966633.2049999991</v>
      </c>
      <c r="G511" s="26">
        <v>30598119.00000003</v>
      </c>
    </row>
    <row r="512" spans="1:7">
      <c r="A512" s="25">
        <v>46167</v>
      </c>
      <c r="B512" t="s">
        <v>33</v>
      </c>
      <c r="C512" s="27">
        <v>25</v>
      </c>
      <c r="D512" s="26">
        <v>15313101.352660652</v>
      </c>
      <c r="E512" s="26">
        <v>228553751.53224877</v>
      </c>
      <c r="F512" s="26">
        <v>4732311.8699999992</v>
      </c>
      <c r="G512" s="26">
        <v>24268266.000000022</v>
      </c>
    </row>
    <row r="513" spans="1:7">
      <c r="A513" s="25">
        <v>46168</v>
      </c>
      <c r="B513" t="s">
        <v>33</v>
      </c>
      <c r="C513" s="27">
        <v>26</v>
      </c>
      <c r="D513" s="26">
        <v>11960386.265313577</v>
      </c>
      <c r="E513" s="26">
        <v>178513227.84050128</v>
      </c>
      <c r="F513" s="26">
        <v>7821082.0349999992</v>
      </c>
      <c r="G513" s="26">
        <v>40108113.000000045</v>
      </c>
    </row>
    <row r="514" spans="1:7">
      <c r="A514" s="25">
        <v>46169</v>
      </c>
      <c r="B514" t="s">
        <v>33</v>
      </c>
      <c r="C514" s="27">
        <v>27</v>
      </c>
      <c r="D514" s="26">
        <v>16953634.727280781</v>
      </c>
      <c r="E514" s="26">
        <v>253039324.28777304</v>
      </c>
      <c r="F514" s="26">
        <v>5228216.0774999997</v>
      </c>
      <c r="G514" s="26">
        <v>26811364.50000003</v>
      </c>
    </row>
    <row r="515" spans="1:7">
      <c r="A515" s="25">
        <v>46170</v>
      </c>
      <c r="B515" t="s">
        <v>33</v>
      </c>
      <c r="C515" s="27">
        <v>28</v>
      </c>
      <c r="D515" s="26">
        <v>19848167.901172634</v>
      </c>
      <c r="E515" s="26">
        <v>296241311.95780075</v>
      </c>
      <c r="F515" s="26">
        <v>11538537.074999999</v>
      </c>
      <c r="G515" s="26">
        <v>59171985.00000006</v>
      </c>
    </row>
    <row r="516" spans="1:7">
      <c r="A516" s="25">
        <v>46171</v>
      </c>
      <c r="B516" t="s">
        <v>33</v>
      </c>
      <c r="C516" s="27">
        <v>29</v>
      </c>
      <c r="D516" s="26">
        <v>20540130.380790289</v>
      </c>
      <c r="E516" s="26">
        <v>306569110.16104931</v>
      </c>
      <c r="F516" s="26">
        <v>6044436.7424999997</v>
      </c>
      <c r="G516" s="26">
        <v>30997111.50000003</v>
      </c>
    </row>
    <row r="517" spans="1:7">
      <c r="A517" s="25">
        <v>46172</v>
      </c>
      <c r="B517" t="s">
        <v>33</v>
      </c>
      <c r="C517" s="27">
        <v>30</v>
      </c>
      <c r="D517" s="26">
        <v>34207114.329545461</v>
      </c>
      <c r="E517" s="26">
        <v>510553945.21709681</v>
      </c>
      <c r="F517" s="26">
        <v>11095450.469999999</v>
      </c>
      <c r="G517" s="26">
        <v>56899746.000000045</v>
      </c>
    </row>
    <row r="518" spans="1:7">
      <c r="A518" s="25">
        <v>46173</v>
      </c>
      <c r="B518" t="s">
        <v>33</v>
      </c>
      <c r="C518" s="27">
        <v>31</v>
      </c>
      <c r="D518" s="26">
        <v>24850296.242259145</v>
      </c>
      <c r="E518" s="26">
        <v>370899943.91431588</v>
      </c>
      <c r="F518" s="26">
        <v>6709591.3949999996</v>
      </c>
      <c r="G518" s="26">
        <v>34408161.000000045</v>
      </c>
    </row>
    <row r="519" spans="1:7">
      <c r="A519" s="25">
        <v>46174</v>
      </c>
      <c r="B519" t="s">
        <v>34</v>
      </c>
      <c r="C519" s="27">
        <v>1</v>
      </c>
      <c r="D519" s="26">
        <v>18840212.922623295</v>
      </c>
      <c r="E519" s="26">
        <v>281197207.80034792</v>
      </c>
      <c r="F519" s="26">
        <v>5613035.8049999997</v>
      </c>
      <c r="G519" s="26">
        <v>28784799.000000034</v>
      </c>
    </row>
    <row r="520" spans="1:7">
      <c r="A520" s="25">
        <v>46175</v>
      </c>
      <c r="B520" t="s">
        <v>34</v>
      </c>
      <c r="C520" s="27">
        <v>2</v>
      </c>
      <c r="D520" s="26">
        <v>14424427.713081406</v>
      </c>
      <c r="E520" s="26">
        <v>215289965.86688685</v>
      </c>
      <c r="F520" s="26">
        <v>4012745.1974999998</v>
      </c>
      <c r="G520" s="26">
        <v>20578180.500000022</v>
      </c>
    </row>
    <row r="521" spans="1:7">
      <c r="A521" s="25">
        <v>46176</v>
      </c>
      <c r="B521" t="s">
        <v>34</v>
      </c>
      <c r="C521" s="27">
        <v>3</v>
      </c>
      <c r="D521" s="26">
        <v>12611379.370791322</v>
      </c>
      <c r="E521" s="26">
        <v>188229542.84763181</v>
      </c>
      <c r="F521" s="26">
        <v>7458725.4300000006</v>
      </c>
      <c r="G521" s="26">
        <v>38249874.000000045</v>
      </c>
    </row>
    <row r="522" spans="1:7">
      <c r="A522" s="25">
        <v>46177</v>
      </c>
      <c r="B522" t="s">
        <v>34</v>
      </c>
      <c r="C522" s="27">
        <v>4</v>
      </c>
      <c r="D522" s="26">
        <v>22632908.228759788</v>
      </c>
      <c r="E522" s="26">
        <v>337804600.42925084</v>
      </c>
      <c r="F522" s="26">
        <v>4622095.2374999998</v>
      </c>
      <c r="G522" s="26">
        <v>23703052.50000003</v>
      </c>
    </row>
    <row r="523" spans="1:7">
      <c r="A523" s="25">
        <v>46178</v>
      </c>
      <c r="B523" t="s">
        <v>34</v>
      </c>
      <c r="C523" s="27">
        <v>5</v>
      </c>
      <c r="D523" s="26">
        <v>14080909.974921629</v>
      </c>
      <c r="E523" s="26">
        <v>210162835.44659165</v>
      </c>
      <c r="F523" s="26">
        <v>3356147.9250000003</v>
      </c>
      <c r="G523" s="26">
        <v>17211015.000000022</v>
      </c>
    </row>
    <row r="524" spans="1:7">
      <c r="A524" s="25">
        <v>46179</v>
      </c>
      <c r="B524" t="s">
        <v>34</v>
      </c>
      <c r="C524" s="27">
        <v>6</v>
      </c>
      <c r="D524" s="26">
        <v>31457021.748691391</v>
      </c>
      <c r="E524" s="26">
        <v>469507787.29390174</v>
      </c>
      <c r="F524" s="26">
        <v>6575236.4925000016</v>
      </c>
      <c r="G524" s="26">
        <v>33719161.500000037</v>
      </c>
    </row>
    <row r="525" spans="1:7">
      <c r="A525" s="25">
        <v>46180</v>
      </c>
      <c r="B525" t="s">
        <v>34</v>
      </c>
      <c r="C525" s="27">
        <v>7</v>
      </c>
      <c r="D525" s="26">
        <v>12147807.769421704</v>
      </c>
      <c r="E525" s="26">
        <v>181310563.72271216</v>
      </c>
      <c r="F525" s="26">
        <v>4613739.6825000001</v>
      </c>
      <c r="G525" s="26">
        <v>23660203.50000003</v>
      </c>
    </row>
    <row r="526" spans="1:7">
      <c r="A526" s="25">
        <v>46181</v>
      </c>
      <c r="B526" t="s">
        <v>34</v>
      </c>
      <c r="C526" s="27">
        <v>8</v>
      </c>
      <c r="D526" s="26">
        <v>16071831.850512451</v>
      </c>
      <c r="E526" s="26">
        <v>239878087.32108152</v>
      </c>
      <c r="F526" s="26">
        <v>3914940.8025000007</v>
      </c>
      <c r="G526" s="26">
        <v>20076619.500000022</v>
      </c>
    </row>
    <row r="527" spans="1:7">
      <c r="A527" s="25">
        <v>46182</v>
      </c>
      <c r="B527" t="s">
        <v>34</v>
      </c>
      <c r="C527" s="27">
        <v>9</v>
      </c>
      <c r="D527" s="26">
        <v>11561859.890878888</v>
      </c>
      <c r="E527" s="26">
        <v>172565072.99819249</v>
      </c>
      <c r="F527" s="26">
        <v>4104777.3975</v>
      </c>
      <c r="G527" s="26">
        <v>21050140.500000022</v>
      </c>
    </row>
    <row r="528" spans="1:7">
      <c r="A528" s="25">
        <v>46183</v>
      </c>
      <c r="B528" t="s">
        <v>34</v>
      </c>
      <c r="C528" s="27">
        <v>10</v>
      </c>
      <c r="D528" s="26">
        <v>14503488.341733903</v>
      </c>
      <c r="E528" s="26">
        <v>216469975.24975991</v>
      </c>
      <c r="F528" s="26">
        <v>9737228.7674999982</v>
      </c>
      <c r="G528" s="26">
        <v>49934506.500000045</v>
      </c>
    </row>
    <row r="529" spans="1:7">
      <c r="A529" s="25">
        <v>46184</v>
      </c>
      <c r="B529" t="s">
        <v>34</v>
      </c>
      <c r="C529" s="27">
        <v>11</v>
      </c>
      <c r="D529" s="26">
        <v>17941093.953059327</v>
      </c>
      <c r="E529" s="26">
        <v>267777521.68745282</v>
      </c>
      <c r="F529" s="26">
        <v>7436322.8550000004</v>
      </c>
      <c r="G529" s="26">
        <v>38134989.000000045</v>
      </c>
    </row>
    <row r="530" spans="1:7">
      <c r="A530" s="25">
        <v>46185</v>
      </c>
      <c r="B530" t="s">
        <v>34</v>
      </c>
      <c r="C530" s="27">
        <v>12</v>
      </c>
      <c r="D530" s="26">
        <v>21355290.765868366</v>
      </c>
      <c r="E530" s="26">
        <v>318735683.07266241</v>
      </c>
      <c r="F530" s="26">
        <v>12269849.962499999</v>
      </c>
      <c r="G530" s="26">
        <v>62922307.50000006</v>
      </c>
    </row>
    <row r="531" spans="1:7">
      <c r="A531" s="25">
        <v>46186</v>
      </c>
      <c r="B531" t="s">
        <v>34</v>
      </c>
      <c r="C531" s="27">
        <v>13</v>
      </c>
      <c r="D531" s="26">
        <v>31540802.590357576</v>
      </c>
      <c r="E531" s="26">
        <v>470758247.61727762</v>
      </c>
      <c r="F531" s="26">
        <v>7864736.7825000007</v>
      </c>
      <c r="G531" s="26">
        <v>40331983.500000045</v>
      </c>
    </row>
    <row r="532" spans="1:7">
      <c r="A532" s="25">
        <v>46187</v>
      </c>
      <c r="B532" t="s">
        <v>34</v>
      </c>
      <c r="C532" s="27">
        <v>14</v>
      </c>
      <c r="D532" s="26">
        <v>29176791.965936456</v>
      </c>
      <c r="E532" s="26">
        <v>435474506.95427579</v>
      </c>
      <c r="F532" s="26">
        <v>6709773.0375000006</v>
      </c>
      <c r="G532" s="26">
        <v>34409092.500000037</v>
      </c>
    </row>
    <row r="533" spans="1:7">
      <c r="A533" s="25">
        <v>46188</v>
      </c>
      <c r="B533" t="s">
        <v>34</v>
      </c>
      <c r="C533" s="27">
        <v>15</v>
      </c>
      <c r="D533" s="26">
        <v>14598205.553859495</v>
      </c>
      <c r="E533" s="26">
        <v>217883664.98297772</v>
      </c>
      <c r="F533" s="26">
        <v>5325576.4574999996</v>
      </c>
      <c r="G533" s="26">
        <v>27310648.50000003</v>
      </c>
    </row>
    <row r="534" spans="1:7">
      <c r="A534" s="25">
        <v>46189</v>
      </c>
      <c r="B534" t="s">
        <v>34</v>
      </c>
      <c r="C534" s="27">
        <v>16</v>
      </c>
      <c r="D534" s="26">
        <v>21539446.505016692</v>
      </c>
      <c r="E534" s="26">
        <v>321484276.19427925</v>
      </c>
      <c r="F534" s="26">
        <v>4575796.5825000014</v>
      </c>
      <c r="G534" s="26">
        <v>23465623.500000026</v>
      </c>
    </row>
    <row r="535" spans="1:7">
      <c r="A535" s="25">
        <v>46190</v>
      </c>
      <c r="B535" t="s">
        <v>34</v>
      </c>
      <c r="C535" s="27">
        <v>17</v>
      </c>
      <c r="D535" s="26">
        <v>18384232.046225365</v>
      </c>
      <c r="E535" s="26">
        <v>274391523.07799071</v>
      </c>
      <c r="F535" s="26">
        <v>6430729.7925000004</v>
      </c>
      <c r="G535" s="26">
        <v>32978101.500000037</v>
      </c>
    </row>
    <row r="536" spans="1:7">
      <c r="A536" s="25">
        <v>46191</v>
      </c>
      <c r="B536" t="s">
        <v>34</v>
      </c>
      <c r="C536" s="27">
        <v>18</v>
      </c>
      <c r="D536" s="26">
        <v>19871365.068160489</v>
      </c>
      <c r="E536" s="26">
        <v>296587538.3307538</v>
      </c>
      <c r="F536" s="26">
        <v>6644179.9125000015</v>
      </c>
      <c r="G536" s="26">
        <v>34072717.500000037</v>
      </c>
    </row>
    <row r="537" spans="1:7">
      <c r="A537" s="25">
        <v>46192</v>
      </c>
      <c r="B537" t="s">
        <v>34</v>
      </c>
      <c r="C537" s="27">
        <v>19</v>
      </c>
      <c r="D537" s="26">
        <v>26565173.144746445</v>
      </c>
      <c r="E537" s="26">
        <v>396495121.56338006</v>
      </c>
      <c r="F537" s="26">
        <v>5675985.022499999</v>
      </c>
      <c r="G537" s="26">
        <v>29107615.50000003</v>
      </c>
    </row>
    <row r="538" spans="1:7">
      <c r="A538" s="25">
        <v>46193</v>
      </c>
      <c r="B538" t="s">
        <v>34</v>
      </c>
      <c r="C538" s="27">
        <v>20</v>
      </c>
      <c r="D538" s="26">
        <v>29171799.121718369</v>
      </c>
      <c r="E538" s="26">
        <v>435399986.89131933</v>
      </c>
      <c r="F538" s="26">
        <v>9532578.2175000012</v>
      </c>
      <c r="G538" s="26">
        <v>48885016.50000006</v>
      </c>
    </row>
    <row r="539" spans="1:7">
      <c r="A539" s="25">
        <v>46194</v>
      </c>
      <c r="B539" t="s">
        <v>34</v>
      </c>
      <c r="C539" s="27">
        <v>21</v>
      </c>
      <c r="D539" s="26">
        <v>22724714.815761842</v>
      </c>
      <c r="E539" s="26">
        <v>339174847.99644566</v>
      </c>
      <c r="F539" s="26">
        <v>5714957.4299999997</v>
      </c>
      <c r="G539" s="26">
        <v>29307474.000000037</v>
      </c>
    </row>
    <row r="540" spans="1:7">
      <c r="A540" s="25">
        <v>46195</v>
      </c>
      <c r="B540" t="s">
        <v>34</v>
      </c>
      <c r="C540" s="27">
        <v>22</v>
      </c>
      <c r="D540" s="26">
        <v>19642942.030219391</v>
      </c>
      <c r="E540" s="26">
        <v>293178239.25700605</v>
      </c>
      <c r="F540" s="26">
        <v>3721350.2625000007</v>
      </c>
      <c r="G540" s="26">
        <v>19083847.500000022</v>
      </c>
    </row>
    <row r="541" spans="1:7">
      <c r="A541" s="25">
        <v>46196</v>
      </c>
      <c r="B541" t="s">
        <v>34</v>
      </c>
      <c r="C541" s="27">
        <v>23</v>
      </c>
      <c r="D541" s="26">
        <v>7690619.2027851678</v>
      </c>
      <c r="E541" s="26">
        <v>114785361.23559962</v>
      </c>
      <c r="F541" s="26">
        <v>2901759.1199999996</v>
      </c>
      <c r="G541" s="26">
        <v>14880816.000000015</v>
      </c>
    </row>
    <row r="542" spans="1:7">
      <c r="A542" s="25">
        <v>46197</v>
      </c>
      <c r="B542" t="s">
        <v>34</v>
      </c>
      <c r="C542" s="27">
        <v>24</v>
      </c>
      <c r="D542" s="26">
        <v>12236002.78831278</v>
      </c>
      <c r="E542" s="26">
        <v>182626907.28825057</v>
      </c>
      <c r="F542" s="26">
        <v>5753869.2899999991</v>
      </c>
      <c r="G542" s="26">
        <v>29507022.00000003</v>
      </c>
    </row>
    <row r="543" spans="1:7">
      <c r="A543" s="25">
        <v>46198</v>
      </c>
      <c r="B543" t="s">
        <v>34</v>
      </c>
      <c r="C543" s="27">
        <v>25</v>
      </c>
      <c r="D543" s="26">
        <v>14170294.21084963</v>
      </c>
      <c r="E543" s="26">
        <v>211496928.5201439</v>
      </c>
      <c r="F543" s="26">
        <v>6760996.2225000001</v>
      </c>
      <c r="G543" s="26">
        <v>34671775.500000045</v>
      </c>
    </row>
    <row r="544" spans="1:7">
      <c r="A544" s="25">
        <v>46199</v>
      </c>
      <c r="B544" t="s">
        <v>34</v>
      </c>
      <c r="C544" s="27">
        <v>26</v>
      </c>
      <c r="D544" s="26">
        <v>23393934.859535452</v>
      </c>
      <c r="E544" s="26">
        <v>349163206.85873836</v>
      </c>
      <c r="F544" s="26">
        <v>12874719.487500001</v>
      </c>
      <c r="G544" s="26">
        <v>66024202.500000075</v>
      </c>
    </row>
    <row r="545" spans="1:7">
      <c r="A545" s="25">
        <v>46200</v>
      </c>
      <c r="B545" t="s">
        <v>34</v>
      </c>
      <c r="C545" s="27">
        <v>27</v>
      </c>
      <c r="D545" s="26">
        <v>34939202.769417286</v>
      </c>
      <c r="E545" s="26">
        <v>521480638.34951216</v>
      </c>
      <c r="F545" s="26">
        <v>9228508.6724999994</v>
      </c>
      <c r="G545" s="26">
        <v>47325685.500000045</v>
      </c>
    </row>
    <row r="546" spans="1:7">
      <c r="A546" s="25">
        <v>46201</v>
      </c>
      <c r="B546" t="s">
        <v>34</v>
      </c>
      <c r="C546" s="27">
        <v>28</v>
      </c>
      <c r="D546" s="26">
        <v>22587582.564842496</v>
      </c>
      <c r="E546" s="26">
        <v>337128097.98272407</v>
      </c>
      <c r="F546" s="26">
        <v>6403725.6074999999</v>
      </c>
      <c r="G546" s="26">
        <v>32839618.500000037</v>
      </c>
    </row>
    <row r="547" spans="1:7">
      <c r="A547" s="25">
        <v>46202</v>
      </c>
      <c r="B547" t="s">
        <v>34</v>
      </c>
      <c r="C547" s="27">
        <v>29</v>
      </c>
      <c r="D547" s="26">
        <v>16576674.36636981</v>
      </c>
      <c r="E547" s="26">
        <v>247413050.2443257</v>
      </c>
      <c r="F547" s="26">
        <v>11429935.0425</v>
      </c>
      <c r="G547" s="26">
        <v>58615051.50000006</v>
      </c>
    </row>
    <row r="548" spans="1:7">
      <c r="A548" s="25">
        <v>46203</v>
      </c>
      <c r="B548" t="s">
        <v>34</v>
      </c>
      <c r="C548" s="27">
        <v>30</v>
      </c>
      <c r="D548" s="26">
        <v>11749626.506531904</v>
      </c>
      <c r="E548" s="26">
        <v>175367559.79898378</v>
      </c>
      <c r="F548" s="26">
        <v>4365050.9175000004</v>
      </c>
      <c r="G548" s="26">
        <v>22384876.500000026</v>
      </c>
    </row>
    <row r="549" spans="1:7">
      <c r="A549" s="25">
        <v>46204</v>
      </c>
      <c r="B549" t="s">
        <v>35</v>
      </c>
      <c r="C549" s="27">
        <v>1</v>
      </c>
      <c r="D549" s="26">
        <v>13963398.456479309</v>
      </c>
      <c r="E549" s="26">
        <v>208408932.18625852</v>
      </c>
      <c r="F549" s="26">
        <v>6162766.7399999993</v>
      </c>
      <c r="G549" s="26">
        <v>31603932.000000034</v>
      </c>
    </row>
    <row r="550" spans="1:7">
      <c r="A550" s="25">
        <v>46205</v>
      </c>
      <c r="B550" t="s">
        <v>35</v>
      </c>
      <c r="C550" s="27">
        <v>2</v>
      </c>
      <c r="D550" s="26">
        <v>20032739.987314992</v>
      </c>
      <c r="E550" s="26">
        <v>298996119.21365684</v>
      </c>
      <c r="F550" s="26">
        <v>3846683.5874999999</v>
      </c>
      <c r="G550" s="26">
        <v>19726582.500000022</v>
      </c>
    </row>
    <row r="551" spans="1:7">
      <c r="A551" s="25">
        <v>46206</v>
      </c>
      <c r="B551" t="s">
        <v>35</v>
      </c>
      <c r="C551" s="27">
        <v>3</v>
      </c>
      <c r="D551" s="26">
        <v>21075709.955543965</v>
      </c>
      <c r="E551" s="26">
        <v>314562835.15737283</v>
      </c>
      <c r="F551" s="26">
        <v>9723302.8424999993</v>
      </c>
      <c r="G551" s="26">
        <v>49863091.500000052</v>
      </c>
    </row>
    <row r="552" spans="1:7">
      <c r="A552" s="25">
        <v>46207</v>
      </c>
      <c r="B552" t="s">
        <v>35</v>
      </c>
      <c r="C552" s="27">
        <v>4</v>
      </c>
      <c r="D552" s="26">
        <v>37699076.184920765</v>
      </c>
      <c r="E552" s="26">
        <v>562672778.87941492</v>
      </c>
      <c r="F552" s="26">
        <v>5316110.8649999993</v>
      </c>
      <c r="G552" s="26">
        <v>27262107.000000026</v>
      </c>
    </row>
    <row r="553" spans="1:7">
      <c r="A553" s="25">
        <v>46208</v>
      </c>
      <c r="B553" t="s">
        <v>35</v>
      </c>
      <c r="C553" s="27">
        <v>5</v>
      </c>
      <c r="D553" s="26">
        <v>21572900.193468731</v>
      </c>
      <c r="E553" s="26">
        <v>321983584.97714549</v>
      </c>
      <c r="F553" s="26">
        <v>9381370.9275000002</v>
      </c>
      <c r="G553" s="26">
        <v>48109594.500000052</v>
      </c>
    </row>
    <row r="554" spans="1:7">
      <c r="A554" s="25">
        <v>46209</v>
      </c>
      <c r="B554" t="s">
        <v>35</v>
      </c>
      <c r="C554" s="27">
        <v>6</v>
      </c>
      <c r="D554" s="26">
        <v>16315288.472969469</v>
      </c>
      <c r="E554" s="26">
        <v>243511768.25327584</v>
      </c>
      <c r="F554" s="26">
        <v>6020903.9474999998</v>
      </c>
      <c r="G554" s="26">
        <v>30876430.500000037</v>
      </c>
    </row>
    <row r="555" spans="1:7">
      <c r="A555" s="25">
        <v>46210</v>
      </c>
      <c r="B555" t="s">
        <v>35</v>
      </c>
      <c r="C555" s="27">
        <v>7</v>
      </c>
      <c r="D555" s="26">
        <v>7923355.0284672314</v>
      </c>
      <c r="E555" s="26">
        <v>118259030.27563041</v>
      </c>
      <c r="F555" s="26">
        <v>2646410.13</v>
      </c>
      <c r="G555" s="26">
        <v>13571334.000000015</v>
      </c>
    </row>
    <row r="556" spans="1:7">
      <c r="A556" s="25">
        <v>46211</v>
      </c>
      <c r="B556" t="s">
        <v>35</v>
      </c>
      <c r="C556" s="27">
        <v>8</v>
      </c>
      <c r="D556" s="26">
        <v>16179920.233084951</v>
      </c>
      <c r="E556" s="26">
        <v>241491346.76246214</v>
      </c>
      <c r="F556" s="26">
        <v>7261360.7625000002</v>
      </c>
      <c r="G556" s="26">
        <v>37237747.500000037</v>
      </c>
    </row>
    <row r="557" spans="1:7">
      <c r="A557" s="25">
        <v>46212</v>
      </c>
      <c r="B557" t="s">
        <v>35</v>
      </c>
      <c r="C557" s="27">
        <v>9</v>
      </c>
      <c r="D557" s="26">
        <v>18962057.562031865</v>
      </c>
      <c r="E557" s="26">
        <v>283015784.5079385</v>
      </c>
      <c r="F557" s="26">
        <v>3794592.5550000006</v>
      </c>
      <c r="G557" s="26">
        <v>19459449.000000022</v>
      </c>
    </row>
    <row r="558" spans="1:7">
      <c r="A558" s="25">
        <v>46213</v>
      </c>
      <c r="B558" t="s">
        <v>35</v>
      </c>
      <c r="C558" s="27">
        <v>10</v>
      </c>
      <c r="D558" s="26">
        <v>14671270.854958622</v>
      </c>
      <c r="E558" s="26">
        <v>218974191.86505425</v>
      </c>
      <c r="F558" s="26">
        <v>6112209.5774999997</v>
      </c>
      <c r="G558" s="26">
        <v>31344664.500000034</v>
      </c>
    </row>
    <row r="559" spans="1:7">
      <c r="A559" s="25">
        <v>46214</v>
      </c>
      <c r="B559" t="s">
        <v>35</v>
      </c>
      <c r="C559" s="27">
        <v>11</v>
      </c>
      <c r="D559" s="26">
        <v>26987223.815950006</v>
      </c>
      <c r="E559" s="26">
        <v>402794385.31268698</v>
      </c>
      <c r="F559" s="26">
        <v>7918321.3200000012</v>
      </c>
      <c r="G559" s="26">
        <v>40606776.000000052</v>
      </c>
    </row>
    <row r="560" spans="1:7">
      <c r="A560" s="25">
        <v>46215</v>
      </c>
      <c r="B560" t="s">
        <v>35</v>
      </c>
      <c r="C560" s="27">
        <v>12</v>
      </c>
      <c r="D560" s="26">
        <v>20121072.843342125</v>
      </c>
      <c r="E560" s="26">
        <v>300314520.04988271</v>
      </c>
      <c r="F560" s="26">
        <v>4200523.1775000002</v>
      </c>
      <c r="G560" s="26">
        <v>21541144.500000026</v>
      </c>
    </row>
    <row r="561" spans="1:7">
      <c r="A561" s="25">
        <v>46216</v>
      </c>
      <c r="B561" t="s">
        <v>35</v>
      </c>
      <c r="C561" s="27">
        <v>13</v>
      </c>
      <c r="D561" s="26">
        <v>15001479.805559967</v>
      </c>
      <c r="E561" s="26">
        <v>223902683.66507432</v>
      </c>
      <c r="F561" s="26">
        <v>6286546.0124999993</v>
      </c>
      <c r="G561" s="26">
        <v>32238697.500000037</v>
      </c>
    </row>
    <row r="562" spans="1:7">
      <c r="A562" s="25">
        <v>46217</v>
      </c>
      <c r="B562" t="s">
        <v>35</v>
      </c>
      <c r="C562" s="27">
        <v>14</v>
      </c>
      <c r="D562" s="26">
        <v>6173737.7731629685</v>
      </c>
      <c r="E562" s="26">
        <v>92145339.897954822</v>
      </c>
      <c r="F562" s="26">
        <v>2671153.8749999995</v>
      </c>
      <c r="G562" s="26">
        <v>13698225.000000013</v>
      </c>
    </row>
    <row r="563" spans="1:7">
      <c r="A563" s="25">
        <v>46218</v>
      </c>
      <c r="B563" t="s">
        <v>35</v>
      </c>
      <c r="C563" s="27">
        <v>15</v>
      </c>
      <c r="D563" s="26">
        <v>23147203.619557966</v>
      </c>
      <c r="E563" s="26">
        <v>345480651.03817886</v>
      </c>
      <c r="F563" s="26">
        <v>5694532.7399999993</v>
      </c>
      <c r="G563" s="26">
        <v>29202732.00000003</v>
      </c>
    </row>
    <row r="564" spans="1:7">
      <c r="A564" s="25">
        <v>46219</v>
      </c>
      <c r="B564" t="s">
        <v>35</v>
      </c>
      <c r="C564" s="27">
        <v>16</v>
      </c>
      <c r="D564" s="26">
        <v>15644888.756325908</v>
      </c>
      <c r="E564" s="26">
        <v>233505802.33322266</v>
      </c>
      <c r="F564" s="26">
        <v>5853187.3724999996</v>
      </c>
      <c r="G564" s="26">
        <v>30016345.50000003</v>
      </c>
    </row>
    <row r="565" spans="1:7">
      <c r="A565" s="25">
        <v>46220</v>
      </c>
      <c r="B565" t="s">
        <v>35</v>
      </c>
      <c r="C565" s="27">
        <v>17</v>
      </c>
      <c r="D565" s="26">
        <v>13498825.063380709</v>
      </c>
      <c r="E565" s="26">
        <v>201475000.94598088</v>
      </c>
      <c r="F565" s="26">
        <v>4372901.91</v>
      </c>
      <c r="G565" s="26">
        <v>22425138.000000026</v>
      </c>
    </row>
    <row r="566" spans="1:7">
      <c r="A566" s="25">
        <v>46221</v>
      </c>
      <c r="B566" t="s">
        <v>35</v>
      </c>
      <c r="C566" s="27">
        <v>18</v>
      </c>
      <c r="D566" s="26">
        <v>31676084.586936191</v>
      </c>
      <c r="E566" s="26">
        <v>472777381.89457035</v>
      </c>
      <c r="F566" s="26">
        <v>6283478.272499999</v>
      </c>
      <c r="G566" s="26">
        <v>32222965.50000003</v>
      </c>
    </row>
    <row r="567" spans="1:7">
      <c r="A567" s="25">
        <v>46222</v>
      </c>
      <c r="B567" t="s">
        <v>35</v>
      </c>
      <c r="C567" s="27">
        <v>19</v>
      </c>
      <c r="D567" s="26">
        <v>33475651.585895404</v>
      </c>
      <c r="E567" s="26">
        <v>499636590.83426011</v>
      </c>
      <c r="F567" s="26">
        <v>12204680.669999998</v>
      </c>
      <c r="G567" s="26">
        <v>62588106.00000006</v>
      </c>
    </row>
    <row r="568" spans="1:7">
      <c r="A568" s="25">
        <v>46223</v>
      </c>
      <c r="B568" t="s">
        <v>35</v>
      </c>
      <c r="C568" s="27">
        <v>20</v>
      </c>
      <c r="D568" s="26">
        <v>17735892.288326662</v>
      </c>
      <c r="E568" s="26">
        <v>264714810.27353251</v>
      </c>
      <c r="F568" s="26">
        <v>3607339.3200000003</v>
      </c>
      <c r="G568" s="26">
        <v>18499176.000000022</v>
      </c>
    </row>
    <row r="569" spans="1:7">
      <c r="A569" s="25">
        <v>46224</v>
      </c>
      <c r="B569" t="s">
        <v>35</v>
      </c>
      <c r="C569" s="27">
        <v>21</v>
      </c>
      <c r="D569" s="26">
        <v>10284796.750438819</v>
      </c>
      <c r="E569" s="26">
        <v>153504429.11102727</v>
      </c>
      <c r="F569" s="26">
        <v>6933718.0575000001</v>
      </c>
      <c r="G569" s="26">
        <v>35557528.500000037</v>
      </c>
    </row>
    <row r="570" spans="1:7">
      <c r="A570" s="25">
        <v>46225</v>
      </c>
      <c r="B570" t="s">
        <v>35</v>
      </c>
      <c r="C570" s="27">
        <v>22</v>
      </c>
      <c r="D570" s="26">
        <v>15127276.42170155</v>
      </c>
      <c r="E570" s="26">
        <v>225780245.10002333</v>
      </c>
      <c r="F570" s="26">
        <v>3719776.0275000008</v>
      </c>
      <c r="G570" s="26">
        <v>19075774.500000022</v>
      </c>
    </row>
    <row r="571" spans="1:7">
      <c r="A571" s="25">
        <v>46226</v>
      </c>
      <c r="B571" t="s">
        <v>35</v>
      </c>
      <c r="C571" s="27">
        <v>23</v>
      </c>
      <c r="D571" s="26">
        <v>16316618.639370821</v>
      </c>
      <c r="E571" s="26">
        <v>243531621.48314679</v>
      </c>
      <c r="F571" s="26">
        <v>6643433.1600000001</v>
      </c>
      <c r="G571" s="26">
        <v>34068888.000000037</v>
      </c>
    </row>
    <row r="572" spans="1:7">
      <c r="A572" s="25">
        <v>46227</v>
      </c>
      <c r="B572" t="s">
        <v>35</v>
      </c>
      <c r="C572" s="27">
        <v>24</v>
      </c>
      <c r="D572" s="26">
        <v>25157905.573717885</v>
      </c>
      <c r="E572" s="26">
        <v>375491127.96593887</v>
      </c>
      <c r="F572" s="26">
        <v>6801381.4050000003</v>
      </c>
      <c r="G572" s="26">
        <v>34878879.000000037</v>
      </c>
    </row>
    <row r="573" spans="1:7">
      <c r="A573" s="25">
        <v>46228</v>
      </c>
      <c r="B573" t="s">
        <v>35</v>
      </c>
      <c r="C573" s="27">
        <v>25</v>
      </c>
      <c r="D573" s="26">
        <v>31755870.710599873</v>
      </c>
      <c r="E573" s="26">
        <v>473968219.56119251</v>
      </c>
      <c r="F573" s="26">
        <v>9303305.0175000001</v>
      </c>
      <c r="G573" s="26">
        <v>47709256.50000006</v>
      </c>
    </row>
    <row r="574" spans="1:7">
      <c r="A574" s="25">
        <v>46229</v>
      </c>
      <c r="B574" t="s">
        <v>35</v>
      </c>
      <c r="C574" s="27">
        <v>26</v>
      </c>
      <c r="D574" s="26">
        <v>25366484.628667548</v>
      </c>
      <c r="E574" s="26">
        <v>378604248.18906814</v>
      </c>
      <c r="F574" s="26">
        <v>11230108.109999999</v>
      </c>
      <c r="G574" s="26">
        <v>57590298.000000067</v>
      </c>
    </row>
    <row r="575" spans="1:7">
      <c r="A575" s="25">
        <v>46230</v>
      </c>
      <c r="B575" t="s">
        <v>35</v>
      </c>
      <c r="C575" s="27">
        <v>27</v>
      </c>
      <c r="D575" s="26">
        <v>11476152.234054293</v>
      </c>
      <c r="E575" s="26">
        <v>171285854.23961645</v>
      </c>
      <c r="F575" s="26">
        <v>6296657.4449999994</v>
      </c>
      <c r="G575" s="26">
        <v>32290551.00000003</v>
      </c>
    </row>
    <row r="576" spans="1:7">
      <c r="A576" s="25">
        <v>46231</v>
      </c>
      <c r="B576" t="s">
        <v>35</v>
      </c>
      <c r="C576" s="27">
        <v>28</v>
      </c>
      <c r="D576" s="26">
        <v>12476637.518734861</v>
      </c>
      <c r="E576" s="26">
        <v>186218470.42887866</v>
      </c>
      <c r="F576" s="26">
        <v>5283818.8649999993</v>
      </c>
      <c r="G576" s="26">
        <v>27096507.000000026</v>
      </c>
    </row>
    <row r="577" spans="1:7">
      <c r="A577" s="25">
        <v>46232</v>
      </c>
      <c r="B577" t="s">
        <v>35</v>
      </c>
      <c r="C577" s="27">
        <v>29</v>
      </c>
      <c r="D577" s="26">
        <v>10621303.329708301</v>
      </c>
      <c r="E577" s="26">
        <v>158526915.36878073</v>
      </c>
      <c r="F577" s="26">
        <v>9595244.879999999</v>
      </c>
      <c r="G577" s="26">
        <v>49206384.000000045</v>
      </c>
    </row>
    <row r="578" spans="1:7">
      <c r="A578" s="25">
        <v>46233</v>
      </c>
      <c r="B578" t="s">
        <v>35</v>
      </c>
      <c r="C578" s="27">
        <v>30</v>
      </c>
      <c r="D578" s="26">
        <v>15235934.342064053</v>
      </c>
      <c r="E578" s="26">
        <v>227402005.10543382</v>
      </c>
      <c r="F578" s="26">
        <v>5400271.8899999997</v>
      </c>
      <c r="G578" s="26">
        <v>27693702.000000026</v>
      </c>
    </row>
    <row r="579" spans="1:7">
      <c r="A579" s="25">
        <v>46234</v>
      </c>
      <c r="B579" t="s">
        <v>35</v>
      </c>
      <c r="C579" s="27">
        <v>31</v>
      </c>
      <c r="D579" s="26">
        <v>24905017.101151638</v>
      </c>
      <c r="E579" s="26">
        <v>371716673.15151727</v>
      </c>
      <c r="F579" s="26">
        <v>5471879.3999999994</v>
      </c>
      <c r="G579" s="26">
        <v>28060920.000000026</v>
      </c>
    </row>
    <row r="580" spans="1:7">
      <c r="A580" s="25">
        <v>46235</v>
      </c>
      <c r="B580" t="s">
        <v>36</v>
      </c>
      <c r="C580" s="27">
        <v>1</v>
      </c>
      <c r="D580" s="26">
        <v>22684316.155142654</v>
      </c>
      <c r="E580" s="26">
        <v>338571882.91257721</v>
      </c>
      <c r="F580" s="26">
        <v>7423345.5075000003</v>
      </c>
      <c r="G580" s="26">
        <v>38068438.500000045</v>
      </c>
    </row>
    <row r="581" spans="1:7">
      <c r="A581" s="25">
        <v>46236</v>
      </c>
      <c r="B581" t="s">
        <v>36</v>
      </c>
      <c r="C581" s="27">
        <v>2</v>
      </c>
      <c r="D581" s="26">
        <v>21177692.215233453</v>
      </c>
      <c r="E581" s="26">
        <v>316084958.43632042</v>
      </c>
      <c r="F581" s="26">
        <v>6158710.0574999992</v>
      </c>
      <c r="G581" s="26">
        <v>31583128.50000003</v>
      </c>
    </row>
    <row r="582" spans="1:7">
      <c r="A582" s="25">
        <v>46237</v>
      </c>
      <c r="B582" t="s">
        <v>36</v>
      </c>
      <c r="C582" s="27">
        <v>3</v>
      </c>
      <c r="D582" s="26">
        <v>13532769.446504273</v>
      </c>
      <c r="E582" s="26">
        <v>201981633.52991468</v>
      </c>
      <c r="F582" s="26">
        <v>6707573.1450000005</v>
      </c>
      <c r="G582" s="26">
        <v>34397811.000000045</v>
      </c>
    </row>
    <row r="583" spans="1:7">
      <c r="A583" s="25">
        <v>46238</v>
      </c>
      <c r="B583" t="s">
        <v>36</v>
      </c>
      <c r="C583" s="27">
        <v>4</v>
      </c>
      <c r="D583" s="26">
        <v>11054213.257268561</v>
      </c>
      <c r="E583" s="26">
        <v>164988257.57117268</v>
      </c>
      <c r="F583" s="26">
        <v>3062532.9149999996</v>
      </c>
      <c r="G583" s="26">
        <v>15705297.000000015</v>
      </c>
    </row>
    <row r="584" spans="1:7">
      <c r="A584" s="25">
        <v>46239</v>
      </c>
      <c r="B584" t="s">
        <v>36</v>
      </c>
      <c r="C584" s="27">
        <v>5</v>
      </c>
      <c r="D584" s="26">
        <v>9065086.1000323966</v>
      </c>
      <c r="E584" s="26">
        <v>135299792.53779706</v>
      </c>
      <c r="F584" s="26">
        <v>6189730.5599999996</v>
      </c>
      <c r="G584" s="26">
        <v>31742208.00000003</v>
      </c>
    </row>
    <row r="585" spans="1:7">
      <c r="A585" s="25">
        <v>46240</v>
      </c>
      <c r="B585" t="s">
        <v>36</v>
      </c>
      <c r="C585" s="27">
        <v>6</v>
      </c>
      <c r="D585" s="26">
        <v>21026231.057459675</v>
      </c>
      <c r="E585" s="26">
        <v>313824344.1411894</v>
      </c>
      <c r="F585" s="26">
        <v>9127858.5449999999</v>
      </c>
      <c r="G585" s="26">
        <v>46809531.000000052</v>
      </c>
    </row>
    <row r="586" spans="1:7">
      <c r="A586" s="25">
        <v>46241</v>
      </c>
      <c r="B586" t="s">
        <v>36</v>
      </c>
      <c r="C586" s="27">
        <v>7</v>
      </c>
      <c r="D586" s="26">
        <v>14320734.834363632</v>
      </c>
      <c r="E586" s="26">
        <v>213742310.9606514</v>
      </c>
      <c r="F586" s="26">
        <v>4863699.9449999994</v>
      </c>
      <c r="G586" s="26">
        <v>24942051.000000022</v>
      </c>
    </row>
    <row r="587" spans="1:7">
      <c r="A587" s="25">
        <v>46242</v>
      </c>
      <c r="B587" t="s">
        <v>36</v>
      </c>
      <c r="C587" s="27">
        <v>8</v>
      </c>
      <c r="D587" s="26">
        <v>21652157.238311101</v>
      </c>
      <c r="E587" s="26">
        <v>323166525.94494206</v>
      </c>
      <c r="F587" s="26">
        <v>7005648.4875000007</v>
      </c>
      <c r="G587" s="26">
        <v>35926402.500000037</v>
      </c>
    </row>
    <row r="588" spans="1:7">
      <c r="A588" s="25">
        <v>46243</v>
      </c>
      <c r="B588" t="s">
        <v>36</v>
      </c>
      <c r="C588" s="27">
        <v>9</v>
      </c>
      <c r="D588" s="26">
        <v>19834756.963363338</v>
      </c>
      <c r="E588" s="26">
        <v>296041148.70691574</v>
      </c>
      <c r="F588" s="26">
        <v>6179538.397499999</v>
      </c>
      <c r="G588" s="26">
        <v>31689940.50000003</v>
      </c>
    </row>
    <row r="589" spans="1:7">
      <c r="A589" s="25">
        <v>46244</v>
      </c>
      <c r="B589" t="s">
        <v>36</v>
      </c>
      <c r="C589" s="27">
        <v>10</v>
      </c>
      <c r="D589" s="26">
        <v>13060109.446715187</v>
      </c>
      <c r="E589" s="26">
        <v>194927006.667391</v>
      </c>
      <c r="F589" s="26">
        <v>5271911.1899999995</v>
      </c>
      <c r="G589" s="26">
        <v>27035442.00000003</v>
      </c>
    </row>
    <row r="590" spans="1:7">
      <c r="A590" s="25">
        <v>46245</v>
      </c>
      <c r="B590" t="s">
        <v>36</v>
      </c>
      <c r="C590" s="27">
        <v>11</v>
      </c>
      <c r="D590" s="26">
        <v>11672519.665683607</v>
      </c>
      <c r="E590" s="26">
        <v>174216711.42811367</v>
      </c>
      <c r="F590" s="26">
        <v>5539732.9649999999</v>
      </c>
      <c r="G590" s="26">
        <v>28408887.00000003</v>
      </c>
    </row>
    <row r="591" spans="1:7">
      <c r="A591" s="25">
        <v>46246</v>
      </c>
      <c r="B591" t="s">
        <v>36</v>
      </c>
      <c r="C591" s="27">
        <v>12</v>
      </c>
      <c r="D591" s="26">
        <v>9574778.5742457658</v>
      </c>
      <c r="E591" s="26">
        <v>142907142.89919066</v>
      </c>
      <c r="F591" s="26">
        <v>4410017.5274999999</v>
      </c>
      <c r="G591" s="26">
        <v>22615474.500000022</v>
      </c>
    </row>
    <row r="592" spans="1:7">
      <c r="A592" s="25">
        <v>46247</v>
      </c>
      <c r="B592" t="s">
        <v>36</v>
      </c>
      <c r="C592" s="27">
        <v>13</v>
      </c>
      <c r="D592" s="26">
        <v>13837297.533564683</v>
      </c>
      <c r="E592" s="26">
        <v>206526828.85917455</v>
      </c>
      <c r="F592" s="26">
        <v>5529137.1524999999</v>
      </c>
      <c r="G592" s="26">
        <v>28354549.50000003</v>
      </c>
    </row>
    <row r="593" spans="1:7">
      <c r="A593" s="25">
        <v>46248</v>
      </c>
      <c r="B593" t="s">
        <v>36</v>
      </c>
      <c r="C593" s="27">
        <v>14</v>
      </c>
      <c r="D593" s="26">
        <v>27198814.608864609</v>
      </c>
      <c r="E593" s="26">
        <v>405952456.84872586</v>
      </c>
      <c r="F593" s="26">
        <v>8488779.682500001</v>
      </c>
      <c r="G593" s="26">
        <v>43532203.50000006</v>
      </c>
    </row>
    <row r="594" spans="1:7">
      <c r="A594" s="25">
        <v>46249</v>
      </c>
      <c r="B594" t="s">
        <v>36</v>
      </c>
      <c r="C594" s="27">
        <v>15</v>
      </c>
      <c r="D594" s="26">
        <v>17455157.878689907</v>
      </c>
      <c r="E594" s="26">
        <v>260524744.45805854</v>
      </c>
      <c r="F594" s="26">
        <v>5965543.3499999996</v>
      </c>
      <c r="G594" s="26">
        <v>30592530.00000003</v>
      </c>
    </row>
    <row r="595" spans="1:7">
      <c r="A595" s="25">
        <v>46250</v>
      </c>
      <c r="B595" t="s">
        <v>36</v>
      </c>
      <c r="C595" s="27">
        <v>16</v>
      </c>
      <c r="D595" s="26">
        <v>24665119.346405365</v>
      </c>
      <c r="E595" s="26">
        <v>368136109.64784151</v>
      </c>
      <c r="F595" s="26">
        <v>5628979.9799999995</v>
      </c>
      <c r="G595" s="26">
        <v>28866564.00000003</v>
      </c>
    </row>
    <row r="596" spans="1:7">
      <c r="A596" s="25">
        <v>46251</v>
      </c>
      <c r="B596" t="s">
        <v>36</v>
      </c>
      <c r="C596" s="27">
        <v>17</v>
      </c>
      <c r="D596" s="26">
        <v>8799389.6320312619</v>
      </c>
      <c r="E596" s="26">
        <v>131334173.612407</v>
      </c>
      <c r="F596" s="26">
        <v>3293279.4375</v>
      </c>
      <c r="G596" s="26">
        <v>16888612.500000019</v>
      </c>
    </row>
    <row r="597" spans="1:7">
      <c r="A597" s="25">
        <v>46252</v>
      </c>
      <c r="B597" t="s">
        <v>36</v>
      </c>
      <c r="C597" s="27">
        <v>18</v>
      </c>
      <c r="D597" s="26">
        <v>8323983.9552217592</v>
      </c>
      <c r="E597" s="26">
        <v>124238566.49584724</v>
      </c>
      <c r="F597" s="26">
        <v>3385291.4550000001</v>
      </c>
      <c r="G597" s="26">
        <v>17360469.000000019</v>
      </c>
    </row>
    <row r="598" spans="1:7">
      <c r="A598" s="25">
        <v>46253</v>
      </c>
      <c r="B598" t="s">
        <v>36</v>
      </c>
      <c r="C598" s="27">
        <v>19</v>
      </c>
      <c r="D598" s="26">
        <v>13210456.357575219</v>
      </c>
      <c r="E598" s="26">
        <v>197170990.41157058</v>
      </c>
      <c r="F598" s="26">
        <v>4109681.7450000001</v>
      </c>
      <c r="G598" s="26">
        <v>21075291.000000022</v>
      </c>
    </row>
    <row r="599" spans="1:7">
      <c r="A599" s="25">
        <v>46254</v>
      </c>
      <c r="B599" t="s">
        <v>36</v>
      </c>
      <c r="C599" s="27">
        <v>20</v>
      </c>
      <c r="D599" s="26">
        <v>16511719.46321797</v>
      </c>
      <c r="E599" s="26">
        <v>246443574.07788032</v>
      </c>
      <c r="F599" s="26">
        <v>2205745.4250000003</v>
      </c>
      <c r="G599" s="26">
        <v>11311515.000000013</v>
      </c>
    </row>
    <row r="600" spans="1:7">
      <c r="A600" s="25">
        <v>46255</v>
      </c>
      <c r="B600" t="s">
        <v>36</v>
      </c>
      <c r="C600" s="27">
        <v>21</v>
      </c>
      <c r="D600" s="26">
        <v>26371343.70076495</v>
      </c>
      <c r="E600" s="26">
        <v>393602144.78753686</v>
      </c>
      <c r="F600" s="26">
        <v>2091209.7374999998</v>
      </c>
      <c r="G600" s="26">
        <v>10724152.500000011</v>
      </c>
    </row>
    <row r="601" spans="1:7">
      <c r="A601" s="25">
        <v>46256</v>
      </c>
      <c r="B601" t="s">
        <v>36</v>
      </c>
      <c r="C601" s="27">
        <v>22</v>
      </c>
      <c r="D601" s="26">
        <v>28587367.797475394</v>
      </c>
      <c r="E601" s="26">
        <v>426677131.30560327</v>
      </c>
      <c r="F601" s="26">
        <v>6050874.959999999</v>
      </c>
      <c r="G601" s="26">
        <v>31030128.00000003</v>
      </c>
    </row>
    <row r="602" spans="1:7">
      <c r="A602" s="25">
        <v>46257</v>
      </c>
      <c r="B602" t="s">
        <v>36</v>
      </c>
      <c r="C602" s="27">
        <v>23</v>
      </c>
      <c r="D602" s="26">
        <v>21714908.476301689</v>
      </c>
      <c r="E602" s="26">
        <v>324103111.58659261</v>
      </c>
      <c r="F602" s="26">
        <v>7869419.1225000005</v>
      </c>
      <c r="G602" s="26">
        <v>40355995.500000045</v>
      </c>
    </row>
    <row r="603" spans="1:7">
      <c r="A603" s="25">
        <v>46258</v>
      </c>
      <c r="B603" t="s">
        <v>36</v>
      </c>
      <c r="C603" s="27">
        <v>24</v>
      </c>
      <c r="D603" s="26">
        <v>17162347.123925544</v>
      </c>
      <c r="E603" s="26">
        <v>256154434.68545607</v>
      </c>
      <c r="F603" s="26">
        <v>2921457.2399999998</v>
      </c>
      <c r="G603" s="26">
        <v>14981832.000000015</v>
      </c>
    </row>
    <row r="604" spans="1:7">
      <c r="A604" s="25">
        <v>46259</v>
      </c>
      <c r="B604" t="s">
        <v>36</v>
      </c>
      <c r="C604" s="27">
        <v>25</v>
      </c>
      <c r="D604" s="26">
        <v>11372195.507532163</v>
      </c>
      <c r="E604" s="26">
        <v>169734261.30645034</v>
      </c>
      <c r="F604" s="26">
        <v>4991233.1624999996</v>
      </c>
      <c r="G604" s="26">
        <v>25596067.500000026</v>
      </c>
    </row>
    <row r="605" spans="1:7">
      <c r="A605" s="25">
        <v>46260</v>
      </c>
      <c r="B605" t="s">
        <v>36</v>
      </c>
      <c r="C605" s="27">
        <v>26</v>
      </c>
      <c r="D605" s="26">
        <v>12619141.406644102</v>
      </c>
      <c r="E605" s="26">
        <v>188345394.12901661</v>
      </c>
      <c r="F605" s="26">
        <v>5357404.26</v>
      </c>
      <c r="G605" s="26">
        <v>27473868.00000003</v>
      </c>
    </row>
    <row r="606" spans="1:7">
      <c r="A606" s="25">
        <v>46261</v>
      </c>
      <c r="B606" t="s">
        <v>36</v>
      </c>
      <c r="C606" s="27">
        <v>27</v>
      </c>
      <c r="D606" s="26">
        <v>15978116.499276474</v>
      </c>
      <c r="E606" s="26">
        <v>238479350.73546994</v>
      </c>
      <c r="F606" s="26">
        <v>3143686.7474999996</v>
      </c>
      <c r="G606" s="26">
        <v>16121470.500000015</v>
      </c>
    </row>
    <row r="607" spans="1:7">
      <c r="A607" s="25">
        <v>46262</v>
      </c>
      <c r="B607" t="s">
        <v>36</v>
      </c>
      <c r="C607" s="27">
        <v>28</v>
      </c>
      <c r="D607" s="26">
        <v>16687187.866441576</v>
      </c>
      <c r="E607" s="26">
        <v>249062505.46927744</v>
      </c>
      <c r="F607" s="26">
        <v>18347769.4725</v>
      </c>
      <c r="G607" s="26">
        <v>94091125.500000104</v>
      </c>
    </row>
    <row r="608" spans="1:7">
      <c r="A608" s="25">
        <v>46263</v>
      </c>
      <c r="B608" t="s">
        <v>36</v>
      </c>
      <c r="C608" s="27">
        <v>29</v>
      </c>
      <c r="D608" s="26">
        <v>37810996.827175342</v>
      </c>
      <c r="E608" s="26">
        <v>564343236.22649801</v>
      </c>
      <c r="F608" s="26">
        <v>0</v>
      </c>
      <c r="G608" s="26">
        <v>0</v>
      </c>
    </row>
    <row r="609" spans="1:7">
      <c r="A609" s="25">
        <v>46264</v>
      </c>
      <c r="B609" t="s">
        <v>36</v>
      </c>
      <c r="C609" s="27">
        <v>30</v>
      </c>
      <c r="D609" s="26">
        <v>18215591.111258145</v>
      </c>
      <c r="E609" s="26">
        <v>271874494.19788295</v>
      </c>
      <c r="F609" s="26">
        <v>5864933.5874999994</v>
      </c>
      <c r="G609" s="26">
        <v>30076582.50000003</v>
      </c>
    </row>
    <row r="610" spans="1:7">
      <c r="A610" s="25">
        <v>46265</v>
      </c>
      <c r="B610" t="s">
        <v>36</v>
      </c>
      <c r="C610" s="27">
        <v>31</v>
      </c>
      <c r="D610" s="26">
        <v>13836057.137661383</v>
      </c>
      <c r="E610" s="26">
        <v>206508315.48748347</v>
      </c>
      <c r="F610" s="26">
        <v>3019241.4524999997</v>
      </c>
      <c r="G610" s="26">
        <v>15483289.500000017</v>
      </c>
    </row>
    <row r="611" spans="1:7">
      <c r="A611" s="25">
        <v>46266</v>
      </c>
      <c r="B611" t="s">
        <v>37</v>
      </c>
      <c r="C611" s="27">
        <v>1</v>
      </c>
      <c r="D611" s="26">
        <v>10352006.22097576</v>
      </c>
      <c r="E611" s="26">
        <v>154507555.53695178</v>
      </c>
      <c r="F611" s="26">
        <v>6001024.1849999996</v>
      </c>
      <c r="G611" s="26">
        <v>30774483.00000003</v>
      </c>
    </row>
    <row r="612" spans="1:7">
      <c r="A612" s="25">
        <v>46267</v>
      </c>
      <c r="B612" t="s">
        <v>37</v>
      </c>
      <c r="C612" s="27">
        <v>2</v>
      </c>
      <c r="D612" s="26">
        <v>12608690.059684547</v>
      </c>
      <c r="E612" s="26">
        <v>188189403.87588891</v>
      </c>
      <c r="F612" s="26">
        <v>3455627.4675000003</v>
      </c>
      <c r="G612" s="26">
        <v>17721166.500000022</v>
      </c>
    </row>
    <row r="613" spans="1:7">
      <c r="A613" s="25">
        <v>46268</v>
      </c>
      <c r="B613" t="s">
        <v>37</v>
      </c>
      <c r="C613" s="27">
        <v>3</v>
      </c>
      <c r="D613" s="26">
        <v>17190497.436929729</v>
      </c>
      <c r="E613" s="26">
        <v>256574588.61089167</v>
      </c>
      <c r="F613" s="26">
        <v>7778254.7700000005</v>
      </c>
      <c r="G613" s="26">
        <v>39888486.000000045</v>
      </c>
    </row>
    <row r="614" spans="1:7">
      <c r="A614" s="25">
        <v>46269</v>
      </c>
      <c r="B614" t="s">
        <v>37</v>
      </c>
      <c r="C614" s="27">
        <v>4</v>
      </c>
      <c r="D614" s="26">
        <v>21042390.092911441</v>
      </c>
      <c r="E614" s="26">
        <v>314065523.77479792</v>
      </c>
      <c r="F614" s="26">
        <v>6555033.8100000005</v>
      </c>
      <c r="G614" s="26">
        <v>33615558.000000045</v>
      </c>
    </row>
    <row r="615" spans="1:7">
      <c r="A615" s="25">
        <v>46270</v>
      </c>
      <c r="B615" t="s">
        <v>37</v>
      </c>
      <c r="C615" s="27">
        <v>5</v>
      </c>
      <c r="D615" s="26">
        <v>29942630.447560873</v>
      </c>
      <c r="E615" s="26">
        <v>446904932.05314773</v>
      </c>
      <c r="F615" s="26">
        <v>8209090.5975000001</v>
      </c>
      <c r="G615" s="26">
        <v>42097900.500000045</v>
      </c>
    </row>
    <row r="616" spans="1:7">
      <c r="A616" s="25">
        <v>46271</v>
      </c>
      <c r="B616" t="s">
        <v>37</v>
      </c>
      <c r="C616" s="27">
        <v>6</v>
      </c>
      <c r="D616" s="26">
        <v>23390105.642921116</v>
      </c>
      <c r="E616" s="26">
        <v>349106054.37195724</v>
      </c>
      <c r="F616" s="26">
        <v>8543151.3375000004</v>
      </c>
      <c r="G616" s="26">
        <v>43811032.500000052</v>
      </c>
    </row>
    <row r="617" spans="1:7">
      <c r="A617" s="25">
        <v>46272</v>
      </c>
      <c r="B617" t="s">
        <v>37</v>
      </c>
      <c r="C617" s="27">
        <v>7</v>
      </c>
      <c r="D617" s="26">
        <v>11813822.925051931</v>
      </c>
      <c r="E617" s="26">
        <v>176325715.2992827</v>
      </c>
      <c r="F617" s="26">
        <v>2860950.1049999995</v>
      </c>
      <c r="G617" s="26">
        <v>14671539.000000013</v>
      </c>
    </row>
    <row r="618" spans="1:7">
      <c r="A618" s="25">
        <v>46273</v>
      </c>
      <c r="B618" t="s">
        <v>37</v>
      </c>
      <c r="C618" s="27">
        <v>8</v>
      </c>
      <c r="D618" s="26">
        <v>8581305.4167043176</v>
      </c>
      <c r="E618" s="26">
        <v>128079185.32394515</v>
      </c>
      <c r="F618" s="26">
        <v>1910980.0124999997</v>
      </c>
      <c r="G618" s="26">
        <v>9799897.5000000093</v>
      </c>
    </row>
    <row r="619" spans="1:7">
      <c r="A619" s="25">
        <v>46274</v>
      </c>
      <c r="B619" t="s">
        <v>37</v>
      </c>
      <c r="C619" s="27">
        <v>9</v>
      </c>
      <c r="D619" s="26">
        <v>16619417.019069001</v>
      </c>
      <c r="E619" s="26">
        <v>248051000.28461215</v>
      </c>
      <c r="F619" s="26">
        <v>5038561.1249999991</v>
      </c>
      <c r="G619" s="26">
        <v>25838775.000000022</v>
      </c>
    </row>
    <row r="620" spans="1:7">
      <c r="A620" s="25">
        <v>46275</v>
      </c>
      <c r="B620" t="s">
        <v>37</v>
      </c>
      <c r="C620" s="27">
        <v>10</v>
      </c>
      <c r="D620" s="26">
        <v>16138968.702387642</v>
      </c>
      <c r="E620" s="26">
        <v>240880129.88638291</v>
      </c>
      <c r="F620" s="26">
        <v>6907521.1725000003</v>
      </c>
      <c r="G620" s="26">
        <v>35423185.500000037</v>
      </c>
    </row>
    <row r="621" spans="1:7">
      <c r="A621" s="25">
        <v>46276</v>
      </c>
      <c r="B621" t="s">
        <v>37</v>
      </c>
      <c r="C621" s="27">
        <v>11</v>
      </c>
      <c r="D621" s="26">
        <v>12837669.7023778</v>
      </c>
      <c r="E621" s="26">
        <v>191607010.48325089</v>
      </c>
      <c r="F621" s="26">
        <v>4855404.9374999991</v>
      </c>
      <c r="G621" s="26">
        <v>24899512.500000022</v>
      </c>
    </row>
    <row r="622" spans="1:7">
      <c r="A622" s="25">
        <v>46277</v>
      </c>
      <c r="B622" t="s">
        <v>37</v>
      </c>
      <c r="C622" s="27">
        <v>12</v>
      </c>
      <c r="D622" s="26">
        <v>27739445.468568917</v>
      </c>
      <c r="E622" s="26">
        <v>414021574.15774536</v>
      </c>
      <c r="F622" s="26">
        <v>8172378.629999999</v>
      </c>
      <c r="G622" s="26">
        <v>41909634.000000045</v>
      </c>
    </row>
    <row r="623" spans="1:7">
      <c r="A623" s="25">
        <v>46278</v>
      </c>
      <c r="B623" t="s">
        <v>37</v>
      </c>
      <c r="C623" s="27">
        <v>13</v>
      </c>
      <c r="D623" s="26">
        <v>32267008.434503317</v>
      </c>
      <c r="E623" s="26">
        <v>481597140.8134827</v>
      </c>
      <c r="F623" s="26">
        <v>8600974.2000000011</v>
      </c>
      <c r="G623" s="26">
        <v>44107560.000000052</v>
      </c>
    </row>
    <row r="624" spans="1:7">
      <c r="A624" s="25">
        <v>46279</v>
      </c>
      <c r="B624" t="s">
        <v>37</v>
      </c>
      <c r="C624" s="27">
        <v>14</v>
      </c>
      <c r="D624" s="26">
        <v>10353239.35501289</v>
      </c>
      <c r="E624" s="26">
        <v>154525960.52258056</v>
      </c>
      <c r="F624" s="26">
        <v>4633155.2475000005</v>
      </c>
      <c r="G624" s="26">
        <v>23759770.50000003</v>
      </c>
    </row>
    <row r="625" spans="1:7">
      <c r="A625" s="25">
        <v>46280</v>
      </c>
      <c r="B625" t="s">
        <v>37</v>
      </c>
      <c r="C625" s="27">
        <v>15</v>
      </c>
      <c r="D625" s="26">
        <v>11251492.57180755</v>
      </c>
      <c r="E625" s="26">
        <v>167932724.95235163</v>
      </c>
      <c r="F625" s="26">
        <v>1950618.4425000001</v>
      </c>
      <c r="G625" s="26">
        <v>10003171.500000011</v>
      </c>
    </row>
    <row r="626" spans="1:7">
      <c r="A626" s="25">
        <v>46281</v>
      </c>
      <c r="B626" t="s">
        <v>37</v>
      </c>
      <c r="C626" s="27">
        <v>16</v>
      </c>
      <c r="D626" s="26">
        <v>14139255.957408633</v>
      </c>
      <c r="E626" s="26">
        <v>211033671.00609916</v>
      </c>
      <c r="F626" s="26">
        <v>2650749.3674999997</v>
      </c>
      <c r="G626" s="26">
        <v>13593586.500000013</v>
      </c>
    </row>
    <row r="627" spans="1:7">
      <c r="A627" s="25">
        <v>46282</v>
      </c>
      <c r="B627" t="s">
        <v>37</v>
      </c>
      <c r="C627" s="27">
        <v>17</v>
      </c>
      <c r="D627" s="26">
        <v>24144547.628413159</v>
      </c>
      <c r="E627" s="26">
        <v>360366382.5136295</v>
      </c>
      <c r="F627" s="26">
        <v>4586150.2050000001</v>
      </c>
      <c r="G627" s="26">
        <v>23518719.000000022</v>
      </c>
    </row>
    <row r="628" spans="1:7">
      <c r="A628" s="25">
        <v>46283</v>
      </c>
      <c r="B628" t="s">
        <v>37</v>
      </c>
      <c r="C628" s="27">
        <v>18</v>
      </c>
      <c r="D628" s="26">
        <v>14078023.901821829</v>
      </c>
      <c r="E628" s="26">
        <v>210119759.72868419</v>
      </c>
      <c r="F628" s="26">
        <v>5271527.7224999992</v>
      </c>
      <c r="G628" s="26">
        <v>27033475.500000026</v>
      </c>
    </row>
    <row r="629" spans="1:7">
      <c r="A629" s="25">
        <v>46284</v>
      </c>
      <c r="B629" t="s">
        <v>37</v>
      </c>
      <c r="C629" s="27">
        <v>19</v>
      </c>
      <c r="D629" s="26">
        <v>16052130.407579932</v>
      </c>
      <c r="E629" s="26">
        <v>239584035.93402901</v>
      </c>
      <c r="F629" s="26">
        <v>11077750.417499999</v>
      </c>
      <c r="G629" s="26">
        <v>56808976.500000052</v>
      </c>
    </row>
    <row r="630" spans="1:7">
      <c r="A630" s="25">
        <v>46285</v>
      </c>
      <c r="B630" t="s">
        <v>37</v>
      </c>
      <c r="C630" s="27">
        <v>20</v>
      </c>
      <c r="D630" s="26">
        <v>24626226.174385175</v>
      </c>
      <c r="E630" s="26">
        <v>367555614.54306257</v>
      </c>
      <c r="F630" s="26">
        <v>5911090.9649999999</v>
      </c>
      <c r="G630" s="26">
        <v>30313287.000000034</v>
      </c>
    </row>
    <row r="631" spans="1:7">
      <c r="A631" s="25">
        <v>46286</v>
      </c>
      <c r="B631" t="s">
        <v>37</v>
      </c>
      <c r="C631" s="27">
        <v>21</v>
      </c>
      <c r="D631" s="26">
        <v>12747364.73097945</v>
      </c>
      <c r="E631" s="26">
        <v>190259175.08924568</v>
      </c>
      <c r="F631" s="26">
        <v>5840835.6824999992</v>
      </c>
      <c r="G631" s="26">
        <v>29953003.50000003</v>
      </c>
    </row>
    <row r="632" spans="1:7">
      <c r="A632" s="25">
        <v>46287</v>
      </c>
      <c r="B632" t="s">
        <v>37</v>
      </c>
      <c r="C632" s="27">
        <v>22</v>
      </c>
      <c r="D632" s="26">
        <v>14652835.189880706</v>
      </c>
      <c r="E632" s="26">
        <v>218699032.68478683</v>
      </c>
      <c r="F632" s="26">
        <v>6593582.3849999998</v>
      </c>
      <c r="G632" s="26">
        <v>33813243.000000037</v>
      </c>
    </row>
    <row r="633" spans="1:7">
      <c r="A633" s="25">
        <v>46288</v>
      </c>
      <c r="B633" t="s">
        <v>37</v>
      </c>
      <c r="C633" s="27">
        <v>23</v>
      </c>
      <c r="D633" s="26">
        <v>11266911.588515781</v>
      </c>
      <c r="E633" s="26">
        <v>168162859.5300864</v>
      </c>
      <c r="F633" s="26">
        <v>3592303.3574999999</v>
      </c>
      <c r="G633" s="26">
        <v>18422068.500000019</v>
      </c>
    </row>
    <row r="634" spans="1:7">
      <c r="A634" s="25">
        <v>46289</v>
      </c>
      <c r="B634" t="s">
        <v>37</v>
      </c>
      <c r="C634" s="27">
        <v>24</v>
      </c>
      <c r="D634" s="26">
        <v>9746913.0892887916</v>
      </c>
      <c r="E634" s="26">
        <v>145476314.76550445</v>
      </c>
      <c r="F634" s="26">
        <v>2458793.61</v>
      </c>
      <c r="G634" s="26">
        <v>12609198.000000011</v>
      </c>
    </row>
    <row r="635" spans="1:7">
      <c r="A635" s="25">
        <v>46290</v>
      </c>
      <c r="B635" t="s">
        <v>37</v>
      </c>
      <c r="C635" s="27">
        <v>25</v>
      </c>
      <c r="D635" s="26">
        <v>16855527.606864117</v>
      </c>
      <c r="E635" s="26">
        <v>251575038.90841985</v>
      </c>
      <c r="F635" s="26">
        <v>8823163.3425000012</v>
      </c>
      <c r="G635" s="26">
        <v>45246991.50000006</v>
      </c>
    </row>
    <row r="636" spans="1:7">
      <c r="A636" s="25">
        <v>46291</v>
      </c>
      <c r="B636" t="s">
        <v>37</v>
      </c>
      <c r="C636" s="27">
        <v>26</v>
      </c>
      <c r="D636" s="26">
        <v>23116684.140004374</v>
      </c>
      <c r="E636" s="26">
        <v>345025136.41797602</v>
      </c>
      <c r="F636" s="26">
        <v>5465098.0799999991</v>
      </c>
      <c r="G636" s="26">
        <v>28026144.000000026</v>
      </c>
    </row>
    <row r="637" spans="1:7">
      <c r="A637" s="25">
        <v>46292</v>
      </c>
      <c r="B637" t="s">
        <v>37</v>
      </c>
      <c r="C637" s="27">
        <v>27</v>
      </c>
      <c r="D637" s="26">
        <v>17772941.292141579</v>
      </c>
      <c r="E637" s="26">
        <v>265267780.47972524</v>
      </c>
      <c r="F637" s="26">
        <v>8188605.3600000013</v>
      </c>
      <c r="G637" s="26">
        <v>41992848.000000052</v>
      </c>
    </row>
    <row r="638" spans="1:7">
      <c r="A638" s="25">
        <v>46293</v>
      </c>
      <c r="B638" t="s">
        <v>37</v>
      </c>
      <c r="C638" s="27">
        <v>28</v>
      </c>
      <c r="D638" s="26">
        <v>10438994.870993605</v>
      </c>
      <c r="E638" s="26">
        <v>155805893.5969196</v>
      </c>
      <c r="F638" s="26">
        <v>4818309.5024999995</v>
      </c>
      <c r="G638" s="26">
        <v>24709279.500000026</v>
      </c>
    </row>
    <row r="639" spans="1:7">
      <c r="A639" s="25">
        <v>46294</v>
      </c>
      <c r="B639" t="s">
        <v>37</v>
      </c>
      <c r="C639" s="27">
        <v>29</v>
      </c>
      <c r="D639" s="26">
        <v>10921569.392930347</v>
      </c>
      <c r="E639" s="26">
        <v>163008498.40194559</v>
      </c>
      <c r="F639" s="26">
        <v>6287716.5974999992</v>
      </c>
      <c r="G639" s="26">
        <v>32244700.500000034</v>
      </c>
    </row>
    <row r="640" spans="1:7">
      <c r="A640" s="25">
        <v>46295</v>
      </c>
      <c r="B640" t="s">
        <v>37</v>
      </c>
      <c r="C640" s="27">
        <v>30</v>
      </c>
      <c r="D640" s="26">
        <v>11374042.44216265</v>
      </c>
      <c r="E640" s="26">
        <v>169761827.49496505</v>
      </c>
      <c r="F640" s="26">
        <v>4557975.4350000005</v>
      </c>
      <c r="G640" s="26">
        <v>23374233.00000003</v>
      </c>
    </row>
    <row r="641" spans="1:7">
      <c r="A641" s="25">
        <v>46296</v>
      </c>
      <c r="B641" t="s">
        <v>38</v>
      </c>
      <c r="C641" s="27">
        <v>1</v>
      </c>
      <c r="D641" s="26">
        <v>6979629.5963798063</v>
      </c>
      <c r="E641" s="26">
        <v>104173576.06537032</v>
      </c>
      <c r="F641" s="26">
        <v>6755849.6850000005</v>
      </c>
      <c r="G641" s="26">
        <v>34645383.000000037</v>
      </c>
    </row>
    <row r="642" spans="1:7">
      <c r="A642" s="25">
        <v>46297</v>
      </c>
      <c r="B642" t="s">
        <v>38</v>
      </c>
      <c r="C642" s="27">
        <v>2</v>
      </c>
      <c r="D642" s="26">
        <v>11258592.256304549</v>
      </c>
      <c r="E642" s="26">
        <v>168038690.39260533</v>
      </c>
      <c r="F642" s="26">
        <v>13608615.735000001</v>
      </c>
      <c r="G642" s="26">
        <v>69787773.000000089</v>
      </c>
    </row>
    <row r="643" spans="1:7">
      <c r="A643" s="25">
        <v>46298</v>
      </c>
      <c r="B643" t="s">
        <v>38</v>
      </c>
      <c r="C643" s="27">
        <v>3</v>
      </c>
      <c r="D643" s="26">
        <v>23058370.663013585</v>
      </c>
      <c r="E643" s="26">
        <v>344154786.01512843</v>
      </c>
      <c r="F643" s="26">
        <v>6818839.2675000001</v>
      </c>
      <c r="G643" s="26">
        <v>34968406.500000037</v>
      </c>
    </row>
    <row r="644" spans="1:7">
      <c r="A644" s="25">
        <v>46299</v>
      </c>
      <c r="B644" t="s">
        <v>38</v>
      </c>
      <c r="C644" s="27">
        <v>4</v>
      </c>
      <c r="D644" s="26">
        <v>17307661.077401951</v>
      </c>
      <c r="E644" s="26">
        <v>258323299.66271588</v>
      </c>
      <c r="F644" s="26">
        <v>6823985.8050000006</v>
      </c>
      <c r="G644" s="26">
        <v>34994799.000000045</v>
      </c>
    </row>
    <row r="645" spans="1:7">
      <c r="A645" s="25">
        <v>46300</v>
      </c>
      <c r="B645" t="s">
        <v>38</v>
      </c>
      <c r="C645" s="27">
        <v>5</v>
      </c>
      <c r="D645" s="26">
        <v>11343443.358723657</v>
      </c>
      <c r="E645" s="26">
        <v>169305124.75706965</v>
      </c>
      <c r="F645" s="26">
        <v>1069692.6825000001</v>
      </c>
      <c r="G645" s="26">
        <v>5485603.5000000075</v>
      </c>
    </row>
    <row r="646" spans="1:7">
      <c r="A646" s="25">
        <v>46301</v>
      </c>
      <c r="B646" t="s">
        <v>38</v>
      </c>
      <c r="C646" s="27">
        <v>6</v>
      </c>
      <c r="D646" s="26">
        <v>6592670.6831554417</v>
      </c>
      <c r="E646" s="26">
        <v>98398069.897842497</v>
      </c>
      <c r="F646" s="26">
        <v>1413663.0299999998</v>
      </c>
      <c r="G646" s="26">
        <v>7249554.0000000056</v>
      </c>
    </row>
    <row r="647" spans="1:7">
      <c r="A647" s="25">
        <v>46302</v>
      </c>
      <c r="B647" t="s">
        <v>38</v>
      </c>
      <c r="C647" s="27">
        <v>7</v>
      </c>
      <c r="D647" s="26">
        <v>11925447.698130349</v>
      </c>
      <c r="E647" s="26">
        <v>177991756.6885128</v>
      </c>
      <c r="F647" s="26">
        <v>2205947.25</v>
      </c>
      <c r="G647" s="26">
        <v>11312550.000000011</v>
      </c>
    </row>
    <row r="648" spans="1:7">
      <c r="A648" s="25">
        <v>46303</v>
      </c>
      <c r="B648" t="s">
        <v>38</v>
      </c>
      <c r="C648" s="27">
        <v>8</v>
      </c>
      <c r="D648" s="26">
        <v>12625523.618763022</v>
      </c>
      <c r="E648" s="26">
        <v>188440651.0263139</v>
      </c>
      <c r="F648" s="26">
        <v>4120600.4775</v>
      </c>
      <c r="G648" s="26">
        <v>21131284.500000022</v>
      </c>
    </row>
    <row r="649" spans="1:7">
      <c r="A649" s="25">
        <v>46304</v>
      </c>
      <c r="B649" t="s">
        <v>38</v>
      </c>
      <c r="C649" s="27">
        <v>9</v>
      </c>
      <c r="D649" s="26">
        <v>11963100.474247234</v>
      </c>
      <c r="E649" s="26">
        <v>178553738.42160064</v>
      </c>
      <c r="F649" s="26">
        <v>3915627.0075000003</v>
      </c>
      <c r="G649" s="26">
        <v>20080138.500000022</v>
      </c>
    </row>
    <row r="650" spans="1:7">
      <c r="A650" s="25">
        <v>46305</v>
      </c>
      <c r="B650" t="s">
        <v>38</v>
      </c>
      <c r="C650" s="27">
        <v>10</v>
      </c>
      <c r="D650" s="26">
        <v>20032704.023787271</v>
      </c>
      <c r="E650" s="26">
        <v>298995582.44458634</v>
      </c>
      <c r="F650" s="26">
        <v>4018517.392500001</v>
      </c>
      <c r="G650" s="26">
        <v>20607781.500000026</v>
      </c>
    </row>
    <row r="651" spans="1:7">
      <c r="A651" s="25">
        <v>46306</v>
      </c>
      <c r="B651" t="s">
        <v>38</v>
      </c>
      <c r="C651" s="27">
        <v>11</v>
      </c>
      <c r="D651" s="26">
        <v>19160158.020733658</v>
      </c>
      <c r="E651" s="26">
        <v>285972507.77214438</v>
      </c>
      <c r="F651" s="26">
        <v>5422694.647499999</v>
      </c>
      <c r="G651" s="26">
        <v>27808690.500000026</v>
      </c>
    </row>
    <row r="652" spans="1:7">
      <c r="A652" s="25">
        <v>46307</v>
      </c>
      <c r="B652" t="s">
        <v>38</v>
      </c>
      <c r="C652" s="27">
        <v>12</v>
      </c>
      <c r="D652" s="26">
        <v>8582038.173581684</v>
      </c>
      <c r="E652" s="26">
        <v>128090121.99375658</v>
      </c>
      <c r="F652" s="26">
        <v>2638982.9699999997</v>
      </c>
      <c r="G652" s="26">
        <v>13533246.000000013</v>
      </c>
    </row>
    <row r="653" spans="1:7">
      <c r="A653" s="25">
        <v>46308</v>
      </c>
      <c r="B653" t="s">
        <v>38</v>
      </c>
      <c r="C653" s="27">
        <v>13</v>
      </c>
      <c r="D653" s="26">
        <v>11860994.76283277</v>
      </c>
      <c r="E653" s="26">
        <v>177029772.57959372</v>
      </c>
      <c r="F653" s="26">
        <v>1193048.1224999998</v>
      </c>
      <c r="G653" s="26">
        <v>6118195.5000000065</v>
      </c>
    </row>
    <row r="654" spans="1:7">
      <c r="A654" s="25">
        <v>46309</v>
      </c>
      <c r="B654" t="s">
        <v>38</v>
      </c>
      <c r="C654" s="27">
        <v>14</v>
      </c>
      <c r="D654" s="26">
        <v>13302124.623316802</v>
      </c>
      <c r="E654" s="26">
        <v>198539173.48234048</v>
      </c>
      <c r="F654" s="26">
        <v>5018378.6249999991</v>
      </c>
      <c r="G654" s="26">
        <v>25735275.000000026</v>
      </c>
    </row>
    <row r="655" spans="1:7">
      <c r="A655" s="25">
        <v>46310</v>
      </c>
      <c r="B655" t="s">
        <v>38</v>
      </c>
      <c r="C655" s="27">
        <v>15</v>
      </c>
      <c r="D655" s="26">
        <v>14050009.212813539</v>
      </c>
      <c r="E655" s="26">
        <v>209701630.04199329</v>
      </c>
      <c r="F655" s="26">
        <v>7038021.2175000003</v>
      </c>
      <c r="G655" s="26">
        <v>36092416.500000037</v>
      </c>
    </row>
    <row r="656" spans="1:7">
      <c r="A656" s="25">
        <v>46311</v>
      </c>
      <c r="B656" t="s">
        <v>38</v>
      </c>
      <c r="C656" s="27">
        <v>16</v>
      </c>
      <c r="D656" s="26">
        <v>14014369.979285382</v>
      </c>
      <c r="E656" s="26">
        <v>209169701.18336406</v>
      </c>
      <c r="F656" s="26">
        <v>5300328.1499999994</v>
      </c>
      <c r="G656" s="26">
        <v>27181170.000000026</v>
      </c>
    </row>
    <row r="657" spans="1:7">
      <c r="A657" s="25">
        <v>46312</v>
      </c>
      <c r="B657" t="s">
        <v>38</v>
      </c>
      <c r="C657" s="27">
        <v>17</v>
      </c>
      <c r="D657" s="26">
        <v>25166692.362628885</v>
      </c>
      <c r="E657" s="26">
        <v>375622274.06908816</v>
      </c>
      <c r="F657" s="26">
        <v>6718168.9575000005</v>
      </c>
      <c r="G657" s="26">
        <v>34452148.500000045</v>
      </c>
    </row>
    <row r="658" spans="1:7">
      <c r="A658" s="25">
        <v>46313</v>
      </c>
      <c r="B658" t="s">
        <v>38</v>
      </c>
      <c r="C658" s="27">
        <v>18</v>
      </c>
      <c r="D658" s="26">
        <v>21068452.308167502</v>
      </c>
      <c r="E658" s="26">
        <v>314454512.0622018</v>
      </c>
      <c r="F658" s="26">
        <v>4187384.37</v>
      </c>
      <c r="G658" s="26">
        <v>21473766.000000022</v>
      </c>
    </row>
    <row r="659" spans="1:7">
      <c r="A659" s="25">
        <v>46314</v>
      </c>
      <c r="B659" t="s">
        <v>38</v>
      </c>
      <c r="C659" s="27">
        <v>19</v>
      </c>
      <c r="D659" s="26">
        <v>10739075.237923462</v>
      </c>
      <c r="E659" s="26">
        <v>160284705.04363388</v>
      </c>
      <c r="F659" s="26">
        <v>1834286.5125000002</v>
      </c>
      <c r="G659" s="26">
        <v>9406597.5000000093</v>
      </c>
    </row>
    <row r="660" spans="1:7">
      <c r="A660" s="25">
        <v>46315</v>
      </c>
      <c r="B660" t="s">
        <v>38</v>
      </c>
      <c r="C660" s="27">
        <v>20</v>
      </c>
      <c r="D660" s="26">
        <v>13209843.248588167</v>
      </c>
      <c r="E660" s="26">
        <v>197161839.53116682</v>
      </c>
      <c r="F660" s="26">
        <v>3813947.5725000002</v>
      </c>
      <c r="G660" s="26">
        <v>19558705.500000022</v>
      </c>
    </row>
    <row r="661" spans="1:7">
      <c r="A661" s="25">
        <v>46316</v>
      </c>
      <c r="B661" t="s">
        <v>38</v>
      </c>
      <c r="C661" s="27">
        <v>21</v>
      </c>
      <c r="D661" s="26">
        <v>11981096.416038102</v>
      </c>
      <c r="E661" s="26">
        <v>178822334.56773299</v>
      </c>
      <c r="F661" s="26">
        <v>1994495.1975000002</v>
      </c>
      <c r="G661" s="26">
        <v>10228180.500000011</v>
      </c>
    </row>
    <row r="662" spans="1:7">
      <c r="A662" s="25">
        <v>46317</v>
      </c>
      <c r="B662" t="s">
        <v>38</v>
      </c>
      <c r="C662" s="27">
        <v>22</v>
      </c>
      <c r="D662" s="26">
        <v>13712861.860304911</v>
      </c>
      <c r="E662" s="26">
        <v>204669580.00455105</v>
      </c>
      <c r="F662" s="26">
        <v>4336674.3224999998</v>
      </c>
      <c r="G662" s="26">
        <v>22239355.500000022</v>
      </c>
    </row>
    <row r="663" spans="1:7">
      <c r="A663" s="25">
        <v>46318</v>
      </c>
      <c r="B663" t="s">
        <v>38</v>
      </c>
      <c r="C663" s="27">
        <v>23</v>
      </c>
      <c r="D663" s="26">
        <v>14284573.507237813</v>
      </c>
      <c r="E663" s="26">
        <v>213202589.66026601</v>
      </c>
      <c r="F663" s="26">
        <v>4063362.9074999997</v>
      </c>
      <c r="G663" s="26">
        <v>20837758.500000022</v>
      </c>
    </row>
    <row r="664" spans="1:7">
      <c r="A664" s="25">
        <v>46319</v>
      </c>
      <c r="B664" t="s">
        <v>38</v>
      </c>
      <c r="C664" s="27">
        <v>24</v>
      </c>
      <c r="D664" s="26">
        <v>23055042.791807834</v>
      </c>
      <c r="E664" s="26">
        <v>344105116.29563957</v>
      </c>
      <c r="F664" s="26">
        <v>5159857.9499999993</v>
      </c>
      <c r="G664" s="26">
        <v>26460810.000000026</v>
      </c>
    </row>
    <row r="665" spans="1:7">
      <c r="A665" s="25">
        <v>46320</v>
      </c>
      <c r="B665" t="s">
        <v>38</v>
      </c>
      <c r="C665" s="27">
        <v>25</v>
      </c>
      <c r="D665" s="26">
        <v>17525072.359796688</v>
      </c>
      <c r="E665" s="26">
        <v>261568244.17607015</v>
      </c>
      <c r="F665" s="26">
        <v>4398452.9550000001</v>
      </c>
      <c r="G665" s="26">
        <v>22556169.000000026</v>
      </c>
    </row>
    <row r="666" spans="1:7">
      <c r="A666" s="25">
        <v>46321</v>
      </c>
      <c r="B666" t="s">
        <v>38</v>
      </c>
      <c r="C666" s="27">
        <v>26</v>
      </c>
      <c r="D666" s="26">
        <v>9998138.3870190959</v>
      </c>
      <c r="E666" s="26">
        <v>149225946.07491198</v>
      </c>
      <c r="F666" s="26">
        <v>1816041.5325</v>
      </c>
      <c r="G666" s="26">
        <v>9313033.5000000093</v>
      </c>
    </row>
    <row r="667" spans="1:7">
      <c r="A667" s="25">
        <v>46322</v>
      </c>
      <c r="B667" t="s">
        <v>38</v>
      </c>
      <c r="C667" s="27">
        <v>27</v>
      </c>
      <c r="D667" s="26">
        <v>11366406.00201438</v>
      </c>
      <c r="E667" s="26">
        <v>169647850.77633417</v>
      </c>
      <c r="F667" s="26">
        <v>798258.24</v>
      </c>
      <c r="G667" s="26">
        <v>4093632.0000000047</v>
      </c>
    </row>
    <row r="668" spans="1:7">
      <c r="A668" s="25">
        <v>46323</v>
      </c>
      <c r="B668" t="s">
        <v>38</v>
      </c>
      <c r="C668" s="27">
        <v>28</v>
      </c>
      <c r="D668" s="26">
        <v>14143924.092467751</v>
      </c>
      <c r="E668" s="26">
        <v>211103344.66369796</v>
      </c>
      <c r="F668" s="26">
        <v>3601284.5700000003</v>
      </c>
      <c r="G668" s="26">
        <v>18468126.000000022</v>
      </c>
    </row>
    <row r="669" spans="1:7">
      <c r="A669" s="25">
        <v>46324</v>
      </c>
      <c r="B669" t="s">
        <v>38</v>
      </c>
      <c r="C669" s="27">
        <v>29</v>
      </c>
      <c r="D669" s="26">
        <v>14264194.981735274</v>
      </c>
      <c r="E669" s="26">
        <v>212898432.56321317</v>
      </c>
      <c r="F669" s="26">
        <v>2620919.6324999998</v>
      </c>
      <c r="G669" s="26">
        <v>13440613.500000013</v>
      </c>
    </row>
    <row r="670" spans="1:7">
      <c r="A670" s="25">
        <v>46325</v>
      </c>
      <c r="B670" t="s">
        <v>38</v>
      </c>
      <c r="C670" s="27">
        <v>30</v>
      </c>
      <c r="D670" s="26">
        <v>22038437.270789057</v>
      </c>
      <c r="E670" s="26">
        <v>328931899.56401604</v>
      </c>
      <c r="F670" s="26">
        <v>2764053.9224999999</v>
      </c>
      <c r="G670" s="26">
        <v>14174635.500000013</v>
      </c>
    </row>
    <row r="671" spans="1:7">
      <c r="A671" s="25">
        <v>46326</v>
      </c>
      <c r="B671" t="s">
        <v>38</v>
      </c>
      <c r="C671" s="27">
        <v>31</v>
      </c>
      <c r="D671" s="26">
        <v>22323011.340295326</v>
      </c>
      <c r="E671" s="26">
        <v>333179273.73575139</v>
      </c>
      <c r="F671" s="26">
        <v>4475186.82</v>
      </c>
      <c r="G671" s="26">
        <v>22949676.000000026</v>
      </c>
    </row>
    <row r="672" spans="1:7">
      <c r="A672" s="25">
        <v>46327</v>
      </c>
      <c r="B672" t="s">
        <v>39</v>
      </c>
      <c r="C672" s="27">
        <v>1</v>
      </c>
      <c r="D672" s="26">
        <v>23914365.904805757</v>
      </c>
      <c r="E672" s="26">
        <v>356930834.40008622</v>
      </c>
      <c r="F672" s="26">
        <v>7384151.0925000012</v>
      </c>
      <c r="G672" s="26">
        <v>37867441.500000045</v>
      </c>
    </row>
    <row r="673" spans="1:7">
      <c r="A673" s="25">
        <v>46328</v>
      </c>
      <c r="B673" t="s">
        <v>39</v>
      </c>
      <c r="C673" s="27">
        <v>2</v>
      </c>
      <c r="D673" s="26">
        <v>13032968.80975184</v>
      </c>
      <c r="E673" s="26">
        <v>194521922.53360969</v>
      </c>
      <c r="F673" s="26">
        <v>3786398.46</v>
      </c>
      <c r="G673" s="26">
        <v>19417428.000000019</v>
      </c>
    </row>
    <row r="674" spans="1:7">
      <c r="A674" s="25">
        <v>46329</v>
      </c>
      <c r="B674" t="s">
        <v>39</v>
      </c>
      <c r="C674" s="27">
        <v>3</v>
      </c>
      <c r="D674" s="26">
        <v>12506798.4695813</v>
      </c>
      <c r="E674" s="26">
        <v>186668633.87434793</v>
      </c>
      <c r="F674" s="26">
        <v>3531937.5</v>
      </c>
      <c r="G674" s="26">
        <v>18112500.000000019</v>
      </c>
    </row>
    <row r="675" spans="1:7">
      <c r="A675" s="25">
        <v>46330</v>
      </c>
      <c r="B675" t="s">
        <v>39</v>
      </c>
      <c r="C675" s="27">
        <v>4</v>
      </c>
      <c r="D675" s="26">
        <v>13633482.88527143</v>
      </c>
      <c r="E675" s="26">
        <v>203484819.18315583</v>
      </c>
      <c r="F675" s="26">
        <v>4172267.6775000007</v>
      </c>
      <c r="G675" s="26">
        <v>21396244.500000026</v>
      </c>
    </row>
    <row r="676" spans="1:7">
      <c r="A676" s="25">
        <v>46331</v>
      </c>
      <c r="B676" t="s">
        <v>39</v>
      </c>
      <c r="C676" s="27">
        <v>5</v>
      </c>
      <c r="D676" s="26">
        <v>12657947.989555236</v>
      </c>
      <c r="E676" s="26">
        <v>188924596.85903352</v>
      </c>
      <c r="F676" s="26">
        <v>2643544.2149999999</v>
      </c>
      <c r="G676" s="26">
        <v>13556637.000000013</v>
      </c>
    </row>
    <row r="677" spans="1:7">
      <c r="A677" s="25">
        <v>46332</v>
      </c>
      <c r="B677" t="s">
        <v>39</v>
      </c>
      <c r="C677" s="27">
        <v>6</v>
      </c>
      <c r="D677" s="26">
        <v>17213823.588492975</v>
      </c>
      <c r="E677" s="26">
        <v>256922740.12676105</v>
      </c>
      <c r="F677" s="26">
        <v>3530766.915</v>
      </c>
      <c r="G677" s="26">
        <v>18106497.000000019</v>
      </c>
    </row>
    <row r="678" spans="1:7">
      <c r="A678" s="25">
        <v>46333</v>
      </c>
      <c r="B678" t="s">
        <v>39</v>
      </c>
      <c r="C678" s="27">
        <v>7</v>
      </c>
      <c r="D678" s="26">
        <v>34057468.361672886</v>
      </c>
      <c r="E678" s="26">
        <v>508320423.30855101</v>
      </c>
      <c r="F678" s="26">
        <v>6456785.3999999994</v>
      </c>
      <c r="G678" s="26">
        <v>33111720.000000037</v>
      </c>
    </row>
    <row r="679" spans="1:7">
      <c r="A679" s="25">
        <v>46334</v>
      </c>
      <c r="B679" t="s">
        <v>39</v>
      </c>
      <c r="C679" s="27">
        <v>8</v>
      </c>
      <c r="D679" s="26">
        <v>15525669.592762403</v>
      </c>
      <c r="E679" s="26">
        <v>231726411.83227482</v>
      </c>
      <c r="F679" s="26">
        <v>4501807.5375000006</v>
      </c>
      <c r="G679" s="26">
        <v>23086192.50000003</v>
      </c>
    </row>
    <row r="680" spans="1:7">
      <c r="A680" s="25">
        <v>46335</v>
      </c>
      <c r="B680" t="s">
        <v>39</v>
      </c>
      <c r="C680" s="27">
        <v>9</v>
      </c>
      <c r="D680" s="26">
        <v>14028614.510170925</v>
      </c>
      <c r="E680" s="26">
        <v>209382306.12195426</v>
      </c>
      <c r="F680" s="26">
        <v>6512630.3774999995</v>
      </c>
      <c r="G680" s="26">
        <v>33398104.500000037</v>
      </c>
    </row>
    <row r="681" spans="1:7">
      <c r="A681" s="25">
        <v>46336</v>
      </c>
      <c r="B681" t="s">
        <v>39</v>
      </c>
      <c r="C681" s="27">
        <v>10</v>
      </c>
      <c r="D681" s="26">
        <v>6329590.2159930309</v>
      </c>
      <c r="E681" s="26">
        <v>94471495.761090085</v>
      </c>
      <c r="F681" s="26">
        <v>2739935.835</v>
      </c>
      <c r="G681" s="26">
        <v>14050953.000000015</v>
      </c>
    </row>
    <row r="682" spans="1:7">
      <c r="A682" s="25">
        <v>46337</v>
      </c>
      <c r="B682" t="s">
        <v>39</v>
      </c>
      <c r="C682" s="27">
        <v>11</v>
      </c>
      <c r="D682" s="26">
        <v>7790299.381736584</v>
      </c>
      <c r="E682" s="26">
        <v>116273125.10054611</v>
      </c>
      <c r="F682" s="26">
        <v>1358665.7174999998</v>
      </c>
      <c r="G682" s="26">
        <v>6967516.5000000056</v>
      </c>
    </row>
    <row r="683" spans="1:7">
      <c r="A683" s="25">
        <v>46338</v>
      </c>
      <c r="B683" t="s">
        <v>39</v>
      </c>
      <c r="C683" s="27">
        <v>12</v>
      </c>
      <c r="D683" s="26">
        <v>11760727.264893319</v>
      </c>
      <c r="E683" s="26">
        <v>175533242.75960192</v>
      </c>
      <c r="F683" s="26">
        <v>1054697.085</v>
      </c>
      <c r="G683" s="26">
        <v>5408703.0000000056</v>
      </c>
    </row>
    <row r="684" spans="1:7">
      <c r="A684" s="25">
        <v>46339</v>
      </c>
      <c r="B684" t="s">
        <v>39</v>
      </c>
      <c r="C684" s="27">
        <v>13</v>
      </c>
      <c r="D684" s="26">
        <v>12276264.649205361</v>
      </c>
      <c r="E684" s="26">
        <v>183227830.58515477</v>
      </c>
      <c r="F684" s="26">
        <v>2057545.3275000001</v>
      </c>
      <c r="G684" s="26">
        <v>10551514.500000011</v>
      </c>
    </row>
    <row r="685" spans="1:7">
      <c r="A685" s="25">
        <v>46340</v>
      </c>
      <c r="B685" t="s">
        <v>39</v>
      </c>
      <c r="C685" s="27">
        <v>14</v>
      </c>
      <c r="D685" s="26">
        <v>20419902.578595407</v>
      </c>
      <c r="E685" s="26">
        <v>304774665.35217053</v>
      </c>
      <c r="F685" s="26">
        <v>6830020.3725000005</v>
      </c>
      <c r="G685" s="26">
        <v>35025745.500000037</v>
      </c>
    </row>
    <row r="686" spans="1:7">
      <c r="A686" s="25">
        <v>46341</v>
      </c>
      <c r="B686" t="s">
        <v>39</v>
      </c>
      <c r="C686" s="27">
        <v>15</v>
      </c>
      <c r="D686" s="26">
        <v>15068386.490857732</v>
      </c>
      <c r="E686" s="26">
        <v>224901290.90832448</v>
      </c>
      <c r="F686" s="26">
        <v>5329027.6649999991</v>
      </c>
      <c r="G686" s="26">
        <v>27328347.000000026</v>
      </c>
    </row>
    <row r="687" spans="1:7">
      <c r="A687" s="25">
        <v>46342</v>
      </c>
      <c r="B687" t="s">
        <v>39</v>
      </c>
      <c r="C687" s="27">
        <v>16</v>
      </c>
      <c r="D687" s="26">
        <v>11888515.368298646</v>
      </c>
      <c r="E687" s="26">
        <v>177440527.88505456</v>
      </c>
      <c r="F687" s="26">
        <v>4595232.33</v>
      </c>
      <c r="G687" s="26">
        <v>23565294.00000003</v>
      </c>
    </row>
    <row r="688" spans="1:7">
      <c r="A688" s="25">
        <v>46343</v>
      </c>
      <c r="B688" t="s">
        <v>39</v>
      </c>
      <c r="C688" s="27">
        <v>17</v>
      </c>
      <c r="D688" s="26">
        <v>8639901.0690664798</v>
      </c>
      <c r="E688" s="26">
        <v>128953747.29949979</v>
      </c>
      <c r="F688" s="26">
        <v>4215619.6875</v>
      </c>
      <c r="G688" s="26">
        <v>21618562.500000022</v>
      </c>
    </row>
    <row r="689" spans="1:7">
      <c r="A689" s="25">
        <v>46344</v>
      </c>
      <c r="B689" t="s">
        <v>39</v>
      </c>
      <c r="C689" s="27">
        <v>18</v>
      </c>
      <c r="D689" s="26">
        <v>10881771.599866655</v>
      </c>
      <c r="E689" s="26">
        <v>162414501.49054721</v>
      </c>
      <c r="F689" s="26">
        <v>3001662.4949999996</v>
      </c>
      <c r="G689" s="26">
        <v>15393141.000000015</v>
      </c>
    </row>
    <row r="690" spans="1:7">
      <c r="A690" s="25">
        <v>46345</v>
      </c>
      <c r="B690" t="s">
        <v>39</v>
      </c>
      <c r="C690" s="27">
        <v>19</v>
      </c>
      <c r="D690" s="26">
        <v>10233757.588536374</v>
      </c>
      <c r="E690" s="26">
        <v>152742650.57516986</v>
      </c>
      <c r="F690" s="26">
        <v>232240.0275</v>
      </c>
      <c r="G690" s="26">
        <v>1190974.5000000012</v>
      </c>
    </row>
    <row r="691" spans="1:7">
      <c r="A691" s="25">
        <v>46346</v>
      </c>
      <c r="B691" t="s">
        <v>39</v>
      </c>
      <c r="C691" s="27">
        <v>20</v>
      </c>
      <c r="D691" s="26">
        <v>16892635.743017882</v>
      </c>
      <c r="E691" s="26">
        <v>252128891.68683425</v>
      </c>
      <c r="F691" s="26">
        <v>1349906.5125</v>
      </c>
      <c r="G691" s="26">
        <v>6922597.5000000075</v>
      </c>
    </row>
    <row r="692" spans="1:7">
      <c r="A692" s="25">
        <v>46347</v>
      </c>
      <c r="B692" t="s">
        <v>39</v>
      </c>
      <c r="C692" s="27">
        <v>21</v>
      </c>
      <c r="D692" s="26">
        <v>19018674.321281053</v>
      </c>
      <c r="E692" s="26">
        <v>283860810.76538908</v>
      </c>
      <c r="F692" s="26">
        <v>2426077.7774999999</v>
      </c>
      <c r="G692" s="26">
        <v>12441424.500000011</v>
      </c>
    </row>
    <row r="693" spans="1:7">
      <c r="A693" s="25">
        <v>46348</v>
      </c>
      <c r="B693" t="s">
        <v>39</v>
      </c>
      <c r="C693" s="27">
        <v>22</v>
      </c>
      <c r="D693" s="26">
        <v>15302366.23963524</v>
      </c>
      <c r="E693" s="26">
        <v>228393525.96470523</v>
      </c>
      <c r="F693" s="26">
        <v>4747489.1099999994</v>
      </c>
      <c r="G693" s="26">
        <v>24346098.00000003</v>
      </c>
    </row>
    <row r="694" spans="1:7">
      <c r="A694" s="25">
        <v>46349</v>
      </c>
      <c r="B694" t="s">
        <v>39</v>
      </c>
      <c r="C694" s="27">
        <v>23</v>
      </c>
      <c r="D694" s="26">
        <v>11044023.337491304</v>
      </c>
      <c r="E694" s="26">
        <v>164836169.21628824</v>
      </c>
      <c r="F694" s="26">
        <v>4768196.3549999995</v>
      </c>
      <c r="G694" s="26">
        <v>24452289.000000022</v>
      </c>
    </row>
    <row r="695" spans="1:7">
      <c r="A695" s="25">
        <v>46350</v>
      </c>
      <c r="B695" t="s">
        <v>39</v>
      </c>
      <c r="C695" s="27">
        <v>24</v>
      </c>
      <c r="D695" s="26">
        <v>8927704.7325229309</v>
      </c>
      <c r="E695" s="26">
        <v>133249324.36601399</v>
      </c>
      <c r="F695" s="26">
        <v>1208023.5374999999</v>
      </c>
      <c r="G695" s="26">
        <v>6194992.5000000065</v>
      </c>
    </row>
    <row r="696" spans="1:7">
      <c r="A696" s="25">
        <v>46351</v>
      </c>
      <c r="B696" t="s">
        <v>39</v>
      </c>
      <c r="C696" s="27">
        <v>25</v>
      </c>
      <c r="D696" s="26">
        <v>7181882.2518391535</v>
      </c>
      <c r="E696" s="26">
        <v>107192272.41550983</v>
      </c>
      <c r="F696" s="26">
        <v>1324274.7374999998</v>
      </c>
      <c r="G696" s="26">
        <v>6791152.5000000065</v>
      </c>
    </row>
    <row r="697" spans="1:7">
      <c r="A697" s="25">
        <v>46352</v>
      </c>
      <c r="B697" t="s">
        <v>39</v>
      </c>
      <c r="C697" s="27">
        <v>26</v>
      </c>
      <c r="D697" s="26">
        <v>10775551.937523164</v>
      </c>
      <c r="E697" s="26">
        <v>160829133.39586824</v>
      </c>
      <c r="F697" s="26">
        <v>1519479.8774999999</v>
      </c>
      <c r="G697" s="26">
        <v>7792204.5000000084</v>
      </c>
    </row>
    <row r="698" spans="1:7">
      <c r="A698" s="25">
        <v>46353</v>
      </c>
      <c r="B698" t="s">
        <v>39</v>
      </c>
      <c r="C698" s="27">
        <v>27</v>
      </c>
      <c r="D698" s="26">
        <v>20408548.477929365</v>
      </c>
      <c r="E698" s="26">
        <v>304605201.1631251</v>
      </c>
      <c r="F698" s="26">
        <v>1514151.6974999998</v>
      </c>
      <c r="G698" s="26">
        <v>7764880.5000000075</v>
      </c>
    </row>
    <row r="699" spans="1:7">
      <c r="A699" s="25">
        <v>46354</v>
      </c>
      <c r="B699" t="s">
        <v>39</v>
      </c>
      <c r="C699" s="27">
        <v>28</v>
      </c>
      <c r="D699" s="26">
        <v>20562587.87483776</v>
      </c>
      <c r="E699" s="26">
        <v>306904296.63936979</v>
      </c>
      <c r="F699" s="26">
        <v>1734161.1300000001</v>
      </c>
      <c r="G699" s="26">
        <v>8893134.0000000093</v>
      </c>
    </row>
    <row r="700" spans="1:7">
      <c r="A700" s="25">
        <v>46355</v>
      </c>
      <c r="B700" t="s">
        <v>39</v>
      </c>
      <c r="C700" s="27">
        <v>29</v>
      </c>
      <c r="D700" s="26">
        <v>19986300.007323325</v>
      </c>
      <c r="E700" s="26">
        <v>298302985.1839304</v>
      </c>
      <c r="F700" s="26">
        <v>7369760.9700000007</v>
      </c>
      <c r="G700" s="26">
        <v>37793646.000000045</v>
      </c>
    </row>
    <row r="701" spans="1:7">
      <c r="A701" s="25">
        <v>46356</v>
      </c>
      <c r="B701" t="s">
        <v>39</v>
      </c>
      <c r="C701" s="27">
        <v>30</v>
      </c>
      <c r="D701" s="26">
        <v>12485394.637735493</v>
      </c>
      <c r="E701" s="26">
        <v>186349173.69754484</v>
      </c>
      <c r="F701" s="26">
        <v>5873773.522499999</v>
      </c>
      <c r="G701" s="26">
        <v>30121915.50000003</v>
      </c>
    </row>
    <row r="702" spans="1:7">
      <c r="A702" s="25">
        <v>46357</v>
      </c>
      <c r="B702" t="s">
        <v>40</v>
      </c>
      <c r="C702" s="27">
        <v>1</v>
      </c>
      <c r="D702" s="26">
        <v>8402960.5537085179</v>
      </c>
      <c r="E702" s="26">
        <v>125417321.69714215</v>
      </c>
      <c r="F702" s="26">
        <v>3309546.5325000002</v>
      </c>
      <c r="G702" s="26">
        <v>16972033.500000022</v>
      </c>
    </row>
    <row r="703" spans="1:7">
      <c r="A703" s="25">
        <v>46358</v>
      </c>
      <c r="B703" t="s">
        <v>40</v>
      </c>
      <c r="C703" s="27">
        <v>2</v>
      </c>
      <c r="D703" s="26">
        <v>9960272.9419642314</v>
      </c>
      <c r="E703" s="26">
        <v>148660790.17857075</v>
      </c>
      <c r="F703" s="26">
        <v>1958933.6325000003</v>
      </c>
      <c r="G703" s="26">
        <v>10045813.500000011</v>
      </c>
    </row>
    <row r="704" spans="1:7">
      <c r="A704" s="25">
        <v>46359</v>
      </c>
      <c r="B704" t="s">
        <v>40</v>
      </c>
      <c r="C704" s="27">
        <v>3</v>
      </c>
      <c r="D704" s="26">
        <v>19308001.593421627</v>
      </c>
      <c r="E704" s="26">
        <v>288179128.26002449</v>
      </c>
      <c r="F704" s="26">
        <v>6183070.334999999</v>
      </c>
      <c r="G704" s="26">
        <v>31708053.00000003</v>
      </c>
    </row>
    <row r="705" spans="1:7">
      <c r="A705" s="25">
        <v>46360</v>
      </c>
      <c r="B705" t="s">
        <v>40</v>
      </c>
      <c r="C705" s="27">
        <v>4</v>
      </c>
      <c r="D705" s="26">
        <v>14119460.801822145</v>
      </c>
      <c r="E705" s="26">
        <v>210738220.92271873</v>
      </c>
      <c r="F705" s="26">
        <v>2179810.9125000001</v>
      </c>
      <c r="G705" s="26">
        <v>11178517.500000013</v>
      </c>
    </row>
    <row r="706" spans="1:7">
      <c r="A706" s="25">
        <v>46361</v>
      </c>
      <c r="B706" t="s">
        <v>40</v>
      </c>
      <c r="C706" s="27">
        <v>5</v>
      </c>
      <c r="D706" s="26">
        <v>15646800.356145658</v>
      </c>
      <c r="E706" s="26">
        <v>233534333.673816</v>
      </c>
      <c r="F706" s="26">
        <v>4918273.4249999998</v>
      </c>
      <c r="G706" s="26">
        <v>25221915.000000026</v>
      </c>
    </row>
    <row r="707" spans="1:7">
      <c r="A707" s="25">
        <v>46362</v>
      </c>
      <c r="B707" t="s">
        <v>40</v>
      </c>
      <c r="C707" s="27">
        <v>6</v>
      </c>
      <c r="D707" s="26">
        <v>14365212.727275472</v>
      </c>
      <c r="E707" s="26">
        <v>214406160.10858932</v>
      </c>
      <c r="F707" s="26">
        <v>6443162.2124999994</v>
      </c>
      <c r="G707" s="26">
        <v>33041857.50000003</v>
      </c>
    </row>
    <row r="708" spans="1:7">
      <c r="A708" s="25">
        <v>46363</v>
      </c>
      <c r="B708" t="s">
        <v>40</v>
      </c>
      <c r="C708" s="27">
        <v>7</v>
      </c>
      <c r="D708" s="26">
        <v>9141774.8648709077</v>
      </c>
      <c r="E708" s="26">
        <v>136444400.96822262</v>
      </c>
      <c r="F708" s="26">
        <v>4446931.32</v>
      </c>
      <c r="G708" s="26">
        <v>22804776.000000026</v>
      </c>
    </row>
    <row r="709" spans="1:7">
      <c r="A709" s="25">
        <v>46364</v>
      </c>
      <c r="B709" t="s">
        <v>40</v>
      </c>
      <c r="C709" s="27">
        <v>8</v>
      </c>
      <c r="D709" s="26">
        <v>7909667.5172976181</v>
      </c>
      <c r="E709" s="26">
        <v>118054739.06414364</v>
      </c>
      <c r="F709" s="26">
        <v>3966224.5350000006</v>
      </c>
      <c r="G709" s="26">
        <v>20339613.000000026</v>
      </c>
    </row>
    <row r="710" spans="1:7">
      <c r="A710" s="25">
        <v>46365</v>
      </c>
      <c r="B710" t="s">
        <v>40</v>
      </c>
      <c r="C710" s="27">
        <v>9</v>
      </c>
      <c r="D710" s="26">
        <v>10453564.595162526</v>
      </c>
      <c r="E710" s="26">
        <v>156023352.16660497</v>
      </c>
      <c r="F710" s="26">
        <v>3279393.8774999999</v>
      </c>
      <c r="G710" s="26">
        <v>16817404.500000019</v>
      </c>
    </row>
    <row r="711" spans="1:7">
      <c r="A711" s="25">
        <v>46366</v>
      </c>
      <c r="B711" t="s">
        <v>40</v>
      </c>
      <c r="C711" s="27">
        <v>10</v>
      </c>
      <c r="D711" s="26">
        <v>10547373.0366068</v>
      </c>
      <c r="E711" s="26">
        <v>157423478.15831059</v>
      </c>
      <c r="F711" s="26">
        <v>814162.04999999993</v>
      </c>
      <c r="G711" s="26">
        <v>4175190.0000000047</v>
      </c>
    </row>
    <row r="712" spans="1:7">
      <c r="A712" s="25">
        <v>46367</v>
      </c>
      <c r="B712" t="s">
        <v>40</v>
      </c>
      <c r="C712" s="27">
        <v>11</v>
      </c>
      <c r="D712" s="26">
        <v>17737546.264798786</v>
      </c>
      <c r="E712" s="26">
        <v>264739496.48953432</v>
      </c>
      <c r="F712" s="26">
        <v>6574469.5575000001</v>
      </c>
      <c r="G712" s="26">
        <v>33715228.500000037</v>
      </c>
    </row>
    <row r="713" spans="1:7">
      <c r="A713" s="25">
        <v>46368</v>
      </c>
      <c r="B713" t="s">
        <v>40</v>
      </c>
      <c r="C713" s="27">
        <v>12</v>
      </c>
      <c r="D713" s="26">
        <v>19772059.739824958</v>
      </c>
      <c r="E713" s="26">
        <v>295105369.25111902</v>
      </c>
      <c r="F713" s="26">
        <v>2963719.3949999996</v>
      </c>
      <c r="G713" s="26">
        <v>15198561.000000015</v>
      </c>
    </row>
    <row r="714" spans="1:7">
      <c r="A714" s="25">
        <v>46369</v>
      </c>
      <c r="B714" t="s">
        <v>40</v>
      </c>
      <c r="C714" s="27">
        <v>13</v>
      </c>
      <c r="D714" s="26">
        <v>20112582.822695471</v>
      </c>
      <c r="E714" s="26">
        <v>300187803.32381326</v>
      </c>
      <c r="F714" s="26">
        <v>6390304.2449999992</v>
      </c>
      <c r="G714" s="26">
        <v>32770791.00000003</v>
      </c>
    </row>
    <row r="715" spans="1:7">
      <c r="A715" s="25">
        <v>46370</v>
      </c>
      <c r="B715" t="s">
        <v>40</v>
      </c>
      <c r="C715" s="27">
        <v>14</v>
      </c>
      <c r="D715" s="26">
        <v>11017738.286684617</v>
      </c>
      <c r="E715" s="26">
        <v>164443855.02514365</v>
      </c>
      <c r="F715" s="26">
        <v>10605197.362499999</v>
      </c>
      <c r="G715" s="26">
        <v>54385627.500000052</v>
      </c>
    </row>
    <row r="716" spans="1:7">
      <c r="A716" s="25">
        <v>46371</v>
      </c>
      <c r="B716" t="s">
        <v>40</v>
      </c>
      <c r="C716" s="27">
        <v>15</v>
      </c>
      <c r="D716" s="26">
        <v>11292589.547310244</v>
      </c>
      <c r="E716" s="26">
        <v>168546112.6464217</v>
      </c>
      <c r="F716" s="26">
        <v>3476536.5375000001</v>
      </c>
      <c r="G716" s="26">
        <v>17828392.500000019</v>
      </c>
    </row>
    <row r="717" spans="1:7">
      <c r="A717" s="25">
        <v>46372</v>
      </c>
      <c r="B717" t="s">
        <v>40</v>
      </c>
      <c r="C717" s="27">
        <v>16</v>
      </c>
      <c r="D717" s="26">
        <v>10929351.347044634</v>
      </c>
      <c r="E717" s="26">
        <v>163124646.97081557</v>
      </c>
      <c r="F717" s="26">
        <v>490838.4</v>
      </c>
      <c r="G717" s="26">
        <v>2517120.0000000028</v>
      </c>
    </row>
    <row r="718" spans="1:7">
      <c r="A718" s="25">
        <v>46373</v>
      </c>
      <c r="B718" t="s">
        <v>40</v>
      </c>
      <c r="C718" s="27">
        <v>17</v>
      </c>
      <c r="D718" s="26">
        <v>16102153.945627343</v>
      </c>
      <c r="E718" s="26">
        <v>240330655.90488592</v>
      </c>
      <c r="F718" s="26">
        <v>5033374.2224999992</v>
      </c>
      <c r="G718" s="26">
        <v>25812175.500000026</v>
      </c>
    </row>
    <row r="719" spans="1:7">
      <c r="A719" s="25">
        <v>46374</v>
      </c>
      <c r="B719" t="s">
        <v>40</v>
      </c>
      <c r="C719" s="27">
        <v>18</v>
      </c>
      <c r="D719" s="26">
        <v>18399115.759655558</v>
      </c>
      <c r="E719" s="26">
        <v>274613668.05456078</v>
      </c>
      <c r="F719" s="26">
        <v>4830681.3749999991</v>
      </c>
      <c r="G719" s="26">
        <v>24772725.000000022</v>
      </c>
    </row>
    <row r="720" spans="1:7">
      <c r="A720" s="25">
        <v>46375</v>
      </c>
      <c r="B720" t="s">
        <v>40</v>
      </c>
      <c r="C720" s="27">
        <v>19</v>
      </c>
      <c r="D720" s="26">
        <v>19674484.810457967</v>
      </c>
      <c r="E720" s="26">
        <v>293649027.02176094</v>
      </c>
      <c r="F720" s="26">
        <v>4724763.6149999993</v>
      </c>
      <c r="G720" s="26">
        <v>24229557.000000022</v>
      </c>
    </row>
    <row r="721" spans="1:7">
      <c r="A721" s="25">
        <v>46376</v>
      </c>
      <c r="B721" t="s">
        <v>40</v>
      </c>
      <c r="C721" s="27">
        <v>20</v>
      </c>
      <c r="D721" s="26">
        <v>20815964.759774745</v>
      </c>
      <c r="E721" s="26">
        <v>310686041.19066805</v>
      </c>
      <c r="F721" s="26">
        <v>8291616.8399999989</v>
      </c>
      <c r="G721" s="26">
        <v>42521112.000000045</v>
      </c>
    </row>
    <row r="722" spans="1:7">
      <c r="A722" s="25">
        <v>46377</v>
      </c>
      <c r="B722" t="s">
        <v>40</v>
      </c>
      <c r="C722" s="27">
        <v>21</v>
      </c>
      <c r="D722" s="26">
        <v>9732411.1425375044</v>
      </c>
      <c r="E722" s="26">
        <v>145259867.79906735</v>
      </c>
      <c r="F722" s="26">
        <v>5572105.6949999994</v>
      </c>
      <c r="G722" s="26">
        <v>28574901.000000026</v>
      </c>
    </row>
    <row r="723" spans="1:7">
      <c r="A723" s="25">
        <v>46378</v>
      </c>
      <c r="B723" t="s">
        <v>40</v>
      </c>
      <c r="C723" s="27">
        <v>22</v>
      </c>
      <c r="D723" s="26">
        <v>8853710.1200353112</v>
      </c>
      <c r="E723" s="26">
        <v>132144927.16470623</v>
      </c>
      <c r="F723" s="26">
        <v>1642330.7550000001</v>
      </c>
      <c r="G723" s="26">
        <v>8422209.0000000093</v>
      </c>
    </row>
    <row r="724" spans="1:7">
      <c r="A724" s="25">
        <v>46379</v>
      </c>
      <c r="B724" t="s">
        <v>40</v>
      </c>
      <c r="C724" s="27">
        <v>23</v>
      </c>
      <c r="D724" s="26">
        <v>9778724.6101882532</v>
      </c>
      <c r="E724" s="26">
        <v>145951113.58489943</v>
      </c>
      <c r="F724" s="26">
        <v>5869070.9999999991</v>
      </c>
      <c r="G724" s="26">
        <v>30097800.00000003</v>
      </c>
    </row>
    <row r="725" spans="1:7">
      <c r="A725" s="25">
        <v>46380</v>
      </c>
      <c r="B725" t="s">
        <v>40</v>
      </c>
      <c r="C725" s="27">
        <v>24</v>
      </c>
      <c r="D725" s="26">
        <v>3063574.5034892233</v>
      </c>
      <c r="E725" s="26">
        <v>45724992.589391425</v>
      </c>
      <c r="F725" s="26">
        <v>0</v>
      </c>
      <c r="G725" s="26">
        <v>0</v>
      </c>
    </row>
    <row r="726" spans="1:7">
      <c r="A726" s="25">
        <v>46381</v>
      </c>
      <c r="B726" t="s">
        <v>40</v>
      </c>
      <c r="C726" s="27">
        <v>25</v>
      </c>
      <c r="D726" s="26">
        <v>19287356.453689519</v>
      </c>
      <c r="E726" s="26">
        <v>287870991.84611243</v>
      </c>
      <c r="F726" s="26">
        <v>1695128.175</v>
      </c>
      <c r="G726" s="26">
        <v>8692965.0000000093</v>
      </c>
    </row>
    <row r="727" spans="1:7">
      <c r="A727" s="25">
        <v>46382</v>
      </c>
      <c r="B727" t="s">
        <v>40</v>
      </c>
      <c r="C727" s="27">
        <v>26</v>
      </c>
      <c r="D727" s="26">
        <v>21883653.428856786</v>
      </c>
      <c r="E727" s="26">
        <v>326621692.96801203</v>
      </c>
      <c r="F727" s="26">
        <v>7317024.0975000001</v>
      </c>
      <c r="G727" s="26">
        <v>37523200.500000045</v>
      </c>
    </row>
    <row r="728" spans="1:7">
      <c r="A728" s="25">
        <v>46383</v>
      </c>
      <c r="B728" t="s">
        <v>40</v>
      </c>
      <c r="C728" s="27">
        <v>27</v>
      </c>
      <c r="D728" s="26">
        <v>24170005.279632874</v>
      </c>
      <c r="E728" s="26">
        <v>360746347.45720738</v>
      </c>
      <c r="F728" s="26">
        <v>1018537.9161749999</v>
      </c>
      <c r="G728" s="26">
        <v>5223271.3650000049</v>
      </c>
    </row>
    <row r="729" spans="1:7">
      <c r="A729" s="25">
        <v>46384</v>
      </c>
      <c r="B729" t="s">
        <v>40</v>
      </c>
      <c r="C729" s="27">
        <v>28</v>
      </c>
      <c r="D729" s="26">
        <v>18132451.388634257</v>
      </c>
      <c r="E729" s="26">
        <v>270633602.8154369</v>
      </c>
      <c r="F729" s="26">
        <v>5223271.3649999993</v>
      </c>
      <c r="G729" s="26">
        <v>26786007.000000026</v>
      </c>
    </row>
    <row r="730" spans="1:7">
      <c r="A730" s="25">
        <v>46385</v>
      </c>
      <c r="B730" t="s">
        <v>40</v>
      </c>
      <c r="C730" s="27">
        <v>29</v>
      </c>
      <c r="D730" s="26">
        <v>12423317.093444046</v>
      </c>
      <c r="E730" s="26">
        <v>185422643.18573216</v>
      </c>
      <c r="F730" s="26">
        <v>3767911.29</v>
      </c>
      <c r="G730" s="26">
        <v>19322622.000000022</v>
      </c>
    </row>
    <row r="731" spans="1:7">
      <c r="A731" s="25">
        <v>46386</v>
      </c>
      <c r="B731" t="s">
        <v>40</v>
      </c>
      <c r="C731" s="27">
        <v>30</v>
      </c>
      <c r="D731" s="26">
        <v>15347487.672211438</v>
      </c>
      <c r="E731" s="26">
        <v>229066980.18226045</v>
      </c>
      <c r="F731" s="26">
        <v>4911290.2799999993</v>
      </c>
      <c r="G731" s="26">
        <v>25186104.000000022</v>
      </c>
    </row>
    <row r="732" spans="1:7">
      <c r="A732" s="25">
        <v>46387</v>
      </c>
      <c r="B732" t="s">
        <v>40</v>
      </c>
      <c r="C732" s="27">
        <v>31</v>
      </c>
      <c r="D732" s="26">
        <v>16950956.53348726</v>
      </c>
      <c r="E732" s="26">
        <v>252999351.24607873</v>
      </c>
      <c r="F732" s="26">
        <v>4791850.2449999992</v>
      </c>
      <c r="G732" s="26">
        <v>24573591.000000026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7"/>
  <sheetViews>
    <sheetView topLeftCell="A2" workbookViewId="0">
      <selection activeCell="D14" sqref="D14"/>
    </sheetView>
  </sheetViews>
  <sheetFormatPr baseColWidth="10" defaultColWidth="10.75" defaultRowHeight="14.25"/>
  <cols>
    <col min="2" max="2" width="10.875" bestFit="1" customWidth="1"/>
    <col min="3" max="3" width="12" bestFit="1" customWidth="1"/>
    <col min="4" max="4" width="10" bestFit="1" customWidth="1"/>
    <col min="5" max="5" width="10.875" bestFit="1" customWidth="1"/>
    <col min="6" max="118" width="22" bestFit="1" customWidth="1"/>
    <col min="119" max="119" width="13.625" bestFit="1" customWidth="1"/>
  </cols>
  <sheetData>
    <row r="3" spans="2:5">
      <c r="B3" s="1" t="s">
        <v>27</v>
      </c>
      <c r="C3" t="s">
        <v>34</v>
      </c>
    </row>
    <row r="4" spans="2:5">
      <c r="B4" s="1" t="s">
        <v>41</v>
      </c>
      <c r="C4" s="30">
        <v>4</v>
      </c>
    </row>
    <row r="6" spans="2:5">
      <c r="B6" t="s">
        <v>42</v>
      </c>
      <c r="C6" t="s">
        <v>43</v>
      </c>
      <c r="D6" t="s">
        <v>44</v>
      </c>
      <c r="E6" t="s">
        <v>45</v>
      </c>
    </row>
    <row r="7" spans="2:5">
      <c r="B7" s="31">
        <v>19814491.411737077</v>
      </c>
      <c r="C7" s="31">
        <v>291389579.58436877</v>
      </c>
      <c r="D7" s="31">
        <v>4520715.5669999998</v>
      </c>
      <c r="E7" s="31">
        <v>22603577.834800001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workbookViewId="0">
      <selection activeCell="C18" sqref="C18:G18"/>
    </sheetView>
  </sheetViews>
  <sheetFormatPr baseColWidth="10" defaultColWidth="10.75" defaultRowHeight="14.25"/>
  <cols>
    <col min="2" max="2" width="21.25" customWidth="1"/>
    <col min="3" max="3" width="8.875" bestFit="1" customWidth="1"/>
    <col min="4" max="4" width="12.875" bestFit="1" customWidth="1"/>
    <col min="6" max="6" width="12.875" bestFit="1" customWidth="1"/>
  </cols>
  <sheetData>
    <row r="1" spans="2:7" ht="15" thickBot="1"/>
    <row r="2" spans="2:7" ht="16.5" thickBot="1">
      <c r="B2" s="54" t="s">
        <v>46</v>
      </c>
      <c r="C2" s="55"/>
      <c r="D2" s="45">
        <f ca="1">TODAY()-1</f>
        <v>46027</v>
      </c>
      <c r="E2" s="45"/>
      <c r="F2" s="45"/>
      <c r="G2" s="46" t="s">
        <v>47</v>
      </c>
    </row>
    <row r="3" spans="2:7" ht="16.5" thickBot="1">
      <c r="B3" s="32" t="s">
        <v>26</v>
      </c>
      <c r="C3" s="33" t="s">
        <v>48</v>
      </c>
      <c r="D3" s="34" t="e">
        <f ca="1">VLOOKUP($D2,bases!A2:G367,6,FALSE)</f>
        <v>#N/A</v>
      </c>
      <c r="E3" s="35" t="s">
        <v>49</v>
      </c>
      <c r="F3" s="36">
        <v>15779559</v>
      </c>
      <c r="G3" s="37" t="e">
        <f ca="1">F3/D3</f>
        <v>#N/A</v>
      </c>
    </row>
    <row r="4" spans="2:7" ht="16.5" thickBot="1">
      <c r="B4" s="32" t="s">
        <v>26</v>
      </c>
      <c r="C4" s="33" t="s">
        <v>50</v>
      </c>
      <c r="D4" s="34" t="e">
        <f ca="1">VLOOKUP($D2,bases!A2:G367,7,FALSE)</f>
        <v>#N/A</v>
      </c>
      <c r="E4" s="35" t="s">
        <v>49</v>
      </c>
      <c r="F4" s="38">
        <v>34686300</v>
      </c>
      <c r="G4" s="39" t="e">
        <f ca="1">F4/D4</f>
        <v>#N/A</v>
      </c>
    </row>
    <row r="5" spans="2:7" ht="16.5" thickBot="1">
      <c r="B5" s="32" t="s">
        <v>25</v>
      </c>
      <c r="C5" s="33" t="s">
        <v>48</v>
      </c>
      <c r="D5" s="34" t="e">
        <f ca="1">VLOOKUP($D2,bases!A2:G367,4,FALSE)</f>
        <v>#N/A</v>
      </c>
      <c r="E5" s="35" t="s">
        <v>49</v>
      </c>
      <c r="F5" s="40">
        <v>27324000</v>
      </c>
      <c r="G5" s="39" t="e">
        <f ca="1">F5/D5</f>
        <v>#N/A</v>
      </c>
    </row>
    <row r="6" spans="2:7" ht="16.5" thickBot="1">
      <c r="B6" s="32" t="s">
        <v>25</v>
      </c>
      <c r="C6" s="33" t="s">
        <v>51</v>
      </c>
      <c r="D6" s="34" t="e">
        <f ca="1">VLOOKUP($D2,bases!A2:G367,5,FALSE)</f>
        <v>#N/A</v>
      </c>
      <c r="E6" s="41" t="s">
        <v>49</v>
      </c>
      <c r="F6" s="42">
        <v>278846000</v>
      </c>
      <c r="G6" s="39" t="e">
        <f ca="1">F6/D6</f>
        <v>#N/A</v>
      </c>
    </row>
    <row r="7" spans="2:7" ht="16.5" thickBot="1">
      <c r="B7" s="32" t="s">
        <v>25</v>
      </c>
      <c r="C7" s="56" t="s">
        <v>52</v>
      </c>
      <c r="D7" s="57"/>
      <c r="E7" s="58" t="s">
        <v>53</v>
      </c>
      <c r="F7" s="59"/>
      <c r="G7" s="60"/>
    </row>
    <row r="8" spans="2:7" ht="16.5" thickBot="1">
      <c r="B8" s="43" t="s">
        <v>25</v>
      </c>
      <c r="C8" s="61" t="s">
        <v>54</v>
      </c>
      <c r="D8" s="62"/>
      <c r="E8" s="63">
        <v>2</v>
      </c>
      <c r="F8" s="64"/>
      <c r="G8" s="65"/>
    </row>
    <row r="9" spans="2:7" ht="16.5" thickBot="1">
      <c r="B9" s="66" t="s">
        <v>55</v>
      </c>
      <c r="C9" s="67"/>
      <c r="D9" s="67"/>
      <c r="E9" s="67"/>
      <c r="F9" s="67"/>
      <c r="G9" s="68"/>
    </row>
    <row r="10" spans="2:7" ht="16.5" thickBot="1">
      <c r="B10" s="44" t="s">
        <v>26</v>
      </c>
      <c r="C10" s="51" t="s">
        <v>56</v>
      </c>
      <c r="D10" s="52"/>
      <c r="E10" s="52"/>
      <c r="F10" s="52"/>
      <c r="G10" s="53"/>
    </row>
    <row r="11" spans="2:7" ht="16.5" thickBot="1">
      <c r="B11" s="32" t="s">
        <v>25</v>
      </c>
      <c r="C11" s="51" t="s">
        <v>56</v>
      </c>
      <c r="D11" s="52"/>
      <c r="E11" s="52"/>
      <c r="F11" s="52"/>
      <c r="G11" s="53"/>
    </row>
    <row r="12" spans="2:7" ht="16.5" thickBot="1">
      <c r="B12" s="44" t="s">
        <v>57</v>
      </c>
      <c r="C12" s="51" t="s">
        <v>56</v>
      </c>
      <c r="D12" s="52"/>
      <c r="E12" s="52"/>
      <c r="F12" s="52"/>
      <c r="G12" s="53"/>
    </row>
    <row r="13" spans="2:7" ht="16.5" thickBot="1">
      <c r="B13" s="44" t="s">
        <v>58</v>
      </c>
      <c r="C13" s="51" t="s">
        <v>56</v>
      </c>
      <c r="D13" s="52"/>
      <c r="E13" s="52"/>
      <c r="F13" s="52"/>
      <c r="G13" s="53"/>
    </row>
    <row r="14" spans="2:7" ht="16.5" thickBot="1">
      <c r="B14" s="44" t="s">
        <v>59</v>
      </c>
      <c r="C14" s="51" t="s">
        <v>56</v>
      </c>
      <c r="D14" s="52"/>
      <c r="E14" s="52"/>
      <c r="F14" s="52"/>
      <c r="G14" s="53"/>
    </row>
    <row r="15" spans="2:7" ht="16.5" thickBot="1">
      <c r="B15" s="44" t="s">
        <v>60</v>
      </c>
      <c r="C15" s="51" t="s">
        <v>56</v>
      </c>
      <c r="D15" s="52"/>
      <c r="E15" s="52"/>
      <c r="F15" s="52"/>
      <c r="G15" s="53"/>
    </row>
    <row r="16" spans="2:7" ht="16.5" thickBot="1">
      <c r="B16" s="43" t="s">
        <v>61</v>
      </c>
      <c r="C16" s="51" t="s">
        <v>62</v>
      </c>
      <c r="D16" s="52"/>
      <c r="E16" s="52"/>
      <c r="F16" s="52"/>
      <c r="G16" s="53"/>
    </row>
    <row r="17" spans="2:7" ht="16.5" thickBot="1">
      <c r="B17" s="66" t="s">
        <v>63</v>
      </c>
      <c r="C17" s="67"/>
      <c r="D17" s="67"/>
      <c r="E17" s="67"/>
      <c r="F17" s="67"/>
      <c r="G17" s="68"/>
    </row>
    <row r="18" spans="2:7" ht="16.5" thickBot="1">
      <c r="B18" s="32" t="s">
        <v>16</v>
      </c>
      <c r="C18" s="69">
        <v>306</v>
      </c>
      <c r="D18" s="70"/>
      <c r="E18" s="70"/>
      <c r="F18" s="70"/>
      <c r="G18" s="71"/>
    </row>
    <row r="19" spans="2:7" ht="16.5" thickBot="1">
      <c r="B19" s="44" t="s">
        <v>65</v>
      </c>
      <c r="C19" s="51">
        <v>150</v>
      </c>
      <c r="D19" s="52"/>
      <c r="E19" s="52"/>
      <c r="F19" s="52"/>
      <c r="G19" s="53"/>
    </row>
    <row r="20" spans="2:7" ht="16.5" thickBot="1">
      <c r="B20" s="44" t="s">
        <v>64</v>
      </c>
      <c r="C20" s="51">
        <f>C18-C19</f>
        <v>156</v>
      </c>
      <c r="D20" s="52"/>
      <c r="E20" s="52"/>
      <c r="F20" s="52"/>
      <c r="G20" s="53"/>
    </row>
  </sheetData>
  <mergeCells count="17">
    <mergeCell ref="C16:G16"/>
    <mergeCell ref="B17:G17"/>
    <mergeCell ref="C18:G18"/>
    <mergeCell ref="C19:G19"/>
    <mergeCell ref="C20:G20"/>
    <mergeCell ref="C15:G15"/>
    <mergeCell ref="B2:C2"/>
    <mergeCell ref="C7:D7"/>
    <mergeCell ref="E7:G7"/>
    <mergeCell ref="C8:D8"/>
    <mergeCell ref="E8:G8"/>
    <mergeCell ref="B9:G9"/>
    <mergeCell ref="C10:G10"/>
    <mergeCell ref="C11:G11"/>
    <mergeCell ref="C12:G12"/>
    <mergeCell ref="C13:G13"/>
    <mergeCell ref="C14:G14"/>
  </mergeCells>
  <conditionalFormatting sqref="F3">
    <cfRule type="cellIs" dxfId="13" priority="1" operator="lessThan">
      <formula>$D$3</formula>
    </cfRule>
    <cfRule type="cellIs" dxfId="12" priority="2" operator="greaterThan">
      <formula>$D$3</formula>
    </cfRule>
    <cfRule type="cellIs" dxfId="11" priority="8" operator="greaterThan">
      <formula>$D$3</formula>
    </cfRule>
  </conditionalFormatting>
  <conditionalFormatting sqref="F3:F6">
    <cfRule type="top10" dxfId="10" priority="15" rank="1"/>
  </conditionalFormatting>
  <conditionalFormatting sqref="F4">
    <cfRule type="cellIs" dxfId="9" priority="3" operator="lessThan">
      <formula>$D$4</formula>
    </cfRule>
    <cfRule type="cellIs" dxfId="8" priority="4" operator="greaterThan">
      <formula>$D$4</formula>
    </cfRule>
    <cfRule type="cellIs" dxfId="7" priority="7" operator="lessThan">
      <formula>$D$4</formula>
    </cfRule>
    <cfRule type="cellIs" dxfId="6" priority="10" operator="greaterThan">
      <formula>$D$4</formula>
    </cfRule>
  </conditionalFormatting>
  <conditionalFormatting sqref="F5">
    <cfRule type="cellIs" dxfId="5" priority="11" operator="lessThan">
      <formula>$D$5</formula>
    </cfRule>
    <cfRule type="cellIs" dxfId="4" priority="12" operator="greaterThan">
      <formula>$D$5</formula>
    </cfRule>
  </conditionalFormatting>
  <conditionalFormatting sqref="F6">
    <cfRule type="cellIs" dxfId="3" priority="13" operator="greaterThan">
      <formula>$D$6</formula>
    </cfRule>
    <cfRule type="cellIs" dxfId="2" priority="14" operator="lessThan">
      <formula>$D$6</formula>
    </cfRule>
  </conditionalFormatting>
  <conditionalFormatting sqref="G3:G6">
    <cfRule type="cellIs" dxfId="1" priority="5" operator="between">
      <formula>100%</formula>
      <formula>1000%</formula>
    </cfRule>
    <cfRule type="cellIs" dxfId="0" priority="6" operator="between">
      <formula>99%</formula>
      <formula>-1000%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5"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91E07-DB5C-4EC7-986C-B355AD82C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Forma de pago PAGO</vt:lpstr>
      <vt:lpstr>RVC</vt:lpstr>
      <vt:lpstr>TGM 2025</vt:lpstr>
      <vt:lpstr>Mesas 2025</vt:lpstr>
      <vt:lpstr>Presupuesto AABB 2025</vt:lpstr>
      <vt:lpstr>bases</vt:lpstr>
      <vt:lpstr>BUSQUEDA</vt:lpstr>
      <vt:lpstr>FORMATO CIERRE 2025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Jennifer Riveros Martinez</dc:creator>
  <cp:lastModifiedBy>Cristian Andres Paineo Paineo</cp:lastModifiedBy>
  <dcterms:created xsi:type="dcterms:W3CDTF">2024-11-25T20:20:28Z</dcterms:created>
  <dcterms:modified xsi:type="dcterms:W3CDTF">2026-01-06T22:39:30Z</dcterms:modified>
</cp:coreProperties>
</file>